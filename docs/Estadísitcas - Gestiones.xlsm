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"/>
    </mc:Choice>
  </mc:AlternateContent>
  <xr:revisionPtr revIDLastSave="0" documentId="13_ncr:1_{43A463CD-D835-49FC-A28A-A49745F1B5CC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Inicio" sheetId="5" r:id="rId1"/>
    <sheet name="Inicio (2)" sheetId="1" state="hidden" r:id="rId2"/>
    <sheet name="Caja" sheetId="2" r:id="rId3"/>
    <sheet name="CajaAcc" sheetId="3" r:id="rId4"/>
    <sheet name="TablaPuntos" sheetId="4" r:id="rId5"/>
    <sheet name="Caja (Histórico)" sheetId="6" r:id="rId6"/>
    <sheet name="CajaAcc (Histórico)" sheetId="7" r:id="rId7"/>
  </sheets>
  <functionGroups builtInGroupCount="19"/>
  <externalReferences>
    <externalReference r:id="rId8"/>
  </externalReferences>
  <definedNames>
    <definedName name="ACC_">"ACCESORIO"</definedName>
    <definedName name="_xlnm.Print_Area" localSheetId="0">Inicio!$A$1:$H$58</definedName>
    <definedName name="_xlnm.Print_Area" localSheetId="1">'Inicio (2)'!$A$1:$L$56</definedName>
    <definedName name="CAJA">[1]Val!$D$1:$D$20</definedName>
    <definedName name="DEST">[1]Val!$B$1:$B$5</definedName>
    <definedName name="EQ">[1]Equipos!$A$4:$A$32</definedName>
    <definedName name="Exa_">"EXACTA"</definedName>
    <definedName name="GAS">[1]Gastos!$A$2:$A$18</definedName>
    <definedName name="Gas_">"GASTO"</definedName>
    <definedName name="item">[1]Val!$A$1:$A$28</definedName>
    <definedName name="mov">[1]Movimiento!$A$3:$A$111</definedName>
    <definedName name="TDC">[1]Val!$E$1:$E$13</definedName>
    <definedName name="VACIO">[1]Val!$G$1:$G$6</definedName>
    <definedName name="Var">[1]Val!$C$1:$C$11</definedName>
    <definedName name="Var_">"VARIO"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" i="5" l="1"/>
  <c r="I15" i="5"/>
  <c r="J15" i="5"/>
  <c r="H15" i="5"/>
  <c r="I16" i="5" l="1"/>
  <c r="I6" i="5"/>
  <c r="C6" i="5"/>
  <c r="D6" i="5"/>
  <c r="E6" i="5"/>
  <c r="C7" i="5"/>
  <c r="D7" i="5"/>
  <c r="E7" i="5"/>
  <c r="C8" i="5"/>
  <c r="D8" i="5"/>
  <c r="E8" i="5"/>
  <c r="C9" i="5"/>
  <c r="D9" i="5"/>
  <c r="E9" i="5"/>
  <c r="I8" i="5"/>
  <c r="C15" i="5" s="1"/>
  <c r="B19" i="1"/>
  <c r="I17" i="5" l="1"/>
  <c r="C10" i="5"/>
  <c r="E10" i="5"/>
  <c r="D10" i="5"/>
  <c r="C14" i="5"/>
  <c r="C17" i="5"/>
  <c r="C16" i="5"/>
  <c r="F7" i="5"/>
  <c r="F6" i="5"/>
  <c r="F9" i="5"/>
  <c r="F8" i="5"/>
  <c r="R6" i="1"/>
  <c r="R7" i="1"/>
  <c r="R8" i="1"/>
  <c r="R5" i="1"/>
  <c r="F10" i="5" l="1"/>
  <c r="D16" i="5" s="1"/>
  <c r="E16" i="5" s="1"/>
  <c r="E11" i="1"/>
  <c r="D11" i="1"/>
  <c r="C11" i="1"/>
  <c r="I9" i="5" l="1"/>
  <c r="I10" i="5" s="1"/>
  <c r="D15" i="5"/>
  <c r="E15" i="5" s="1"/>
  <c r="D14" i="5"/>
  <c r="E14" i="5" s="1"/>
  <c r="D17" i="5"/>
  <c r="E17" i="5" s="1"/>
  <c r="F11" i="1"/>
  <c r="J9" i="5" l="1"/>
  <c r="M7" i="1"/>
  <c r="N7" i="1"/>
  <c r="M8" i="1"/>
  <c r="N8" i="1"/>
  <c r="M9" i="1"/>
  <c r="N9" i="1"/>
  <c r="M10" i="1"/>
  <c r="N10" i="1"/>
  <c r="M11" i="1"/>
  <c r="N11" i="1"/>
  <c r="M12" i="1"/>
  <c r="N12" i="1"/>
  <c r="M13" i="1"/>
  <c r="N13" i="1"/>
  <c r="M14" i="1"/>
  <c r="N14" i="1"/>
  <c r="M15" i="1"/>
  <c r="N15" i="1"/>
  <c r="M16" i="1"/>
  <c r="N16" i="1"/>
  <c r="M17" i="1"/>
  <c r="N17" i="1"/>
  <c r="M18" i="1"/>
  <c r="N18" i="1"/>
  <c r="M19" i="1"/>
  <c r="N19" i="1"/>
  <c r="M20" i="1"/>
  <c r="D9" i="1" s="1"/>
  <c r="N20" i="1"/>
  <c r="E9" i="1" s="1"/>
  <c r="M21" i="1"/>
  <c r="D10" i="1" s="1"/>
  <c r="N21" i="1"/>
  <c r="E10" i="1" s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C9" i="1" s="1"/>
  <c r="L21" i="1"/>
  <c r="C10" i="1" s="1"/>
  <c r="J10" i="5" l="1"/>
  <c r="M15" i="5"/>
  <c r="F9" i="1"/>
  <c r="D8" i="1"/>
  <c r="D7" i="1"/>
  <c r="E8" i="1"/>
  <c r="E7" i="1"/>
  <c r="C7" i="1"/>
  <c r="C8" i="1"/>
  <c r="D12" i="1" l="1"/>
  <c r="E12" i="1"/>
  <c r="F8" i="1"/>
  <c r="F7" i="1"/>
  <c r="D15" i="1" l="1"/>
  <c r="D16" i="1"/>
  <c r="E16" i="1"/>
  <c r="E15" i="1"/>
  <c r="C12" i="1"/>
  <c r="C15" i="1" l="1"/>
  <c r="C16" i="1"/>
  <c r="F12" i="1"/>
  <c r="F10" i="1"/>
  <c r="H7" i="1" l="1"/>
  <c r="F15" i="1"/>
  <c r="F16" i="1"/>
  <c r="B20" i="1"/>
  <c r="B21" i="1"/>
  <c r="B23" i="1"/>
  <c r="B22" i="1"/>
  <c r="U8" i="1"/>
  <c r="U7" i="1"/>
  <c r="U5" i="1"/>
  <c r="U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alberto1</author>
  </authors>
  <commentList>
    <comment ref="A2" authorId="0" shapeId="0" xr:uid="{AE10B73C-C3BE-4437-8A74-F0D3BEA08F16}">
      <text>
        <r>
          <rPr>
            <b/>
            <sz val="8"/>
            <color indexed="81"/>
            <rFont val="Tahoma"/>
            <family val="2"/>
          </rPr>
          <t xml:space="preserve">Divide
</t>
        </r>
      </text>
    </comment>
    <comment ref="B2" authorId="0" shapeId="0" xr:uid="{5B9F67C1-0D4C-496E-B94F-6BE123CEE6CA}">
      <text>
        <r>
          <rPr>
            <b/>
            <sz val="8"/>
            <color indexed="81"/>
            <rFont val="Tahoma"/>
            <family val="2"/>
          </rPr>
          <t xml:space="preserve">Divide
</t>
        </r>
      </text>
    </comment>
  </commentList>
</comments>
</file>

<file path=xl/sharedStrings.xml><?xml version="1.0" encoding="utf-8"?>
<sst xmlns="http://schemas.openxmlformats.org/spreadsheetml/2006/main" count="48068" uniqueCount="5521">
  <si>
    <t>BAF</t>
  </si>
  <si>
    <t>EFE</t>
  </si>
  <si>
    <t>CC</t>
  </si>
  <si>
    <t>Otra</t>
  </si>
  <si>
    <t>CHE</t>
  </si>
  <si>
    <t>MEN</t>
  </si>
  <si>
    <t>Caja</t>
  </si>
  <si>
    <t>FECHA</t>
  </si>
  <si>
    <t>DETALLE</t>
  </si>
  <si>
    <t>FAC.</t>
  </si>
  <si>
    <t>INGRESO</t>
  </si>
  <si>
    <t>SALIDA</t>
  </si>
  <si>
    <t>Cant</t>
  </si>
  <si>
    <t>OPERACIÓN</t>
  </si>
  <si>
    <t>TIPO/MODELO</t>
  </si>
  <si>
    <t>DEST</t>
  </si>
  <si>
    <t>MODO</t>
  </si>
  <si>
    <t>Nº</t>
  </si>
  <si>
    <t>Movim.</t>
  </si>
  <si>
    <t>OBSERVACIONES</t>
  </si>
  <si>
    <t>CajaAcc</t>
  </si>
  <si>
    <t>sim-car</t>
  </si>
  <si>
    <t>propio</t>
  </si>
  <si>
    <t>PROPIO</t>
  </si>
  <si>
    <t>Código de barras</t>
  </si>
  <si>
    <t>M/m</t>
  </si>
  <si>
    <t>Costo sugerido</t>
  </si>
  <si>
    <t>Descripción</t>
  </si>
  <si>
    <t xml:space="preserve"> </t>
  </si>
  <si>
    <t/>
  </si>
  <si>
    <t>ACCESORIO</t>
  </si>
  <si>
    <t>R2G</t>
  </si>
  <si>
    <t>R4G</t>
  </si>
  <si>
    <t>R7G</t>
  </si>
  <si>
    <t>R10G</t>
  </si>
  <si>
    <t>R20G</t>
  </si>
  <si>
    <t>R30G</t>
  </si>
  <si>
    <t>P280</t>
  </si>
  <si>
    <t>P2G</t>
  </si>
  <si>
    <t>P4G</t>
  </si>
  <si>
    <t>P7G</t>
  </si>
  <si>
    <t>P10G</t>
  </si>
  <si>
    <t>P20G</t>
  </si>
  <si>
    <t>P30G</t>
  </si>
  <si>
    <t>PORTAP</t>
  </si>
  <si>
    <t>Cater</t>
  </si>
  <si>
    <t>D</t>
  </si>
  <si>
    <t>TOTAL</t>
  </si>
  <si>
    <t>LUCILA</t>
  </si>
  <si>
    <t>ENZO</t>
  </si>
  <si>
    <t>SHAIEL</t>
  </si>
  <si>
    <t>CATER</t>
  </si>
  <si>
    <t>*DETALLE POR VENTA</t>
  </si>
  <si>
    <t>Objetivo:</t>
  </si>
  <si>
    <t>PORTA</t>
  </si>
  <si>
    <t>REGULAR</t>
  </si>
  <si>
    <t>SHAI</t>
  </si>
  <si>
    <t>Logrado:</t>
  </si>
  <si>
    <t>Proyección:</t>
  </si>
  <si>
    <t>MIG</t>
  </si>
  <si>
    <t>caja</t>
  </si>
  <si>
    <t>efe</t>
  </si>
  <si>
    <t>3rosario</t>
  </si>
  <si>
    <t>Consumidor final</t>
  </si>
  <si>
    <t>cater</t>
  </si>
  <si>
    <t>gasto</t>
  </si>
  <si>
    <t>varios</t>
  </si>
  <si>
    <t>Objetivo</t>
  </si>
  <si>
    <t>Operaciones</t>
  </si>
  <si>
    <t>completar según Objetivo Sucursal</t>
  </si>
  <si>
    <t>accesorio</t>
  </si>
  <si>
    <t>tdc</t>
  </si>
  <si>
    <t>visa</t>
  </si>
  <si>
    <t>HG'FILMS</t>
  </si>
  <si>
    <t>vario</t>
  </si>
  <si>
    <t>transfer</t>
  </si>
  <si>
    <t>Virtual</t>
  </si>
  <si>
    <t>orga</t>
  </si>
  <si>
    <t>HIDROGEL FILMINAS CLEAR</t>
  </si>
  <si>
    <t>r2g</t>
  </si>
  <si>
    <t>Transfer QR</t>
  </si>
  <si>
    <t>Transfer</t>
  </si>
  <si>
    <t>Enzo</t>
  </si>
  <si>
    <t>E-SIM</t>
  </si>
  <si>
    <t>Carga Virtual</t>
  </si>
  <si>
    <t>comision</t>
  </si>
  <si>
    <t>Shaiel</t>
  </si>
  <si>
    <t>SantanderC</t>
  </si>
  <si>
    <t>D1175</t>
  </si>
  <si>
    <t>Lucila</t>
  </si>
  <si>
    <t>Débito</t>
  </si>
  <si>
    <t>Repos</t>
  </si>
  <si>
    <t>QR</t>
  </si>
  <si>
    <t>sim-1175</t>
  </si>
  <si>
    <t>Prepagos</t>
  </si>
  <si>
    <t>5corrientes</t>
  </si>
  <si>
    <t>Financiado</t>
  </si>
  <si>
    <t xml:space="preserve">Transfer QR </t>
  </si>
  <si>
    <t>r10g</t>
  </si>
  <si>
    <t>p2g</t>
  </si>
  <si>
    <t>Reposicion Sim</t>
  </si>
  <si>
    <t>conciliacion</t>
  </si>
  <si>
    <t>Transfer sims</t>
  </si>
  <si>
    <t>tc-cti $167999</t>
  </si>
  <si>
    <t>DCEN</t>
  </si>
  <si>
    <t>Uocra</t>
  </si>
  <si>
    <t>Leon 3416901886</t>
  </si>
  <si>
    <t>p4g</t>
  </si>
  <si>
    <t>DEZOL</t>
  </si>
  <si>
    <t>PEYDX</t>
  </si>
  <si>
    <t>tc-cti $287999,21</t>
  </si>
  <si>
    <t>V50P3</t>
  </si>
  <si>
    <t>Rodriguez, Edgardo Fabian</t>
  </si>
  <si>
    <t>Riveros 3415424384</t>
  </si>
  <si>
    <t>Marani 3413486263</t>
  </si>
  <si>
    <t>Cervo 3417837754</t>
  </si>
  <si>
    <t>Soria 3417844735</t>
  </si>
  <si>
    <t>Gonzalez 3415148133</t>
  </si>
  <si>
    <t>Espindola 3417837747</t>
  </si>
  <si>
    <t>Milesi 3417419179</t>
  </si>
  <si>
    <t>KJ3QE</t>
  </si>
  <si>
    <t>Zariaga 2477384381</t>
  </si>
  <si>
    <t>tc-cti $211199,21</t>
  </si>
  <si>
    <t>Alberdi 3415692111</t>
  </si>
  <si>
    <t>Mellado 3417430837</t>
  </si>
  <si>
    <t>Gribaudo 3515201290</t>
  </si>
  <si>
    <t>Silva 3412471593</t>
  </si>
  <si>
    <t>Rojas 3415462110</t>
  </si>
  <si>
    <t>Giangreco 3413012090</t>
  </si>
  <si>
    <t>Lopez 3417797263</t>
  </si>
  <si>
    <t>Redlich 2975138145</t>
  </si>
  <si>
    <t>Rodriguez 3416629881</t>
  </si>
  <si>
    <t>Delacoix 3417459589</t>
  </si>
  <si>
    <t>Delacroix 3412162176</t>
  </si>
  <si>
    <t>Delacroix 3417459589</t>
  </si>
  <si>
    <t>Gonzalez 3416668528</t>
  </si>
  <si>
    <t>Poquet 3416989510</t>
  </si>
  <si>
    <t>Alvarez 3364601911</t>
  </si>
  <si>
    <t>Sanchez 3476652756</t>
  </si>
  <si>
    <t>Verdejo 3413501627</t>
  </si>
  <si>
    <t>Biagiola 3412158050</t>
  </si>
  <si>
    <t>0378</t>
  </si>
  <si>
    <t>Votero 3415475619</t>
  </si>
  <si>
    <t>Castillo 3417509411</t>
  </si>
  <si>
    <t>Diaz 3413599270</t>
  </si>
  <si>
    <t>ACTIVADO NRO PORTADO 06/05/2026</t>
  </si>
  <si>
    <t>Diaz 3412561117</t>
  </si>
  <si>
    <t>Sanchez 3413106698</t>
  </si>
  <si>
    <t>Acevedo 3417537622</t>
  </si>
  <si>
    <t>853</t>
  </si>
  <si>
    <t>Grosso 3417482232</t>
  </si>
  <si>
    <t>Cardozo, Lucas Ezequiel</t>
  </si>
  <si>
    <t>Aguillar 3417521519</t>
  </si>
  <si>
    <t>Aguillar 3413454109</t>
  </si>
  <si>
    <t>Leguizamon 3417454064</t>
  </si>
  <si>
    <t>Delmenico 3416423915</t>
  </si>
  <si>
    <t>ACTIVADO NRO PORTADO 07/05/2026</t>
  </si>
  <si>
    <t>Delmenico 3416903527</t>
  </si>
  <si>
    <t>Grammonte 3412278340</t>
  </si>
  <si>
    <t>Caviglioli 3417516500</t>
  </si>
  <si>
    <t>Mansilla 3416217108</t>
  </si>
  <si>
    <t>Leo 3415506075</t>
  </si>
  <si>
    <t>Escobar 3412175056</t>
  </si>
  <si>
    <t>Almada 3416370055</t>
  </si>
  <si>
    <t>Barragan 3413198280</t>
  </si>
  <si>
    <t>Samut 3413581020</t>
  </si>
  <si>
    <t>Cabrera 3415404958</t>
  </si>
  <si>
    <t>Dcen</t>
  </si>
  <si>
    <t>Plencovich 3417450478</t>
  </si>
  <si>
    <t>tc-cti $159999</t>
  </si>
  <si>
    <t>Ortiz 3415208590</t>
  </si>
  <si>
    <t>ECJ46</t>
  </si>
  <si>
    <t>Garetto 3415944784</t>
  </si>
  <si>
    <t>Ludueña 3416626800</t>
  </si>
  <si>
    <t>Bugge 3416561668</t>
  </si>
  <si>
    <t>Olivera 3413363336</t>
  </si>
  <si>
    <t>Arguello 3417464655</t>
  </si>
  <si>
    <t>Mallama 3416754266</t>
  </si>
  <si>
    <t>Soldano 3415066225</t>
  </si>
  <si>
    <t>Terrani 3416810502</t>
  </si>
  <si>
    <t>Medina 3417471442</t>
  </si>
  <si>
    <t>Arias 3417468257</t>
  </si>
  <si>
    <t>Piriz 3417463581</t>
  </si>
  <si>
    <t>Sosa 3417463012</t>
  </si>
  <si>
    <t>Delmenico, María Cristina</t>
  </si>
  <si>
    <t>Boco 3416740871</t>
  </si>
  <si>
    <t>Uzcategui 3417859450</t>
  </si>
  <si>
    <t>Campagna 3416981384</t>
  </si>
  <si>
    <t>N7JZ5R</t>
  </si>
  <si>
    <t>Martino 3417462514</t>
  </si>
  <si>
    <t>Lugones 3413987582</t>
  </si>
  <si>
    <t>Riva 3416461240</t>
  </si>
  <si>
    <t>Ortiz 3412298191</t>
  </si>
  <si>
    <t>Waldemar 3412792861</t>
  </si>
  <si>
    <t>Espinoza 3413040029</t>
  </si>
  <si>
    <t>tc-cti $165599,2</t>
  </si>
  <si>
    <t>Limpieza de vidrios</t>
  </si>
  <si>
    <t>Moreyra 3417431981</t>
  </si>
  <si>
    <t>La novara 3417482315</t>
  </si>
  <si>
    <t>Volpini 3413432893</t>
  </si>
  <si>
    <t>Pinto 3413342313</t>
  </si>
  <si>
    <t>Acuña 3416473896</t>
  </si>
  <si>
    <t>Buttice 3476324138</t>
  </si>
  <si>
    <t>Sanchez 3413472719</t>
  </si>
  <si>
    <t>Azam 3415918477</t>
  </si>
  <si>
    <t>Scaramella 3413903893</t>
  </si>
  <si>
    <t>tc-cti $764999</t>
  </si>
  <si>
    <t>Barallobre 3416815895</t>
  </si>
  <si>
    <t>Montiel 3415493770</t>
  </si>
  <si>
    <t>Diaz 3413012648</t>
  </si>
  <si>
    <t>858</t>
  </si>
  <si>
    <t>EXD8J</t>
  </si>
  <si>
    <t>0379</t>
  </si>
  <si>
    <t>AGUANTE ROSARIO</t>
  </si>
  <si>
    <t>d1175</t>
  </si>
  <si>
    <t>Ayunta 3415933680</t>
  </si>
  <si>
    <t>Amaya 341262618</t>
  </si>
  <si>
    <t>Herrmann 3415984483</t>
  </si>
  <si>
    <t>Lezcano 3412772798</t>
  </si>
  <si>
    <t>Rodriguez 3416557737</t>
  </si>
  <si>
    <t>Delgado 3704521381</t>
  </si>
  <si>
    <t>Ramallo 3416463207</t>
  </si>
  <si>
    <t>Panario 3417507436</t>
  </si>
  <si>
    <t>Nuñez 3415046964</t>
  </si>
  <si>
    <t>Ortiz 3413584716</t>
  </si>
  <si>
    <t>Vega 3412427284</t>
  </si>
  <si>
    <t>Baez 3416394063</t>
  </si>
  <si>
    <t>Acosta 3417860429</t>
  </si>
  <si>
    <t>tc-cti $247999,01</t>
  </si>
  <si>
    <t>Villareal 3417406834</t>
  </si>
  <si>
    <t>Boco 3417860432</t>
  </si>
  <si>
    <t>Boco 3415599168</t>
  </si>
  <si>
    <t>tc-cti $399999</t>
  </si>
  <si>
    <t>Laurich, Diego</t>
  </si>
  <si>
    <t xml:space="preserve">Ombrella, Alberto </t>
  </si>
  <si>
    <t>Aromito SRL</t>
  </si>
  <si>
    <t>Murelli, Jorge</t>
  </si>
  <si>
    <t>Pujol, Matias</t>
  </si>
  <si>
    <t>Transfer sim</t>
  </si>
  <si>
    <t>Avendano 3416368325</t>
  </si>
  <si>
    <t>Maurer 3416597032</t>
  </si>
  <si>
    <t>Ramirez 3413390548</t>
  </si>
  <si>
    <t>Corbalan 3415558391</t>
  </si>
  <si>
    <t>Benabide 3413556710</t>
  </si>
  <si>
    <t>tc-cti $239999,01 - SMG GXYA0764GA075 VR T - 352859160169085</t>
  </si>
  <si>
    <t>Oviedo 3413419265</t>
  </si>
  <si>
    <t>tc-cti $239999,01 - SMG GXYA0764GA075 VR T - 352859160195759</t>
  </si>
  <si>
    <t>Rivero 3412138949</t>
  </si>
  <si>
    <t>Grimao, Shaiel</t>
  </si>
  <si>
    <t>Ferrari, Lorena Olga</t>
  </si>
  <si>
    <t>Miño, Brigida</t>
  </si>
  <si>
    <t>Sanchez 3415115787</t>
  </si>
  <si>
    <t>Lagama 3364285659</t>
  </si>
  <si>
    <t>Faussone 3412147149</t>
  </si>
  <si>
    <t>Catlaneo 3412257353</t>
  </si>
  <si>
    <t>Vera 3415952575</t>
  </si>
  <si>
    <t>Taboada 3416167083</t>
  </si>
  <si>
    <t>Calderon 3412774190</t>
  </si>
  <si>
    <t>Romariz 3413491941</t>
  </si>
  <si>
    <t>Tisera 3413953651</t>
  </si>
  <si>
    <t>Caballero 3412107414</t>
  </si>
  <si>
    <t>Esquivel 3416451662</t>
  </si>
  <si>
    <t>Bonino 3417409168</t>
  </si>
  <si>
    <t>tc-cti $191999,21</t>
  </si>
  <si>
    <t>Nichea 3417506414</t>
  </si>
  <si>
    <t>servicios</t>
  </si>
  <si>
    <t>870</t>
  </si>
  <si>
    <t>Martinez 2804192010</t>
  </si>
  <si>
    <t>Bellanting 3412815687</t>
  </si>
  <si>
    <t>Bellanting 3412815688</t>
  </si>
  <si>
    <t>shaiel</t>
  </si>
  <si>
    <t>871</t>
  </si>
  <si>
    <t>Debito</t>
  </si>
  <si>
    <t>Conumidor final</t>
  </si>
  <si>
    <t>Cettou 3416657875</t>
  </si>
  <si>
    <t>Medina, Manuel</t>
  </si>
  <si>
    <t>Zucchetti 3412136346</t>
  </si>
  <si>
    <t>Vega 3417861709</t>
  </si>
  <si>
    <t>tc-cti $198399,21</t>
  </si>
  <si>
    <t>Cossit 3416921121</t>
  </si>
  <si>
    <t>Montenegro 3416662324</t>
  </si>
  <si>
    <t>Retamozo 3417494268</t>
  </si>
  <si>
    <t>Gerino 3413651363</t>
  </si>
  <si>
    <t>Ferraro 3413286650</t>
  </si>
  <si>
    <t>tc-cti $599999,01</t>
  </si>
  <si>
    <t>Gitter 3412587316</t>
  </si>
  <si>
    <t>HG'FILMSSD</t>
  </si>
  <si>
    <t>HIDROGEL FILMINAS DUTY</t>
  </si>
  <si>
    <t>tc-cti $217599,21</t>
  </si>
  <si>
    <t>874</t>
  </si>
  <si>
    <t>Jumbo</t>
  </si>
  <si>
    <t>2455</t>
  </si>
  <si>
    <t>librería</t>
  </si>
  <si>
    <t>Escovedo 3413256049</t>
  </si>
  <si>
    <t>Palacios 3416090769</t>
  </si>
  <si>
    <t>Leonori 3413309722</t>
  </si>
  <si>
    <t>tc-cti $559999,01</t>
  </si>
  <si>
    <t>Correa 3413116106</t>
  </si>
  <si>
    <t>Caselli 3415616551</t>
  </si>
  <si>
    <t>Graziano 3417480108</t>
  </si>
  <si>
    <t>Sosa 3413508915</t>
  </si>
  <si>
    <t>Jaime 3415477615</t>
  </si>
  <si>
    <t>tc-cti $271999,01</t>
  </si>
  <si>
    <t>Soto 3415558213</t>
  </si>
  <si>
    <t>Galli 3417861745</t>
  </si>
  <si>
    <t>Santanderc</t>
  </si>
  <si>
    <t xml:space="preserve">Gorosito, Cintia </t>
  </si>
  <si>
    <t>Martinez 3412787499</t>
  </si>
  <si>
    <t>Gurevich 3417498290</t>
  </si>
  <si>
    <t>Galvan 3416255714</t>
  </si>
  <si>
    <t>0380</t>
  </si>
  <si>
    <t>222778</t>
  </si>
  <si>
    <t>Saldaña 3415823073</t>
  </si>
  <si>
    <t>Basualdo 3417861865</t>
  </si>
  <si>
    <t>Granados 3413284592</t>
  </si>
  <si>
    <t>Evdemon 3413463427</t>
  </si>
  <si>
    <t>Parisi 3417794959</t>
  </si>
  <si>
    <t>Meza 3417861948</t>
  </si>
  <si>
    <t>Pagano 3415021915</t>
  </si>
  <si>
    <t>p7g</t>
  </si>
  <si>
    <t>Gabutti 3417861961</t>
  </si>
  <si>
    <t>Marchiano 3415987221</t>
  </si>
  <si>
    <t>tc-cti $251999,21</t>
  </si>
  <si>
    <t>Cordoba 3415007122</t>
  </si>
  <si>
    <t>Suarez 3416186747</t>
  </si>
  <si>
    <t>PORTADA 12/05/2026</t>
  </si>
  <si>
    <t>PORTADA 13/05/2026</t>
  </si>
  <si>
    <t>ACTIVA</t>
  </si>
  <si>
    <t>PORTADA 15/5</t>
  </si>
  <si>
    <t>Honrado 3476562968</t>
  </si>
  <si>
    <t>Russo 3416932866</t>
  </si>
  <si>
    <t>Breard 3415500742</t>
  </si>
  <si>
    <t>Lopez 3412848501</t>
  </si>
  <si>
    <t>Macias 3416866552</t>
  </si>
  <si>
    <t>Lopez 3415147791</t>
  </si>
  <si>
    <t>Perez 3417862164</t>
  </si>
  <si>
    <t>Perez 3413064754</t>
  </si>
  <si>
    <t>Perez 3412275263</t>
  </si>
  <si>
    <t>Belchera 3417862193</t>
  </si>
  <si>
    <t>Galarza 3417856221</t>
  </si>
  <si>
    <t>Avila 3417862203</t>
  </si>
  <si>
    <t>Girardi 3417862205</t>
  </si>
  <si>
    <t>Suarez, Horacio Raul</t>
  </si>
  <si>
    <t>Soria 3415999855</t>
  </si>
  <si>
    <t>Fiasco 3417862244</t>
  </si>
  <si>
    <t>Carletti 3413751889</t>
  </si>
  <si>
    <t>Elias 3415492735</t>
  </si>
  <si>
    <t>Dontico, Maria</t>
  </si>
  <si>
    <t>sueldos</t>
  </si>
  <si>
    <t>Diaz 3413787233</t>
  </si>
  <si>
    <t>Ramos 3417862281</t>
  </si>
  <si>
    <t>Nabini 3415499800</t>
  </si>
  <si>
    <t>Monje 3417862349</t>
  </si>
  <si>
    <t>Benitez 3416579017</t>
  </si>
  <si>
    <t>Troche, micaela</t>
  </si>
  <si>
    <t>Solis 3412107913</t>
  </si>
  <si>
    <t>tc-cti $349999,01</t>
  </si>
  <si>
    <t>Flores 3413258552</t>
  </si>
  <si>
    <t>Zapata 3415052427</t>
  </si>
  <si>
    <t>Zapata 3413082073</t>
  </si>
  <si>
    <t>Ramirez 3417796643</t>
  </si>
  <si>
    <t>Dowzyk 3413439157</t>
  </si>
  <si>
    <t>Bolaño 3412553209</t>
  </si>
  <si>
    <t>Bolaño 3416424932</t>
  </si>
  <si>
    <t xml:space="preserve">Consumidor final </t>
  </si>
  <si>
    <t>Gonzalez 3417558675</t>
  </si>
  <si>
    <t>Clavijo 3417862492</t>
  </si>
  <si>
    <t>Clavijo 3476659437</t>
  </si>
  <si>
    <t>tc-cti $309999,01</t>
  </si>
  <si>
    <t>Cornejo 3412635344</t>
  </si>
  <si>
    <t>Bone 3416159815</t>
  </si>
  <si>
    <t>tc-cti 509999</t>
  </si>
  <si>
    <t>Bone 3416012275</t>
  </si>
  <si>
    <t>qr</t>
  </si>
  <si>
    <t>Mansilla 3413006396</t>
  </si>
  <si>
    <t>Galvan 3413926051</t>
  </si>
  <si>
    <t>Samut 3417862498</t>
  </si>
  <si>
    <t>r4g</t>
  </si>
  <si>
    <t>Lucero 3417862501</t>
  </si>
  <si>
    <t>884</t>
  </si>
  <si>
    <t>Abramor 3417862533</t>
  </si>
  <si>
    <t>Bochero 3416029122</t>
  </si>
  <si>
    <t>Cardozo 3417862539</t>
  </si>
  <si>
    <t>Garay 3413066256</t>
  </si>
  <si>
    <t>Chavez 3417862540</t>
  </si>
  <si>
    <t>Morales 3415919645</t>
  </si>
  <si>
    <t>tc-cti $409999</t>
  </si>
  <si>
    <t>Eliseo 3415099200</t>
  </si>
  <si>
    <t>Olivera 3417862545</t>
  </si>
  <si>
    <t>885</t>
  </si>
  <si>
    <t>Arredondo 1128050955</t>
  </si>
  <si>
    <t>Acosta 3415414338</t>
  </si>
  <si>
    <t>SIM-1175</t>
  </si>
  <si>
    <t>Bramajo 3413285425</t>
  </si>
  <si>
    <t>Rodriguez 2478509508</t>
  </si>
  <si>
    <t>Altamirano 3412809406</t>
  </si>
  <si>
    <t>CaTER</t>
  </si>
  <si>
    <t>Portas</t>
  </si>
  <si>
    <t>Esperanza 3416216978</t>
  </si>
  <si>
    <t>Grignaffini 3415413706</t>
  </si>
  <si>
    <t>tc-cti $259999</t>
  </si>
  <si>
    <t>Macedo 3412752944</t>
  </si>
  <si>
    <t>Robledo 3413485622</t>
  </si>
  <si>
    <t>Porcentaje</t>
  </si>
  <si>
    <t>Gestiones</t>
  </si>
  <si>
    <t>Incentivo</t>
  </si>
  <si>
    <t>Restantes</t>
  </si>
  <si>
    <t>Diario</t>
  </si>
  <si>
    <t>Estas estadísticas descuentan automáticamente los 4 días que cierra el shopping: 01/01, 01/05, 29/09 y 25/12</t>
  </si>
  <si>
    <t>Días totales:</t>
  </si>
  <si>
    <t>Día actual:</t>
  </si>
  <si>
    <t>(Días)</t>
  </si>
  <si>
    <t>(Gestiones)</t>
  </si>
  <si>
    <t>Actualizado: 25-05-26 20:59:18</t>
  </si>
  <si>
    <t>Regulares</t>
  </si>
  <si>
    <t>Mayo del 2026</t>
  </si>
  <si>
    <t>ERROR 01: Existencias físicas negativas en hoja Accesorio. (Fila/s: X)</t>
  </si>
  <si>
    <t>ERROR 02: Descalce en conciliación de saldos internos (Q2 vs Q3) en hoja CAJA.</t>
  </si>
  <si>
    <t>ERROR 11: Registro de movimiento monetario sin cuenta de imputación en Col. I. (Fila/s: X)</t>
  </si>
  <si>
    <t>ERROR 12: Trámite corporativo CATER sin observaciones obligatorias en Col. M. (Fila/s: X)</t>
  </si>
  <si>
    <t>ERROR 21: Inventario técnico negativo detectado en hoja Equipos. (Fila/s: X)</t>
  </si>
  <si>
    <t>Medina 3417421573</t>
  </si>
  <si>
    <t>Sangeramano 3417862660</t>
  </si>
  <si>
    <t>Bula 3417862478</t>
  </si>
  <si>
    <t>0381</t>
  </si>
  <si>
    <t>Navarro 3412546792</t>
  </si>
  <si>
    <t>Navarro 3412587195</t>
  </si>
  <si>
    <t>Navarro 9993106607</t>
  </si>
  <si>
    <t>Navarro 9993106593</t>
  </si>
  <si>
    <t>Garcilazo 3416808450</t>
  </si>
  <si>
    <t>Fagotti 3412477680</t>
  </si>
  <si>
    <t>Saavedra 3417862760</t>
  </si>
  <si>
    <t>DAWA</t>
  </si>
  <si>
    <t>0606</t>
  </si>
  <si>
    <t>0607</t>
  </si>
  <si>
    <t>Lopez 3413950788</t>
  </si>
  <si>
    <t>Sanchez 3416806947</t>
  </si>
  <si>
    <t>Fregenal 3417522373</t>
  </si>
  <si>
    <t>Zarate 3476391624</t>
  </si>
  <si>
    <t>Entesano 3417863876</t>
  </si>
  <si>
    <t>Entesano 3417863877</t>
  </si>
  <si>
    <t>0807</t>
  </si>
  <si>
    <t>Antonione 3412275352</t>
  </si>
  <si>
    <t>Ramirez 3417864133</t>
  </si>
  <si>
    <t>tc-cti $249999</t>
  </si>
  <si>
    <t>PORTADA 20/5</t>
  </si>
  <si>
    <t>PORTADA 21/5</t>
  </si>
  <si>
    <t>PORTADA 22/5</t>
  </si>
  <si>
    <t>PORTADA 26/5</t>
  </si>
  <si>
    <t>Rodriguez 3412283893</t>
  </si>
  <si>
    <t>Soto 3413517256</t>
  </si>
  <si>
    <t>Fernandez 3415910111</t>
  </si>
  <si>
    <t>Quintero 3412143916</t>
  </si>
  <si>
    <t>tc-cti $899999</t>
  </si>
  <si>
    <t>Alvarez, Joaquin</t>
  </si>
  <si>
    <t>Barrera 3413879336</t>
  </si>
  <si>
    <t>Se rechazo por falta de carga,se vuelve a cargar el 28/5</t>
  </si>
  <si>
    <t>Zarate 3416676313</t>
  </si>
  <si>
    <t>Quiroga 3476303448</t>
  </si>
  <si>
    <t>Valenzuela 3412832094</t>
  </si>
  <si>
    <t>Carrera 3413064881</t>
  </si>
  <si>
    <t>Conciliacion</t>
  </si>
  <si>
    <t>Cancelada porque el cliente no tenia el chip</t>
  </si>
  <si>
    <t>Astrada 3415944654</t>
  </si>
  <si>
    <t>Cappanera 3416634036</t>
  </si>
  <si>
    <t>Ramirez 3413484024</t>
  </si>
  <si>
    <t>Sarantonelli 3417441681</t>
  </si>
  <si>
    <t>Sarantonelli 3417441697</t>
  </si>
  <si>
    <t>Scalko 3467413908</t>
  </si>
  <si>
    <t>Nicoletti 3416354354</t>
  </si>
  <si>
    <t>tc-cti $719999,01</t>
  </si>
  <si>
    <t>Cocerez 3412702920</t>
  </si>
  <si>
    <t>Bonifacio 3413410584</t>
  </si>
  <si>
    <t>tc-cti $327999,19</t>
  </si>
  <si>
    <t>EGJ46</t>
  </si>
  <si>
    <t>GXYVR</t>
  </si>
  <si>
    <t>Z64EL</t>
  </si>
  <si>
    <t>875</t>
  </si>
  <si>
    <t xml:space="preserve">$12812,50 1cta </t>
  </si>
  <si>
    <t>4KVGO</t>
  </si>
  <si>
    <t>W2MPR</t>
  </si>
  <si>
    <t>2GLYC</t>
  </si>
  <si>
    <t>QMD0G</t>
  </si>
  <si>
    <t>R7OEV</t>
  </si>
  <si>
    <t>MPRZ5</t>
  </si>
  <si>
    <t>Q0M51</t>
  </si>
  <si>
    <t>E7RQ5</t>
  </si>
  <si>
    <t>Sosa 3415506105</t>
  </si>
  <si>
    <t>Rocha Mattos 3446539657</t>
  </si>
  <si>
    <t>Zarantonelli 3417453514</t>
  </si>
  <si>
    <t>890</t>
  </si>
  <si>
    <t>891</t>
  </si>
  <si>
    <t>ACTIVADO NRO PORTADO 29/05/2026</t>
  </si>
  <si>
    <t>RECHAZADO DONANTE</t>
  </si>
  <si>
    <t>FECHA PROGRAMADA 01/06/2026</t>
  </si>
  <si>
    <t>Ferrucci 3417794546</t>
  </si>
  <si>
    <t>tc-cti $327999,20</t>
  </si>
  <si>
    <t>PASAR AL 01/06</t>
  </si>
  <si>
    <t>892</t>
  </si>
  <si>
    <t>895</t>
  </si>
  <si>
    <t>Reixach 3413625981</t>
  </si>
  <si>
    <t>Bedini 3417479563</t>
  </si>
  <si>
    <t>Cardozo 3413361897</t>
  </si>
  <si>
    <t>FECHA PROGRAMADA 02/06/2026</t>
  </si>
  <si>
    <t>1298</t>
  </si>
  <si>
    <t>Thompson 3416677555</t>
  </si>
  <si>
    <t>tc-cti $487999,21</t>
  </si>
  <si>
    <t>Badotti 3417444408</t>
  </si>
  <si>
    <t>tc cti $198399,21</t>
  </si>
  <si>
    <t>Alonso 3417794542</t>
  </si>
  <si>
    <t>Gentile 3413095352</t>
  </si>
  <si>
    <t>Lopez 3416837442</t>
  </si>
  <si>
    <t>Bonifacio 3415616719</t>
  </si>
  <si>
    <t>tc cti $349999,01</t>
  </si>
  <si>
    <t>Maggioni 3476597392</t>
  </si>
  <si>
    <t>tc cti $309999,01</t>
  </si>
  <si>
    <t>Fuentes 3413511211</t>
  </si>
  <si>
    <t>Trigo 3415701257</t>
  </si>
  <si>
    <t>Fiananado</t>
  </si>
  <si>
    <t>Kessler 3364338541</t>
  </si>
  <si>
    <t>tc-cti $327999,2</t>
  </si>
  <si>
    <t>Kessler 3364218401</t>
  </si>
  <si>
    <t>Frattini 3417445657</t>
  </si>
  <si>
    <t>More 3364608092</t>
  </si>
  <si>
    <t>Martinez 3416642051</t>
  </si>
  <si>
    <t>Lopez 3417419547</t>
  </si>
  <si>
    <t>Arismendi 3417438735</t>
  </si>
  <si>
    <t>Magaldi 3417474827</t>
  </si>
  <si>
    <t>Magaldi 3417794561</t>
  </si>
  <si>
    <t>Bereciartua 3417523306</t>
  </si>
  <si>
    <t>Bereciartua 3417794562</t>
  </si>
  <si>
    <t>Bereciartua 3417794563</t>
  </si>
  <si>
    <t>Consumdor final</t>
  </si>
  <si>
    <t>debito</t>
  </si>
  <si>
    <t>CONTROLADO OK - 03/01</t>
  </si>
  <si>
    <t>master</t>
  </si>
  <si>
    <t>417</t>
  </si>
  <si>
    <t>$7000 1cta.</t>
  </si>
  <si>
    <t>Gigena 3416440050</t>
  </si>
  <si>
    <t>tc-cti $307499.01</t>
  </si>
  <si>
    <t>Anderson 3415191785</t>
  </si>
  <si>
    <t>tc-cti $335999.01</t>
  </si>
  <si>
    <t>Agua Monumento</t>
  </si>
  <si>
    <t>Gratarola 3416526435</t>
  </si>
  <si>
    <t>Luna 3415146093</t>
  </si>
  <si>
    <t>418</t>
  </si>
  <si>
    <t>Reposicion sim</t>
  </si>
  <si>
    <t>Naveros 3416669617</t>
  </si>
  <si>
    <t>E-sim</t>
  </si>
  <si>
    <t>Naveros 3416530096</t>
  </si>
  <si>
    <t>Mas, Isaac Emanuel</t>
  </si>
  <si>
    <t>0311</t>
  </si>
  <si>
    <t>Gentile 3416485763</t>
  </si>
  <si>
    <t>Gromey 3417446435</t>
  </si>
  <si>
    <t>Pujol 9993453877</t>
  </si>
  <si>
    <t>p20g</t>
  </si>
  <si>
    <t>Herrera 3417484203</t>
  </si>
  <si>
    <t>Colman 3413610164</t>
  </si>
  <si>
    <t>Acosta 3417498321</t>
  </si>
  <si>
    <t>Limpieza vidrios</t>
  </si>
  <si>
    <t>limpieza</t>
  </si>
  <si>
    <t>Limpieza</t>
  </si>
  <si>
    <t xml:space="preserve">Virtual </t>
  </si>
  <si>
    <t>Ruiz 3412134611</t>
  </si>
  <si>
    <t>r7g</t>
  </si>
  <si>
    <t>Levato 3412164037</t>
  </si>
  <si>
    <t>Jansa 3415838314</t>
  </si>
  <si>
    <t>Moreyra 3412171887</t>
  </si>
  <si>
    <t>Silvestre 34133500438</t>
  </si>
  <si>
    <t>tc-cti $287999,01</t>
  </si>
  <si>
    <t>Cagnina 9993456386</t>
  </si>
  <si>
    <t>419</t>
  </si>
  <si>
    <t>420</t>
  </si>
  <si>
    <t>$12300 1cta.</t>
  </si>
  <si>
    <t>Nuñez 3412650441</t>
  </si>
  <si>
    <t>Sanchez 3412178508</t>
  </si>
  <si>
    <t>tc-cti $220999,01</t>
  </si>
  <si>
    <t>Lopez 3412179489</t>
  </si>
  <si>
    <t>Raposo 3412470106</t>
  </si>
  <si>
    <t>Olabe 3413417271</t>
  </si>
  <si>
    <t>Bruno 3412470307</t>
  </si>
  <si>
    <t>0L6EY</t>
  </si>
  <si>
    <t>Rivero 3412475698</t>
  </si>
  <si>
    <t>Problema con el número</t>
  </si>
  <si>
    <t>Neirotti 3412476005</t>
  </si>
  <si>
    <t>Otero 3364390212</t>
  </si>
  <si>
    <t>Daraio 3412711170</t>
  </si>
  <si>
    <t>r20g</t>
  </si>
  <si>
    <t>Di sol 3415149771</t>
  </si>
  <si>
    <t>Mendoza 9993456718</t>
  </si>
  <si>
    <t>portap</t>
  </si>
  <si>
    <t>Rechazada</t>
  </si>
  <si>
    <t>Rivero 3412733682</t>
  </si>
  <si>
    <t>421</t>
  </si>
  <si>
    <t>CONTROL - 06/01</t>
  </si>
  <si>
    <t>Brignardello 1157307590</t>
  </si>
  <si>
    <t>Sosa 9993463622</t>
  </si>
  <si>
    <t>Halavach 3412782599</t>
  </si>
  <si>
    <t>Ortiz 9993464890</t>
  </si>
  <si>
    <t>Valenzuela 3412785151</t>
  </si>
  <si>
    <t>Ortiz 9993467079</t>
  </si>
  <si>
    <t>p30g</t>
  </si>
  <si>
    <t>Cardozo 9993466975</t>
  </si>
  <si>
    <t>p10g</t>
  </si>
  <si>
    <t>Amadori, Enzo</t>
  </si>
  <si>
    <t>Incentivo 110% + Plus LN</t>
  </si>
  <si>
    <t>Hug, Lucila</t>
  </si>
  <si>
    <t>La Ranita</t>
  </si>
  <si>
    <t>0416</t>
  </si>
  <si>
    <t>Plastificado carteleria</t>
  </si>
  <si>
    <t>Arribas 34136440666</t>
  </si>
  <si>
    <t>Fianciado 12cta.</t>
  </si>
  <si>
    <t>Escobedo 3417497628</t>
  </si>
  <si>
    <t>Ortiz 3413353470</t>
  </si>
  <si>
    <t>422</t>
  </si>
  <si>
    <t>Fernandez 3417425836</t>
  </si>
  <si>
    <t>Garcia Salvatierra, Vladimir Orlando</t>
  </si>
  <si>
    <t>Leiva, Luis Maximiliano</t>
  </si>
  <si>
    <t>CONTROLADO OK - 07/01</t>
  </si>
  <si>
    <t>TRANSFERENCIA EMAR</t>
  </si>
  <si>
    <t>VARIO</t>
  </si>
  <si>
    <t>TRANSFER</t>
  </si>
  <si>
    <t>CAJA</t>
  </si>
  <si>
    <t>Snicolas</t>
  </si>
  <si>
    <t>Carga virtual</t>
  </si>
  <si>
    <t>Gomez 3412107200</t>
  </si>
  <si>
    <t>Villalba 3415478713</t>
  </si>
  <si>
    <t>Esquivel 3412112727</t>
  </si>
  <si>
    <t>Francischelli 3468516743</t>
  </si>
  <si>
    <t>Irusta 3417480523</t>
  </si>
  <si>
    <t>D'Angelo 3412113966</t>
  </si>
  <si>
    <t>Larrecochea 3412676312</t>
  </si>
  <si>
    <t>Schaller 3425661611</t>
  </si>
  <si>
    <t>Arce 9993485848</t>
  </si>
  <si>
    <t>Dominguez 3413475081</t>
  </si>
  <si>
    <t>Eluney, Dormisch</t>
  </si>
  <si>
    <t>CONTROLADO OK - 08/01</t>
  </si>
  <si>
    <t>Caruso 3417822208</t>
  </si>
  <si>
    <t>Ocampo 3412664709</t>
  </si>
  <si>
    <t>Ledezma 3412119355</t>
  </si>
  <si>
    <t>423</t>
  </si>
  <si>
    <t>1Instaladora</t>
  </si>
  <si>
    <t>Retiró Claudio</t>
  </si>
  <si>
    <t>Calvo, Magdalena</t>
  </si>
  <si>
    <t>Gonzalez 3416474503</t>
  </si>
  <si>
    <t>Rodriguez 3412256158</t>
  </si>
  <si>
    <t>Torres 3416089760</t>
  </si>
  <si>
    <t>Financiado 6ctas.</t>
  </si>
  <si>
    <t>Grimao 3412121102</t>
  </si>
  <si>
    <t>Propezzi, Nicolas</t>
  </si>
  <si>
    <t>Sayas 3412122141</t>
  </si>
  <si>
    <t>Garcia 3412299413</t>
  </si>
  <si>
    <t>Ortiz 3416836693</t>
  </si>
  <si>
    <t>Hizo porta</t>
  </si>
  <si>
    <t>Gianonne 3415107071</t>
  </si>
  <si>
    <t>Gianonne 3412023304</t>
  </si>
  <si>
    <t>Gianonne 3416271003</t>
  </si>
  <si>
    <t>Giannone 3416697371</t>
  </si>
  <si>
    <t>Farias 3416675069</t>
  </si>
  <si>
    <t>Marin 3417432078</t>
  </si>
  <si>
    <t>Grassi 3413911685</t>
  </si>
  <si>
    <t>Instaladora</t>
  </si>
  <si>
    <t>Retira Brenda</t>
  </si>
  <si>
    <t>Retiro Brenda</t>
  </si>
  <si>
    <t>Sancheiz 3417454475</t>
  </si>
  <si>
    <t>Maradona 3415551839</t>
  </si>
  <si>
    <t>Boscaglia 3412127334</t>
  </si>
  <si>
    <t>Collomb 3412132406</t>
  </si>
  <si>
    <t>E-sim - Hizo porta</t>
  </si>
  <si>
    <t>Silva 3584855441</t>
  </si>
  <si>
    <t>Comisiones</t>
  </si>
  <si>
    <t>Diferencia SAC de comisiones</t>
  </si>
  <si>
    <t>Alonso 3416803237</t>
  </si>
  <si>
    <t>Bayo 3413271850</t>
  </si>
  <si>
    <t>Bartoli 3415636348</t>
  </si>
  <si>
    <t>CONTROLADO OK - 11/01</t>
  </si>
  <si>
    <t>424</t>
  </si>
  <si>
    <t>Lorenzini 3413274468</t>
  </si>
  <si>
    <t>Palletti 3413866632</t>
  </si>
  <si>
    <t>tc-cti $263499</t>
  </si>
  <si>
    <t>Tremarco 3412129407</t>
  </si>
  <si>
    <t>Sulsenti 3412617810</t>
  </si>
  <si>
    <t>Urig 3436616601</t>
  </si>
  <si>
    <t>Gonzalez 3412172911</t>
  </si>
  <si>
    <t>Scotti 3412130878</t>
  </si>
  <si>
    <t>CANCELACION POR ARREPENTIMIENTO</t>
  </si>
  <si>
    <t>Lopez 3416439896</t>
  </si>
  <si>
    <t>Giustozzi 3416860819</t>
  </si>
  <si>
    <t>Brandel 3412131248</t>
  </si>
  <si>
    <t>Lezcano 1126970246</t>
  </si>
  <si>
    <t>Romero 3401507574</t>
  </si>
  <si>
    <t>Sbaissero 3416676030</t>
  </si>
  <si>
    <t>Suarez 3415481775</t>
  </si>
  <si>
    <t>Enriquez 3412176360</t>
  </si>
  <si>
    <t>Velozo 9993527188</t>
  </si>
  <si>
    <t>Ljungberg 3412781501</t>
  </si>
  <si>
    <t>Di pinto 3416490252</t>
  </si>
  <si>
    <t>tc-cti $161499,01</t>
  </si>
  <si>
    <t>Di pinto 3412735462</t>
  </si>
  <si>
    <t>Perez 3412743856</t>
  </si>
  <si>
    <t>tc-cti $107499,01</t>
  </si>
  <si>
    <t>Salas 3416247323</t>
  </si>
  <si>
    <t>Silvila 3416937466</t>
  </si>
  <si>
    <t>Silvila 3416937394</t>
  </si>
  <si>
    <t>Maldonado 3416534276</t>
  </si>
  <si>
    <t>Godoy 3413207564</t>
  </si>
  <si>
    <t>Godoy 3412806751</t>
  </si>
  <si>
    <t>Cabrera 3413509204</t>
  </si>
  <si>
    <t>Curutchet 34139699566</t>
  </si>
  <si>
    <t>Enriquez 1153268585</t>
  </si>
  <si>
    <t>Pena 3412125907</t>
  </si>
  <si>
    <t>Piacentini 2212202690</t>
  </si>
  <si>
    <t>CANCELACION- por codigo postal erroneo</t>
  </si>
  <si>
    <t>Piacentini 1171509538</t>
  </si>
  <si>
    <t>Lopez 3751595601</t>
  </si>
  <si>
    <t>Guerra 3417400920</t>
  </si>
  <si>
    <t>Lasdislao, Castañeda</t>
  </si>
  <si>
    <t>Perez 3412823343</t>
  </si>
  <si>
    <t>Pirani 3413144734</t>
  </si>
  <si>
    <t>Bertune, Carlos</t>
  </si>
  <si>
    <t>Cassano 3412147585</t>
  </si>
  <si>
    <t>tc-cti $319999,01</t>
  </si>
  <si>
    <t>Flores 3751504140</t>
  </si>
  <si>
    <t>Pacifico 3413404485</t>
  </si>
  <si>
    <t>tc-cti $237999</t>
  </si>
  <si>
    <t>Cadete</t>
  </si>
  <si>
    <t>flete</t>
  </si>
  <si>
    <t>Dawa</t>
  </si>
  <si>
    <t>0295</t>
  </si>
  <si>
    <t>Miranda 3537607625</t>
  </si>
  <si>
    <t>428</t>
  </si>
  <si>
    <t>Juncos 3413916112</t>
  </si>
  <si>
    <t>Aymo 3413342594</t>
  </si>
  <si>
    <t>430</t>
  </si>
  <si>
    <t>$18450 1cta.</t>
  </si>
  <si>
    <t>Scardino 3413853725</t>
  </si>
  <si>
    <t>Scardino 3413263841</t>
  </si>
  <si>
    <t>Garcia 3412125911</t>
  </si>
  <si>
    <t>Correa 3416145401</t>
  </si>
  <si>
    <t>Correa 3412135217</t>
  </si>
  <si>
    <t>Lazarte 3476646591</t>
  </si>
  <si>
    <t>Mercado 3412165133</t>
  </si>
  <si>
    <t>Mansilla 3413430970</t>
  </si>
  <si>
    <t>Moreyra 3412165581</t>
  </si>
  <si>
    <t>Ardiaca 3415553665</t>
  </si>
  <si>
    <t>Tocayamasa 3416910022</t>
  </si>
  <si>
    <t>e-sim</t>
  </si>
  <si>
    <t>tocaymasa 3413584377</t>
  </si>
  <si>
    <t>Tocaymasa 3413355375</t>
  </si>
  <si>
    <t>Perez 3412472651</t>
  </si>
  <si>
    <t>r30g</t>
  </si>
  <si>
    <t>Palanza 3413344267</t>
  </si>
  <si>
    <t>Araujo 3417540095</t>
  </si>
  <si>
    <t>virtual</t>
  </si>
  <si>
    <t>Rodriguez, Diego</t>
  </si>
  <si>
    <t>Lopez 3413694301</t>
  </si>
  <si>
    <t>tc-cti $348499,01</t>
  </si>
  <si>
    <t>Holsen 3412130896</t>
  </si>
  <si>
    <t>Maglia 9993579170</t>
  </si>
  <si>
    <t>Carelli 3412168096</t>
  </si>
  <si>
    <t>Sequeira, Raul Gabriel</t>
  </si>
  <si>
    <t>Weinstein, Gustavo Alfredo</t>
  </si>
  <si>
    <t>431</t>
  </si>
  <si>
    <t>432</t>
  </si>
  <si>
    <t>Drapanti 3413462948</t>
  </si>
  <si>
    <t>Florensa 3413376698</t>
  </si>
  <si>
    <t>tc-cti $189999,01</t>
  </si>
  <si>
    <t>Tello 3413390932</t>
  </si>
  <si>
    <t>1instaladora</t>
  </si>
  <si>
    <t>Retira Resnso</t>
  </si>
  <si>
    <t>0312</t>
  </si>
  <si>
    <t>CONTROL OK 22/01</t>
  </si>
  <si>
    <t>0313</t>
  </si>
  <si>
    <t>EPE</t>
  </si>
  <si>
    <t>Pagnutti</t>
  </si>
  <si>
    <t>4216</t>
  </si>
  <si>
    <t>Recarga matafuegos</t>
  </si>
  <si>
    <t>Carrozza 3415043967</t>
  </si>
  <si>
    <t>Simo 9993605288</t>
  </si>
  <si>
    <t>433</t>
  </si>
  <si>
    <t>$7175 1cta.</t>
  </si>
  <si>
    <t>434</t>
  </si>
  <si>
    <t>Navarro 3415810741</t>
  </si>
  <si>
    <t>Rojas 9993610017</t>
  </si>
  <si>
    <t>Bavera 9993610685</t>
  </si>
  <si>
    <t>Borga 3412537086</t>
  </si>
  <si>
    <t>435</t>
  </si>
  <si>
    <t>Bonopaladino 3415151675</t>
  </si>
  <si>
    <t>Galban 3413550041</t>
  </si>
  <si>
    <t>Fernandez 3415550601</t>
  </si>
  <si>
    <t>Moya 9993619025</t>
  </si>
  <si>
    <t>Maglia 3413318343</t>
  </si>
  <si>
    <t>Rios 3415803290</t>
  </si>
  <si>
    <t>0314</t>
  </si>
  <si>
    <t>Giribaldi 3416579828</t>
  </si>
  <si>
    <t>Frick 3413146508</t>
  </si>
  <si>
    <t>Franco 3412141564</t>
  </si>
  <si>
    <t>Cejas 3415806186</t>
  </si>
  <si>
    <t>Fajre 3417184258</t>
  </si>
  <si>
    <t>Vega 3413955139</t>
  </si>
  <si>
    <t>Sirolli 3413141009</t>
  </si>
  <si>
    <t>Nuñez, Evelin Natalia</t>
  </si>
  <si>
    <t>Molina 3415645756</t>
  </si>
  <si>
    <t>Galvez 3413084343</t>
  </si>
  <si>
    <t>Garcia 3417514735</t>
  </si>
  <si>
    <t>Garcia 3416917359</t>
  </si>
  <si>
    <t>436</t>
  </si>
  <si>
    <t>$11625 1cta.</t>
  </si>
  <si>
    <t>Barberis 3417514758</t>
  </si>
  <si>
    <t>Guitierrez 3415484491</t>
  </si>
  <si>
    <t>Navarro 3413344966</t>
  </si>
  <si>
    <t>Fernandez 3417520722</t>
  </si>
  <si>
    <t>438</t>
  </si>
  <si>
    <t>$41049,90 6cta.</t>
  </si>
  <si>
    <t>Locatelli 3417514806</t>
  </si>
  <si>
    <t>Pagano 3416007156</t>
  </si>
  <si>
    <t>Galarza 3415157513</t>
  </si>
  <si>
    <t>Sanchez 3415459110</t>
  </si>
  <si>
    <t>Bordon 3415140165</t>
  </si>
  <si>
    <t>tc-cti $319999,31</t>
  </si>
  <si>
    <t>De Sousa Maeues, José</t>
  </si>
  <si>
    <t>439</t>
  </si>
  <si>
    <t>Rau 3364611394</t>
  </si>
  <si>
    <t>Gonzalez 3416008668</t>
  </si>
  <si>
    <t>0315</t>
  </si>
  <si>
    <t>Alonso 3417487404</t>
  </si>
  <si>
    <t>Rojo 3416457154</t>
  </si>
  <si>
    <t>Barrios 3413242074</t>
  </si>
  <si>
    <t>Locatelli 9993639143</t>
  </si>
  <si>
    <t>0316</t>
  </si>
  <si>
    <t>Almaraz 3416804307</t>
  </si>
  <si>
    <t>Lizzi 3417515408</t>
  </si>
  <si>
    <t>Ricossa 3417515414</t>
  </si>
  <si>
    <t>Meroi 3415327907</t>
  </si>
  <si>
    <t>Ferreira 3413437018</t>
  </si>
  <si>
    <t>440</t>
  </si>
  <si>
    <t>Borda 9993651293</t>
  </si>
  <si>
    <t>Se porta 31/1</t>
  </si>
  <si>
    <t>Lavenia, Marcos Manuel</t>
  </si>
  <si>
    <t>0317</t>
  </si>
  <si>
    <t>0521</t>
  </si>
  <si>
    <t>CONTROL 29/01</t>
  </si>
  <si>
    <t>Birse 99929105018</t>
  </si>
  <si>
    <t>441</t>
  </si>
  <si>
    <t>$21500 1cta.</t>
  </si>
  <si>
    <t>442</t>
  </si>
  <si>
    <t>$6000 1cta.</t>
  </si>
  <si>
    <t>Bavera 9992969816</t>
  </si>
  <si>
    <t>Bavera 9992969830</t>
  </si>
  <si>
    <t>Martinez 3417524933</t>
  </si>
  <si>
    <t>443</t>
  </si>
  <si>
    <t>Zapata 3417528603</t>
  </si>
  <si>
    <t>+ E-SIM</t>
  </si>
  <si>
    <t>LA E-SIM FALLÓ, SE TIENE QUE HACER REPO</t>
  </si>
  <si>
    <t>0318</t>
  </si>
  <si>
    <t>0319</t>
  </si>
  <si>
    <t>Fuesteluque 3413603448</t>
  </si>
  <si>
    <t>Coitinho 3417530626</t>
  </si>
  <si>
    <t>D'Agostino 3416491734</t>
  </si>
  <si>
    <t>Abramor 3412839292</t>
  </si>
  <si>
    <t>Vera 3417202171</t>
  </si>
  <si>
    <t>Evelynlidert 3417419317</t>
  </si>
  <si>
    <t>Ferrari 3417538150</t>
  </si>
  <si>
    <t>Troncoso 3412170370</t>
  </si>
  <si>
    <t>Carmona 9993653880</t>
  </si>
  <si>
    <t>Kovalrzyk 3413261637</t>
  </si>
  <si>
    <t>Donn 3413453446</t>
  </si>
  <si>
    <t>tc-cti $189999,37</t>
  </si>
  <si>
    <t>Reposicion de sim</t>
  </si>
  <si>
    <t>Gioberti 3417538192</t>
  </si>
  <si>
    <t>$6150 1cta.</t>
  </si>
  <si>
    <t>Casco 3416635173</t>
  </si>
  <si>
    <t>$38422,72 3cta.</t>
  </si>
  <si>
    <t>Medina 3415598672</t>
  </si>
  <si>
    <t>Corresponde al 31/01</t>
  </si>
  <si>
    <t xml:space="preserve">Transfer </t>
  </si>
  <si>
    <t>Olocco 3412131302</t>
  </si>
  <si>
    <t>Rivera 3417538366</t>
  </si>
  <si>
    <t>Bectancur 3412025077</t>
  </si>
  <si>
    <t>Tenaglia 3417448153</t>
  </si>
  <si>
    <t xml:space="preserve">Agua Monumento </t>
  </si>
  <si>
    <t>Jalfon3415829923</t>
  </si>
  <si>
    <t>Fetecua Forero, Daniel Leonardo</t>
  </si>
  <si>
    <t>Bavera 9993673379</t>
  </si>
  <si>
    <t>Flores 3413511453</t>
  </si>
  <si>
    <t>Berra 3417480906</t>
  </si>
  <si>
    <t>De paoli 3417465298</t>
  </si>
  <si>
    <t>Tonarelli 3412116783</t>
  </si>
  <si>
    <t>Palma 3412137582</t>
  </si>
  <si>
    <t>Chaparro 3476520686</t>
  </si>
  <si>
    <t>tc-cti $151999,01</t>
  </si>
  <si>
    <t>Giuliani 3417461144</t>
  </si>
  <si>
    <t>Castro 3413440749</t>
  </si>
  <si>
    <t>Luque 3416661167</t>
  </si>
  <si>
    <t>Romero, Hernan Dario</t>
  </si>
  <si>
    <t>Tobares 1124049959</t>
  </si>
  <si>
    <t>Resma</t>
  </si>
  <si>
    <t>Leguizamon 3476208557</t>
  </si>
  <si>
    <t>Orzenkoski 3417467399</t>
  </si>
  <si>
    <t>Andrada 9993701765</t>
  </si>
  <si>
    <t>Verdejo 3412028855</t>
  </si>
  <si>
    <t>Barrias 3412784842</t>
  </si>
  <si>
    <t>Mendez 3476641857</t>
  </si>
  <si>
    <t>Plus LN</t>
  </si>
  <si>
    <t>Casco 3412748373</t>
  </si>
  <si>
    <t>Villoldo 3415640444</t>
  </si>
  <si>
    <t>tc-cti $419999,01</t>
  </si>
  <si>
    <t>$46125 1cta.</t>
  </si>
  <si>
    <t>Ludueña 3416144412</t>
  </si>
  <si>
    <t>Manso 9993706407</t>
  </si>
  <si>
    <t>Girardi 9993706412</t>
  </si>
  <si>
    <t>Arredondo, Romina Mariana</t>
  </si>
  <si>
    <t>Trevison 3476218732</t>
  </si>
  <si>
    <t>Ramirez 9993707025</t>
  </si>
  <si>
    <t>Acosta 3415484387</t>
  </si>
  <si>
    <t>Olmos 3412730775</t>
  </si>
  <si>
    <t>Perez 3412736576</t>
  </si>
  <si>
    <t>Perez 3412736749</t>
  </si>
  <si>
    <t>$16400 1cta.</t>
  </si>
  <si>
    <t>$13325 1cta.</t>
  </si>
  <si>
    <t>Piñol 3415999659</t>
  </si>
  <si>
    <t>Rodriguez 3413840640</t>
  </si>
  <si>
    <t>Rodriguez 3412003550</t>
  </si>
  <si>
    <t>Fortini 3412790275</t>
  </si>
  <si>
    <t>CANCELADA CAMBIO DE PLAN</t>
  </si>
  <si>
    <t>Fortini 3412796754</t>
  </si>
  <si>
    <t>Mansilla 9993720319</t>
  </si>
  <si>
    <t>Locatelli 3412792234</t>
  </si>
  <si>
    <t>Locatelli 3415998486</t>
  </si>
  <si>
    <t>Fernandez 3416413533</t>
  </si>
  <si>
    <t>Rolon 3415849539</t>
  </si>
  <si>
    <t>Matich 9993722945</t>
  </si>
  <si>
    <t>Dolci 3416125865</t>
  </si>
  <si>
    <t>Cabrera 3412704426</t>
  </si>
  <si>
    <t>Billotii 3416813874</t>
  </si>
  <si>
    <t>Villafañe 3413153084</t>
  </si>
  <si>
    <t>Demo distribucion</t>
  </si>
  <si>
    <t>Retiró Renso</t>
  </si>
  <si>
    <t>Serafino 3415919467</t>
  </si>
  <si>
    <t>Abasto 3412128924</t>
  </si>
  <si>
    <t>Lescano 3417459440</t>
  </si>
  <si>
    <t>CANCELADA</t>
  </si>
  <si>
    <t>Lescano 3417544869</t>
  </si>
  <si>
    <t>Villa 3417550081</t>
  </si>
  <si>
    <t>Sipala 3413900305</t>
  </si>
  <si>
    <t>Mendoza 3417480058</t>
  </si>
  <si>
    <t>Tobada 3416456376</t>
  </si>
  <si>
    <t>Miguez 3416497777</t>
  </si>
  <si>
    <t>Carreño, Trinidad</t>
  </si>
  <si>
    <t>Abono dispenser</t>
  </si>
  <si>
    <t>Andrada , pablo</t>
  </si>
  <si>
    <t>Rodriguez 3415491514</t>
  </si>
  <si>
    <t>Silva 3412163436</t>
  </si>
  <si>
    <t>Vazquez 3417250039</t>
  </si>
  <si>
    <t>Financiado.</t>
  </si>
  <si>
    <t>CONTROL OK</t>
  </si>
  <si>
    <t>Silva 3412765877</t>
  </si>
  <si>
    <t>$7687,5 1cta.</t>
  </si>
  <si>
    <t>Caporella 3412774398</t>
  </si>
  <si>
    <t>Ocampo 3412508934</t>
  </si>
  <si>
    <t>Fracchia 3416180363</t>
  </si>
  <si>
    <t>Yafar 3413073704</t>
  </si>
  <si>
    <t>Alvarado 3412026091</t>
  </si>
  <si>
    <t>Moreyra 3476371675</t>
  </si>
  <si>
    <t>tc-cti $246499,01</t>
  </si>
  <si>
    <t>Deninno 3415994522</t>
  </si>
  <si>
    <t>Trevisan 3412478766</t>
  </si>
  <si>
    <t>Escobar 3412708492</t>
  </si>
  <si>
    <t>Matich, Guilermo</t>
  </si>
  <si>
    <t>Enriquez 3413499255</t>
  </si>
  <si>
    <t>$5125 1cta.</t>
  </si>
  <si>
    <t>Dumas 3412764055</t>
  </si>
  <si>
    <t>Luppi 3412646921</t>
  </si>
  <si>
    <t>Monzon 9799954554</t>
  </si>
  <si>
    <t>Monzon 9799954565</t>
  </si>
  <si>
    <t>$10250 1cta.</t>
  </si>
  <si>
    <t>Casas 3476562266</t>
  </si>
  <si>
    <t>Contreras 3415968609</t>
  </si>
  <si>
    <t>Deposito</t>
  </si>
  <si>
    <t>maverick</t>
  </si>
  <si>
    <t>Cuerdo 3416627898</t>
  </si>
  <si>
    <t>Edit 3417521361</t>
  </si>
  <si>
    <t>Zabala, Doris Lucrecia</t>
  </si>
  <si>
    <t>Mencia 3417414762</t>
  </si>
  <si>
    <t>Chavez 3413825686</t>
  </si>
  <si>
    <t>tc-cti $209999,01</t>
  </si>
  <si>
    <t>Testolin 3412288852</t>
  </si>
  <si>
    <t>Coronel 3874652053</t>
  </si>
  <si>
    <t>Grimaldi 9993760757</t>
  </si>
  <si>
    <t>Martini 9993760778</t>
  </si>
  <si>
    <t>Migliorati 9993766956</t>
  </si>
  <si>
    <t>Palermo 3416830439</t>
  </si>
  <si>
    <t>Palermo 3412427961</t>
  </si>
  <si>
    <t>Chip no levanta señal</t>
  </si>
  <si>
    <t>Churruarin 3415974516</t>
  </si>
  <si>
    <t>De los rios 3416191532</t>
  </si>
  <si>
    <t>Barberis 3417560946</t>
  </si>
  <si>
    <t>Soliz 3417561540</t>
  </si>
  <si>
    <t>Rivera 3415979183</t>
  </si>
  <si>
    <t>Cristaldo 3416451964</t>
  </si>
  <si>
    <t>Demo instaladora</t>
  </si>
  <si>
    <t>TC-40SE1</t>
  </si>
  <si>
    <t>Birse 3415919552</t>
  </si>
  <si>
    <t>Caruso 3417795414</t>
  </si>
  <si>
    <t>Peroni 3412837559</t>
  </si>
  <si>
    <t>$19987,50 1 cta.</t>
  </si>
  <si>
    <t>Villanueva 3412844648</t>
  </si>
  <si>
    <t>Banchio 3415640607</t>
  </si>
  <si>
    <t>Pereyra 3415998164</t>
  </si>
  <si>
    <t>Aragon 3412121941</t>
  </si>
  <si>
    <t>Biase 3413259508</t>
  </si>
  <si>
    <t>hemadi 3416534830</t>
  </si>
  <si>
    <t>Bellacomo 3416274305</t>
  </si>
  <si>
    <t>Bandini 9799934976</t>
  </si>
  <si>
    <t>Sorbara 3415787859</t>
  </si>
  <si>
    <t>Taruselli 3415550326</t>
  </si>
  <si>
    <t>Financiado 3ctas.</t>
  </si>
  <si>
    <t>Entesano 3412598845</t>
  </si>
  <si>
    <t>Piedrabuena 3413036790</t>
  </si>
  <si>
    <t>Crespo 3416482958</t>
  </si>
  <si>
    <t>Lobos 9799936344</t>
  </si>
  <si>
    <t>Orellano 3412543558</t>
  </si>
  <si>
    <t>Villarreal 3417793919</t>
  </si>
  <si>
    <t>Mendez 3412277247</t>
  </si>
  <si>
    <t>Brizuela 3412834413</t>
  </si>
  <si>
    <t>Gonzalez 3413979779</t>
  </si>
  <si>
    <t>Ocampo 3413006572</t>
  </si>
  <si>
    <t>Lopez 3416162064</t>
  </si>
  <si>
    <t>Carpello 3412704459</t>
  </si>
  <si>
    <t>Stival 3413493099</t>
  </si>
  <si>
    <t>Haddad 3412556208</t>
  </si>
  <si>
    <t>tc-cti $590000 tc-cti $9999,01</t>
  </si>
  <si>
    <t>$21012,50 1cta.</t>
  </si>
  <si>
    <t>Gomez 341744716</t>
  </si>
  <si>
    <t>Rodriguez 3413345542</t>
  </si>
  <si>
    <t>tc-cti $359999,01</t>
  </si>
  <si>
    <t>Molina 3413431700</t>
  </si>
  <si>
    <t>Lopez 3416800374</t>
  </si>
  <si>
    <t>Molina 3417797113</t>
  </si>
  <si>
    <t>Oliva 341620445</t>
  </si>
  <si>
    <t>Cellamare 3412831549</t>
  </si>
  <si>
    <t>Demarrez 3415641123</t>
  </si>
  <si>
    <t>$17937,50 1cta.</t>
  </si>
  <si>
    <t>Aramburu 3412155725</t>
  </si>
  <si>
    <t>Compra del mes</t>
  </si>
  <si>
    <t>Perez 3415967196</t>
  </si>
  <si>
    <t>Furlani 3416959530</t>
  </si>
  <si>
    <t>Lezcano 3417222695</t>
  </si>
  <si>
    <t>Stilling 3412552756</t>
  </si>
  <si>
    <t>Branconi 3413279137</t>
  </si>
  <si>
    <t>Casafus 3415509562</t>
  </si>
  <si>
    <t>Aguirre 3413850019</t>
  </si>
  <si>
    <t>474</t>
  </si>
  <si>
    <t>Galvan 3412145122</t>
  </si>
  <si>
    <t>tc-cti $359999,31</t>
  </si>
  <si>
    <t>Martinez 3416475391</t>
  </si>
  <si>
    <t>Scapin 3413457975</t>
  </si>
  <si>
    <t>Dattilo 3413474019</t>
  </si>
  <si>
    <t>Castillo 3416683414</t>
  </si>
  <si>
    <t>tc-cti $379999,01</t>
  </si>
  <si>
    <t>Mangini 3415845120</t>
  </si>
  <si>
    <t>Andrada 9992978240</t>
  </si>
  <si>
    <t>Andrada 9992978250</t>
  </si>
  <si>
    <t>pendiente</t>
  </si>
  <si>
    <t>Duarte 3412795840</t>
  </si>
  <si>
    <t>Bilotti 9992978415</t>
  </si>
  <si>
    <t>Paglialunga 9992978760</t>
  </si>
  <si>
    <t>Floriani 3417490631</t>
  </si>
  <si>
    <t>Buszmicz 3412175888</t>
  </si>
  <si>
    <t>Albornoz 3415835731</t>
  </si>
  <si>
    <t>Baschera 1158829713</t>
  </si>
  <si>
    <t>tc-cti $279999,01</t>
  </si>
  <si>
    <t>Cano 3415644171</t>
  </si>
  <si>
    <t>Acevedo 3415791066</t>
  </si>
  <si>
    <t>Faivre 3417537976</t>
  </si>
  <si>
    <t>Arenas 3415457442</t>
  </si>
  <si>
    <t>Aguirre 3416450113</t>
  </si>
  <si>
    <t>Faure 9992979640</t>
  </si>
  <si>
    <t>Perez 3413749592</t>
  </si>
  <si>
    <t>tc-cti $379999,31</t>
  </si>
  <si>
    <t>Sandrone 3413557711</t>
  </si>
  <si>
    <t>Baruzzo, Graciela Alejandra</t>
  </si>
  <si>
    <t>475</t>
  </si>
  <si>
    <t>Alegre 3476538195</t>
  </si>
  <si>
    <t>Financiado 12ctas.</t>
  </si>
  <si>
    <t>Peppe 3412475754</t>
  </si>
  <si>
    <t>Martine Agustin</t>
  </si>
  <si>
    <t>SM-SM150</t>
  </si>
  <si>
    <t>476</t>
  </si>
  <si>
    <t>$49198,98 3ctas.</t>
  </si>
  <si>
    <t>Pellandini 3476532345</t>
  </si>
  <si>
    <t>Tordella 3412808652</t>
  </si>
  <si>
    <t>Grsko 3412113073</t>
  </si>
  <si>
    <t>Agua monumento</t>
  </si>
  <si>
    <t>9057</t>
  </si>
  <si>
    <t>Revisar diferencia con samba</t>
  </si>
  <si>
    <t>Gonzalez 3416031940</t>
  </si>
  <si>
    <t>0324</t>
  </si>
  <si>
    <t>Maini 3416867099</t>
  </si>
  <si>
    <t>tc-cti $223999,01</t>
  </si>
  <si>
    <t>Sisquella 3416586270</t>
  </si>
  <si>
    <t>Alvarez 9993479229</t>
  </si>
  <si>
    <t>Alvarez 9993479261</t>
  </si>
  <si>
    <t>Di Riso 3413087904</t>
  </si>
  <si>
    <t>Caruso 3412134747</t>
  </si>
  <si>
    <t>Algoy SAS</t>
  </si>
  <si>
    <t>Moralejos, Sabrina</t>
  </si>
  <si>
    <t>Retira Renso</t>
  </si>
  <si>
    <t>Cabrera 3413347600</t>
  </si>
  <si>
    <t>Ponce 3412131665</t>
  </si>
  <si>
    <t>Fortini 3412796994</t>
  </si>
  <si>
    <t>Llaite 3412110562</t>
  </si>
  <si>
    <t>Brizuela 3416431337</t>
  </si>
  <si>
    <t>Romero 3413271899</t>
  </si>
  <si>
    <t>Romero 3412290061</t>
  </si>
  <si>
    <t>Romero 3417198755</t>
  </si>
  <si>
    <t>Romero 3416560054</t>
  </si>
  <si>
    <t>Baello 3482678979</t>
  </si>
  <si>
    <t>Rodriguez 3412647063</t>
  </si>
  <si>
    <t>Gonzalez 3417495635</t>
  </si>
  <si>
    <t>Gambino 3412838575</t>
  </si>
  <si>
    <t>tc-cti $305999,01</t>
  </si>
  <si>
    <t>CONTROL OK 07/03</t>
  </si>
  <si>
    <t>Comisiones ENERO</t>
  </si>
  <si>
    <t>Sandoval 3413350893</t>
  </si>
  <si>
    <t>Sainz 3412001663</t>
  </si>
  <si>
    <t>Moreno 3413586461</t>
  </si>
  <si>
    <t>Córdoba 3413790214</t>
  </si>
  <si>
    <t>Córdoba 3415710456</t>
  </si>
  <si>
    <t>Córdoba 3413944118</t>
  </si>
  <si>
    <t>477</t>
  </si>
  <si>
    <t>REPOSICION SIM-CAR</t>
  </si>
  <si>
    <t>4854</t>
  </si>
  <si>
    <t>SIM-CAR</t>
  </si>
  <si>
    <t>Producto</t>
  </si>
  <si>
    <t>Vidal 3413419263</t>
  </si>
  <si>
    <t>Asigliano 3412149009</t>
  </si>
  <si>
    <t>Fernandez 3412714562</t>
  </si>
  <si>
    <t>Caceres 3416251833</t>
  </si>
  <si>
    <t>Bertolotti 3417535021</t>
  </si>
  <si>
    <t>Campos 3416050715</t>
  </si>
  <si>
    <t>Segovia 3413382084</t>
  </si>
  <si>
    <t>Acosta 3413361049</t>
  </si>
  <si>
    <t>Martinez 9993818846</t>
  </si>
  <si>
    <t>Muliterno 3413181165</t>
  </si>
  <si>
    <t>Arancibe 3416477234</t>
  </si>
  <si>
    <t>Fleitas 3412130480</t>
  </si>
  <si>
    <t>478</t>
  </si>
  <si>
    <t>479</t>
  </si>
  <si>
    <t>$51762,50 1cta.</t>
  </si>
  <si>
    <t>Castro 3476630340</t>
  </si>
  <si>
    <t>Lopez 3413182616</t>
  </si>
  <si>
    <t>Pereyra 3402544060</t>
  </si>
  <si>
    <t>Cano 3412734600</t>
  </si>
  <si>
    <t>Cruz 3413183004</t>
  </si>
  <si>
    <t>Pusetto 3413186103</t>
  </si>
  <si>
    <t>480</t>
  </si>
  <si>
    <t>Correa 3412763824</t>
  </si>
  <si>
    <t>Pierre 3413277200</t>
  </si>
  <si>
    <t>tc-cti $212499</t>
  </si>
  <si>
    <t>481</t>
  </si>
  <si>
    <t>$75650,99 12cta.</t>
  </si>
  <si>
    <t>Aguirre 3413428411</t>
  </si>
  <si>
    <t>Torres 3413435902</t>
  </si>
  <si>
    <t>Zanuzzi 3471603796</t>
  </si>
  <si>
    <t>0325</t>
  </si>
  <si>
    <t>Alvarez 3413850279</t>
  </si>
  <si>
    <t>De los rios 3413399326</t>
  </si>
  <si>
    <t>Serrano 3413283011</t>
  </si>
  <si>
    <t>Ibañez 9993829561</t>
  </si>
  <si>
    <t>Arias 3413192625</t>
  </si>
  <si>
    <t>Poretto 3402446390</t>
  </si>
  <si>
    <t>Quirquino 3412276744</t>
  </si>
  <si>
    <t>Gomez 3417476394</t>
  </si>
  <si>
    <t>Febre 3413423048</t>
  </si>
  <si>
    <t>Bustos 3413401915</t>
  </si>
  <si>
    <t>Lorenzin 3415970583</t>
  </si>
  <si>
    <t>Retira Claudio</t>
  </si>
  <si>
    <t>Reserva EPE</t>
  </si>
  <si>
    <t>5956</t>
  </si>
  <si>
    <t>Storti 3472646198</t>
  </si>
  <si>
    <t>Ruiz 3413231523</t>
  </si>
  <si>
    <t>Ruiz 3413405143</t>
  </si>
  <si>
    <t>Zarate 3413408952</t>
  </si>
  <si>
    <t>Barbiero 3417560523</t>
  </si>
  <si>
    <t>Sonego 3425453682</t>
  </si>
  <si>
    <t>Catteneo 3413663841</t>
  </si>
  <si>
    <t>Scheuerlein 3413411026</t>
  </si>
  <si>
    <t xml:space="preserve">CONSTROL OK </t>
  </si>
  <si>
    <t>Reposicion propios</t>
  </si>
  <si>
    <t>3369</t>
  </si>
  <si>
    <t>S-A06G128</t>
  </si>
  <si>
    <t>accesorios</t>
  </si>
  <si>
    <t>353384838405299-353384838405463-353384838405737-353384838405356-353384838405729</t>
  </si>
  <si>
    <t>Agua Dawa</t>
  </si>
  <si>
    <t>0329</t>
  </si>
  <si>
    <t>Colosantti 3412171523</t>
  </si>
  <si>
    <t>Tripodi 3416724795</t>
  </si>
  <si>
    <t>Diaz 3786496536</t>
  </si>
  <si>
    <t>Marce 3417805969</t>
  </si>
  <si>
    <t>Lopez 3416446918</t>
  </si>
  <si>
    <t>Baez 3413313846</t>
  </si>
  <si>
    <t>Cabana 3412632092</t>
  </si>
  <si>
    <t>Orzenoski 34177467399</t>
  </si>
  <si>
    <t>Montalto 3417120768</t>
  </si>
  <si>
    <t>Comparetto 3415484491</t>
  </si>
  <si>
    <t>Lopez 3412113066</t>
  </si>
  <si>
    <t>Baez, Luciano Facundo</t>
  </si>
  <si>
    <t>482</t>
  </si>
  <si>
    <t>Lomoro 3416855581</t>
  </si>
  <si>
    <t>Ponce 3412738340</t>
  </si>
  <si>
    <t>Furigo 3412782384</t>
  </si>
  <si>
    <t>483</t>
  </si>
  <si>
    <t>40942</t>
  </si>
  <si>
    <t>Cordoba, Valentin</t>
  </si>
  <si>
    <t>Nasre, Rosa Lujan</t>
  </si>
  <si>
    <t>Herrera 3415644780</t>
  </si>
  <si>
    <t>484</t>
  </si>
  <si>
    <t>$33312,50 1cta.</t>
  </si>
  <si>
    <t>Segnini 9993052152</t>
  </si>
  <si>
    <t>Albaracin 3412742499</t>
  </si>
  <si>
    <t>Damborina 2266441624</t>
  </si>
  <si>
    <t>Gastaldi 3413109624</t>
  </si>
  <si>
    <t>485</t>
  </si>
  <si>
    <t>Baez 3416423151</t>
  </si>
  <si>
    <t>Calviño 3415310668</t>
  </si>
  <si>
    <t>Ayala 3412750161</t>
  </si>
  <si>
    <t>Asensio 9993088916</t>
  </si>
  <si>
    <t>Asensio 3412767344</t>
  </si>
  <si>
    <t>Pinat 3412112703</t>
  </si>
  <si>
    <t>0326</t>
  </si>
  <si>
    <t>Riquelme 3415895702</t>
  </si>
  <si>
    <t>Galindo 9993249361</t>
  </si>
  <si>
    <t>Itati 3415414704</t>
  </si>
  <si>
    <t>Lopez 3413923682</t>
  </si>
  <si>
    <t>Sainz 3415077278</t>
  </si>
  <si>
    <t>Penk Ala 3415934763</t>
  </si>
  <si>
    <t>Lares 3476207178</t>
  </si>
  <si>
    <t>Lares 3412797173</t>
  </si>
  <si>
    <t>Boselli 9993320245</t>
  </si>
  <si>
    <t>Toralez, maximo emanuel</t>
  </si>
  <si>
    <t>Perez 3413442342</t>
  </si>
  <si>
    <t>Tosone 3413442956</t>
  </si>
  <si>
    <t>Spezzano 3417529945</t>
  </si>
  <si>
    <t>Yacuzzi 9993576540</t>
  </si>
  <si>
    <t>Lucero 3413419669</t>
  </si>
  <si>
    <t>Lenzina 3412823444</t>
  </si>
  <si>
    <t>Ibañez 3413444610</t>
  </si>
  <si>
    <t>Testolin 3413445270</t>
  </si>
  <si>
    <t xml:space="preserve">Del curto 3413371747 </t>
  </si>
  <si>
    <t>486</t>
  </si>
  <si>
    <t>$25625 1cta.</t>
  </si>
  <si>
    <t>Delgado 3413446291</t>
  </si>
  <si>
    <t>Henny 295391746</t>
  </si>
  <si>
    <t>Belligotti 3415073360</t>
  </si>
  <si>
    <t>Porta del call</t>
  </si>
  <si>
    <t>Belligotti 3415778622</t>
  </si>
  <si>
    <t>487</t>
  </si>
  <si>
    <t>$7687,50 1cta.</t>
  </si>
  <si>
    <t>Gaitan, Carlos Alberto</t>
  </si>
  <si>
    <t>marin 3412798914</t>
  </si>
  <si>
    <t>Garrido 3413449473</t>
  </si>
  <si>
    <t>Flaherty 3413449503</t>
  </si>
  <si>
    <t>Loza 3413450204</t>
  </si>
  <si>
    <t>CANCELACION POR CAMBIO DE AREA</t>
  </si>
  <si>
    <t>Loza 3364319624</t>
  </si>
  <si>
    <t>Juarez 3415478586</t>
  </si>
  <si>
    <t>488</t>
  </si>
  <si>
    <t>Giorgetti 3417424350</t>
  </si>
  <si>
    <t>Gentile 3413566096</t>
  </si>
  <si>
    <t>Arraes 3413450453</t>
  </si>
  <si>
    <t>Enriquez 3413450946</t>
  </si>
  <si>
    <t>Compagnone 3464547824</t>
  </si>
  <si>
    <t>Sturla 3413451067</t>
  </si>
  <si>
    <t>Praino 3415816810</t>
  </si>
  <si>
    <t>tc-cti $492999,01</t>
  </si>
  <si>
    <t>Tapparo 3413828442</t>
  </si>
  <si>
    <t>Loresi 9992901511</t>
  </si>
  <si>
    <t>Montenegro 3415485137</t>
  </si>
  <si>
    <t>Cardozo 3415847206</t>
  </si>
  <si>
    <t>De Bernardi 1169461632</t>
  </si>
  <si>
    <t>Lenci 3402504365</t>
  </si>
  <si>
    <t>tc-cti $254999,01</t>
  </si>
  <si>
    <t>Florito 3476203150</t>
  </si>
  <si>
    <t>Battoccio 3412714532</t>
  </si>
  <si>
    <t>Ferrari 3416009991</t>
  </si>
  <si>
    <t>Gori 3415423011</t>
  </si>
  <si>
    <t>Velazco 3416918002</t>
  </si>
  <si>
    <t>0327</t>
  </si>
  <si>
    <t>Dominguez 3455449374</t>
  </si>
  <si>
    <t>Olguin 3417437930</t>
  </si>
  <si>
    <t>Jaime 3413474418</t>
  </si>
  <si>
    <t>Cabrera 3417560512</t>
  </si>
  <si>
    <t>Graneros 3412145576</t>
  </si>
  <si>
    <t>Graneros 3412146064</t>
  </si>
  <si>
    <t>Graneros 3412146143</t>
  </si>
  <si>
    <t>Leguiza juan manuel</t>
  </si>
  <si>
    <t>Aubert 3413491267</t>
  </si>
  <si>
    <t>Canavero 3413498492</t>
  </si>
  <si>
    <t>0699</t>
  </si>
  <si>
    <t>Nozeti 3417533990</t>
  </si>
  <si>
    <t>tc-cti $</t>
  </si>
  <si>
    <t>490</t>
  </si>
  <si>
    <t>$14862,50 1cta.</t>
  </si>
  <si>
    <t>492</t>
  </si>
  <si>
    <t>$24600,00 1cta.</t>
  </si>
  <si>
    <t>Moscatello 3413502455</t>
  </si>
  <si>
    <t>tc-cti $245100 + $94899,3</t>
  </si>
  <si>
    <t>SUCURSALES</t>
  </si>
  <si>
    <t>3448</t>
  </si>
  <si>
    <t>S-A15</t>
  </si>
  <si>
    <t>353357978208178 - 353357978208186 - 353357978161575 - 353357978161120 - 353357978161708</t>
  </si>
  <si>
    <t>Canteros 3413517813</t>
  </si>
  <si>
    <t>Varas 3416592142</t>
  </si>
  <si>
    <t>493</t>
  </si>
  <si>
    <t>$8500 1cta.</t>
  </si>
  <si>
    <t>Chiabrando, Nelli</t>
  </si>
  <si>
    <t xml:space="preserve">Reposicion sim </t>
  </si>
  <si>
    <t>Monzon 3415817149</t>
  </si>
  <si>
    <t>Dandini 3413847244</t>
  </si>
  <si>
    <t>Dandini 3417411677</t>
  </si>
  <si>
    <t>Olivia 3416413631</t>
  </si>
  <si>
    <t>Contreras 3413519296</t>
  </si>
  <si>
    <t>Leclerq 3476272174</t>
  </si>
  <si>
    <t>Rios, Magali</t>
  </si>
  <si>
    <t>Genovese 9992935561</t>
  </si>
  <si>
    <t>se porta el 03/04</t>
  </si>
  <si>
    <t>Bosco 9992935564</t>
  </si>
  <si>
    <t>Albornoz 3413363143</t>
  </si>
  <si>
    <t>Medina 9992939163</t>
  </si>
  <si>
    <t>Robles 3412792439</t>
  </si>
  <si>
    <t>Romero 3416971237</t>
  </si>
  <si>
    <t>Bosco 9992935566</t>
  </si>
  <si>
    <t>0328</t>
  </si>
  <si>
    <t>Yagueddu 3412673382</t>
  </si>
  <si>
    <t>Medina 3413606758</t>
  </si>
  <si>
    <t>Ferguson 3416401717</t>
  </si>
  <si>
    <t>Favatier 3416867251</t>
  </si>
  <si>
    <t>Triviño 3413536114</t>
  </si>
  <si>
    <t>prepaga</t>
  </si>
  <si>
    <t>claro</t>
  </si>
  <si>
    <t>Heredia 3416545592</t>
  </si>
  <si>
    <t>Heredia 3415047647</t>
  </si>
  <si>
    <t>3Rosario</t>
  </si>
  <si>
    <t>Guerci 3415319908</t>
  </si>
  <si>
    <t>tc-cti $339999</t>
  </si>
  <si>
    <t>494</t>
  </si>
  <si>
    <t>Giavino 3413899456</t>
  </si>
  <si>
    <t>Vizcarra 3413536954</t>
  </si>
  <si>
    <t>Diaz 3412136762</t>
  </si>
  <si>
    <t xml:space="preserve">La Ranita </t>
  </si>
  <si>
    <t>Fibrón indeleble</t>
  </si>
  <si>
    <t>495</t>
  </si>
  <si>
    <t>Pugliese 3412124599</t>
  </si>
  <si>
    <t>tc-cti $134999,01</t>
  </si>
  <si>
    <t>Oddino 3412827167</t>
  </si>
  <si>
    <t>tc-cti $367999,01</t>
  </si>
  <si>
    <t>Galparsoro 3415047394</t>
  </si>
  <si>
    <t>Jaime 3413606475</t>
  </si>
  <si>
    <t>tc-cti $289999,01</t>
  </si>
  <si>
    <t>Maidana 3413560327</t>
  </si>
  <si>
    <t>496</t>
  </si>
  <si>
    <t>497</t>
  </si>
  <si>
    <t>Oriti Tizio 3415407247</t>
  </si>
  <si>
    <t>Oriti Tizio 3417434849</t>
  </si>
  <si>
    <t>Stoppani 3416080412</t>
  </si>
  <si>
    <t>tc-cti$339999</t>
  </si>
  <si>
    <t>De Vito Catelli 3415156448</t>
  </si>
  <si>
    <t>Moreno 3416687008</t>
  </si>
  <si>
    <t>498</t>
  </si>
  <si>
    <t>David Aranda</t>
  </si>
  <si>
    <t>DIAZ PABLO HERNAN</t>
  </si>
  <si>
    <t>Torres 3413203987</t>
  </si>
  <si>
    <t>499</t>
  </si>
  <si>
    <t>0986</t>
  </si>
  <si>
    <t>Abono dispenser marzo</t>
  </si>
  <si>
    <t>Tazzioli 3416291800</t>
  </si>
  <si>
    <t>Pellegrini 3415158794</t>
  </si>
  <si>
    <t>Guzman 3874403796</t>
  </si>
  <si>
    <t>Leguizamón, Carlos Ezequiel</t>
  </si>
  <si>
    <t>Almonte 3416835678</t>
  </si>
  <si>
    <t>Lardino 3416714705</t>
  </si>
  <si>
    <t>Ferraro 3416575646</t>
  </si>
  <si>
    <t>Arroquigaray Gustavo</t>
  </si>
  <si>
    <t>Reposición sim</t>
  </si>
  <si>
    <t>Garcia 3413882222</t>
  </si>
  <si>
    <t>Strehmel 3417426890</t>
  </si>
  <si>
    <t>Luna 3415499290</t>
  </si>
  <si>
    <t>Acero 3413529448</t>
  </si>
  <si>
    <t>Lemberger 3416743440</t>
  </si>
  <si>
    <t>501</t>
  </si>
  <si>
    <t>Blanco 3413482100</t>
  </si>
  <si>
    <t>Paolicelli 3412641310</t>
  </si>
  <si>
    <t>Osuna 3413035972</t>
  </si>
  <si>
    <t>tc-cti $639999,31</t>
  </si>
  <si>
    <t>Encina 3415829198</t>
  </si>
  <si>
    <t>Lobato 3412703193</t>
  </si>
  <si>
    <t>Mansilla 3415982485</t>
  </si>
  <si>
    <t>Vidal 3413512489</t>
  </si>
  <si>
    <t>Fregonese 3476666334</t>
  </si>
  <si>
    <t>Montero 3413057940</t>
  </si>
  <si>
    <t>Rearte 3416658371</t>
  </si>
  <si>
    <t>Bonato 3416814627</t>
  </si>
  <si>
    <t>Ballo 9799940301</t>
  </si>
  <si>
    <t>Terrusa 3413006706</t>
  </si>
  <si>
    <t>Sanchez 3416708339</t>
  </si>
  <si>
    <t>Gonzalez 3417815670</t>
  </si>
  <si>
    <t>Gonzalez 3415406772</t>
  </si>
  <si>
    <t>Santibañez 3417468532</t>
  </si>
  <si>
    <t>Rodriguez 3415996023</t>
  </si>
  <si>
    <t>Bernuchi 3416061234</t>
  </si>
  <si>
    <t>502</t>
  </si>
  <si>
    <t>Blanco 3415825898</t>
  </si>
  <si>
    <t>Astorga 3415492237</t>
  </si>
  <si>
    <t>Gomez 3415696201</t>
  </si>
  <si>
    <t>Ocampo 3416589639</t>
  </si>
  <si>
    <t>Alarcon 3415824217</t>
  </si>
  <si>
    <t>Comisiones marzo</t>
  </si>
  <si>
    <t>Comisiones febrero</t>
  </si>
  <si>
    <t>Ariotti, Ezequiel</t>
  </si>
  <si>
    <t>Casufu 3416845823</t>
  </si>
  <si>
    <t>Machuca 3415443516</t>
  </si>
  <si>
    <t>Defays 3412636886</t>
  </si>
  <si>
    <t>Romagnoli 3416853310</t>
  </si>
  <si>
    <t>INSTALADORA</t>
  </si>
  <si>
    <t>RETIRÓ RENSO</t>
  </si>
  <si>
    <t>Pujadas 3412720358</t>
  </si>
  <si>
    <t>Pujadas 3417438578</t>
  </si>
  <si>
    <t>Spena 3417477391</t>
  </si>
  <si>
    <t>Almiron 3415840038</t>
  </si>
  <si>
    <t>Billarruel 3415118062</t>
  </si>
  <si>
    <t>Lencina 3416691927</t>
  </si>
  <si>
    <t>Pereyra 9993214062</t>
  </si>
  <si>
    <t>Rechaza donante</t>
  </si>
  <si>
    <t>Aquino 3417456790</t>
  </si>
  <si>
    <t>Mendez 3412476049</t>
  </si>
  <si>
    <t>Godoy 3413503699</t>
  </si>
  <si>
    <t>Gonzalez 3416675727</t>
  </si>
  <si>
    <t>Gioverti 3416379356</t>
  </si>
  <si>
    <t>Folch 3417433862</t>
  </si>
  <si>
    <t>Grillo, Maria Cristina</t>
  </si>
  <si>
    <t>Comisiones Febrero</t>
  </si>
  <si>
    <t>Vera 3413411442</t>
  </si>
  <si>
    <t>Cabrera 3413975475</t>
  </si>
  <si>
    <t>Villar 2613467678</t>
  </si>
  <si>
    <t>Pons 3412836209</t>
  </si>
  <si>
    <t>Rios 3412811988</t>
  </si>
  <si>
    <t>503</t>
  </si>
  <si>
    <t>Sanchiz 3417454475</t>
  </si>
  <si>
    <t>Pello 3413533642</t>
  </si>
  <si>
    <t>Almiron 3413932417</t>
  </si>
  <si>
    <t>Borbotti 3413406349</t>
  </si>
  <si>
    <t>Sandra 3415061602</t>
  </si>
  <si>
    <t>Gauna 3417449250</t>
  </si>
  <si>
    <t>Rodriguez 3415104258</t>
  </si>
  <si>
    <t>Russo 3412637575</t>
  </si>
  <si>
    <t>Reimondo 3412572418</t>
  </si>
  <si>
    <t>Reimondo 3417529681</t>
  </si>
  <si>
    <t>Novillo 3416847869</t>
  </si>
  <si>
    <t>Sciortino 9993496443</t>
  </si>
  <si>
    <t>Bajamonde 3416954247</t>
  </si>
  <si>
    <t>504</t>
  </si>
  <si>
    <t>Bigorito 33646543</t>
  </si>
  <si>
    <t>Carrizo 3417409475</t>
  </si>
  <si>
    <t>Ramirez 3416294071</t>
  </si>
  <si>
    <t>Ioculado 3415410102</t>
  </si>
  <si>
    <t>0330</t>
  </si>
  <si>
    <t>Contreras 3412845329</t>
  </si>
  <si>
    <t>Saavedra 3412756178</t>
  </si>
  <si>
    <t>Bochero 3416480173</t>
  </si>
  <si>
    <t>Torres 3413606928</t>
  </si>
  <si>
    <t>Beremboum 9993653323</t>
  </si>
  <si>
    <t>Biancucci 9993666268</t>
  </si>
  <si>
    <t>Santa Cruz 3413446213</t>
  </si>
  <si>
    <t>Carballo 9993671214</t>
  </si>
  <si>
    <t>Carballo 9993671227</t>
  </si>
  <si>
    <t>Vallejos 3413065910</t>
  </si>
  <si>
    <t>Velasquez 3413422006</t>
  </si>
  <si>
    <t>Davalos 3416024408</t>
  </si>
  <si>
    <t>Casa 3416755965</t>
  </si>
  <si>
    <t>Citara 3416247384</t>
  </si>
  <si>
    <t>Lucero Luciano Gabriel</t>
  </si>
  <si>
    <t>Perez 3413536326</t>
  </si>
  <si>
    <t>Caballero 3417419550</t>
  </si>
  <si>
    <t>Montenegro 3416503230</t>
  </si>
  <si>
    <t>Segovia 3415863271</t>
  </si>
  <si>
    <t>Cavallo 9799954324</t>
  </si>
  <si>
    <t>Guerra 3417442972</t>
  </si>
  <si>
    <t>Espinola 3416800258</t>
  </si>
  <si>
    <t>Herrero 3413647884</t>
  </si>
  <si>
    <t>Aressi 3416506619</t>
  </si>
  <si>
    <t>Aviani 3412564605</t>
  </si>
  <si>
    <t>Campero 3413269763</t>
  </si>
  <si>
    <t>Campero 3412754142</t>
  </si>
  <si>
    <t>Militello 3417190740</t>
  </si>
  <si>
    <t>506</t>
  </si>
  <si>
    <t>Laraia 3415043351</t>
  </si>
  <si>
    <t>Trangoni 3412727133</t>
  </si>
  <si>
    <t>Pinelle 3413509138</t>
  </si>
  <si>
    <t>Fiinanciado 12ctas.</t>
  </si>
  <si>
    <t>Androchuk 3364563474</t>
  </si>
  <si>
    <t>Lovato 9799976227</t>
  </si>
  <si>
    <t>Mazzamati 3462532168</t>
  </si>
  <si>
    <t>De Filippis 3413058609</t>
  </si>
  <si>
    <t>507</t>
  </si>
  <si>
    <t>Canela 3413465581</t>
  </si>
  <si>
    <t>Roa 1133544601</t>
  </si>
  <si>
    <t>Angulo 341310595</t>
  </si>
  <si>
    <t>Ludueña 3415846129</t>
  </si>
  <si>
    <t>De Toro 3416948138</t>
  </si>
  <si>
    <t>9DEZOL</t>
  </si>
  <si>
    <t>Fernandez 3415141710</t>
  </si>
  <si>
    <t>508</t>
  </si>
  <si>
    <t>$12812,50 1cta.</t>
  </si>
  <si>
    <t>Aguirre 3415697825</t>
  </si>
  <si>
    <t>Chip fallado</t>
  </si>
  <si>
    <t>Hurt 3415415977</t>
  </si>
  <si>
    <t>0331</t>
  </si>
  <si>
    <t>Nava 3413473367</t>
  </si>
  <si>
    <t>Boggia 3415046054</t>
  </si>
  <si>
    <t>Correa 9799993581</t>
  </si>
  <si>
    <t>Nardini 3412804739</t>
  </si>
  <si>
    <t>Zapata 3412167434</t>
  </si>
  <si>
    <t>509</t>
  </si>
  <si>
    <t>Massei 3415150040</t>
  </si>
  <si>
    <t>Despuy 2477301886</t>
  </si>
  <si>
    <t>Adriano 3416355093</t>
  </si>
  <si>
    <t>Escobar 3416152612</t>
  </si>
  <si>
    <t>510</t>
  </si>
  <si>
    <t>Cariello 3415447734</t>
  </si>
  <si>
    <t>Zandri 3415820549</t>
  </si>
  <si>
    <t>511</t>
  </si>
  <si>
    <t>$10762,50 1cta.</t>
  </si>
  <si>
    <t>Chaupin 3412258885</t>
  </si>
  <si>
    <t>Cardozo 3417182971</t>
  </si>
  <si>
    <t>Bianchi 3416095800</t>
  </si>
  <si>
    <t>Martinez 3412790297</t>
  </si>
  <si>
    <t>ERNESTO OSCAR MITRE</t>
  </si>
  <si>
    <t>4856</t>
  </si>
  <si>
    <t>Navarro 3412809380</t>
  </si>
  <si>
    <t>Minedo 3415158176</t>
  </si>
  <si>
    <t>Gueglio 3413888058</t>
  </si>
  <si>
    <t>Lotito 3413276478</t>
  </si>
  <si>
    <t>tc-cti $390999</t>
  </si>
  <si>
    <t>Lira 3416927305</t>
  </si>
  <si>
    <t>tc-cti $699999,31</t>
  </si>
  <si>
    <t>514</t>
  </si>
  <si>
    <t>Rimolo 9993007725</t>
  </si>
  <si>
    <t>Navarro 3417489525</t>
  </si>
  <si>
    <t>Ruiz 3413392077</t>
  </si>
  <si>
    <t>Barletta 3413107181</t>
  </si>
  <si>
    <t>Gauna 9993041108</t>
  </si>
  <si>
    <t>Monfroglio 3412103228</t>
  </si>
  <si>
    <t>Mordka 3413390118</t>
  </si>
  <si>
    <t>517</t>
  </si>
  <si>
    <t>518</t>
  </si>
  <si>
    <t>$10250 1 cta.</t>
  </si>
  <si>
    <t>8929</t>
  </si>
  <si>
    <t>Retiro Renso</t>
  </si>
  <si>
    <t>Mezzano 3412479597</t>
  </si>
  <si>
    <t>Pereyra 3412702794</t>
  </si>
  <si>
    <t>Di Luzio 3412167351</t>
  </si>
  <si>
    <t>Delgado 3416256822</t>
  </si>
  <si>
    <t>Ramirez 3416931502</t>
  </si>
  <si>
    <t>Occhi 3415043565</t>
  </si>
  <si>
    <t>Lopez 3413290609</t>
  </si>
  <si>
    <t>519</t>
  </si>
  <si>
    <t>Ruiz 3412173497</t>
  </si>
  <si>
    <t>tc-cti $37399,01</t>
  </si>
  <si>
    <t>Mansilla 3412153376</t>
  </si>
  <si>
    <t>Luna 3415104414</t>
  </si>
  <si>
    <t>Monzon 3412811732</t>
  </si>
  <si>
    <t>Nuñez 3417794734</t>
  </si>
  <si>
    <t>Córdoba 3417807455</t>
  </si>
  <si>
    <t>520</t>
  </si>
  <si>
    <t>25GP7X</t>
  </si>
  <si>
    <t>Jaimes 9993097630</t>
  </si>
  <si>
    <t>Sanchez 3413091367</t>
  </si>
  <si>
    <t>Galvan 3416757916</t>
  </si>
  <si>
    <t>Caminos 3437524898</t>
  </si>
  <si>
    <t>Benitez 3417533916</t>
  </si>
  <si>
    <t>Albrecht 3415773040</t>
  </si>
  <si>
    <t>Lenci 9993098616</t>
  </si>
  <si>
    <t>Riaño 3412814866</t>
  </si>
  <si>
    <t>Cabeza 3434476599</t>
  </si>
  <si>
    <t>Cariello 3413604128</t>
  </si>
  <si>
    <t>Volonterio 3413047247</t>
  </si>
  <si>
    <t>Volonterio, Mariano</t>
  </si>
  <si>
    <t>521</t>
  </si>
  <si>
    <t>$256250 1cta.</t>
  </si>
  <si>
    <t>Morales 3413179909</t>
  </si>
  <si>
    <t>Morales 3412818113</t>
  </si>
  <si>
    <t>522</t>
  </si>
  <si>
    <t>0332</t>
  </si>
  <si>
    <t>Suarez 9993125461</t>
  </si>
  <si>
    <t>Gentili 3415626116</t>
  </si>
  <si>
    <t>Famin 2804586168</t>
  </si>
  <si>
    <t>Bogado 3417434627</t>
  </si>
  <si>
    <t>Gattarello 3412702546</t>
  </si>
  <si>
    <t>tc-cti $499999,31</t>
  </si>
  <si>
    <t>Trani 3412030699</t>
  </si>
  <si>
    <t>523</t>
  </si>
  <si>
    <t>$15375 1cta.</t>
  </si>
  <si>
    <t>Carreño 3415815407</t>
  </si>
  <si>
    <t>Cabaña 3417455607</t>
  </si>
  <si>
    <t xml:space="preserve">Jumbo </t>
  </si>
  <si>
    <t>0716</t>
  </si>
  <si>
    <t>2070</t>
  </si>
  <si>
    <t>Servicio de abril</t>
  </si>
  <si>
    <t>Pablicich 3412175410</t>
  </si>
  <si>
    <t>Castellarin 3412727766</t>
  </si>
  <si>
    <t>Lahoz 3412708902</t>
  </si>
  <si>
    <t>524</t>
  </si>
  <si>
    <t>$211493,17 3ctas.</t>
  </si>
  <si>
    <t>Perez 3412175410</t>
  </si>
  <si>
    <t>Amat 3412717801</t>
  </si>
  <si>
    <t>Ledesma 3412720363</t>
  </si>
  <si>
    <t>Amadori 3412724446</t>
  </si>
  <si>
    <t>Ambroggio 3412729322</t>
  </si>
  <si>
    <t>Drake 3417792196</t>
  </si>
  <si>
    <t>Orsaria 3415818861</t>
  </si>
  <si>
    <t>Stilling 3412758154</t>
  </si>
  <si>
    <t>Stilling 3416226699</t>
  </si>
  <si>
    <t>Tisera 333413953651</t>
  </si>
  <si>
    <t>Sandrone 3413038901</t>
  </si>
  <si>
    <t>Iribarria 3412477426</t>
  </si>
  <si>
    <t>COSTAS DIEGO MARTIN</t>
  </si>
  <si>
    <t>0503</t>
  </si>
  <si>
    <t xml:space="preserve">Resma </t>
  </si>
  <si>
    <t>Ojeda 3415929918</t>
  </si>
  <si>
    <t>Seriani 9993251718</t>
  </si>
  <si>
    <t>Martinelli 3412114613</t>
  </si>
  <si>
    <t>Lescano 3413507080</t>
  </si>
  <si>
    <t>Paredes 3413463710</t>
  </si>
  <si>
    <t>525</t>
  </si>
  <si>
    <t>Becerra 3412801991</t>
  </si>
  <si>
    <t>526</t>
  </si>
  <si>
    <t>$35875 1cta.</t>
  </si>
  <si>
    <t>Bacilico 3468542588</t>
  </si>
  <si>
    <t>Miranda 3412813146</t>
  </si>
  <si>
    <t>527</t>
  </si>
  <si>
    <t>528</t>
  </si>
  <si>
    <t>0333</t>
  </si>
  <si>
    <t>Astudillo, Ramiro</t>
  </si>
  <si>
    <t>Flores, Alex</t>
  </si>
  <si>
    <t>Giunta 3415528544</t>
  </si>
  <si>
    <t>Pasero 3413194058</t>
  </si>
  <si>
    <t>Pasero, Fabio</t>
  </si>
  <si>
    <t>529</t>
  </si>
  <si>
    <t>$250000 Débito - 353384838405463</t>
  </si>
  <si>
    <t>530</t>
  </si>
  <si>
    <t>531</t>
  </si>
  <si>
    <t>Serfas, Susana</t>
  </si>
  <si>
    <t>533</t>
  </si>
  <si>
    <t>$350000 Débito - 353357978161120</t>
  </si>
  <si>
    <t>Monzón 3412031290</t>
  </si>
  <si>
    <t>Perez 3412100803</t>
  </si>
  <si>
    <t>Godoy 3413730680</t>
  </si>
  <si>
    <t>Godoy 3416503547</t>
  </si>
  <si>
    <t>Herrera 3412005540</t>
  </si>
  <si>
    <t>Ceballos 3417448234</t>
  </si>
  <si>
    <t>534</t>
  </si>
  <si>
    <t>Serfas 3454171567</t>
  </si>
  <si>
    <t>Pacenti 3412476910</t>
  </si>
  <si>
    <t>537</t>
  </si>
  <si>
    <t>Arrigoni 3413461811</t>
  </si>
  <si>
    <t>tc-cti $303999,01</t>
  </si>
  <si>
    <t>Redondo 3413784336</t>
  </si>
  <si>
    <t>538</t>
  </si>
  <si>
    <t>539</t>
  </si>
  <si>
    <t>$6662,50 1cta.</t>
  </si>
  <si>
    <t>Altomonte 3415975993</t>
  </si>
  <si>
    <t>tc-cti $297499,01</t>
  </si>
  <si>
    <t>Saucedo 3413957654</t>
  </si>
  <si>
    <t>Messi 3415829045</t>
  </si>
  <si>
    <t>Garcia 3413319069</t>
  </si>
  <si>
    <t>540</t>
  </si>
  <si>
    <t>Sastre 3413421944</t>
  </si>
  <si>
    <t>Pedros 3413045814</t>
  </si>
  <si>
    <t>Ramirez 3416538286</t>
  </si>
  <si>
    <t>Juarez 3413185605</t>
  </si>
  <si>
    <t>Rubiolo 3416537836</t>
  </si>
  <si>
    <t>Porta 3413884327</t>
  </si>
  <si>
    <t>Bruno, Ayala</t>
  </si>
  <si>
    <t>REVISAR</t>
  </si>
  <si>
    <t>Nant 3416081147</t>
  </si>
  <si>
    <t>541</t>
  </si>
  <si>
    <t>Gallardo 3416524707</t>
  </si>
  <si>
    <t>E-SIM Call-Callcenter</t>
  </si>
  <si>
    <t>De Marco 3417207306</t>
  </si>
  <si>
    <t>Balmaceda 3415774082</t>
  </si>
  <si>
    <t>Ortega 3412018856</t>
  </si>
  <si>
    <t>Reyes 3416811203</t>
  </si>
  <si>
    <t>Narduzzi 3415617987</t>
  </si>
  <si>
    <t>Ruesca 3412815526</t>
  </si>
  <si>
    <t>Godoy 9993732246</t>
  </si>
  <si>
    <t>Cebunar 3413370999</t>
  </si>
  <si>
    <t>Spalletta 3415850805</t>
  </si>
  <si>
    <t>De Girolami 3413439830</t>
  </si>
  <si>
    <t>Roldan 3476201021</t>
  </si>
  <si>
    <t>Zabaleta 3416512206</t>
  </si>
  <si>
    <t>Grazioso 3413886434</t>
  </si>
  <si>
    <t>Ovelar 3415833317</t>
  </si>
  <si>
    <t>Stanich 3465505747</t>
  </si>
  <si>
    <t>Chacon, Hernan</t>
  </si>
  <si>
    <t>542</t>
  </si>
  <si>
    <t>Bonavera 3413418734</t>
  </si>
  <si>
    <t>0334</t>
  </si>
  <si>
    <t>Leguizamon 3415459908</t>
  </si>
  <si>
    <t>tc-cti $298199.91</t>
  </si>
  <si>
    <t>Rodriguez 3413825123</t>
  </si>
  <si>
    <t>NEXYPO</t>
  </si>
  <si>
    <t>N7MYOL</t>
  </si>
  <si>
    <t>Roman 3413410286</t>
  </si>
  <si>
    <t>Leiva 3412633522</t>
  </si>
  <si>
    <t>Ayala 3413002621</t>
  </si>
  <si>
    <t>Algañaras 3412800997</t>
  </si>
  <si>
    <t>Botero 3413189638</t>
  </si>
  <si>
    <t>Amadori 3415018444</t>
  </si>
  <si>
    <t>tc-cti $499999</t>
  </si>
  <si>
    <t>Cremona 3412719927</t>
  </si>
  <si>
    <t>Transferencia Emar</t>
  </si>
  <si>
    <t>snicolas</t>
  </si>
  <si>
    <t>Ferreyra 3413269067</t>
  </si>
  <si>
    <t>Transfer Instaladora</t>
  </si>
  <si>
    <t>Retriró Renso</t>
  </si>
  <si>
    <t>Althaus 3412506079</t>
  </si>
  <si>
    <t>Bianchi 3416463689</t>
  </si>
  <si>
    <t>Nuñez 3416479937</t>
  </si>
  <si>
    <t>Aviles 3412010688</t>
  </si>
  <si>
    <t>UOCRA</t>
  </si>
  <si>
    <t>Retriró Claudio</t>
  </si>
  <si>
    <t>Petracco 3413537520</t>
  </si>
  <si>
    <t>Rosa 3476649758</t>
  </si>
  <si>
    <t>0363</t>
  </si>
  <si>
    <t>Supichatti 3413185415</t>
  </si>
  <si>
    <t>Gamarra 3416485838</t>
  </si>
  <si>
    <t>Bulgheroni 9993825310</t>
  </si>
  <si>
    <t>Jalusso 3413045376</t>
  </si>
  <si>
    <t>Brusutti 3416486486</t>
  </si>
  <si>
    <t>547</t>
  </si>
  <si>
    <t>Fichera 3416530290</t>
  </si>
  <si>
    <t>Damanis 3416675837</t>
  </si>
  <si>
    <t>548</t>
  </si>
  <si>
    <t>$8000 1cta.</t>
  </si>
  <si>
    <t>Zalatel 3413226240</t>
  </si>
  <si>
    <t>Hazzi 3476305360</t>
  </si>
  <si>
    <t>Oliveri 3416808489</t>
  </si>
  <si>
    <t>Gonzalez 3415450939</t>
  </si>
  <si>
    <t>Reyes 3412700820</t>
  </si>
  <si>
    <t>Guidetti 3416809931</t>
  </si>
  <si>
    <t>E-SIM Línea nueva</t>
  </si>
  <si>
    <t>Rivero 3416810048</t>
  </si>
  <si>
    <t>Perla 3476567603</t>
  </si>
  <si>
    <t>Ebenegger 3415635683</t>
  </si>
  <si>
    <t>Garbuglia 3412472615</t>
  </si>
  <si>
    <t xml:space="preserve">E-sim </t>
  </si>
  <si>
    <t>Lenziza 3416810836</t>
  </si>
  <si>
    <t>549</t>
  </si>
  <si>
    <t>550</t>
  </si>
  <si>
    <t>551</t>
  </si>
  <si>
    <t>Marbach 3413767590</t>
  </si>
  <si>
    <t>Diaz 3416811480</t>
  </si>
  <si>
    <t>Perez 3416811544</t>
  </si>
  <si>
    <t>tc-cti $299999</t>
  </si>
  <si>
    <t>554</t>
  </si>
  <si>
    <t>Molina 3436575225</t>
  </si>
  <si>
    <t>Yañez 3476213287</t>
  </si>
  <si>
    <t>Lesce 3412805860</t>
  </si>
  <si>
    <t>Verdun 3476342364</t>
  </si>
  <si>
    <t>Gomez 3416524077</t>
  </si>
  <si>
    <t>0335</t>
  </si>
  <si>
    <t>Paloma 3416672889</t>
  </si>
  <si>
    <t>Cabral 3412852999</t>
  </si>
  <si>
    <t>555</t>
  </si>
  <si>
    <t>Lambertucci 3413710714</t>
  </si>
  <si>
    <t>Zacarias, Rubi</t>
  </si>
  <si>
    <t>Mena 1165730037</t>
  </si>
  <si>
    <t>Mena 3416159433</t>
  </si>
  <si>
    <t>Mena 3416232133</t>
  </si>
  <si>
    <t>Ortiz 3416228856</t>
  </si>
  <si>
    <t>5172</t>
  </si>
  <si>
    <t>Fernandez 3416236843</t>
  </si>
  <si>
    <t>Martinengo 3415915964</t>
  </si>
  <si>
    <t>Rossi 3417426438</t>
  </si>
  <si>
    <t>Rossi 3417426443</t>
  </si>
  <si>
    <t>Gasparetti 3476604096</t>
  </si>
  <si>
    <t>Redolfi 3416177404</t>
  </si>
  <si>
    <t>Crosa 3415909669</t>
  </si>
  <si>
    <t>tc-cti $199999</t>
  </si>
  <si>
    <t>Coronel 316989149</t>
  </si>
  <si>
    <t>Bejarano 3417445428</t>
  </si>
  <si>
    <t>ibañez 3413493051</t>
  </si>
  <si>
    <t>Alvarez 3417446293</t>
  </si>
  <si>
    <t>Viviescas 3413437048</t>
  </si>
  <si>
    <t>Diaz, Carlos Alejandro</t>
  </si>
  <si>
    <t>Diaz 3417490767</t>
  </si>
  <si>
    <t>Barbiera 3416679746</t>
  </si>
  <si>
    <t>Ruiz 3417448924</t>
  </si>
  <si>
    <t>Rivilli 3417448963</t>
  </si>
  <si>
    <t>Mateos, Federico</t>
  </si>
  <si>
    <t>Spoto 3413353252</t>
  </si>
  <si>
    <t>Patermo 3412634972</t>
  </si>
  <si>
    <t>Martinez 341555952</t>
  </si>
  <si>
    <t>Montenos 3413187229</t>
  </si>
  <si>
    <t>Taborda 3476436649</t>
  </si>
  <si>
    <t>Astudillo 3416350488</t>
  </si>
  <si>
    <t>Valentini 3412477642</t>
  </si>
  <si>
    <t>Van tuyne 3416720929</t>
  </si>
  <si>
    <t>Hermoza 3412142006</t>
  </si>
  <si>
    <t>Salazar 3415484925</t>
  </si>
  <si>
    <t>Tejeda 3415839571</t>
  </si>
  <si>
    <t>Arrizabalo 3412146654</t>
  </si>
  <si>
    <t>Ortiz 3476591801</t>
  </si>
  <si>
    <t>0336</t>
  </si>
  <si>
    <t>Gauna 3417509360</t>
  </si>
  <si>
    <t>Scassa 3415208008</t>
  </si>
  <si>
    <t>Beltramino 3412285575</t>
  </si>
  <si>
    <t>Alvarez 3412733987</t>
  </si>
  <si>
    <t>558</t>
  </si>
  <si>
    <t>Ovando 3412746557</t>
  </si>
  <si>
    <t>Ferretti 3417537939</t>
  </si>
  <si>
    <t>Edith 3415044327</t>
  </si>
  <si>
    <t>Giraldi 3417445871</t>
  </si>
  <si>
    <t>Salas 3415811036</t>
  </si>
  <si>
    <t>Geary 3416742908</t>
  </si>
  <si>
    <t>Oliveti, Rodrigo</t>
  </si>
  <si>
    <t>amex</t>
  </si>
  <si>
    <t>559</t>
  </si>
  <si>
    <t>$23575,00 1cta.</t>
  </si>
  <si>
    <t>0538</t>
  </si>
  <si>
    <t>Seilhan 3412831957</t>
  </si>
  <si>
    <t>Gonzalez 3413417822</t>
  </si>
  <si>
    <t>Genez 3413116981</t>
  </si>
  <si>
    <t>tc-cti $272999</t>
  </si>
  <si>
    <t>560</t>
  </si>
  <si>
    <t>Altube 9994577076</t>
  </si>
  <si>
    <t>Se porta 2/6</t>
  </si>
  <si>
    <t>Castiglione, Noemí Graciela</t>
  </si>
  <si>
    <t>Mariconi 3415550006</t>
  </si>
  <si>
    <t>Barrios 3412138585</t>
  </si>
  <si>
    <t>Videla 3415810216</t>
  </si>
  <si>
    <t>Coen 9994583349</t>
  </si>
  <si>
    <t>Gomez 3413875678</t>
  </si>
  <si>
    <t>Gonzalez 3412735786</t>
  </si>
  <si>
    <t>Pujol 3417196229</t>
  </si>
  <si>
    <t>Fernandez, Pablo</t>
  </si>
  <si>
    <t>Trasnfer</t>
  </si>
  <si>
    <t>Minei 3413505644</t>
  </si>
  <si>
    <t>Rodriguez 3416811612</t>
  </si>
  <si>
    <t>Gonzalez 3413670871</t>
  </si>
  <si>
    <t>Pilliez 3413549357</t>
  </si>
  <si>
    <t>Martinez3416458640</t>
  </si>
  <si>
    <t>Ibarra 3436462621</t>
  </si>
  <si>
    <t>Chavez 3416815725</t>
  </si>
  <si>
    <t>tc-cti $4425999</t>
  </si>
  <si>
    <t>Aguirre 3413883399</t>
  </si>
  <si>
    <t>Sanchez 3412751886</t>
  </si>
  <si>
    <t>Torres 3417416810</t>
  </si>
  <si>
    <t>Diviani 3413436434</t>
  </si>
  <si>
    <t>Moreno 3416659688</t>
  </si>
  <si>
    <t>Jambrina 3417566061</t>
  </si>
  <si>
    <t>Ponce 3416663933</t>
  </si>
  <si>
    <t>5J8LQ</t>
  </si>
  <si>
    <t>561</t>
  </si>
  <si>
    <t>Merino 3476309370</t>
  </si>
  <si>
    <t>tc-cti $425999</t>
  </si>
  <si>
    <t>Ruiz 3413568354</t>
  </si>
  <si>
    <t>Ghone 3416149014</t>
  </si>
  <si>
    <t>Cardozo 3415150634</t>
  </si>
  <si>
    <t>Torres 3476547387</t>
  </si>
  <si>
    <t>Donatti 3416935120</t>
  </si>
  <si>
    <t>562</t>
  </si>
  <si>
    <t xml:space="preserve">Transfer sim </t>
  </si>
  <si>
    <t>0337</t>
  </si>
  <si>
    <t>Garcia 3415016311</t>
  </si>
  <si>
    <t>Serra 3417419992</t>
  </si>
  <si>
    <t>Dalinger 3415836150</t>
  </si>
  <si>
    <t>Fernandez 3412783594</t>
  </si>
  <si>
    <t>Villagomez 3417433519</t>
  </si>
  <si>
    <t>Acosta 3417465441</t>
  </si>
  <si>
    <t>Ovejero 3415529102</t>
  </si>
  <si>
    <t>Petracca 3415441865</t>
  </si>
  <si>
    <t>Maradona 3413402468</t>
  </si>
  <si>
    <t>Medina 3413844671</t>
  </si>
  <si>
    <t>Soroeta 9992991025</t>
  </si>
  <si>
    <t>Soroeta 9992991145</t>
  </si>
  <si>
    <t>Soroeta 9992992029</t>
  </si>
  <si>
    <t>Martin, Andres</t>
  </si>
  <si>
    <t>baf</t>
  </si>
  <si>
    <t>Facundo Elias Leiva</t>
  </si>
  <si>
    <t>Biñoli 3417457830</t>
  </si>
  <si>
    <t>Chaparro 3415994161</t>
  </si>
  <si>
    <t>Guglielmo 1160229462</t>
  </si>
  <si>
    <t>Vache 3415886684</t>
  </si>
  <si>
    <t>NADIA GODOY</t>
  </si>
  <si>
    <t>Irruta 3416168973</t>
  </si>
  <si>
    <t>Lopez 3417404308</t>
  </si>
  <si>
    <t>Figueroa 3416987445</t>
  </si>
  <si>
    <t>Santibañez 3413257234</t>
  </si>
  <si>
    <t>Valentini 3413191861</t>
  </si>
  <si>
    <t>Zehnder Eliana E y Zehnder Luciano A. S.H.</t>
  </si>
  <si>
    <t>Ameli 3415662841</t>
  </si>
  <si>
    <t>Simonetti 3413032043</t>
  </si>
  <si>
    <t>563</t>
  </si>
  <si>
    <t>Enriquez 9994611445</t>
  </si>
  <si>
    <t>Dominguez 3417463270</t>
  </si>
  <si>
    <t>Wild 3417463343</t>
  </si>
  <si>
    <t>Amado 9994616426</t>
  </si>
  <si>
    <t>Amado 9994616490</t>
  </si>
  <si>
    <t>Amado 9994616656</t>
  </si>
  <si>
    <t>Rojas 3412168135</t>
  </si>
  <si>
    <t>Dominguez 3417464278</t>
  </si>
  <si>
    <t>Flitter 3417478216</t>
  </si>
  <si>
    <t>Joansen 3417505174</t>
  </si>
  <si>
    <t>Bustamante 3413353963</t>
  </si>
  <si>
    <t>Lopez 3417477857</t>
  </si>
  <si>
    <t>Guitierrez 3417477860</t>
  </si>
  <si>
    <t>Werner 3417477900</t>
  </si>
  <si>
    <t>Echarren 3415318163</t>
  </si>
  <si>
    <t>Ratto 3415200322</t>
  </si>
  <si>
    <t>564</t>
  </si>
  <si>
    <t>Tibaldi 3413494830</t>
  </si>
  <si>
    <t>Torres 3413791629</t>
  </si>
  <si>
    <t>Salvatierra 3415992494</t>
  </si>
  <si>
    <t>Salva 3413029250</t>
  </si>
  <si>
    <t>52928</t>
  </si>
  <si>
    <t>$35815,28 QR 2cta.</t>
  </si>
  <si>
    <t>Gonzalez 3415780780</t>
  </si>
  <si>
    <t>tc-cti $340799</t>
  </si>
  <si>
    <t>Carey 3415456072</t>
  </si>
  <si>
    <t>Montes 3413468452</t>
  </si>
  <si>
    <t>Gonzalez 347653991</t>
  </si>
  <si>
    <t>568</t>
  </si>
  <si>
    <t>Vega 3415502924</t>
  </si>
  <si>
    <t>tc-cti $251999</t>
  </si>
  <si>
    <t>Taborda 3417514983</t>
  </si>
  <si>
    <t>Camafretta 3416239127</t>
  </si>
  <si>
    <t>Quinteros 34117478828</t>
  </si>
  <si>
    <t>Doria 3417477996</t>
  </si>
  <si>
    <t xml:space="preserve">PLUS LN </t>
  </si>
  <si>
    <t>0338</t>
  </si>
  <si>
    <t>Ramon 3416186742</t>
  </si>
  <si>
    <t>Salar 1151069424</t>
  </si>
  <si>
    <t>Gasparini 3415001504</t>
  </si>
  <si>
    <t>Sanchez 3415803084</t>
  </si>
  <si>
    <t>Yegros 1122719711</t>
  </si>
  <si>
    <t>Reserva BAF</t>
  </si>
  <si>
    <t>Retira Diego</t>
  </si>
  <si>
    <t>Francicchna 3412122150</t>
  </si>
  <si>
    <t>Schiffo 3417447858</t>
  </si>
  <si>
    <t>Romano 3417478885</t>
  </si>
  <si>
    <t>Savani 3413807685</t>
  </si>
  <si>
    <t>Olivieri 3417478907</t>
  </si>
  <si>
    <t>Elissetche 3415959837</t>
  </si>
  <si>
    <t>Garcia 3413480538</t>
  </si>
  <si>
    <t>Nuñez 3413210808</t>
  </si>
  <si>
    <t>Miter 2665126009</t>
  </si>
  <si>
    <t>Jorge 3412735360</t>
  </si>
  <si>
    <t>Ortiz 3482765758</t>
  </si>
  <si>
    <t>Gould 3413524146</t>
  </si>
  <si>
    <t>Agüero 3415021897</t>
  </si>
  <si>
    <t xml:space="preserve">DAWA </t>
  </si>
  <si>
    <t>Agua instaladora</t>
  </si>
  <si>
    <t>Biglione 3415057665</t>
  </si>
  <si>
    <t>Paterno 3415775660</t>
  </si>
  <si>
    <t>Sarmiento 3416567797</t>
  </si>
  <si>
    <t>Medina 3412813806</t>
  </si>
  <si>
    <t>Fernandez 3412790863</t>
  </si>
  <si>
    <t>Robledo 3416877075</t>
  </si>
  <si>
    <t>Ripoll 3417479561</t>
  </si>
  <si>
    <t>Piozzi 3415405031</t>
  </si>
  <si>
    <t>Piozzi 3415408533</t>
  </si>
  <si>
    <t>Rodriguez 3417479563</t>
  </si>
  <si>
    <t>BRUFMAN HERNAN GUILLERMO</t>
  </si>
  <si>
    <t>naranja</t>
  </si>
  <si>
    <t>570</t>
  </si>
  <si>
    <t>$10752,50 1 cta.</t>
  </si>
  <si>
    <t>Merele 3415080535</t>
  </si>
  <si>
    <t>tc-cti $599999</t>
  </si>
  <si>
    <t>Cerdan 3415614789</t>
  </si>
  <si>
    <t>Ferrero 3412826711</t>
  </si>
  <si>
    <t>Sudar 3416530889</t>
  </si>
  <si>
    <t>Blanco 3413435481</t>
  </si>
  <si>
    <t>Pagliano 3413486997</t>
  </si>
  <si>
    <t xml:space="preserve">Transfer  </t>
  </si>
  <si>
    <t>Lopez 3416688135</t>
  </si>
  <si>
    <t>Lopez 3415201373</t>
  </si>
  <si>
    <t>Juncos 3417480291</t>
  </si>
  <si>
    <t>Osuna 3417480291</t>
  </si>
  <si>
    <t>Colonese 3413539949</t>
  </si>
  <si>
    <t>Cerchiara 3415604266</t>
  </si>
  <si>
    <t>Acosta 3412810002</t>
  </si>
  <si>
    <t>Moriconi 3416548068</t>
  </si>
  <si>
    <t>WALTER MALDONADO</t>
  </si>
  <si>
    <t>Pellizer 3412736962</t>
  </si>
  <si>
    <t>Mastronardi 3415777361</t>
  </si>
  <si>
    <t>Buffa 3476209109</t>
  </si>
  <si>
    <t>Fabbro 3417480497</t>
  </si>
  <si>
    <t>tc-cti $349999</t>
  </si>
  <si>
    <t>Franco 9993227319</t>
  </si>
  <si>
    <t>Mendez 3417480503</t>
  </si>
  <si>
    <t>tc-cti $146699,01</t>
  </si>
  <si>
    <t>Mendez 3417480508</t>
  </si>
  <si>
    <t>Lopez 3417458754</t>
  </si>
  <si>
    <t>Morel 3416047203</t>
  </si>
  <si>
    <t>Palena 3465592325</t>
  </si>
  <si>
    <t>Palena 3417480511</t>
  </si>
  <si>
    <t>Figueroa 3417480518</t>
  </si>
  <si>
    <t>E-SIM linea nueva</t>
  </si>
  <si>
    <t>Cabrera 3417491978</t>
  </si>
  <si>
    <t>Almaraz 9993254843</t>
  </si>
  <si>
    <t>Vasquez 9993254903</t>
  </si>
  <si>
    <t>Guzman 3413608320</t>
  </si>
  <si>
    <t>Valdez 3364240397</t>
  </si>
  <si>
    <t>Valdez 3364240739</t>
  </si>
  <si>
    <t>Picon 3413428960</t>
  </si>
  <si>
    <t>Solarski 3417480538</t>
  </si>
  <si>
    <t>tc-cti $169999,01</t>
  </si>
  <si>
    <t>Blanco 3417480542</t>
  </si>
  <si>
    <t>Bertone 3415324679</t>
  </si>
  <si>
    <t>Lozano 3413923999</t>
  </si>
  <si>
    <t>Vargas 3476304534</t>
  </si>
  <si>
    <t>571</t>
  </si>
  <si>
    <t>572</t>
  </si>
  <si>
    <t>$18962,50 1cta.</t>
  </si>
  <si>
    <t>573</t>
  </si>
  <si>
    <t>Haidar 9993255936</t>
  </si>
  <si>
    <t>Rodriguez 3412143410</t>
  </si>
  <si>
    <t>Cadile 3412201725</t>
  </si>
  <si>
    <t>Temporetti 3415969593</t>
  </si>
  <si>
    <t>Montiel 3417480590</t>
  </si>
  <si>
    <t>Mosconi 3417480595</t>
  </si>
  <si>
    <t>574</t>
  </si>
  <si>
    <t>Verdun 3413572065</t>
  </si>
  <si>
    <t>Escobar 3417480608</t>
  </si>
  <si>
    <t>Manara 3416591817</t>
  </si>
  <si>
    <t>FALLÓ E-SIM - NO SE COBRA</t>
  </si>
  <si>
    <t>Quiroga 3415858259</t>
  </si>
  <si>
    <t>Pizza 3416945412</t>
  </si>
  <si>
    <t>Carabajal 3417480680</t>
  </si>
  <si>
    <t>Flores 3412125234</t>
  </si>
  <si>
    <t>Flores3417480689</t>
  </si>
  <si>
    <t>Flores 3417480689</t>
  </si>
  <si>
    <t>Latasa 3417480702</t>
  </si>
  <si>
    <t>Latasa 3417480704</t>
  </si>
  <si>
    <t>Ferraro 3413513881</t>
  </si>
  <si>
    <t>Pichetto 3413025673</t>
  </si>
  <si>
    <t>Barrios 3407405676</t>
  </si>
  <si>
    <t>Fernandez 3413262769</t>
  </si>
  <si>
    <t>Fernandez 3413493363</t>
  </si>
  <si>
    <t>579</t>
  </si>
  <si>
    <t>580</t>
  </si>
  <si>
    <t>Betti 34154005122</t>
  </si>
  <si>
    <t>Acosta 3417811385</t>
  </si>
  <si>
    <t>Noguera 3417490556</t>
  </si>
  <si>
    <t>Reserva UOCRA</t>
  </si>
  <si>
    <t>0339</t>
  </si>
  <si>
    <t>Barranco 3413884153</t>
  </si>
  <si>
    <t>tc-cti $146699.01</t>
  </si>
  <si>
    <t>Barranco 3417484234</t>
  </si>
  <si>
    <t>Goldin 3416491459</t>
  </si>
  <si>
    <t>Nievas 9993830158</t>
  </si>
  <si>
    <t>Albertengo 3415094419</t>
  </si>
  <si>
    <t>Mansilla 3416444008</t>
  </si>
  <si>
    <t>Altamiranda 9993839575</t>
  </si>
  <si>
    <t>Altamiranda 9993839592</t>
  </si>
  <si>
    <t>Perez 3417458836</t>
  </si>
  <si>
    <t>581</t>
  </si>
  <si>
    <t>Pepe 3415140301</t>
  </si>
  <si>
    <t>Bravo 3417485077</t>
  </si>
  <si>
    <t>Prato 3413522407</t>
  </si>
  <si>
    <t>Acosta 3413939028</t>
  </si>
  <si>
    <t>Perez 3415979683</t>
  </si>
  <si>
    <t>Cocero 3415321082</t>
  </si>
  <si>
    <t>Chavez 3412592864</t>
  </si>
  <si>
    <t>Valerio 34133291210</t>
  </si>
  <si>
    <t>Aguirre 3413838397</t>
  </si>
  <si>
    <t>Rivas 3412149872</t>
  </si>
  <si>
    <t>Castellani 3417488379</t>
  </si>
  <si>
    <t>Molinatto 3417488380</t>
  </si>
  <si>
    <t>franco bernardina</t>
  </si>
  <si>
    <t>Fernandez 3413550320</t>
  </si>
  <si>
    <t>Hemadi 3413196225</t>
  </si>
  <si>
    <t>585</t>
  </si>
  <si>
    <t>Menacho 3415791958</t>
  </si>
  <si>
    <t>Prado 3416698876</t>
  </si>
  <si>
    <t>Carnavale 3412714179</t>
  </si>
  <si>
    <t>Franco 3415763005</t>
  </si>
  <si>
    <t>Kloster 3415819596</t>
  </si>
  <si>
    <t>$9737,50 1cta.</t>
  </si>
  <si>
    <t>Lopez 3415401520</t>
  </si>
  <si>
    <t>Ayala 3412711408</t>
  </si>
  <si>
    <t>Rearte 3476373288</t>
  </si>
  <si>
    <t>Tapari 3412171789</t>
  </si>
  <si>
    <t>Santana 9993057170</t>
  </si>
  <si>
    <t>02/07</t>
  </si>
  <si>
    <t>Suarez 3412152367</t>
  </si>
  <si>
    <t>589</t>
  </si>
  <si>
    <t>Chiacchiera 3413081298</t>
  </si>
  <si>
    <t>Rosenburt 1127210785</t>
  </si>
  <si>
    <t>Vega 3476371251</t>
  </si>
  <si>
    <t>Cueto 3412176084</t>
  </si>
  <si>
    <t>Ruiz 3413363923</t>
  </si>
  <si>
    <t>Marcos 3412163411</t>
  </si>
  <si>
    <t>Dure 3415644131</t>
  </si>
  <si>
    <t>Dueguez 3413876818</t>
  </si>
  <si>
    <t>Paviatto 3413993110</t>
  </si>
  <si>
    <t>Ventola 3412165217</t>
  </si>
  <si>
    <t>590</t>
  </si>
  <si>
    <t>Tobaros 3415823573</t>
  </si>
  <si>
    <t>Martorell 3416813510</t>
  </si>
  <si>
    <t>Isaural 3412533153</t>
  </si>
  <si>
    <t>Tobozo 3413842159</t>
  </si>
  <si>
    <t>Gliosci 3416678898</t>
  </si>
  <si>
    <t>Sanchez 3413098697</t>
  </si>
  <si>
    <t>Ladner 3412571746</t>
  </si>
  <si>
    <t>Vittori 3412726197</t>
  </si>
  <si>
    <t>Puchot 3417452803</t>
  </si>
  <si>
    <t>Ibarra 3415640800</t>
  </si>
  <si>
    <t>tc-cti $499999,01</t>
  </si>
  <si>
    <t>Zarate 3417453099</t>
  </si>
  <si>
    <t>VIrtual</t>
  </si>
  <si>
    <t>Alvarez 3412544062</t>
  </si>
  <si>
    <t>Müller 3415713207</t>
  </si>
  <si>
    <t>LEANDRO ISMAEL ALMARA</t>
  </si>
  <si>
    <t>Casas Acuña, Tomás</t>
  </si>
  <si>
    <t>Aguinaldo de comisiones</t>
  </si>
  <si>
    <t>Ezequiel</t>
  </si>
  <si>
    <t>Ramiro</t>
  </si>
  <si>
    <t>Alex</t>
  </si>
  <si>
    <t>0614</t>
  </si>
  <si>
    <t>Supermercado</t>
  </si>
  <si>
    <t>Gabutti 3412141488</t>
  </si>
  <si>
    <t>Pedemonte 3413157227</t>
  </si>
  <si>
    <t>Terrazzino 3412753613</t>
  </si>
  <si>
    <t>Crosio 3412600669</t>
  </si>
  <si>
    <t>Moreno 3416469649</t>
  </si>
  <si>
    <t>Moreno 3412661957</t>
  </si>
  <si>
    <t>Piedrabuena 3413530715</t>
  </si>
  <si>
    <t>Baduco 3413530715</t>
  </si>
  <si>
    <t>Pereira 3413530735</t>
  </si>
  <si>
    <t>Muller 3415713207</t>
  </si>
  <si>
    <t>Morinigo 3415147382</t>
  </si>
  <si>
    <t>Figueroa 3413804293</t>
  </si>
  <si>
    <t>Simic 3412121143</t>
  </si>
  <si>
    <t>Rosso 3415990763</t>
  </si>
  <si>
    <t>Razzetti 3415990763</t>
  </si>
  <si>
    <t>Garcia 3364001121</t>
  </si>
  <si>
    <t>Coca 3412835141</t>
  </si>
  <si>
    <t>Supichatti 3413788159</t>
  </si>
  <si>
    <t xml:space="preserve"> Sara Cruz Casafú </t>
  </si>
  <si>
    <t>Amadori, Enzo Alesandro</t>
  </si>
  <si>
    <t>Haidar 3416296205</t>
  </si>
  <si>
    <t>Vergara 3416817801</t>
  </si>
  <si>
    <t>Gonzalez 3413710590</t>
  </si>
  <si>
    <t>Taborda 3417796312</t>
  </si>
  <si>
    <t>594</t>
  </si>
  <si>
    <t>Gonzalez 9993919081</t>
  </si>
  <si>
    <t>01/07</t>
  </si>
  <si>
    <t>Milone 3415056319</t>
  </si>
  <si>
    <t>Locatelli 9993919436</t>
  </si>
  <si>
    <t>Caro 3416819049</t>
  </si>
  <si>
    <t>Rojas 3364276817</t>
  </si>
  <si>
    <t>Ciesco 3416770409</t>
  </si>
  <si>
    <t>Coria 3412535876</t>
  </si>
  <si>
    <t>Landriel 3468596559</t>
  </si>
  <si>
    <t>Aguirre 3415400533</t>
  </si>
  <si>
    <t>595</t>
  </si>
  <si>
    <t>Boj 3549473062</t>
  </si>
  <si>
    <t>Leiva 3402500261</t>
  </si>
  <si>
    <t>Castillo, Juan Carlos Adriano</t>
  </si>
  <si>
    <t>Acce Demo baf</t>
  </si>
  <si>
    <t>Plano 3415461598</t>
  </si>
  <si>
    <t>Sosa 3416722468</t>
  </si>
  <si>
    <t>Gallardo 3415646693</t>
  </si>
  <si>
    <t>Pucci 9993935572</t>
  </si>
  <si>
    <t>CANCELADO POR ARREPENTIMIENTO</t>
  </si>
  <si>
    <t>Fernandez 3413067835</t>
  </si>
  <si>
    <t>Dzuryk 3446388249</t>
  </si>
  <si>
    <t>4865</t>
  </si>
  <si>
    <t>proveedor</t>
  </si>
  <si>
    <t>Toloza 3416541816</t>
  </si>
  <si>
    <t>Toloza 3416667256</t>
  </si>
  <si>
    <t>Acce demo distri</t>
  </si>
  <si>
    <t>SAC</t>
  </si>
  <si>
    <t>Leon 3412849365</t>
  </si>
  <si>
    <t>Balbuena 3413118706</t>
  </si>
  <si>
    <t>Peralta 3417460567</t>
  </si>
  <si>
    <t>596</t>
  </si>
  <si>
    <t>$28187,55 1cta</t>
  </si>
  <si>
    <t>Carga virual</t>
  </si>
  <si>
    <t>Delgado 3413218589</t>
  </si>
  <si>
    <t>Delgado 34172556423</t>
  </si>
  <si>
    <t>Guerra Aguilar 3417442972</t>
  </si>
  <si>
    <t>Pomponio 3416031091</t>
  </si>
  <si>
    <t>Caccin 3413928156</t>
  </si>
  <si>
    <t>0658</t>
  </si>
  <si>
    <t>Cuadernillo</t>
  </si>
  <si>
    <t>Carrizo 3413899676</t>
  </si>
  <si>
    <t>Herrera 3412834195</t>
  </si>
  <si>
    <t>Espindola 3412247340</t>
  </si>
  <si>
    <t>Financiado 12 ctas.</t>
  </si>
  <si>
    <t>Digerolamo 3412123966</t>
  </si>
  <si>
    <t>Alan 3412120940</t>
  </si>
  <si>
    <t>Caceres 3415821030</t>
  </si>
  <si>
    <t>Perez 3416475240</t>
  </si>
  <si>
    <t>Luyngard 3415012045</t>
  </si>
  <si>
    <t>Ballo 3417458853</t>
  </si>
  <si>
    <t>Benitez 3415454485</t>
  </si>
  <si>
    <t>Botta 3415879536</t>
  </si>
  <si>
    <t>Gorosito 3415697408</t>
  </si>
  <si>
    <t>Diaz 3412006495</t>
  </si>
  <si>
    <t>0340</t>
  </si>
  <si>
    <t>Feltre 3412167799</t>
  </si>
  <si>
    <t>Mosqueira 3412169591</t>
  </si>
  <si>
    <t>Quintero 3412793058</t>
  </si>
  <si>
    <t>Cimolai, Pablo</t>
  </si>
  <si>
    <t>Martin 3412812001</t>
  </si>
  <si>
    <t>Agudo 3412743216</t>
  </si>
  <si>
    <t>Vera 3412744003</t>
  </si>
  <si>
    <t>Fernandez 3417482212</t>
  </si>
  <si>
    <t>Fernandez 3412744175</t>
  </si>
  <si>
    <t>Gonzalez, Estefania</t>
  </si>
  <si>
    <t>Morgante 9993918048</t>
  </si>
  <si>
    <t>Martinez 3415046365</t>
  </si>
  <si>
    <t>Ramirez 3416519380</t>
  </si>
  <si>
    <t>Ortiz 3413580003</t>
  </si>
  <si>
    <t>Neiman 3412745662</t>
  </si>
  <si>
    <t>tc-cti $195499,01</t>
  </si>
  <si>
    <t>Maydana 3415031870</t>
  </si>
  <si>
    <t>Irrazabal 3416099087</t>
  </si>
  <si>
    <t>598</t>
  </si>
  <si>
    <t>599</t>
  </si>
  <si>
    <t>$ 10762,50 1 cta.</t>
  </si>
  <si>
    <t>Gomez 3476643235</t>
  </si>
  <si>
    <t>Gasparetti 3476663647</t>
  </si>
  <si>
    <t>0395</t>
  </si>
  <si>
    <t>Agua Instaladora</t>
  </si>
  <si>
    <t xml:space="preserve">Dawa </t>
  </si>
  <si>
    <t>0394</t>
  </si>
  <si>
    <t>Osorio 3412284165</t>
  </si>
  <si>
    <t>Osorio 3416212225</t>
  </si>
  <si>
    <t>Vivas 3413755252</t>
  </si>
  <si>
    <t>Rojas 3415933238</t>
  </si>
  <si>
    <t>Planchez 99939650</t>
  </si>
  <si>
    <t>RECHAZA DONANTE</t>
  </si>
  <si>
    <t>Parenti, José Luis</t>
  </si>
  <si>
    <t>Vitali, Fernando</t>
  </si>
  <si>
    <t>Alegre 3415015815</t>
  </si>
  <si>
    <t>Gomez 3416185986</t>
  </si>
  <si>
    <t>Romano 3413005037</t>
  </si>
  <si>
    <t>Werner, Gisela Natalia</t>
  </si>
  <si>
    <t>Juarez 3415896972</t>
  </si>
  <si>
    <t>Cena 3483404719</t>
  </si>
  <si>
    <t>Cena 3417404903</t>
  </si>
  <si>
    <t>Ochoa 3417451375</t>
  </si>
  <si>
    <t>Cornejo 3416893141</t>
  </si>
  <si>
    <t>Perdomo 3417405165</t>
  </si>
  <si>
    <t>E-SIM - Línea nueva</t>
  </si>
  <si>
    <t>Perdomo 3417405128</t>
  </si>
  <si>
    <t>Nievas 1176055176</t>
  </si>
  <si>
    <t>Paez 3412711667</t>
  </si>
  <si>
    <t>Acosta 3416566127</t>
  </si>
  <si>
    <t>Battaglin 3417405513</t>
  </si>
  <si>
    <t>Viglianco 312726448</t>
  </si>
  <si>
    <t>Novelli 3415555717</t>
  </si>
  <si>
    <t>Vilches 3417534924</t>
  </si>
  <si>
    <t>Suarez 3412813571</t>
  </si>
  <si>
    <t>Alvarez 3416286281</t>
  </si>
  <si>
    <t>Lopez 3417479932</t>
  </si>
  <si>
    <t>Poultroni 3417406308</t>
  </si>
  <si>
    <t>Poultroni 341740638</t>
  </si>
  <si>
    <t>600</t>
  </si>
  <si>
    <t>Dalmazzo 3416155370</t>
  </si>
  <si>
    <t>Gallo 3415461182</t>
  </si>
  <si>
    <t>Ochoa 3412722802</t>
  </si>
  <si>
    <t>Serenelli 3416815031</t>
  </si>
  <si>
    <t>Ledesma 3413261598</t>
  </si>
  <si>
    <t>Morgaste 3416642190</t>
  </si>
  <si>
    <t>Sanchez 3415043174</t>
  </si>
  <si>
    <t>Blanco 3417803639</t>
  </si>
  <si>
    <t>Bedin 3415877386</t>
  </si>
  <si>
    <t>Barrotti 3417410402</t>
  </si>
  <si>
    <t>3412743213</t>
  </si>
  <si>
    <t>Berrotti 3417410402</t>
  </si>
  <si>
    <t>Esim</t>
  </si>
  <si>
    <t>Lescano 3415470438</t>
  </si>
  <si>
    <t>Coria, Marisol</t>
  </si>
  <si>
    <t>Airasca, Carla</t>
  </si>
  <si>
    <t>Pavon 3413684774</t>
  </si>
  <si>
    <t>Escobedo 9993997208</t>
  </si>
  <si>
    <t>Garcia 3412179066</t>
  </si>
  <si>
    <t>Baggiolini 3415772199</t>
  </si>
  <si>
    <t>Suarez 3413011531</t>
  </si>
  <si>
    <t>Manrique 3415024992</t>
  </si>
  <si>
    <t>Peralta 3472467955</t>
  </si>
  <si>
    <t>Mendieta 3416225942</t>
  </si>
  <si>
    <t>Conde 3417456447</t>
  </si>
  <si>
    <t>Galucci 3417456463</t>
  </si>
  <si>
    <t>Murguia, Florencia</t>
  </si>
  <si>
    <t>0341</t>
  </si>
  <si>
    <t>601</t>
  </si>
  <si>
    <t>$31775 1cta.</t>
  </si>
  <si>
    <t>Morales 3415779088</t>
  </si>
  <si>
    <t>Godoy 3417443947</t>
  </si>
  <si>
    <t>Almada 3417494002</t>
  </si>
  <si>
    <t>Pederzini 3417494039</t>
  </si>
  <si>
    <t>Franetovich 3415206313</t>
  </si>
  <si>
    <t>Saez 3415449542</t>
  </si>
  <si>
    <t>Ferreyra 3412731524</t>
  </si>
  <si>
    <t>Grammonte 3412160753</t>
  </si>
  <si>
    <t>Sanchez 3413573259</t>
  </si>
  <si>
    <t>602</t>
  </si>
  <si>
    <t xml:space="preserve">Débito </t>
  </si>
  <si>
    <t>603</t>
  </si>
  <si>
    <t>Mendez 3415906049</t>
  </si>
  <si>
    <t>Escobedo 3415851370</t>
  </si>
  <si>
    <t>Diaz 3413891842</t>
  </si>
  <si>
    <t>Almiron, Carolina Paula</t>
  </si>
  <si>
    <t>604</t>
  </si>
  <si>
    <t>Cortez 3415818873</t>
  </si>
  <si>
    <t>Gimenez 3412733901</t>
  </si>
  <si>
    <t>Torres 3417232951</t>
  </si>
  <si>
    <t>Maldonado 3412740859</t>
  </si>
  <si>
    <t>Padilla 3416215083</t>
  </si>
  <si>
    <t>Farias 3412744436</t>
  </si>
  <si>
    <t>Gomez 3413576921</t>
  </si>
  <si>
    <t>Carni, Marcelo Daniel</t>
  </si>
  <si>
    <t>605</t>
  </si>
  <si>
    <t>$45612,5 1cta.</t>
  </si>
  <si>
    <t>Coulter 3413415291</t>
  </si>
  <si>
    <t>Rozas 3412646289</t>
  </si>
  <si>
    <t>tc-cti $62999</t>
  </si>
  <si>
    <t>Redondo 3415311860</t>
  </si>
  <si>
    <t>Olmedo 3476568973</t>
  </si>
  <si>
    <t>Alvarez 3416803724</t>
  </si>
  <si>
    <t>Venancio 3416233773</t>
  </si>
  <si>
    <t>Robles 3413050608</t>
  </si>
  <si>
    <t>Finanaciado 12ctas.</t>
  </si>
  <si>
    <t>Superti 3412759602</t>
  </si>
  <si>
    <t>Gutierrez 3412771529</t>
  </si>
  <si>
    <t>Zapata 3415924337</t>
  </si>
  <si>
    <t>Balbuena 341672309</t>
  </si>
  <si>
    <t>Cariello 341594741</t>
  </si>
  <si>
    <t>0342</t>
  </si>
  <si>
    <t>Taboada 3412163649</t>
  </si>
  <si>
    <t>Fontana 3417494513</t>
  </si>
  <si>
    <t>Ruiz 3412776140</t>
  </si>
  <si>
    <t>Velazque 3413814693</t>
  </si>
  <si>
    <t>Macchiavelli 3417496008</t>
  </si>
  <si>
    <t>Tolmer 3413100855</t>
  </si>
  <si>
    <t>Tolmer 3417497258</t>
  </si>
  <si>
    <t>Transfer SIMS Corrientes</t>
  </si>
  <si>
    <t>Retiró Charly</t>
  </si>
  <si>
    <t>Bouno 3415780241</t>
  </si>
  <si>
    <t>Soriano 3416869597</t>
  </si>
  <si>
    <t>Marilin 3415521193</t>
  </si>
  <si>
    <t>Acevedo 3413412302</t>
  </si>
  <si>
    <t>Ojeda 3415504089</t>
  </si>
  <si>
    <t>aguirre 3415508588</t>
  </si>
  <si>
    <t>Bonino 3417497813</t>
  </si>
  <si>
    <t>Ramirez, Natali Susana</t>
  </si>
  <si>
    <t>Chaparro 3412475142</t>
  </si>
  <si>
    <t>Espil 3417498424</t>
  </si>
  <si>
    <t>Lopez 3412687603</t>
  </si>
  <si>
    <t>Romero 3415505184</t>
  </si>
  <si>
    <t>Peralta 3417498473</t>
  </si>
  <si>
    <t>Peralta 3416614738</t>
  </si>
  <si>
    <t>Cañete 3413050867</t>
  </si>
  <si>
    <t>Gonzalez 3417499940</t>
  </si>
  <si>
    <t>Chavez 3416877181</t>
  </si>
  <si>
    <t>Ferrero 3417499967</t>
  </si>
  <si>
    <t>Mangino 3465480429</t>
  </si>
  <si>
    <t>Gonzalez 3412155131</t>
  </si>
  <si>
    <t>Bellantig 3412105914</t>
  </si>
  <si>
    <t>Salvatierra 3417500144</t>
  </si>
  <si>
    <t>Romano 3476307482</t>
  </si>
  <si>
    <t>Ortiz 3412745026</t>
  </si>
  <si>
    <t>Financiado 9 ctas.</t>
  </si>
  <si>
    <t>Pernia 3413536507</t>
  </si>
  <si>
    <t>Silva 3415790542</t>
  </si>
  <si>
    <t>Palma 9993371608</t>
  </si>
  <si>
    <t>Aún 3417505688</t>
  </si>
  <si>
    <t>Canaves 3415782799</t>
  </si>
  <si>
    <t>tc-cti $151199,01</t>
  </si>
  <si>
    <t>Silvera 3476306565</t>
  </si>
  <si>
    <t>Bauer 9993219695</t>
  </si>
  <si>
    <t>Rodriguez 9993221698</t>
  </si>
  <si>
    <t>Acebedo, Joana</t>
  </si>
  <si>
    <t>Parrone 3417505759</t>
  </si>
  <si>
    <t>Castro 3413052883</t>
  </si>
  <si>
    <t>Lopez 3417451406</t>
  </si>
  <si>
    <t>Britos 3412792544</t>
  </si>
  <si>
    <t>Diferencia aguinaldo de comisiones</t>
  </si>
  <si>
    <t>Aguilar 3413650053</t>
  </si>
  <si>
    <t>Eusebio 3412169856</t>
  </si>
  <si>
    <t>Perez 3412665936</t>
  </si>
  <si>
    <t>tc-cti $220798,85</t>
  </si>
  <si>
    <t>Galasso 3417505782</t>
  </si>
  <si>
    <t>Villafaña 3413434593</t>
  </si>
  <si>
    <t>Sito 3417513322</t>
  </si>
  <si>
    <t>Sclavi 3415904030</t>
  </si>
  <si>
    <t>Pereyra 3417513464</t>
  </si>
  <si>
    <t>Castañera 3417513468</t>
  </si>
  <si>
    <t>Torres3417416810</t>
  </si>
  <si>
    <t>Lopez 3412533083</t>
  </si>
  <si>
    <t>Dufour 3412157943</t>
  </si>
  <si>
    <t>tc-cti $549999</t>
  </si>
  <si>
    <t>Escalada 3415641329</t>
  </si>
  <si>
    <t>Saita 3415149983</t>
  </si>
  <si>
    <t>tc-cti $292499,01</t>
  </si>
  <si>
    <t>606</t>
  </si>
  <si>
    <t>607</t>
  </si>
  <si>
    <t>608</t>
  </si>
  <si>
    <t>609</t>
  </si>
  <si>
    <t>Gonzalez 3476408036</t>
  </si>
  <si>
    <t>Wardoloff 9993010292</t>
  </si>
  <si>
    <t>Binaghi 3415057448</t>
  </si>
  <si>
    <t>tc-cti $275399,11</t>
  </si>
  <si>
    <t>Binaghi 3415498914</t>
  </si>
  <si>
    <t>tc-cti $229499,11</t>
  </si>
  <si>
    <t>Sabella 3412471423</t>
  </si>
  <si>
    <t>Perez 3413504348</t>
  </si>
  <si>
    <t>Espindola 3413358848</t>
  </si>
  <si>
    <t>tc-cti $132499,01</t>
  </si>
  <si>
    <t>Tofanelli 3416852787</t>
  </si>
  <si>
    <t>Castañeda 3412544487</t>
  </si>
  <si>
    <t>Flamini 3412113875</t>
  </si>
  <si>
    <t>0776</t>
  </si>
  <si>
    <t>Di Sapio 3417513770</t>
  </si>
  <si>
    <t>Boschetti 3412704132</t>
  </si>
  <si>
    <t>Mariotti 9993030569</t>
  </si>
  <si>
    <t>Lorenza, Acosta Navarro</t>
  </si>
  <si>
    <t>Tuttolomondo 3415861570</t>
  </si>
  <si>
    <t xml:space="preserve">Grimao, Shaiel </t>
  </si>
  <si>
    <t>Di pego 3415647452</t>
  </si>
  <si>
    <t>Allely 9993037345</t>
  </si>
  <si>
    <t>Bordon 3412718447</t>
  </si>
  <si>
    <t>Bordon 3416382815</t>
  </si>
  <si>
    <t>Altamiranda 3416566593</t>
  </si>
  <si>
    <t>610</t>
  </si>
  <si>
    <t>611</t>
  </si>
  <si>
    <t>Villa 3413740989</t>
  </si>
  <si>
    <t>Alcala 2473456607</t>
  </si>
  <si>
    <t>Alcala 2473462339</t>
  </si>
  <si>
    <t>Seisas 3415425314</t>
  </si>
  <si>
    <t>Mattos 3417414407</t>
  </si>
  <si>
    <t>Brak 9993040725</t>
  </si>
  <si>
    <t>3412508010 - ACTIVADO NRO PORTADO</t>
  </si>
  <si>
    <t>Quiroga 3417807700</t>
  </si>
  <si>
    <t>Alvarez 3412834753</t>
  </si>
  <si>
    <t>Arias 3413395825</t>
  </si>
  <si>
    <t>613</t>
  </si>
  <si>
    <t>Romero 3416442652</t>
  </si>
  <si>
    <t>tc-cti $589999</t>
  </si>
  <si>
    <t>Pichin 3412800372</t>
  </si>
  <si>
    <t>Oneto 3412791868</t>
  </si>
  <si>
    <t>Molina 3416673557</t>
  </si>
  <si>
    <t>tc-cti $117359,1</t>
  </si>
  <si>
    <t>Molina 9993041137</t>
  </si>
  <si>
    <t>3412420725 - ACTIVADO NRO PORTADO</t>
  </si>
  <si>
    <t>Oyola 3416674398</t>
  </si>
  <si>
    <t>614</t>
  </si>
  <si>
    <t>0343</t>
  </si>
  <si>
    <t>Muñoz 3412160588</t>
  </si>
  <si>
    <t>615</t>
  </si>
  <si>
    <t>Morales 3415899145</t>
  </si>
  <si>
    <t>Kelm 3476300714</t>
  </si>
  <si>
    <t>tc-cti $351898,86</t>
  </si>
  <si>
    <t>Moretto 3417522366</t>
  </si>
  <si>
    <t>Mansilla 3413977570</t>
  </si>
  <si>
    <t>Giolito 3413754230</t>
  </si>
  <si>
    <t>Carni 3416015378</t>
  </si>
  <si>
    <t>Paz 3412155242</t>
  </si>
  <si>
    <t>Lapalma 3412033556</t>
  </si>
  <si>
    <t>tc-cti $310498,85</t>
  </si>
  <si>
    <t>Caceres 3412664916</t>
  </si>
  <si>
    <t>Verdejo 3416132074</t>
  </si>
  <si>
    <t>Levalle 3413900430</t>
  </si>
  <si>
    <t>Ramon 3416680944</t>
  </si>
  <si>
    <t>Giaccone 3564332901</t>
  </si>
  <si>
    <t>Ramirez 3413189871</t>
  </si>
  <si>
    <t>Fleita 3412120544</t>
  </si>
  <si>
    <t>Giannetti 3413011961</t>
  </si>
  <si>
    <t>Trujillo 3417799622</t>
  </si>
  <si>
    <t>Paez 3417799625</t>
  </si>
  <si>
    <t>Boggio 3417799628</t>
  </si>
  <si>
    <t>Torres 3415716049</t>
  </si>
  <si>
    <t>Areses 3417476861</t>
  </si>
  <si>
    <t>mig</t>
  </si>
  <si>
    <t>ACTIVO</t>
  </si>
  <si>
    <t>Nuñez 3413907710</t>
  </si>
  <si>
    <t>tc-cti $528998,86</t>
  </si>
  <si>
    <t>Solis 3415824868</t>
  </si>
  <si>
    <t>Bonelli 3417499949</t>
  </si>
  <si>
    <t>Torres 3412836767</t>
  </si>
  <si>
    <t>Tonarelli 3417523958</t>
  </si>
  <si>
    <t>Ibañez 3413493051</t>
  </si>
  <si>
    <t>Bauduccio 3412160751</t>
  </si>
  <si>
    <t>tc-cti $280799,11</t>
  </si>
  <si>
    <t>Caviglioli 3412037817</t>
  </si>
  <si>
    <t>Orué 3412037817</t>
  </si>
  <si>
    <t>Escobar 3412702671</t>
  </si>
  <si>
    <t>Valdez 3415917430</t>
  </si>
  <si>
    <t>Acosta 3417802433</t>
  </si>
  <si>
    <t>Prat 3417799778</t>
  </si>
  <si>
    <t>Secchi 3476508737</t>
  </si>
  <si>
    <t>Obregon 3415146975</t>
  </si>
  <si>
    <t>Romano 3417802471</t>
  </si>
  <si>
    <t>Benitez 3417562661</t>
  </si>
  <si>
    <t>Allely Mon 999317163</t>
  </si>
  <si>
    <t>3413064763 - ACTIVADO NRO PORTADO</t>
  </si>
  <si>
    <t>Trujillo, Matías Nicolas</t>
  </si>
  <si>
    <t>Cornaglia 3417802481</t>
  </si>
  <si>
    <t>Patane 3415693655</t>
  </si>
  <si>
    <t>Peñalba 3415150302</t>
  </si>
  <si>
    <t>Kolos 3413988964</t>
  </si>
  <si>
    <t>Antonio 3417802489</t>
  </si>
  <si>
    <t>622</t>
  </si>
  <si>
    <t>$41299,49 2ctas.</t>
  </si>
  <si>
    <t>Caceres 3416828118</t>
  </si>
  <si>
    <t>Godoy 3465433001</t>
  </si>
  <si>
    <t>Campos 3413678441</t>
  </si>
  <si>
    <t>Fre 3413051351</t>
  </si>
  <si>
    <t>623</t>
  </si>
  <si>
    <t>624</t>
  </si>
  <si>
    <t>Arroyo 3413905888</t>
  </si>
  <si>
    <t>Arroyo 3416667340</t>
  </si>
  <si>
    <t>orellano 3416581224</t>
  </si>
  <si>
    <t>Quiroga 3412151968</t>
  </si>
  <si>
    <t>0344</t>
  </si>
  <si>
    <t>Kolos 3416015857</t>
  </si>
  <si>
    <t>0414</t>
  </si>
  <si>
    <t>0415</t>
  </si>
  <si>
    <t>Fernandez 3416356215</t>
  </si>
  <si>
    <t>Moran 3417806935</t>
  </si>
  <si>
    <t>Moran 3417402067</t>
  </si>
  <si>
    <t>tc-cti $136079,11</t>
  </si>
  <si>
    <t>Moran 3416356322</t>
  </si>
  <si>
    <t>3416356322 - ACTIVADO NRO PORTADO</t>
  </si>
  <si>
    <t>Traczuk 3416670120</t>
  </si>
  <si>
    <t>Desch 3416247731</t>
  </si>
  <si>
    <t>Camiros 3413985170</t>
  </si>
  <si>
    <t>Aguirre 3417806973</t>
  </si>
  <si>
    <t>Cardozo 3364280841</t>
  </si>
  <si>
    <t>tc-cti $344998,85</t>
  </si>
  <si>
    <t>Sosa 3412132509</t>
  </si>
  <si>
    <t>Samaniego 3412520759</t>
  </si>
  <si>
    <t>Di Salvo 9993156798</t>
  </si>
  <si>
    <t>3416021134 - ACTIVADO NRO PORTADO</t>
  </si>
  <si>
    <t>Miriani 3413500269</t>
  </si>
  <si>
    <t>Narvaez 3415790026</t>
  </si>
  <si>
    <t>Gonzalez 3412008843</t>
  </si>
  <si>
    <t>Maragliano 3412137322</t>
  </si>
  <si>
    <t>tc-cti $268798,81</t>
  </si>
  <si>
    <t>656</t>
  </si>
  <si>
    <t>Navarro 9993166510</t>
  </si>
  <si>
    <t>3416856853 - ACTIVADO NRO PORTADO</t>
  </si>
  <si>
    <t>Bascetta 341307620</t>
  </si>
  <si>
    <t>Badur 9993166611</t>
  </si>
  <si>
    <t>3413303446 - ACTIVADO NRO PORTADO</t>
  </si>
  <si>
    <t>Pereira 3412101112</t>
  </si>
  <si>
    <t>Sanchez 3412833399</t>
  </si>
  <si>
    <t>Pereira 3413531700</t>
  </si>
  <si>
    <t>Scolari 3415089267</t>
  </si>
  <si>
    <t>Castillo 3415820518</t>
  </si>
  <si>
    <t>Scolari 3412560089</t>
  </si>
  <si>
    <t>Acosta 3417433688</t>
  </si>
  <si>
    <t>tc-cti $329998.9</t>
  </si>
  <si>
    <t>Maragliano 3412835612</t>
  </si>
  <si>
    <t>Martinez 3413124810</t>
  </si>
  <si>
    <t>Barragan 3412833821</t>
  </si>
  <si>
    <t>Marcelli 3416111192</t>
  </si>
  <si>
    <t>Marcelli 3413020778</t>
  </si>
  <si>
    <t>627</t>
  </si>
  <si>
    <t>628</t>
  </si>
  <si>
    <t>Roldan 3412837418</t>
  </si>
  <si>
    <t>Rearte 3412837738</t>
  </si>
  <si>
    <t>tc-cti $707998.8</t>
  </si>
  <si>
    <t>Rearte 119800513</t>
  </si>
  <si>
    <t>Cerda 3412791926</t>
  </si>
  <si>
    <t>Gomez 3416772490</t>
  </si>
  <si>
    <t>Rodriguez 3412796719</t>
  </si>
  <si>
    <t>Espindola 3413160922</t>
  </si>
  <si>
    <t>Suarez 3412841010</t>
  </si>
  <si>
    <t>Colcutti 3412841175</t>
  </si>
  <si>
    <t>Moreyra 3412122548</t>
  </si>
  <si>
    <t>Moreyra 3412841994</t>
  </si>
  <si>
    <t>Ojeda 3412136600</t>
  </si>
  <si>
    <t>629</t>
  </si>
  <si>
    <t>0345</t>
  </si>
  <si>
    <t>Noguerol 3412707786</t>
  </si>
  <si>
    <t>Suigo 3416763491</t>
  </si>
  <si>
    <t>Insaurralde 3412298587</t>
  </si>
  <si>
    <t>Insaurralde 3413004213</t>
  </si>
  <si>
    <t>Muñoz 3413004725</t>
  </si>
  <si>
    <t>Ramirez 999176306</t>
  </si>
  <si>
    <t>3413996214 - ACTIVADO NRO PORTADO</t>
  </si>
  <si>
    <t>Godoy 3417182408</t>
  </si>
  <si>
    <t>Arri 3413017290</t>
  </si>
  <si>
    <t>tc-cti $359999.01</t>
  </si>
  <si>
    <t>Mendez 3413530637</t>
  </si>
  <si>
    <t>Cuffaro 3413180931</t>
  </si>
  <si>
    <t>tc-cti $350998.81</t>
  </si>
  <si>
    <t>Braga 3412846385</t>
  </si>
  <si>
    <t>Salas 3412792599</t>
  </si>
  <si>
    <t>Arballo 3417421230</t>
  </si>
  <si>
    <t>Ceballos 3413192290</t>
  </si>
  <si>
    <t>631</t>
  </si>
  <si>
    <t>Leiva 3417486253</t>
  </si>
  <si>
    <t>Mayer 3416491778</t>
  </si>
  <si>
    <t>Villanueva 3416801926</t>
  </si>
  <si>
    <t>tc- cti $166318,91</t>
  </si>
  <si>
    <t>Bue 3413397663</t>
  </si>
  <si>
    <t>Medina 3416519773</t>
  </si>
  <si>
    <t>Vega 3416666551</t>
  </si>
  <si>
    <t>Ledesma 3412783617</t>
  </si>
  <si>
    <t>Valsecchi 9993410959</t>
  </si>
  <si>
    <t>3415470986 - ACTIVADO NRO PORTADO</t>
  </si>
  <si>
    <t>Villa 9993411359</t>
  </si>
  <si>
    <t>3413437529 - Fecha estimada: 01/09</t>
  </si>
  <si>
    <t>Sosa 9993412108</t>
  </si>
  <si>
    <t>rechazada</t>
  </si>
  <si>
    <t>Cañete 3743547515</t>
  </si>
  <si>
    <t>Milani 3413434352</t>
  </si>
  <si>
    <t>Pereira 3417560405</t>
  </si>
  <si>
    <t>Caceres 3476207108</t>
  </si>
  <si>
    <t>Riquelme 3413257694</t>
  </si>
  <si>
    <t>Lopez 3416255615</t>
  </si>
  <si>
    <t>Toledo 3416163040</t>
  </si>
  <si>
    <t>Aranda 3412802160</t>
  </si>
  <si>
    <t>Fernandez 3413246744</t>
  </si>
  <si>
    <t>632</t>
  </si>
  <si>
    <t>Altamirano 9799904664</t>
  </si>
  <si>
    <t>3416362440 - ACTIVADO NRO PORTADO</t>
  </si>
  <si>
    <t>Aguirre 3416626317</t>
  </si>
  <si>
    <t>Balbi 3417559960</t>
  </si>
  <si>
    <t>Contreras 3415409523</t>
  </si>
  <si>
    <t>tc-cti $263249,11</t>
  </si>
  <si>
    <t>633</t>
  </si>
  <si>
    <t>Aprendiz Contruyendo Recursos SAS</t>
  </si>
  <si>
    <t>Di Salvo, Anibal</t>
  </si>
  <si>
    <t>Centurion 3415629033</t>
  </si>
  <si>
    <t>Silva 3416116261</t>
  </si>
  <si>
    <t>Gentile 3412177432</t>
  </si>
  <si>
    <t>Vallejos 3413529962</t>
  </si>
  <si>
    <t>Navarro 3415963939</t>
  </si>
  <si>
    <t>Gisbin 3413881664</t>
  </si>
  <si>
    <t>Molina 3415486738</t>
  </si>
  <si>
    <t>tc-cti $292499.01</t>
  </si>
  <si>
    <t>634</t>
  </si>
  <si>
    <t>635</t>
  </si>
  <si>
    <t>Acosta 9799907737</t>
  </si>
  <si>
    <t>3415923283 - ACTIVADO NRO PORTADO</t>
  </si>
  <si>
    <t>Escalante 3417410223</t>
  </si>
  <si>
    <t>Cuello 3415603681</t>
  </si>
  <si>
    <t>Moran 9799907794</t>
  </si>
  <si>
    <t>3416426044 - Fecha estimada: 01/09</t>
  </si>
  <si>
    <t>Bellu 3416917705</t>
  </si>
  <si>
    <t>Di Carlo 3417541882</t>
  </si>
  <si>
    <t>Zarate 3412571578</t>
  </si>
  <si>
    <t>0346</t>
  </si>
  <si>
    <t>Bolaño 3413463803</t>
  </si>
  <si>
    <t>Acosta 3415415810</t>
  </si>
  <si>
    <t>Diaz 3416768568</t>
  </si>
  <si>
    <t>Mujica 9992905267</t>
  </si>
  <si>
    <t>3416757086 - REVISAR</t>
  </si>
  <si>
    <t>Musa 3413274673</t>
  </si>
  <si>
    <t>Cinalli 3412758255</t>
  </si>
  <si>
    <t>636</t>
  </si>
  <si>
    <t>Ferrari 3413343861</t>
  </si>
  <si>
    <t>Moreno 3412099633</t>
  </si>
  <si>
    <t>Pellegrino 3415600244</t>
  </si>
  <si>
    <t>Toledo 3413353942</t>
  </si>
  <si>
    <t>Arriola 3413428358</t>
  </si>
  <si>
    <t>Mendoza 3413357508</t>
  </si>
  <si>
    <t>637</t>
  </si>
  <si>
    <t>Muñoz 3415524260</t>
  </si>
  <si>
    <t>Quevedo 3413359159</t>
  </si>
  <si>
    <t>Ozibko 3476309654</t>
  </si>
  <si>
    <t>Melisa Cristina 3412137582</t>
  </si>
  <si>
    <t>Migra cancelada - Error de Stealth</t>
  </si>
  <si>
    <t>Franco 3417404199</t>
  </si>
  <si>
    <t>Velazquez 3412298049</t>
  </si>
  <si>
    <t>Villalba 9992919078</t>
  </si>
  <si>
    <t>3413054926 - Fecha estimada: 01/09</t>
  </si>
  <si>
    <t>Monzon 3416179596</t>
  </si>
  <si>
    <t>Santana, Bárbara</t>
  </si>
  <si>
    <t>0799</t>
  </si>
  <si>
    <t>compra del mes</t>
  </si>
  <si>
    <t>Stilling 3416506072</t>
  </si>
  <si>
    <t>Nuñez, Cristian</t>
  </si>
  <si>
    <t>Dellepiane 3415421484</t>
  </si>
  <si>
    <t>Financiado 1ctas.</t>
  </si>
  <si>
    <t>Dela horra 3416003744</t>
  </si>
  <si>
    <t>Barbero 9992928370</t>
  </si>
  <si>
    <t>NUMERO ERRONEO - VOLVIO A CARGAR</t>
  </si>
  <si>
    <t>Ferrari, Leonel</t>
  </si>
  <si>
    <t>Hernando 3416635103</t>
  </si>
  <si>
    <t>Puplin 3416763286</t>
  </si>
  <si>
    <t>Mordelia 3417512657</t>
  </si>
  <si>
    <t>D'Olivo 3406460518</t>
  </si>
  <si>
    <t>Franco 3476562083</t>
  </si>
  <si>
    <t>638</t>
  </si>
  <si>
    <t>$107568,49 3cta.</t>
  </si>
  <si>
    <t>639</t>
  </si>
  <si>
    <t>5112</t>
  </si>
  <si>
    <t>1344</t>
  </si>
  <si>
    <t>640</t>
  </si>
  <si>
    <t>Costa 3415426047</t>
  </si>
  <si>
    <t>Barbero 9992929393</t>
  </si>
  <si>
    <t>3416698439 - Fecha estimada: 02/09</t>
  </si>
  <si>
    <t>Kramp 3412800551</t>
  </si>
  <si>
    <t>E Silva 3415505848</t>
  </si>
  <si>
    <t>Arrascaeta, Clara</t>
  </si>
  <si>
    <t>Parra 3412125408</t>
  </si>
  <si>
    <t>Suarez 3416408255</t>
  </si>
  <si>
    <t>Lopez 3415427321</t>
  </si>
  <si>
    <t>Cabrera 3417477889</t>
  </si>
  <si>
    <t>Candilieri 9992929556</t>
  </si>
  <si>
    <t>Berruet 3416015531</t>
  </si>
  <si>
    <t>Sicotero 3476559080</t>
  </si>
  <si>
    <t>Cladera 3415428645</t>
  </si>
  <si>
    <t>Casas 9992929651</t>
  </si>
  <si>
    <t>Saldaña 3412790000</t>
  </si>
  <si>
    <t>Quevedo 3415645538</t>
  </si>
  <si>
    <t>Gomez 1127696949</t>
  </si>
  <si>
    <t>Alfano 3413340021</t>
  </si>
  <si>
    <t>Valdez 3416439853</t>
  </si>
  <si>
    <t>Natale 3416800894</t>
  </si>
  <si>
    <t>Cordera 3413277140</t>
  </si>
  <si>
    <t>Sosa 9992937565</t>
  </si>
  <si>
    <t>Fregenal 3415949170</t>
  </si>
  <si>
    <t>Dorda 3416708482</t>
  </si>
  <si>
    <t>Coronel 3416616898</t>
  </si>
  <si>
    <t>Alvarez 3415525323</t>
  </si>
  <si>
    <t>tc-cti $1439999</t>
  </si>
  <si>
    <t>Gomez 1127697027</t>
  </si>
  <si>
    <t>641</t>
  </si>
  <si>
    <t>642</t>
  </si>
  <si>
    <t>Petersen, Carolina</t>
  </si>
  <si>
    <t>Demarchi, Mariana</t>
  </si>
  <si>
    <t>Fernandez 3415839022</t>
  </si>
  <si>
    <t>Criscenti 3415840376</t>
  </si>
  <si>
    <t>Bellesi 3415841388</t>
  </si>
  <si>
    <t>Wistowsky 3416488957</t>
  </si>
  <si>
    <t>Garbuglia 3417433691</t>
  </si>
  <si>
    <t>Segovia 3415865495</t>
  </si>
  <si>
    <t>Torres 3413875849</t>
  </si>
  <si>
    <t>Escalente 3412475360</t>
  </si>
  <si>
    <t>ACTIVA 02/09</t>
  </si>
  <si>
    <t>Orbani 3415484517</t>
  </si>
  <si>
    <t>Fianciado 6ctas.</t>
  </si>
  <si>
    <t>Quevedo 3415845573</t>
  </si>
  <si>
    <t>Barbero 3416698439</t>
  </si>
  <si>
    <t>Maldonado 3412756296</t>
  </si>
  <si>
    <t>Ocampo 3412018872</t>
  </si>
  <si>
    <t>Pereyra 3413180378</t>
  </si>
  <si>
    <t>Taleti 3415014199</t>
  </si>
  <si>
    <t>Quinteros 3413250537</t>
  </si>
  <si>
    <t>Osvaldo 3416926968</t>
  </si>
  <si>
    <t>Binotti 3416508035</t>
  </si>
  <si>
    <t>Fernandez 3417544221</t>
  </si>
  <si>
    <t>Mendez 9992950625</t>
  </si>
  <si>
    <t>ACTIVA 03/09</t>
  </si>
  <si>
    <t>Druetta 3416569045</t>
  </si>
  <si>
    <t>Druetta 3416569061</t>
  </si>
  <si>
    <t>643</t>
  </si>
  <si>
    <t>Serravalle 2996072518</t>
  </si>
  <si>
    <t>Línea CUIT confirmada</t>
  </si>
  <si>
    <t>Araujo 3416574544</t>
  </si>
  <si>
    <t>Bordón 3416574943</t>
  </si>
  <si>
    <t>Basualdo 3415158354</t>
  </si>
  <si>
    <t>Reimondo 3413386357</t>
  </si>
  <si>
    <t>Fenolio 3412766155</t>
  </si>
  <si>
    <t>Martino 9992967679</t>
  </si>
  <si>
    <t>EL ZEIBO S.R.L.</t>
  </si>
  <si>
    <t>2314</t>
  </si>
  <si>
    <t>Total: $40447,72</t>
  </si>
  <si>
    <t>DISTRI AIRES SRL</t>
  </si>
  <si>
    <t>5705</t>
  </si>
  <si>
    <t>CIRIGLIANO ELIAS FEDERICO</t>
  </si>
  <si>
    <t>5365</t>
  </si>
  <si>
    <t>CASA BERRINI</t>
  </si>
  <si>
    <t>0717</t>
  </si>
  <si>
    <t>LA LIBRERÍA DEL CHINO</t>
  </si>
  <si>
    <t>2423</t>
  </si>
  <si>
    <t>MBG COMERCIAL SRL</t>
  </si>
  <si>
    <t>0957</t>
  </si>
  <si>
    <t>Svriz 3412104465</t>
  </si>
  <si>
    <t>Fresneda 3416577564</t>
  </si>
  <si>
    <t>Pazos 3469587047</t>
  </si>
  <si>
    <t>Quinteros 3415155300</t>
  </si>
  <si>
    <t>Camaño 3412753251</t>
  </si>
  <si>
    <t>644</t>
  </si>
  <si>
    <t>$14350 1 cta.</t>
  </si>
  <si>
    <t>Cantero 3416577794</t>
  </si>
  <si>
    <t>Peña 3416577884</t>
  </si>
  <si>
    <t>Spigariol 3415156943</t>
  </si>
  <si>
    <t>Soto 3413073170</t>
  </si>
  <si>
    <t>Bini 3416619898</t>
  </si>
  <si>
    <t>Dulong 3412121346</t>
  </si>
  <si>
    <t>Truant 3471540324</t>
  </si>
  <si>
    <t>Zoya 2473475058</t>
  </si>
  <si>
    <t>ACTIVA 07/09</t>
  </si>
  <si>
    <t>Suigo 3416673914</t>
  </si>
  <si>
    <t>Delutault 3416579431</t>
  </si>
  <si>
    <t>0347</t>
  </si>
  <si>
    <t>Elvira 3416824124</t>
  </si>
  <si>
    <t>Fiori 3412810025</t>
  </si>
  <si>
    <t>Fresneda,Ivan Alberto</t>
  </si>
  <si>
    <t>Lumbreras 3416824693</t>
  </si>
  <si>
    <t>Vega 3415947934</t>
  </si>
  <si>
    <t>Rodriguez 3412740726</t>
  </si>
  <si>
    <t>Quevedo 3415745573</t>
  </si>
  <si>
    <t>4869</t>
  </si>
  <si>
    <t>SUELDO</t>
  </si>
  <si>
    <t>Ruben Melgarejo</t>
  </si>
  <si>
    <t>Araya 3416829412</t>
  </si>
  <si>
    <t>Varela 3416184908</t>
  </si>
  <si>
    <t>Muñoz 3417538218</t>
  </si>
  <si>
    <t>Finoli 3417537722</t>
  </si>
  <si>
    <t>Rojas 3416762270</t>
  </si>
  <si>
    <t>Irruti 9992988370</t>
  </si>
  <si>
    <t>ACTIVA 10/09</t>
  </si>
  <si>
    <t>OBJETIVO 100%</t>
  </si>
  <si>
    <t>645</t>
  </si>
  <si>
    <t>646</t>
  </si>
  <si>
    <t>Acosta 3412799470</t>
  </si>
  <si>
    <t>De paoli 9992998869</t>
  </si>
  <si>
    <t>De paoli 9993016116</t>
  </si>
  <si>
    <t>Anrriquez 9993024949</t>
  </si>
  <si>
    <t>Ayala 3415468965</t>
  </si>
  <si>
    <t>Acosta 3413360710</t>
  </si>
  <si>
    <t>Caceres 3412801577</t>
  </si>
  <si>
    <t>Caceres 3412729965</t>
  </si>
  <si>
    <t>tc-cti $164999</t>
  </si>
  <si>
    <t>Llompart, Mara Gabriela</t>
  </si>
  <si>
    <t>Rodriguez 3415457053</t>
  </si>
  <si>
    <t>Scaglia 3415502358</t>
  </si>
  <si>
    <t>Santana 3416191857</t>
  </si>
  <si>
    <t>Santana 3416946712</t>
  </si>
  <si>
    <t>Santana 3413146335</t>
  </si>
  <si>
    <t>Dominguez 3412753166</t>
  </si>
  <si>
    <t>Bustamante 3413367486</t>
  </si>
  <si>
    <t>Pinto 3417546099</t>
  </si>
  <si>
    <t>Falcucci 3415113808</t>
  </si>
  <si>
    <t>Sauerlander 3413947106</t>
  </si>
  <si>
    <t>647</t>
  </si>
  <si>
    <t>Padilla 3412155474</t>
  </si>
  <si>
    <t>Cantero 3415641455</t>
  </si>
  <si>
    <t>Herrera 3415449551</t>
  </si>
  <si>
    <t>Cappiello 3415429263</t>
  </si>
  <si>
    <t>tc-cti $648998,9</t>
  </si>
  <si>
    <t>648</t>
  </si>
  <si>
    <t>649</t>
  </si>
  <si>
    <t>Quiroga,Lautaro nicolas</t>
  </si>
  <si>
    <t>Ponce 3412471444</t>
  </si>
  <si>
    <t>Carranza 9993053784</t>
  </si>
  <si>
    <t>650</t>
  </si>
  <si>
    <t>651</t>
  </si>
  <si>
    <t>Isurieta 3413397090</t>
  </si>
  <si>
    <t>Grillo 3415603928</t>
  </si>
  <si>
    <t>Ramirez 3417419957</t>
  </si>
  <si>
    <t>Salgado 3417419894</t>
  </si>
  <si>
    <t>0348</t>
  </si>
  <si>
    <t>Togachinsco 3413052547</t>
  </si>
  <si>
    <t>Franco 3417407199</t>
  </si>
  <si>
    <t>Villarino 3412728829</t>
  </si>
  <si>
    <t>Jara 3413878743</t>
  </si>
  <si>
    <t>Criscenti, Delfina</t>
  </si>
  <si>
    <t>Catteneo,Lionel ricardo</t>
  </si>
  <si>
    <t>Jorge alberto, Zulaica</t>
  </si>
  <si>
    <t>Setrakian, Manuel Ricardo</t>
  </si>
  <si>
    <t>Borda 3412102684</t>
  </si>
  <si>
    <t>Solohaga 3412750901</t>
  </si>
  <si>
    <t>Maia 3415876423</t>
  </si>
  <si>
    <t xml:space="preserve">Bertune, Carlos </t>
  </si>
  <si>
    <t>Comisiones agosto</t>
  </si>
  <si>
    <t>Zabala 3413772940</t>
  </si>
  <si>
    <t>Ramirez 3415509164</t>
  </si>
  <si>
    <t>Valdez 3413228388</t>
  </si>
  <si>
    <t>Farias 3417423783</t>
  </si>
  <si>
    <t>Malberti 3415215252</t>
  </si>
  <si>
    <t>Lopez 9993198311</t>
  </si>
  <si>
    <t>Catteneo 999379176</t>
  </si>
  <si>
    <t>Taibo 9993388181</t>
  </si>
  <si>
    <t>Martin 3416551815</t>
  </si>
  <si>
    <t>Alfonzo, Luis Randisi</t>
  </si>
  <si>
    <t>Roncero,Alfredo daniel</t>
  </si>
  <si>
    <t>Sobrin 3412470829</t>
  </si>
  <si>
    <t>Ojeda 3413058173</t>
  </si>
  <si>
    <t xml:space="preserve">E-SIM </t>
  </si>
  <si>
    <t>Romero 3412805296</t>
  </si>
  <si>
    <t>Giorgetti 3413057545</t>
  </si>
  <si>
    <t>Capiglioni 3416210570</t>
  </si>
  <si>
    <t>Velasquez 3416702410</t>
  </si>
  <si>
    <t>Financiado 9ctas.</t>
  </si>
  <si>
    <t>Lambri 3415845941</t>
  </si>
  <si>
    <t>652</t>
  </si>
  <si>
    <t>653</t>
  </si>
  <si>
    <t>$13837,5 1cta.</t>
  </si>
  <si>
    <t>Batchilleria 3415312870</t>
  </si>
  <si>
    <t>654</t>
  </si>
  <si>
    <t>Gonzalez 3413693513</t>
  </si>
  <si>
    <t>Financiado 3 cta.</t>
  </si>
  <si>
    <t>Leiva 3412479048</t>
  </si>
  <si>
    <t>Ramirez 3416093729</t>
  </si>
  <si>
    <t>Parisi 3413533279</t>
  </si>
  <si>
    <t>655</t>
  </si>
  <si>
    <t>Moya 3412660572</t>
  </si>
  <si>
    <t>Herrera 3412761244</t>
  </si>
  <si>
    <t>Cochero 3416596231</t>
  </si>
  <si>
    <t>Tejeda 3412129476</t>
  </si>
  <si>
    <t>Furigo 3412138663</t>
  </si>
  <si>
    <t>Sandoval 9993461199</t>
  </si>
  <si>
    <t>Flores 3416824889</t>
  </si>
  <si>
    <t>Zorzoli 3412620612</t>
  </si>
  <si>
    <t>Prete 3412795493</t>
  </si>
  <si>
    <t>Casal 2478520473</t>
  </si>
  <si>
    <t>Trasnfer sim</t>
  </si>
  <si>
    <t>0349</t>
  </si>
  <si>
    <t>Alegre 3415836927</t>
  </si>
  <si>
    <t>Brizuela 3412027717</t>
  </si>
  <si>
    <t>Ojeda 3412774302</t>
  </si>
  <si>
    <t>Cuello 3413457562</t>
  </si>
  <si>
    <t>Delgado 3416081064</t>
  </si>
  <si>
    <t>D'Ottavio 9993485131</t>
  </si>
  <si>
    <t>Maza, Maria Claudia</t>
  </si>
  <si>
    <t>Franetovich, Mariana Soledad</t>
  </si>
  <si>
    <t>Balocco 3404512650</t>
  </si>
  <si>
    <t>Monti 3412104110</t>
  </si>
  <si>
    <t>Activa</t>
  </si>
  <si>
    <t>Solis 3757443380</t>
  </si>
  <si>
    <t>Ruiz 9993600889</t>
  </si>
  <si>
    <t>Martinez 3413886687</t>
  </si>
  <si>
    <t>Tapia 3415111011</t>
  </si>
  <si>
    <t>Lescano 9993610555</t>
  </si>
  <si>
    <t>Garcia 9993611119</t>
  </si>
  <si>
    <t>Fontana 3416052505</t>
  </si>
  <si>
    <t>Forteaga 3415521903</t>
  </si>
  <si>
    <t>ACTIVA 24/09</t>
  </si>
  <si>
    <t>Repetti 3413396740</t>
  </si>
  <si>
    <t>Con E-SIM</t>
  </si>
  <si>
    <t>Fernandez 9993626452</t>
  </si>
  <si>
    <t xml:space="preserve">Ruiz, Camila </t>
  </si>
  <si>
    <t>PASAR AL 25/09</t>
  </si>
  <si>
    <t>Gomez 3412519580</t>
  </si>
  <si>
    <t>Domene 3412176013</t>
  </si>
  <si>
    <t>JUMBO</t>
  </si>
  <si>
    <t>5050</t>
  </si>
  <si>
    <t>Lopez 3412792728</t>
  </si>
  <si>
    <t>Bordes 3412793588</t>
  </si>
  <si>
    <t>Ruiz camila</t>
  </si>
  <si>
    <t>Bausa 3415491522</t>
  </si>
  <si>
    <t>Casalini 3415815328</t>
  </si>
  <si>
    <t>Financiado 1cta.</t>
  </si>
  <si>
    <t>657</t>
  </si>
  <si>
    <t>Prieto 3413418180</t>
  </si>
  <si>
    <t>Pereyra, Cecilia Alejandra</t>
  </si>
  <si>
    <t>Barbisan 3412177352</t>
  </si>
  <si>
    <t>Correa 3412710896</t>
  </si>
  <si>
    <t>Oldani 341277424</t>
  </si>
  <si>
    <t>Cardozo 3412780196</t>
  </si>
  <si>
    <t>Rodriguez 3416575539</t>
  </si>
  <si>
    <t>Stefania 3413467744</t>
  </si>
  <si>
    <t>Mansilla 3413897461</t>
  </si>
  <si>
    <t>Albarez 3413154210</t>
  </si>
  <si>
    <t>Moneta 3415054060</t>
  </si>
  <si>
    <t>Escoca 3413532440</t>
  </si>
  <si>
    <t>Soazo 3416954748</t>
  </si>
  <si>
    <t>Robledo 9799922318</t>
  </si>
  <si>
    <t>Se porta el 1/10</t>
  </si>
  <si>
    <t>Sanchez 3413452250</t>
  </si>
  <si>
    <t>Hug 3415669873</t>
  </si>
  <si>
    <t>tc-cti $286108,91</t>
  </si>
  <si>
    <t>Gnesetti 3412179092</t>
  </si>
  <si>
    <t>Fontana3413531610</t>
  </si>
  <si>
    <t>Gonzalez 3412714201</t>
  </si>
  <si>
    <t>Farri 3416802282</t>
  </si>
  <si>
    <t>Abbate, Gustavo</t>
  </si>
  <si>
    <t>Mattana 3417425541</t>
  </si>
  <si>
    <t>Portillo 3415968541</t>
  </si>
  <si>
    <t>tc-cti $449999</t>
  </si>
  <si>
    <t>Miñon 9799938219</t>
  </si>
  <si>
    <t>Opichiani 3743443265</t>
  </si>
  <si>
    <t>Gomez 3413685783</t>
  </si>
  <si>
    <t>tc-cti $296999,1</t>
  </si>
  <si>
    <t>Aldala 3417187243</t>
  </si>
  <si>
    <t>Traini 3417426709</t>
  </si>
  <si>
    <t>Lovey 3417426728</t>
  </si>
  <si>
    <t>Franco 3412722705</t>
  </si>
  <si>
    <t>PASE CONFIRMADO</t>
  </si>
  <si>
    <t>Vila 9799947321</t>
  </si>
  <si>
    <t>Ver</t>
  </si>
  <si>
    <t>Cerrajeria</t>
  </si>
  <si>
    <t>2344</t>
  </si>
  <si>
    <t>Copias llaves</t>
  </si>
  <si>
    <t>Ordoñez 3415044450</t>
  </si>
  <si>
    <t>Del rio 3415846331</t>
  </si>
  <si>
    <t>Muller 3416241953</t>
  </si>
  <si>
    <t>Recalde 3412798478</t>
  </si>
  <si>
    <t>Amadori 3413183118</t>
  </si>
  <si>
    <t>tc-cti $234089,11</t>
  </si>
  <si>
    <t>Pared 3417528142</t>
  </si>
  <si>
    <t>Mabel Pertile</t>
  </si>
  <si>
    <t>Diaz 3415810105</t>
  </si>
  <si>
    <t>De Sensi 3413129369</t>
  </si>
  <si>
    <t>Radimak 3413508981</t>
  </si>
  <si>
    <t>Pedernera 3412160973</t>
  </si>
  <si>
    <t>Talpa 3416172923</t>
  </si>
  <si>
    <t>Aranda 3772502315</t>
  </si>
  <si>
    <t>658</t>
  </si>
  <si>
    <t>659</t>
  </si>
  <si>
    <t>Narvay 3417514963</t>
  </si>
  <si>
    <t>Gaiteri 9799953597</t>
  </si>
  <si>
    <t>660</t>
  </si>
  <si>
    <t>Correa 3416534312</t>
  </si>
  <si>
    <t>Casanova 3417451490</t>
  </si>
  <si>
    <t>Pereyra 3413382422</t>
  </si>
  <si>
    <t>tc-cti $115740 + $201399</t>
  </si>
  <si>
    <t>Caceres 9799953978</t>
  </si>
  <si>
    <t>Gonzalez 3417480265</t>
  </si>
  <si>
    <t>Gnetti 3412103692</t>
  </si>
  <si>
    <t>Pasquali 3416573876</t>
  </si>
  <si>
    <t>Rabuni 3413114385</t>
  </si>
  <si>
    <t>Bouvet beatriz</t>
  </si>
  <si>
    <t>Lazaro 3416122386</t>
  </si>
  <si>
    <t>Villan 3413379941</t>
  </si>
  <si>
    <t>Magallanes 1176033557</t>
  </si>
  <si>
    <t>Castillo 3417525197</t>
  </si>
  <si>
    <t>Castillo 3416661443</t>
  </si>
  <si>
    <t>Perez 3417799710</t>
  </si>
  <si>
    <t>Caceres, Jorge Arcadio</t>
  </si>
  <si>
    <t>Vildosola 9993664677</t>
  </si>
  <si>
    <t>Vildosola 3417413997</t>
  </si>
  <si>
    <t>Olmos 3416922051</t>
  </si>
  <si>
    <t>Objetivo 110%</t>
  </si>
  <si>
    <t>Pedernera 3412646760</t>
  </si>
  <si>
    <t>Pedernera 3413133219</t>
  </si>
  <si>
    <t>Valverde 3412761635</t>
  </si>
  <si>
    <t>Alvarado 3413516714</t>
  </si>
  <si>
    <t>Melgarejo 3417411565</t>
  </si>
  <si>
    <t>Ferrari 9799983781</t>
  </si>
  <si>
    <t>Romero 3416808868</t>
  </si>
  <si>
    <t>tc-cti $247498,9</t>
  </si>
  <si>
    <t>Ineichen 3416476800</t>
  </si>
  <si>
    <t>ESIM</t>
  </si>
  <si>
    <t>Bravo 3417961728</t>
  </si>
  <si>
    <t>Elena 3417460561</t>
  </si>
  <si>
    <t>662</t>
  </si>
  <si>
    <t>661</t>
  </si>
  <si>
    <t>$ 49213,88 3ctas.</t>
  </si>
  <si>
    <t>Batista 3412776904</t>
  </si>
  <si>
    <t>tc-cti $202499,1</t>
  </si>
  <si>
    <t>Godoy 3413441687</t>
  </si>
  <si>
    <t>Roldan 3416807873</t>
  </si>
  <si>
    <t>Leyva 3412821479</t>
  </si>
  <si>
    <t>Battagliola 3476215849</t>
  </si>
  <si>
    <t>Riquelmi 3415898981</t>
  </si>
  <si>
    <t>664</t>
  </si>
  <si>
    <t>Cintia 3415442898</t>
  </si>
  <si>
    <t>Gentili 3415899667</t>
  </si>
  <si>
    <t>Glorioso 3412759194</t>
  </si>
  <si>
    <t>Elizabeth cortez</t>
  </si>
  <si>
    <t>Limpieza vidrios - 3/10</t>
  </si>
  <si>
    <t>Paez 3412842783</t>
  </si>
  <si>
    <t>Rey 3413408966</t>
  </si>
  <si>
    <t>665</t>
  </si>
  <si>
    <t>Haydee Rosa Sanna</t>
  </si>
  <si>
    <t>Arroyo 3416910472</t>
  </si>
  <si>
    <t>Noguera 3415813010</t>
  </si>
  <si>
    <t>Oderda 3416939843</t>
  </si>
  <si>
    <t>tc-cti $194999</t>
  </si>
  <si>
    <t>Astrada 3416916295</t>
  </si>
  <si>
    <t>Gonzalez 3413504079</t>
  </si>
  <si>
    <t>Vallejos 3413197961</t>
  </si>
  <si>
    <t>Telis 3413195608</t>
  </si>
  <si>
    <t xml:space="preserve">ESIM </t>
  </si>
  <si>
    <t>0350</t>
  </si>
  <si>
    <t>Bandini 3417445122</t>
  </si>
  <si>
    <t>Quartero 3416061014</t>
  </si>
  <si>
    <t>Marquez 3416453713</t>
  </si>
  <si>
    <t>Tettamanti 3417446178</t>
  </si>
  <si>
    <t>Vicente 3412751552</t>
  </si>
  <si>
    <t>Licatta 3417437438</t>
  </si>
  <si>
    <t>Molina 3415814846</t>
  </si>
  <si>
    <t>Arroyo, Hugo Ulpiano</t>
  </si>
  <si>
    <t>Transfer propios</t>
  </si>
  <si>
    <t>0351</t>
  </si>
  <si>
    <t>353357978161575 - 353357978208178</t>
  </si>
  <si>
    <t>353384838405737 - 353384838405729</t>
  </si>
  <si>
    <t>Montesanto 3412515259</t>
  </si>
  <si>
    <t xml:space="preserve">Financiado </t>
  </si>
  <si>
    <t>Alegre 3416843278</t>
  </si>
  <si>
    <t>Fiananciado</t>
  </si>
  <si>
    <t>Alegre 3413353699</t>
  </si>
  <si>
    <t>Rodriguez 3417454952</t>
  </si>
  <si>
    <t>Pagani 3416538335</t>
  </si>
  <si>
    <t>Severino 3415641796</t>
  </si>
  <si>
    <t>Choque 3412101451</t>
  </si>
  <si>
    <t>Arenas 3416272135</t>
  </si>
  <si>
    <t>666</t>
  </si>
  <si>
    <t>$21000 1cta.</t>
  </si>
  <si>
    <t>Galarza 3413732789</t>
  </si>
  <si>
    <t>tc-cti $362998,9</t>
  </si>
  <si>
    <t>Gonzalez 3416441381</t>
  </si>
  <si>
    <t>Cattaneo 9993691978</t>
  </si>
  <si>
    <t>Garcia 3417457440</t>
  </si>
  <si>
    <t>Garcia 3417411456</t>
  </si>
  <si>
    <t>Robles 3412586102</t>
  </si>
  <si>
    <t>tc-cti $354748,9</t>
  </si>
  <si>
    <t>Canalda 3415803998</t>
  </si>
  <si>
    <t>Bueno 3413593981</t>
  </si>
  <si>
    <t>452</t>
  </si>
  <si>
    <t>Local</t>
  </si>
  <si>
    <t>453</t>
  </si>
  <si>
    <t>Grignafini 3413279463</t>
  </si>
  <si>
    <t>Riveros 3416513017</t>
  </si>
  <si>
    <t>Gomez 3417462620</t>
  </si>
  <si>
    <t>Cattaneo, Liliana Estella</t>
  </si>
  <si>
    <t>Ramirez 3415444143</t>
  </si>
  <si>
    <t>tc-cti $322499</t>
  </si>
  <si>
    <t>667</t>
  </si>
  <si>
    <t>Barro 3415667328</t>
  </si>
  <si>
    <t>668</t>
  </si>
  <si>
    <t>Ramirez 3415639870</t>
  </si>
  <si>
    <t>tc-cti $709999,01</t>
  </si>
  <si>
    <t>Hollidge, cecilia</t>
  </si>
  <si>
    <t>Viña 3416557748</t>
  </si>
  <si>
    <t>Sladic 3476652941</t>
  </si>
  <si>
    <t>tc-cti $382499</t>
  </si>
  <si>
    <t>670</t>
  </si>
  <si>
    <t>669</t>
  </si>
  <si>
    <t>671</t>
  </si>
  <si>
    <t>672</t>
  </si>
  <si>
    <t>674</t>
  </si>
  <si>
    <t>Ruiz Diaz 3416596789</t>
  </si>
  <si>
    <t>Gomez 3412664818</t>
  </si>
  <si>
    <t>Ortiz 3413260579</t>
  </si>
  <si>
    <t>Apiani 3417467404</t>
  </si>
  <si>
    <t>Apiani 9992980632</t>
  </si>
  <si>
    <t>No tenia servicio</t>
  </si>
  <si>
    <t>Acosta 3476309880</t>
  </si>
  <si>
    <t>tc-cti $280499,01</t>
  </si>
  <si>
    <t>Escobar 999298340</t>
  </si>
  <si>
    <t>Lossada 3415832202</t>
  </si>
  <si>
    <t>Forteaga 3413389347</t>
  </si>
  <si>
    <t>Gimenez 3416144388</t>
  </si>
  <si>
    <t>tc-cti $224999</t>
  </si>
  <si>
    <t>Matteo 3412167252</t>
  </si>
  <si>
    <t>Muck 3412788689</t>
  </si>
  <si>
    <t>Muck 3416725075</t>
  </si>
  <si>
    <t>Rodriguez 3415143030</t>
  </si>
  <si>
    <t>Lipori 3417467767</t>
  </si>
  <si>
    <t>Lopez 3417425124</t>
  </si>
  <si>
    <t>0352</t>
  </si>
  <si>
    <t>Castro 3417468471</t>
  </si>
  <si>
    <t>Más 3415774105</t>
  </si>
  <si>
    <t>Machuca 3412839165</t>
  </si>
  <si>
    <t>Gohlke 3413748005</t>
  </si>
  <si>
    <t>Basse 3415781328</t>
  </si>
  <si>
    <t>Comisiones Septiembre</t>
  </si>
  <si>
    <t>Ybañez 3417466386</t>
  </si>
  <si>
    <t>E-SIM Call-Center</t>
  </si>
  <si>
    <t>Castillo 3417461696</t>
  </si>
  <si>
    <t>Alvarez 3416723752</t>
  </si>
  <si>
    <t>Ferreyra 3413483271</t>
  </si>
  <si>
    <t>Alsina 3412783651</t>
  </si>
  <si>
    <t>Monzon 3417551640</t>
  </si>
  <si>
    <t>Neriz 3415819898</t>
  </si>
  <si>
    <t>Pratolongo 3417503935</t>
  </si>
  <si>
    <t>Morales 3417521861</t>
  </si>
  <si>
    <t>Barria 3413812404</t>
  </si>
  <si>
    <t>Pietroni 3412800635</t>
  </si>
  <si>
    <t>Escalada 3412707977</t>
  </si>
  <si>
    <t>Silva 3417521978</t>
  </si>
  <si>
    <t>Calp 3417521981</t>
  </si>
  <si>
    <t>Gonzalez 3417522023</t>
  </si>
  <si>
    <t>676</t>
  </si>
  <si>
    <t>675</t>
  </si>
  <si>
    <t>677</t>
  </si>
  <si>
    <t>Mondolo 3413369585</t>
  </si>
  <si>
    <t>Pasotti 3413684999</t>
  </si>
  <si>
    <t>1629</t>
  </si>
  <si>
    <t>Factura correspondiente a SEPTIEMBRE</t>
  </si>
  <si>
    <t>Castro 3413360377</t>
  </si>
  <si>
    <t>Triviño 2364718315</t>
  </si>
  <si>
    <t>Paredes3413260800</t>
  </si>
  <si>
    <t>678</t>
  </si>
  <si>
    <t>Garcia 3415046844</t>
  </si>
  <si>
    <t>tc-cti $100000</t>
  </si>
  <si>
    <t>Paez 3416528442</t>
  </si>
  <si>
    <t>Travaini 3416468161</t>
  </si>
  <si>
    <t>679</t>
  </si>
  <si>
    <t>Yorie 3412784564</t>
  </si>
  <si>
    <t>Melatini 3417464083</t>
  </si>
  <si>
    <t>Correa 3476534184</t>
  </si>
  <si>
    <t>tc-cti $139499,11</t>
  </si>
  <si>
    <t>680</t>
  </si>
  <si>
    <t>Gonzalez 9993786221</t>
  </si>
  <si>
    <t>Agüero 3412150696</t>
  </si>
  <si>
    <t>681</t>
  </si>
  <si>
    <t>Diaz 3415422010</t>
  </si>
  <si>
    <t>Osper 9993045991</t>
  </si>
  <si>
    <t>Ferreyra 3417805833</t>
  </si>
  <si>
    <t>Gonzalez 2474444902</t>
  </si>
  <si>
    <t>Villanueva 9993060923</t>
  </si>
  <si>
    <t>Neto 9993065359</t>
  </si>
  <si>
    <t>Oviedo 3416998654</t>
  </si>
  <si>
    <t>Aranda, Florencia Gabriela</t>
  </si>
  <si>
    <t>Maknis 3415897235</t>
  </si>
  <si>
    <t>Romero 3416534023</t>
  </si>
  <si>
    <t>tc-cti $125000</t>
  </si>
  <si>
    <t>Morales 3412780756</t>
  </si>
  <si>
    <t>Diaz 3364319219</t>
  </si>
  <si>
    <t>tc-cti $181999</t>
  </si>
  <si>
    <t>Diaz 3364384221</t>
  </si>
  <si>
    <t>Gimenez 3417195659</t>
  </si>
  <si>
    <t>682</t>
  </si>
  <si>
    <t>5571</t>
  </si>
  <si>
    <t>Factura correspondiente a OCTUBRE</t>
  </si>
  <si>
    <t>0353</t>
  </si>
  <si>
    <t>Mallen Camejo  9993789701</t>
  </si>
  <si>
    <t>Se porta el 3/11</t>
  </si>
  <si>
    <t>Daraio 9993789779</t>
  </si>
  <si>
    <t>Demaria 3413588190</t>
  </si>
  <si>
    <t>Mankis 3413348573</t>
  </si>
  <si>
    <t>Saavedra  3412756178</t>
  </si>
  <si>
    <t>Soru 3412709186</t>
  </si>
  <si>
    <t>Gentile 3416105050</t>
  </si>
  <si>
    <t>Andrada 3413544023</t>
  </si>
  <si>
    <t>Rios 341753739</t>
  </si>
  <si>
    <t>Olio 9993851313</t>
  </si>
  <si>
    <t>Garofolo 9993851430</t>
  </si>
  <si>
    <t>Burich 3415821739</t>
  </si>
  <si>
    <t>Triviño, Micaela</t>
  </si>
  <si>
    <t>Osper, Sandra</t>
  </si>
  <si>
    <t>Castillo 3417523501</t>
  </si>
  <si>
    <t>683</t>
  </si>
  <si>
    <t>684</t>
  </si>
  <si>
    <t>Ramos 3413775050</t>
  </si>
  <si>
    <t>tc-cti $1049999</t>
  </si>
  <si>
    <t>Aguilar 9993878528</t>
  </si>
  <si>
    <t>Fernandez 3417514962</t>
  </si>
  <si>
    <t>Cerdan 3412123143</t>
  </si>
  <si>
    <t>Bambil, Mirtha Antonia</t>
  </si>
  <si>
    <t>Mallen Camejo, Marilina Monica</t>
  </si>
  <si>
    <t>Tortosa 3413536400</t>
  </si>
  <si>
    <t>Quinteros 3412702989</t>
  </si>
  <si>
    <t>tc-cti $200198,9</t>
  </si>
  <si>
    <t>685</t>
  </si>
  <si>
    <t>687</t>
  </si>
  <si>
    <t>Piatti 3413520747</t>
  </si>
  <si>
    <t>Maccan, Alejandro Daniel</t>
  </si>
  <si>
    <t>Pedraza, Pablo Guillermo</t>
  </si>
  <si>
    <t>Antonelli 3416723752</t>
  </si>
  <si>
    <t>Bazn 3417530075</t>
  </si>
  <si>
    <t>Garudo 3412112119</t>
  </si>
  <si>
    <t>Arregui 3416729386</t>
  </si>
  <si>
    <t>Pedraza 9993902625</t>
  </si>
  <si>
    <t>Santoro 3417536034</t>
  </si>
  <si>
    <t>Barbero 3413660959</t>
  </si>
  <si>
    <t>Fernandez 3417536042</t>
  </si>
  <si>
    <t>Lopez 3413868856</t>
  </si>
  <si>
    <t>Coceres 3413130909</t>
  </si>
  <si>
    <t>tc-cti $365499</t>
  </si>
  <si>
    <t>Albornoz 3435461025</t>
  </si>
  <si>
    <t>Wilichowski</t>
  </si>
  <si>
    <t>Bossi 3413297709</t>
  </si>
  <si>
    <t>Chamorro 3416879754</t>
  </si>
  <si>
    <t>Rolon 3417536135</t>
  </si>
  <si>
    <t>Sturm 3416957908</t>
  </si>
  <si>
    <t>Esteve 3412846137</t>
  </si>
  <si>
    <t>Alvez 3476616116</t>
  </si>
  <si>
    <t>Barboza 3417456586</t>
  </si>
  <si>
    <t>Escalada, Alicia</t>
  </si>
  <si>
    <t>693</t>
  </si>
  <si>
    <t>$393069,16 3cta. 353357978208186</t>
  </si>
  <si>
    <t>REPOS</t>
  </si>
  <si>
    <t>Aguilar, Ramón Oscar</t>
  </si>
  <si>
    <t>Persig 3412026364</t>
  </si>
  <si>
    <t>Maciel 3413957005</t>
  </si>
  <si>
    <t>0354</t>
  </si>
  <si>
    <t>Vivas 3417536278</t>
  </si>
  <si>
    <t>Vivas 9993633276</t>
  </si>
  <si>
    <t xml:space="preserve"> Activa 5/11 </t>
  </si>
  <si>
    <t>Pavon 3413447413</t>
  </si>
  <si>
    <t>Vivas 3541521797</t>
  </si>
  <si>
    <t>Spadoni 3417536318</t>
  </si>
  <si>
    <t>Fernandez 3417536372</t>
  </si>
  <si>
    <t>Gentile 3413154645</t>
  </si>
  <si>
    <t>Gentile 3416743020</t>
  </si>
  <si>
    <t>Castillo 3415606558</t>
  </si>
  <si>
    <t>tc-cti $174999,01</t>
  </si>
  <si>
    <t>Herrera 3417536449</t>
  </si>
  <si>
    <t>Dalmasso, Giovana María Picinato</t>
  </si>
  <si>
    <t>Benitez 3415408075</t>
  </si>
  <si>
    <t>Blando 3415933259</t>
  </si>
  <si>
    <t>Diaz 3416757741</t>
  </si>
  <si>
    <t>Usart 3415423188</t>
  </si>
  <si>
    <t>Acevedo 3413438382</t>
  </si>
  <si>
    <t>Testa 3416873174</t>
  </si>
  <si>
    <t>Parrone 3417538728</t>
  </si>
  <si>
    <t>Avila 3412787531</t>
  </si>
  <si>
    <t>Medina 3413240767</t>
  </si>
  <si>
    <t>Demo BAF</t>
  </si>
  <si>
    <t>Niss 9993979093</t>
  </si>
  <si>
    <t>Activa 10/10</t>
  </si>
  <si>
    <t>694</t>
  </si>
  <si>
    <t>Santacruz 3412109412</t>
  </si>
  <si>
    <t>Vergara 3412127789</t>
  </si>
  <si>
    <t>Cappanera 3417539068</t>
  </si>
  <si>
    <t>SIM NO LEVANTA SEÑAL</t>
  </si>
  <si>
    <t>Cappanera 3417539216</t>
  </si>
  <si>
    <t>Arenero 3412779883</t>
  </si>
  <si>
    <t>Bonomi 341214758</t>
  </si>
  <si>
    <t>695</t>
  </si>
  <si>
    <t>Aguirre 3417539221</t>
  </si>
  <si>
    <t>Ferreyra 3413152894</t>
  </si>
  <si>
    <t>Mateo 3413543006</t>
  </si>
  <si>
    <t>Olmedo 3412157273</t>
  </si>
  <si>
    <t>Guerrero 3468536676</t>
  </si>
  <si>
    <t>Acosta 3416187579</t>
  </si>
  <si>
    <t>Silva 3413878953</t>
  </si>
  <si>
    <t>Cordoba 3413480143</t>
  </si>
  <si>
    <t>Cordoba 3413480140</t>
  </si>
  <si>
    <t>Valverde Grimund 9994506129</t>
  </si>
  <si>
    <t>Activa 10/11</t>
  </si>
  <si>
    <t>Ferrero 3417539948</t>
  </si>
  <si>
    <t>Lalli 3416517370</t>
  </si>
  <si>
    <t>696</t>
  </si>
  <si>
    <t>Ortigoza 3417544912</t>
  </si>
  <si>
    <t>Galvan 3413282440</t>
  </si>
  <si>
    <t>Cejas 3415450952</t>
  </si>
  <si>
    <t>Lescano 3415426404</t>
  </si>
  <si>
    <t>697</t>
  </si>
  <si>
    <t>Gallo 341777687</t>
  </si>
  <si>
    <t>Luna 3416697023</t>
  </si>
  <si>
    <t>Agüero 3417544951</t>
  </si>
  <si>
    <t>Yulan 3416462781</t>
  </si>
  <si>
    <t>Ortiz 3412168082</t>
  </si>
  <si>
    <t>Lagneaux 2473468944</t>
  </si>
  <si>
    <t>Sosa 3417567022</t>
  </si>
  <si>
    <t>698</t>
  </si>
  <si>
    <t>Scacchi 3416203800</t>
  </si>
  <si>
    <t>Enrique 3417520416</t>
  </si>
  <si>
    <t>Villalobos 3413051805</t>
  </si>
  <si>
    <t>Meza 3415841136</t>
  </si>
  <si>
    <t>Gonzalez 3412036877</t>
  </si>
  <si>
    <t>Altamarino 9993166798</t>
  </si>
  <si>
    <t>Activa 12/11</t>
  </si>
  <si>
    <t>Bernal 3417545013</t>
  </si>
  <si>
    <t>Gonzalez 3415899915</t>
  </si>
  <si>
    <t>Padularrosa 3413348116</t>
  </si>
  <si>
    <t>Martinez 3417459917</t>
  </si>
  <si>
    <t>Del Re 3413695348</t>
  </si>
  <si>
    <t>Lopez 3417545059</t>
  </si>
  <si>
    <t>Lopez 9993187107</t>
  </si>
  <si>
    <t>Molver 3415635951</t>
  </si>
  <si>
    <t>Franco 3417545137</t>
  </si>
  <si>
    <t xml:space="preserve"> NUM YA REGISTRADO EN WSP</t>
  </si>
  <si>
    <t>Franco 3417545165</t>
  </si>
  <si>
    <t>Reyes 3417545193</t>
  </si>
  <si>
    <t>Maciel 3417457898</t>
  </si>
  <si>
    <t>Machuca 3417546481</t>
  </si>
  <si>
    <t>Carranza 3413656474</t>
  </si>
  <si>
    <t>Viczena 3413007521</t>
  </si>
  <si>
    <t>Verdun 3417546489</t>
  </si>
  <si>
    <t>Salinas 3413187235</t>
  </si>
  <si>
    <t>Coronel 3415553033</t>
  </si>
  <si>
    <t>Garcia, Emanuel Ariel</t>
  </si>
  <si>
    <t>Panacar S.R.L.</t>
  </si>
  <si>
    <t>Lujan 3412121458</t>
  </si>
  <si>
    <t>Ferreyra 3537550242</t>
  </si>
  <si>
    <t>Montiel 9994520949</t>
  </si>
  <si>
    <t>Activa 13/11</t>
  </si>
  <si>
    <t>Ybañez 3417550721</t>
  </si>
  <si>
    <t>Ramirez 3417550723</t>
  </si>
  <si>
    <t>Poquett 3417550725</t>
  </si>
  <si>
    <t>Poquett 3417550749</t>
  </si>
  <si>
    <t>Lopez 3416470916</t>
  </si>
  <si>
    <t>Diaz 3417432024</t>
  </si>
  <si>
    <t>Salerno 3417551033</t>
  </si>
  <si>
    <t>Serdan 3417551114</t>
  </si>
  <si>
    <t>Rodriguez 3412331634</t>
  </si>
  <si>
    <t>Carrizo 3412583819</t>
  </si>
  <si>
    <t>Ojeda 3415878181</t>
  </si>
  <si>
    <t>Valdez, Matías Agustín</t>
  </si>
  <si>
    <t>699</t>
  </si>
  <si>
    <t>Favre 3417504113</t>
  </si>
  <si>
    <t>Fontana 3412824699</t>
  </si>
  <si>
    <t>Ramirez 3415016130</t>
  </si>
  <si>
    <t>Gaitan 3417559550</t>
  </si>
  <si>
    <t>Küchmeister 3415486362</t>
  </si>
  <si>
    <t>700</t>
  </si>
  <si>
    <t>5298</t>
  </si>
  <si>
    <t>Lencina 3416575831</t>
  </si>
  <si>
    <t>Masqueda 3417550474</t>
  </si>
  <si>
    <t>Gigena 3416662723</t>
  </si>
  <si>
    <t>Gassmann 3417527815</t>
  </si>
  <si>
    <t>CenturIon 3413471548</t>
  </si>
  <si>
    <t>Lopez 3412113694</t>
  </si>
  <si>
    <t>Perez, María Claudia</t>
  </si>
  <si>
    <t>Galvez 3416878889</t>
  </si>
  <si>
    <t>Sorti 3416538193</t>
  </si>
  <si>
    <t>Vargas 3412121707</t>
  </si>
  <si>
    <t>Olivo 3413917170</t>
  </si>
  <si>
    <t>Activa 19/11</t>
  </si>
  <si>
    <t>Juarez 113405952</t>
  </si>
  <si>
    <t>0355</t>
  </si>
  <si>
    <t>Pello 343533642</t>
  </si>
  <si>
    <t>Montecelli 3412172676</t>
  </si>
  <si>
    <t>Miguel 3412174787</t>
  </si>
  <si>
    <t>Centurion 3415885806</t>
  </si>
  <si>
    <t>Magaldi 9994565177</t>
  </si>
  <si>
    <t>Activa 27/11</t>
  </si>
  <si>
    <t>Garcia 3415445317</t>
  </si>
  <si>
    <t>Encina 3417227836</t>
  </si>
  <si>
    <t>Encina 3412176997</t>
  </si>
  <si>
    <t>Leiva 3417801502</t>
  </si>
  <si>
    <t>Martinez 3416918767</t>
  </si>
  <si>
    <t>Calviño 9994567816</t>
  </si>
  <si>
    <t>Activa 20/11</t>
  </si>
  <si>
    <t>Calviño 9994567856</t>
  </si>
  <si>
    <t>Cosumidor final</t>
  </si>
  <si>
    <t>cuenca 3412127080</t>
  </si>
  <si>
    <t>Diaz 3415645993</t>
  </si>
  <si>
    <t>Aset 3412173757</t>
  </si>
  <si>
    <t>Navarro 3415412819</t>
  </si>
  <si>
    <t>Sachez 3413161867</t>
  </si>
  <si>
    <t>Sanchez 3413340883</t>
  </si>
  <si>
    <t>Andrada 3413533220</t>
  </si>
  <si>
    <t>Rios, Claudio Edgardo</t>
  </si>
  <si>
    <t>Oreglia 3417228400</t>
  </si>
  <si>
    <t>701</t>
  </si>
  <si>
    <t>$8200 1cta.</t>
  </si>
  <si>
    <t>702</t>
  </si>
  <si>
    <t>Abramor 3413642024</t>
  </si>
  <si>
    <t>Ventura 3416905148</t>
  </si>
  <si>
    <t>Ventura 3412743857</t>
  </si>
  <si>
    <t>Fernandez 3416754428</t>
  </si>
  <si>
    <t>Bello 3417437886</t>
  </si>
  <si>
    <t>Demo Distri</t>
  </si>
  <si>
    <t>Templado y funda</t>
  </si>
  <si>
    <t>Castro 3417474254</t>
  </si>
  <si>
    <t>Gomez 3416572718</t>
  </si>
  <si>
    <t>Monticelli, Nicolás Bruno</t>
  </si>
  <si>
    <t>Villa, Cristian Rubén</t>
  </si>
  <si>
    <t>Alba 3412848824</t>
  </si>
  <si>
    <t>Salvatierra 3412812771</t>
  </si>
  <si>
    <t>Ramirez 3416764411</t>
  </si>
  <si>
    <t>Bondi 3417537254</t>
  </si>
  <si>
    <t>Fernandez 3413389476</t>
  </si>
  <si>
    <t>Sanchez 3416481856</t>
  </si>
  <si>
    <t>Satrustegui 3416211855</t>
  </si>
  <si>
    <t>Figueroa 3415078303</t>
  </si>
  <si>
    <t>Durdiak 3412746828</t>
  </si>
  <si>
    <t>Herrera 3415426939</t>
  </si>
  <si>
    <t>Burgo 3412839310</t>
  </si>
  <si>
    <t>Acosta 3417488922</t>
  </si>
  <si>
    <t>Cavaletto 3413373238</t>
  </si>
  <si>
    <t>Objetivo 100%</t>
  </si>
  <si>
    <t>Rechi 3416441193</t>
  </si>
  <si>
    <t>De los Rios 3413376563</t>
  </si>
  <si>
    <t>Martinez 3415421101</t>
  </si>
  <si>
    <t>Martinez 3412795672</t>
  </si>
  <si>
    <t>Duarte 3413376952</t>
  </si>
  <si>
    <t>Velazquez 3417546553</t>
  </si>
  <si>
    <t>tc-cti $173248,91</t>
  </si>
  <si>
    <t>Manias 3413357651</t>
  </si>
  <si>
    <t>tc-cti $224398,91</t>
  </si>
  <si>
    <t>Contenti 3404439507</t>
  </si>
  <si>
    <t>Monsech 3413846957</t>
  </si>
  <si>
    <t>Giachello 3412788292</t>
  </si>
  <si>
    <t>Torre 3412816666</t>
  </si>
  <si>
    <t>Maidana 3415833743</t>
  </si>
  <si>
    <t>Benavidez 3413378650</t>
  </si>
  <si>
    <t>Areces 3415474866</t>
  </si>
  <si>
    <t>Ferrer 3417811012</t>
  </si>
  <si>
    <t>Cuello 3413381393</t>
  </si>
  <si>
    <t>Fernandez 3413381416</t>
  </si>
  <si>
    <t>Lossada, Celeste</t>
  </si>
  <si>
    <t>0471</t>
  </si>
  <si>
    <t>0472</t>
  </si>
  <si>
    <t>Agua Local</t>
  </si>
  <si>
    <t>0356</t>
  </si>
  <si>
    <t>Roatta 3415905846</t>
  </si>
  <si>
    <t>Ledesma 3416015929</t>
  </si>
  <si>
    <t>Notta 3416833856</t>
  </si>
  <si>
    <t>Guidoni 3415810969</t>
  </si>
  <si>
    <t>Torta 3413415724</t>
  </si>
  <si>
    <t>Catillo 3415466399</t>
  </si>
  <si>
    <t>Romero 3416706800</t>
  </si>
  <si>
    <t>Rolon, Érica Gisela</t>
  </si>
  <si>
    <t>Cuenca 3412127080</t>
  </si>
  <si>
    <t>Chamorro 3415634734</t>
  </si>
  <si>
    <t>Rios 3416986569</t>
  </si>
  <si>
    <t>Navarro 3413289931</t>
  </si>
  <si>
    <t>703</t>
  </si>
  <si>
    <t>Londero 3415989765</t>
  </si>
  <si>
    <t>Quintana 3412753773</t>
  </si>
  <si>
    <t>Morales 3416624868</t>
  </si>
  <si>
    <t>Quintana 3412474468</t>
  </si>
  <si>
    <t>Quintana 3412476181</t>
  </si>
  <si>
    <t>Quintana 3412479649</t>
  </si>
  <si>
    <t>AVTIVA</t>
  </si>
  <si>
    <t>Enrique 3412706248</t>
  </si>
  <si>
    <t>tc-cti $369999</t>
  </si>
  <si>
    <t>704</t>
  </si>
  <si>
    <t>Canteros 3412470852</t>
  </si>
  <si>
    <t>Arrieta 3413253696</t>
  </si>
  <si>
    <t>Arrieta 3416200151</t>
  </si>
  <si>
    <t>Arrieta 3417795373</t>
  </si>
  <si>
    <t>705</t>
  </si>
  <si>
    <t>Mariconi 3417261001</t>
  </si>
  <si>
    <t>Dangelo, Lucas Martin</t>
  </si>
  <si>
    <t>Ayala 3416466035</t>
  </si>
  <si>
    <t>Santero 3416582932</t>
  </si>
  <si>
    <t>Da silva 3413204000</t>
  </si>
  <si>
    <t>Gomez3413941656</t>
  </si>
  <si>
    <t>Hernandez 3417415135</t>
  </si>
  <si>
    <t>Leto 3416433887</t>
  </si>
  <si>
    <t>tc-cti $336598,91</t>
  </si>
  <si>
    <t>Saraniti 3413765134</t>
  </si>
  <si>
    <t>Hevia 3416628576</t>
  </si>
  <si>
    <t>Martinez 9992997697</t>
  </si>
  <si>
    <t>Activa 3/12</t>
  </si>
  <si>
    <t>Aguirre 3412647625</t>
  </si>
  <si>
    <t>Dora 3412053794</t>
  </si>
  <si>
    <t>Petraca 3415441865</t>
  </si>
  <si>
    <t>Petraca 3412159000</t>
  </si>
  <si>
    <t>707</t>
  </si>
  <si>
    <t>Garcia 2355503169</t>
  </si>
  <si>
    <t>Ibarra 3415525824</t>
  </si>
  <si>
    <t>tc-cti $424999,01</t>
  </si>
  <si>
    <t>Almada 3415479891</t>
  </si>
  <si>
    <t>Almada 3413483500</t>
  </si>
  <si>
    <t>tc-cti $251999,01</t>
  </si>
  <si>
    <t>Villalobos 3412765433</t>
  </si>
  <si>
    <t>Graff 3417540452</t>
  </si>
  <si>
    <t>Saldaña 3416935926</t>
  </si>
  <si>
    <t>RECHAZADA</t>
  </si>
  <si>
    <t>Ubogui 3412701587</t>
  </si>
  <si>
    <t>Rubial 3413347248</t>
  </si>
  <si>
    <t>Alderete 3412702553</t>
  </si>
  <si>
    <t>Garcia 3416187179</t>
  </si>
  <si>
    <t>0357</t>
  </si>
  <si>
    <t>Aranciba 3413617374</t>
  </si>
  <si>
    <t>Guzman 3412707287</t>
  </si>
  <si>
    <t>Sandoval 3415794835</t>
  </si>
  <si>
    <t>Sandoval 3412006907</t>
  </si>
  <si>
    <t>Rodriguez 3412707672</t>
  </si>
  <si>
    <t>Salerno 3412858618</t>
  </si>
  <si>
    <t>Palazzin 3412713884</t>
  </si>
  <si>
    <t>Turchet 3436614714</t>
  </si>
  <si>
    <t>Casabona 3412712261</t>
  </si>
  <si>
    <t>tc-cti $166399,2</t>
  </si>
  <si>
    <t>VIERNES 28/11</t>
  </si>
  <si>
    <t>708</t>
  </si>
  <si>
    <t>Cerra 3413280327</t>
  </si>
  <si>
    <t>Rubiolo 3412798994</t>
  </si>
  <si>
    <t>Rubiolo 3416471485</t>
  </si>
  <si>
    <t>Rosales 3412717849</t>
  </si>
  <si>
    <t>Lizandrelo 3416603635</t>
  </si>
  <si>
    <t>Tardini 3416156630</t>
  </si>
  <si>
    <t>Lopez 3413455121</t>
  </si>
  <si>
    <t>Cardozo 3417498119</t>
  </si>
  <si>
    <t>709</t>
  </si>
  <si>
    <t>Cardozo 3412037688</t>
  </si>
  <si>
    <t>ACTIVA 04/12</t>
  </si>
  <si>
    <t>Cardozo 3412726284</t>
  </si>
  <si>
    <t>Echegaray 3412728215</t>
  </si>
  <si>
    <t>Becerra 3413775954</t>
  </si>
  <si>
    <t>Giemenez 3413775954</t>
  </si>
  <si>
    <t>Serrano 3413142776</t>
  </si>
  <si>
    <t>ACTIVA 05/12</t>
  </si>
  <si>
    <t>Tejerina 3415986845</t>
  </si>
  <si>
    <t>Alberto 3415012863</t>
  </si>
  <si>
    <t>Villaverde 3412825577</t>
  </si>
  <si>
    <t>SE CONFIRMO PASE</t>
  </si>
  <si>
    <t>710</t>
  </si>
  <si>
    <t>Olmos 3416511121</t>
  </si>
  <si>
    <t>tc-cti $163199,21</t>
  </si>
  <si>
    <t>Tognini 3413833399</t>
  </si>
  <si>
    <t>711</t>
  </si>
  <si>
    <t>Quiroz 3413908431</t>
  </si>
  <si>
    <t>Negroni 3416589342</t>
  </si>
  <si>
    <t>Kodner 3415421822</t>
  </si>
  <si>
    <t>Sanmiguel 3413826749</t>
  </si>
  <si>
    <t>Sanmiguel 3413888916</t>
  </si>
  <si>
    <t>Martinez 3415475001</t>
  </si>
  <si>
    <t>Perez 2223461700</t>
  </si>
  <si>
    <t>Torres 3416668272</t>
  </si>
  <si>
    <t>Pacheco 3416668261</t>
  </si>
  <si>
    <t>Mudry 3415457974</t>
  </si>
  <si>
    <t>Velez 3413708430</t>
  </si>
  <si>
    <t>Velez 3413211770</t>
  </si>
  <si>
    <t>Vallejos 3415457999</t>
  </si>
  <si>
    <t>712</t>
  </si>
  <si>
    <t>4873</t>
  </si>
  <si>
    <t>4874</t>
  </si>
  <si>
    <t>Perez 2223525551</t>
  </si>
  <si>
    <t>Acaro 3415499698</t>
  </si>
  <si>
    <t>Orellano 3416033769</t>
  </si>
  <si>
    <t>Alviso 3417422455</t>
  </si>
  <si>
    <t>Piermahei 3416457809</t>
  </si>
  <si>
    <t>Montechiarini 3413781733</t>
  </si>
  <si>
    <t>Mazzei 3413400925</t>
  </si>
  <si>
    <t>Mazzei 3416374305</t>
  </si>
  <si>
    <t>Rigoni 3364031060</t>
  </si>
  <si>
    <t>Pereyra 3416455737</t>
  </si>
  <si>
    <t>Pereyra 3416924067</t>
  </si>
  <si>
    <t>Olivera 3415464780</t>
  </si>
  <si>
    <t>Michaut 3413496500</t>
  </si>
  <si>
    <t>713</t>
  </si>
  <si>
    <t>Brian 3415149797</t>
  </si>
  <si>
    <t>Dessimoni 3413265670</t>
  </si>
  <si>
    <t>Arce 3413446717</t>
  </si>
  <si>
    <t>Almaraz 3412177175</t>
  </si>
  <si>
    <t>Territo 3416360510</t>
  </si>
  <si>
    <t>714</t>
  </si>
  <si>
    <t>$16400</t>
  </si>
  <si>
    <t>Hernan 3412576789</t>
  </si>
  <si>
    <t>Perino 3413823643</t>
  </si>
  <si>
    <t>ACTIVA 11/12</t>
  </si>
  <si>
    <t>Perino 3415005292</t>
  </si>
  <si>
    <t>Frola 3415109975</t>
  </si>
  <si>
    <t>715</t>
  </si>
  <si>
    <t>Godoy 3412818079</t>
  </si>
  <si>
    <t>Escobar 3416550594</t>
  </si>
  <si>
    <t>Lemo 3412704939</t>
  </si>
  <si>
    <t>Maggioni 3412705026</t>
  </si>
  <si>
    <t>Galarza 3412705166</t>
  </si>
  <si>
    <t>Bordon 3412731411</t>
  </si>
  <si>
    <t>Transfer SIM</t>
  </si>
  <si>
    <t>Micol 3412829361</t>
  </si>
  <si>
    <t>Paredes 3416180266</t>
  </si>
  <si>
    <t>Vildoso 3412574415</t>
  </si>
  <si>
    <t>Aguirre 3416562629</t>
  </si>
  <si>
    <t>Destefano 3415978815</t>
  </si>
  <si>
    <t>Rovetto 347615694667</t>
  </si>
  <si>
    <t>717</t>
  </si>
  <si>
    <t>Gay 3413500717</t>
  </si>
  <si>
    <t>Taborda 3413713291</t>
  </si>
  <si>
    <t>Transfer instaladora</t>
  </si>
  <si>
    <t>Arredondo 3415850070</t>
  </si>
  <si>
    <t>Saavedra 3415488990</t>
  </si>
  <si>
    <t>Maciel 3413284567</t>
  </si>
  <si>
    <t>Romero 3415557226</t>
  </si>
  <si>
    <t>Furigo 3415987833</t>
  </si>
  <si>
    <t>Ponce 3415796823</t>
  </si>
  <si>
    <t>Añasco 3482583470</t>
  </si>
  <si>
    <t>Transfer UOCRA</t>
  </si>
  <si>
    <t>$10500 1cta.</t>
  </si>
  <si>
    <t>Basso 3416403079</t>
  </si>
  <si>
    <t>ACTIVA 12/12</t>
  </si>
  <si>
    <t>Reinaudo 3417513744</t>
  </si>
  <si>
    <t>Ledesma 3412725366</t>
  </si>
  <si>
    <t>Villalva 3416823371</t>
  </si>
  <si>
    <t>Varela 3416965343</t>
  </si>
  <si>
    <t>Sims Victoria</t>
  </si>
  <si>
    <t>Magariños 3416510791</t>
  </si>
  <si>
    <t>ACTIVA 15/12</t>
  </si>
  <si>
    <t>Bourdin 3412140118</t>
  </si>
  <si>
    <t>Vecchio 3412743673</t>
  </si>
  <si>
    <t>Solis 3416512878</t>
  </si>
  <si>
    <t>Roldan 3412811053</t>
  </si>
  <si>
    <t>Cordoba 3415898255</t>
  </si>
  <si>
    <t>719</t>
  </si>
  <si>
    <t>Dante 3415413156</t>
  </si>
  <si>
    <t>Perino 3415109975</t>
  </si>
  <si>
    <t>Alonso 3413434450</t>
  </si>
  <si>
    <t>Barboza 3415792892</t>
  </si>
  <si>
    <t>ACTIVA 16/12</t>
  </si>
  <si>
    <t>Leonidas 3416678898</t>
  </si>
  <si>
    <t>720</t>
  </si>
  <si>
    <t>Garcia 3415474368</t>
  </si>
  <si>
    <t>Leguizamon 3413658535</t>
  </si>
  <si>
    <t>Miranda 3468598653</t>
  </si>
  <si>
    <t>Amatriain,Javier</t>
  </si>
  <si>
    <t>Distribuidora Alem</t>
  </si>
  <si>
    <t>Moños</t>
  </si>
  <si>
    <t>Ottaviani 3412578762</t>
  </si>
  <si>
    <t>D'Antonio 3415141532</t>
  </si>
  <si>
    <t>Gonzalez 3412844787</t>
  </si>
  <si>
    <t>721</t>
  </si>
  <si>
    <t>Favalli 3416809999</t>
  </si>
  <si>
    <t>Nieva 3412298077</t>
  </si>
  <si>
    <t>alejandro maccan</t>
  </si>
  <si>
    <t>Caretta 3416551976</t>
  </si>
  <si>
    <t>Ferreyra 3416582541</t>
  </si>
  <si>
    <t>Pascuali 3412136707</t>
  </si>
  <si>
    <t>Pascuai 3416469616</t>
  </si>
  <si>
    <t>ACTIVA 17/12</t>
  </si>
  <si>
    <t>Diaz 3476371136</t>
  </si>
  <si>
    <t>Medina 3412123375</t>
  </si>
  <si>
    <t>Mehaca 3476527215</t>
  </si>
  <si>
    <t>Tobias 3412006719</t>
  </si>
  <si>
    <t>Frea 3415200536</t>
  </si>
  <si>
    <t>Martinez 3416051967</t>
  </si>
  <si>
    <t>Le bas 3412754328</t>
  </si>
  <si>
    <t>Iribarne 3412296399</t>
  </si>
  <si>
    <t>Iribarne 3412275208</t>
  </si>
  <si>
    <t>Iribarne 3417216959</t>
  </si>
  <si>
    <t>Duarte 3415838124</t>
  </si>
  <si>
    <t>0358</t>
  </si>
  <si>
    <t>Ortiz 3412834765</t>
  </si>
  <si>
    <t>SE CONFIRMA PASE</t>
  </si>
  <si>
    <t>Cordoba 3413205239</t>
  </si>
  <si>
    <t>Moreira 3415315709</t>
  </si>
  <si>
    <t>D'Agostino 3413591390</t>
  </si>
  <si>
    <t>Martinez 3416803890</t>
  </si>
  <si>
    <t>Ayala 3413446319</t>
  </si>
  <si>
    <t>Rodriguez 3415974047</t>
  </si>
  <si>
    <t>Lujan 3412006039</t>
  </si>
  <si>
    <t>Castillo 3415975195</t>
  </si>
  <si>
    <t>Rodolfi 3413598395</t>
  </si>
  <si>
    <t>BahI 3416175227</t>
  </si>
  <si>
    <t>Izzo 3415418803</t>
  </si>
  <si>
    <t>Mantello 3413316610</t>
  </si>
  <si>
    <t>Palacios 3415040473</t>
  </si>
  <si>
    <t>Casasa 3413370167</t>
  </si>
  <si>
    <t>Conrad 3413768262</t>
  </si>
  <si>
    <t>Casas 3413085474</t>
  </si>
  <si>
    <t>Arocha 3413472098</t>
  </si>
  <si>
    <t>Arocha 3416506394</t>
  </si>
  <si>
    <t>Baldizzone 3415000388</t>
  </si>
  <si>
    <t>Acevedo 3412714858</t>
  </si>
  <si>
    <t>724</t>
  </si>
  <si>
    <t>726</t>
  </si>
  <si>
    <t>Fernandez 3416827051</t>
  </si>
  <si>
    <t>Martinez 3413357372</t>
  </si>
  <si>
    <t>Niss 3412816960</t>
  </si>
  <si>
    <t>tc-cti $339999,21</t>
  </si>
  <si>
    <t>Niss 3415079837</t>
  </si>
  <si>
    <t>Arlotti 3413160484</t>
  </si>
  <si>
    <t>Arlotti 3412153829</t>
  </si>
  <si>
    <t>Serrano 3412165523</t>
  </si>
  <si>
    <t>Machuca 3412773782</t>
  </si>
  <si>
    <t>Vigrola 3415818431</t>
  </si>
  <si>
    <t>727</t>
  </si>
  <si>
    <t>SAC - Comisiones</t>
  </si>
  <si>
    <t>SAC - Sueldo</t>
  </si>
  <si>
    <t>Fuentes 3416908357</t>
  </si>
  <si>
    <t>ACTIVA 19/12</t>
  </si>
  <si>
    <t>Tobozo 3413885443</t>
  </si>
  <si>
    <t>Financiado + tc-cti $28999</t>
  </si>
  <si>
    <t>Corbera 3416922260</t>
  </si>
  <si>
    <t>Cassetta Vicente</t>
  </si>
  <si>
    <t>Transfer efe</t>
  </si>
  <si>
    <t>Serra 3416182877</t>
  </si>
  <si>
    <t>tc-cti $1759999,21</t>
  </si>
  <si>
    <t>731</t>
  </si>
  <si>
    <t>Diaz 3415612495</t>
  </si>
  <si>
    <t>Romero 3412817221</t>
  </si>
  <si>
    <t>Figueroa 3416822078</t>
  </si>
  <si>
    <t>Russo 3416554258</t>
  </si>
  <si>
    <t>732</t>
  </si>
  <si>
    <t>0953</t>
  </si>
  <si>
    <t>Mendieta 3416554523</t>
  </si>
  <si>
    <t>Trombini 3412706140</t>
  </si>
  <si>
    <t>Aballay 3413074052</t>
  </si>
  <si>
    <t>Acevedo 3416959494</t>
  </si>
  <si>
    <t>Reneiro 3417403316</t>
  </si>
  <si>
    <t>733</t>
  </si>
  <si>
    <t>734</t>
  </si>
  <si>
    <t>Pardi 3415896767</t>
  </si>
  <si>
    <t>Moriconi 3415072779</t>
  </si>
  <si>
    <t>comisiones</t>
  </si>
  <si>
    <t>SAC comisiones</t>
  </si>
  <si>
    <t>Blanco 3416806959</t>
  </si>
  <si>
    <t>ACTIVA 24/12</t>
  </si>
  <si>
    <t>Busetti 3412138544</t>
  </si>
  <si>
    <t>Alsina 3416049893</t>
  </si>
  <si>
    <t>Martinez 3413450608</t>
  </si>
  <si>
    <t>Ruelli 3402520600</t>
  </si>
  <si>
    <t>Marrone 3412174641</t>
  </si>
  <si>
    <t>Ferragut 3412175512</t>
  </si>
  <si>
    <t>Gomez 3574459511</t>
  </si>
  <si>
    <t>Alasino 3412518826</t>
  </si>
  <si>
    <t>Nicola 3466459279</t>
  </si>
  <si>
    <t>Hernandez 3412018600</t>
  </si>
  <si>
    <t>Maniell 3417189296</t>
  </si>
  <si>
    <t>735</t>
  </si>
  <si>
    <t>Pereyra 3476302982</t>
  </si>
  <si>
    <t>736</t>
  </si>
  <si>
    <t>Monastero 3412703146</t>
  </si>
  <si>
    <t>Sosa 3412703347</t>
  </si>
  <si>
    <t>Navarro 3436445387</t>
  </si>
  <si>
    <t>Urquidi 3415986198</t>
  </si>
  <si>
    <t>Tenallia 3412706788</t>
  </si>
  <si>
    <t>737</t>
  </si>
  <si>
    <t>$9000 1cta.</t>
  </si>
  <si>
    <t>Scandora 3412707244</t>
  </si>
  <si>
    <t>Scandora 3416219902</t>
  </si>
  <si>
    <t>Balzarini 3415761012</t>
  </si>
  <si>
    <t>Perez 3415092754</t>
  </si>
  <si>
    <t>Abovsky 3412707720</t>
  </si>
  <si>
    <t>Ligero 3417498949</t>
  </si>
  <si>
    <t>Gimenez 3413050201</t>
  </si>
  <si>
    <t>Lozano 3413535477</t>
  </si>
  <si>
    <t>Blanco 3476397676</t>
  </si>
  <si>
    <t>Castelo 3413724414</t>
  </si>
  <si>
    <t>739</t>
  </si>
  <si>
    <t>740</t>
  </si>
  <si>
    <t>Ansaldi 3415968117</t>
  </si>
  <si>
    <t>Paz 3415462408</t>
  </si>
  <si>
    <t>Ybañez 3413493051</t>
  </si>
  <si>
    <t>0359</t>
  </si>
  <si>
    <t>Wyngaard 3412113175</t>
  </si>
  <si>
    <t>Alarcon 3416674804</t>
  </si>
  <si>
    <t>Sosa 3417433913</t>
  </si>
  <si>
    <t>741</t>
  </si>
  <si>
    <t>Cejas 3412105859</t>
  </si>
  <si>
    <t>t-cti $799999</t>
  </si>
  <si>
    <t>Licey 3476399177</t>
  </si>
  <si>
    <t>Bueno 3413581889</t>
  </si>
  <si>
    <t>Collado 3471595291</t>
  </si>
  <si>
    <t>Acosta 3415818773</t>
  </si>
  <si>
    <t>Sosa 3412138947</t>
  </si>
  <si>
    <t>Marchesi 3415559475</t>
  </si>
  <si>
    <t>Marchesi 3415559474</t>
  </si>
  <si>
    <t>Pescia 3413595327</t>
  </si>
  <si>
    <t>ACTIVA 26/12</t>
  </si>
  <si>
    <t>Soroeta 3415649571</t>
  </si>
  <si>
    <t>Alonso 3413522831</t>
  </si>
  <si>
    <t>Muñoz 3416879886</t>
  </si>
  <si>
    <t>742</t>
  </si>
  <si>
    <t>$23575 1 cta.</t>
  </si>
  <si>
    <t>743</t>
  </si>
  <si>
    <t>744</t>
  </si>
  <si>
    <t>745</t>
  </si>
  <si>
    <t>Gobernatore 3416879886</t>
  </si>
  <si>
    <t>Santos 34127999496</t>
  </si>
  <si>
    <t>Diaz 3413762866</t>
  </si>
  <si>
    <t>Cirelli 3416666603</t>
  </si>
  <si>
    <t>Barreto 3415621790</t>
  </si>
  <si>
    <t>Lopez 3815611060</t>
  </si>
  <si>
    <t>Blanco 3417546212</t>
  </si>
  <si>
    <t>Atencio 3436416080</t>
  </si>
  <si>
    <t>Juncos 3412025652</t>
  </si>
  <si>
    <t>Servin 3412105835</t>
  </si>
  <si>
    <t>Pepio 3413117639</t>
  </si>
  <si>
    <t>Limandi 3413986924</t>
  </si>
  <si>
    <t>tc-cti $244799,21</t>
  </si>
  <si>
    <t>Limandi 3417536259</t>
  </si>
  <si>
    <t>Marti 3415826141</t>
  </si>
  <si>
    <t>Ferretti 3467520243</t>
  </si>
  <si>
    <t>746</t>
  </si>
  <si>
    <t>Gallardo 3416560682</t>
  </si>
  <si>
    <t>Sanchez 3416556881</t>
  </si>
  <si>
    <t>Perez 3417438969</t>
  </si>
  <si>
    <t>0491</t>
  </si>
  <si>
    <t>0490</t>
  </si>
  <si>
    <t>Transfer propio</t>
  </si>
  <si>
    <t>0361</t>
  </si>
  <si>
    <t>353384838405356</t>
  </si>
  <si>
    <t>353357978161708</t>
  </si>
  <si>
    <t>S-A23G5</t>
  </si>
  <si>
    <t>358263681189959</t>
  </si>
  <si>
    <t>Alarcon 3413363293</t>
  </si>
  <si>
    <t>Dellarrosa 3417439302</t>
  </si>
  <si>
    <t>Gamarra 3416470828</t>
  </si>
  <si>
    <t>tc-cti $250000 + $687499,01</t>
  </si>
  <si>
    <t>Gigena 3412175903</t>
  </si>
  <si>
    <t>Rios 3413094960</t>
  </si>
  <si>
    <t>ACTIVA 29/12</t>
  </si>
  <si>
    <t>Ortubia 3415502292</t>
  </si>
  <si>
    <t>747</t>
  </si>
  <si>
    <t>Bordino 3476566395</t>
  </si>
  <si>
    <t>Latricchina 3416866361</t>
  </si>
  <si>
    <t>ACTIVA 30/12</t>
  </si>
  <si>
    <t>Latricchina 3413240743</t>
  </si>
  <si>
    <t>Gerez 3412747963</t>
  </si>
  <si>
    <t>Balsamello 3416358922</t>
  </si>
  <si>
    <t>Baptista 3413760444</t>
  </si>
  <si>
    <t>Lanese 3415444190</t>
  </si>
  <si>
    <t>Baptista 3412778807</t>
  </si>
  <si>
    <t>748</t>
  </si>
  <si>
    <t>$16912,50 1cta.</t>
  </si>
  <si>
    <t>749</t>
  </si>
  <si>
    <t>Privitera 3417494540</t>
  </si>
  <si>
    <t>Caliani 3417443735</t>
  </si>
  <si>
    <t>Ortigoza 3412545672</t>
  </si>
  <si>
    <t>Santi 3417417374</t>
  </si>
  <si>
    <t>Becerra 3413504485</t>
  </si>
  <si>
    <t>tc-cti $489598,42</t>
  </si>
  <si>
    <t>Razzetti 3416247153</t>
  </si>
  <si>
    <t>Ojeda 3416412980</t>
  </si>
  <si>
    <t>Caceres 3413750738</t>
  </si>
  <si>
    <t>Petrini 3417444090</t>
  </si>
  <si>
    <t>Maidana 3415898511</t>
  </si>
  <si>
    <t>Garay 3413512167</t>
  </si>
  <si>
    <t>Bejara 3436466809</t>
  </si>
  <si>
    <t>Romero 3413509188</t>
  </si>
  <si>
    <t>Romero 3416480271</t>
  </si>
  <si>
    <t>Castro 2634281278</t>
  </si>
  <si>
    <t>Baez 3415837450</t>
  </si>
  <si>
    <t>750</t>
  </si>
  <si>
    <t>$31262,50</t>
  </si>
  <si>
    <t>Figueroa 3364615214</t>
  </si>
  <si>
    <t>Farruggia 3415010651</t>
  </si>
  <si>
    <t>Farrugia 3415010651</t>
  </si>
  <si>
    <t>Fernandez 3413360905</t>
  </si>
  <si>
    <t>Guiñazu 3412296448</t>
  </si>
  <si>
    <t>Emanueli 3412787405</t>
  </si>
  <si>
    <t>751</t>
  </si>
  <si>
    <t>Boncompain 3412135260</t>
  </si>
  <si>
    <t>Vesprini, Adriana Edith</t>
  </si>
  <si>
    <t>752</t>
  </si>
  <si>
    <t>GomezGarcia 3412535059</t>
  </si>
  <si>
    <t>Prieto 3416277850</t>
  </si>
  <si>
    <t>Retamoso 3476394552</t>
  </si>
  <si>
    <t>Palomeque 3416576560</t>
  </si>
  <si>
    <t>Plotkin 3415054142</t>
  </si>
  <si>
    <t>Cahue Lidia</t>
  </si>
  <si>
    <t>Navarro 3412738173</t>
  </si>
  <si>
    <t>Killer 3416446865</t>
  </si>
  <si>
    <t>Marrone 3417451603</t>
  </si>
  <si>
    <t>Marrone 3417451684</t>
  </si>
  <si>
    <t>Cicconi 3413037702</t>
  </si>
  <si>
    <t>Veloz 3487731290</t>
  </si>
  <si>
    <t>Diaz 3412149156</t>
  </si>
  <si>
    <t>Nievas 3412724393</t>
  </si>
  <si>
    <t>Amadori 34154464445</t>
  </si>
  <si>
    <t>Frare 3413838471</t>
  </si>
  <si>
    <t>Sueldo Diciembre</t>
  </si>
  <si>
    <t>Ricci 3412713350</t>
  </si>
  <si>
    <t>Boccolini 3412139279</t>
  </si>
  <si>
    <t>Miranda 3413797412</t>
  </si>
  <si>
    <t>PORTADA 6/1</t>
  </si>
  <si>
    <t>Miranda 3416514216</t>
  </si>
  <si>
    <t>Torres 3416370371</t>
  </si>
  <si>
    <t>Torres 3412279043</t>
  </si>
  <si>
    <t>Torres 3413875330</t>
  </si>
  <si>
    <t>Correa 3412249931</t>
  </si>
  <si>
    <t>Grabowski 3412806428</t>
  </si>
  <si>
    <t>Fernandez 3415042801</t>
  </si>
  <si>
    <t>Caraballo 3412792543</t>
  </si>
  <si>
    <t>Salvo 3415907260</t>
  </si>
  <si>
    <t>Marques 3413566786</t>
  </si>
  <si>
    <t>PORTADA 7/1</t>
  </si>
  <si>
    <t>Monzon 3416481517</t>
  </si>
  <si>
    <t>Casafú 3416845823</t>
  </si>
  <si>
    <t>Mc Cormack 3415613656</t>
  </si>
  <si>
    <t>Giacone 3416577829</t>
  </si>
  <si>
    <t>Paz 3412134321</t>
  </si>
  <si>
    <t>753</t>
  </si>
  <si>
    <t>754</t>
  </si>
  <si>
    <t>Barrios, Gonzalo</t>
  </si>
  <si>
    <t>INSTALADA</t>
  </si>
  <si>
    <t>Mendoza 3413057343</t>
  </si>
  <si>
    <t>Cortez 3416251543</t>
  </si>
  <si>
    <t>Badia 3412754505</t>
  </si>
  <si>
    <t>Lascano 3413260904</t>
  </si>
  <si>
    <t>Cordoba 3415504302</t>
  </si>
  <si>
    <t>Estigarribia 3416679113</t>
  </si>
  <si>
    <t>Collins 3413241208</t>
  </si>
  <si>
    <t>Silva 3875337090</t>
  </si>
  <si>
    <t>Financiado + tc-cti $159999,21</t>
  </si>
  <si>
    <t>Barrios 3413095752</t>
  </si>
  <si>
    <t>755</t>
  </si>
  <si>
    <t>756</t>
  </si>
  <si>
    <t>757</t>
  </si>
  <si>
    <t>$26137,5 1cta.</t>
  </si>
  <si>
    <t>758</t>
  </si>
  <si>
    <t>Frenegal 3413487231</t>
  </si>
  <si>
    <t>759</t>
  </si>
  <si>
    <t>Medina 3476210885</t>
  </si>
  <si>
    <t>Santangelo 3417528040</t>
  </si>
  <si>
    <t>Monserrat 3416558551</t>
  </si>
  <si>
    <t>Castro 3413385658</t>
  </si>
  <si>
    <t>Salina 3413837131</t>
  </si>
  <si>
    <t>Samut 3415969387</t>
  </si>
  <si>
    <t>Astrada 3413817011</t>
  </si>
  <si>
    <t>Martini 1155175722</t>
  </si>
  <si>
    <t>Pazos 3415408593</t>
  </si>
  <si>
    <t>Abrozio 3413517293</t>
  </si>
  <si>
    <t>760</t>
  </si>
  <si>
    <t>Peralta 3415982774</t>
  </si>
  <si>
    <t>Scolani 3416422171</t>
  </si>
  <si>
    <t>Barrios 3413904946</t>
  </si>
  <si>
    <t>Stacul 3412736665</t>
  </si>
  <si>
    <t>Saul 3417516417</t>
  </si>
  <si>
    <t>Acosta 3417473071</t>
  </si>
  <si>
    <t>761</t>
  </si>
  <si>
    <t>Transfer SIMs</t>
  </si>
  <si>
    <t>0362</t>
  </si>
  <si>
    <t>Nichele 3417529464</t>
  </si>
  <si>
    <t>Stanoevich 3415844173</t>
  </si>
  <si>
    <t>Dolce 3416453329</t>
  </si>
  <si>
    <t>tc-cti $314499</t>
  </si>
  <si>
    <t>762</t>
  </si>
  <si>
    <t>Corona 3413272994</t>
  </si>
  <si>
    <t>Scheffer 3415620730</t>
  </si>
  <si>
    <t>PORTADA 8/1</t>
  </si>
  <si>
    <t>Costa 3413309227</t>
  </si>
  <si>
    <t>Costa 3413309779</t>
  </si>
  <si>
    <t>Fischer 3417560738</t>
  </si>
  <si>
    <t>Piedra 3417560746</t>
  </si>
  <si>
    <t>tc-cti $169999,20</t>
  </si>
  <si>
    <t>Avila 3415786020</t>
  </si>
  <si>
    <t>Gutierrez 2974929203</t>
  </si>
  <si>
    <t>Maziero 3412798467</t>
  </si>
  <si>
    <t>Velez 3417522293</t>
  </si>
  <si>
    <t>PORTADA 9/1</t>
  </si>
  <si>
    <t>Palacios 3413917461</t>
  </si>
  <si>
    <t>Palacios 3415917422</t>
  </si>
  <si>
    <t>Palacios 3417796549</t>
  </si>
  <si>
    <t>Palacios 3413822979</t>
  </si>
  <si>
    <t>Paoloni 3415780190</t>
  </si>
  <si>
    <t>Marino 3415841770</t>
  </si>
  <si>
    <t>763</t>
  </si>
  <si>
    <t>$6625 1cta</t>
  </si>
  <si>
    <t>764</t>
  </si>
  <si>
    <t>Priscila, Almua</t>
  </si>
  <si>
    <t>Palacios 3417547104</t>
  </si>
  <si>
    <t>Villarreal 3413466175</t>
  </si>
  <si>
    <t>Parra 3413466876</t>
  </si>
  <si>
    <t>Molina 3415823233</t>
  </si>
  <si>
    <t>Locatelli 3415403598</t>
  </si>
  <si>
    <t>Melgen 3415823076</t>
  </si>
  <si>
    <t>Larrañaga 3416463494</t>
  </si>
  <si>
    <t>tc-cti $399999,21</t>
  </si>
  <si>
    <t>Casco 3412717563</t>
  </si>
  <si>
    <t>Diaz 3415489773</t>
  </si>
  <si>
    <t>Caro 3417459537</t>
  </si>
  <si>
    <t>Salina 3415784047</t>
  </si>
  <si>
    <t>PORTADA 13/1</t>
  </si>
  <si>
    <t>Figueroa 3413201213</t>
  </si>
  <si>
    <t>Loiacono 3416546720</t>
  </si>
  <si>
    <t>Sosa 3413807796</t>
  </si>
  <si>
    <t>Colombero 3415499956</t>
  </si>
  <si>
    <t>Vallejos 3412791128</t>
  </si>
  <si>
    <t>Velardez 3417562481</t>
  </si>
  <si>
    <t>Avalle 3417515722</t>
  </si>
  <si>
    <t>Cabana 3417800839</t>
  </si>
  <si>
    <t>Gutierrez 3416080325</t>
  </si>
  <si>
    <t>Rocca 3413290113</t>
  </si>
  <si>
    <t>Rocca 3413349170</t>
  </si>
  <si>
    <t>Lujan 3413611493</t>
  </si>
  <si>
    <t>Uriarte 3476562883</t>
  </si>
  <si>
    <t>Mercado 3415148580</t>
  </si>
  <si>
    <t>Venencia 3412272804</t>
  </si>
  <si>
    <t>Piottanti 3412776794</t>
  </si>
  <si>
    <t>765</t>
  </si>
  <si>
    <t>Gordillo 3415404456</t>
  </si>
  <si>
    <t>RESERVA</t>
  </si>
  <si>
    <t>El disponible lo tiene Yanina</t>
  </si>
  <si>
    <t>Lopez 3415968277</t>
  </si>
  <si>
    <t>Cabrera 3415444426</t>
  </si>
  <si>
    <t>Francioni 3476537650</t>
  </si>
  <si>
    <t>Valdivienzo 1153446084</t>
  </si>
  <si>
    <t>tc-cti $594999,01</t>
  </si>
  <si>
    <t>Tannuri 3476200118</t>
  </si>
  <si>
    <t>Dadatto 3416401075</t>
  </si>
  <si>
    <t>Uzcategui 3412779932</t>
  </si>
  <si>
    <t>Caro Payer 2942258244</t>
  </si>
  <si>
    <t>766</t>
  </si>
  <si>
    <t>$7999 1cta</t>
  </si>
  <si>
    <t>Valente 3476207987</t>
  </si>
  <si>
    <t>Mendez 3413238649</t>
  </si>
  <si>
    <t>Tabachetti 3416547243</t>
  </si>
  <si>
    <t>Maciel 3364581740</t>
  </si>
  <si>
    <t>767</t>
  </si>
  <si>
    <t>Pizarro 3416110861</t>
  </si>
  <si>
    <t>tdc-cti $101999,01 + Débito</t>
  </si>
  <si>
    <t>Saucedo 3476625345</t>
  </si>
  <si>
    <t>Yañez 3417202099</t>
  </si>
  <si>
    <t>tc-cti $89999 +Financiado</t>
  </si>
  <si>
    <t>Altamirano 3413575971</t>
  </si>
  <si>
    <t>Mora 3416090443</t>
  </si>
  <si>
    <t>Sobrin 3412700160</t>
  </si>
  <si>
    <t>Clerico 3412713075</t>
  </si>
  <si>
    <t>Veron 3416455529</t>
  </si>
  <si>
    <t>Izetta 3412742257</t>
  </si>
  <si>
    <t>Garcia 3417183973</t>
  </si>
  <si>
    <t>Faini 3412765115</t>
  </si>
  <si>
    <t>Chauvin 3412759587</t>
  </si>
  <si>
    <t>768</t>
  </si>
  <si>
    <t>Mendez 3417503678</t>
  </si>
  <si>
    <t>Mendoza 3415426213</t>
  </si>
  <si>
    <t>Villanueva 3413996041</t>
  </si>
  <si>
    <t>Torres 3415860864</t>
  </si>
  <si>
    <t>Calviño 3413574590</t>
  </si>
  <si>
    <t>Calviño 3417252307</t>
  </si>
  <si>
    <t>Terramea 3412095389</t>
  </si>
  <si>
    <t>PORTADA 19/01</t>
  </si>
  <si>
    <t>Romero 3413571717</t>
  </si>
  <si>
    <t>Quinteros 3415596389</t>
  </si>
  <si>
    <t>Cocomazzi 3412120200</t>
  </si>
  <si>
    <t>Marcantoni 3415414919</t>
  </si>
  <si>
    <t>Ciardelli 3415649339</t>
  </si>
  <si>
    <t>Ciardelli 3415649581</t>
  </si>
  <si>
    <t>Herrera 3412164398</t>
  </si>
  <si>
    <t>tc-cti $649999</t>
  </si>
  <si>
    <t>Aritv 3413062085</t>
  </si>
  <si>
    <t>Nuesch 3417411805</t>
  </si>
  <si>
    <t>Farias 34154131887</t>
  </si>
  <si>
    <t>Palacios 34139474070</t>
  </si>
  <si>
    <t>Baldizzone 3415002708</t>
  </si>
  <si>
    <t>Giannini 3415708305</t>
  </si>
  <si>
    <t>Pujol, Jaime</t>
  </si>
  <si>
    <t>Ruiz 3417812648</t>
  </si>
  <si>
    <t>Fernandez 3414000333</t>
  </si>
  <si>
    <t>Perezlindo 3416489432</t>
  </si>
  <si>
    <t>Tarasco 3415987595</t>
  </si>
  <si>
    <t>Bustos 3476202570</t>
  </si>
  <si>
    <t>Leo 3415902612</t>
  </si>
  <si>
    <t>Mig no confirma pase</t>
  </si>
  <si>
    <t>Acosta 3412797043</t>
  </si>
  <si>
    <t>Vera 3417410146</t>
  </si>
  <si>
    <t>Neme 3416219603</t>
  </si>
  <si>
    <t>Zurubi 3417419405</t>
  </si>
  <si>
    <t>Bedeja 3412824217</t>
  </si>
  <si>
    <t>Mason 3416524429</t>
  </si>
  <si>
    <t>Villarreal 3413467295</t>
  </si>
  <si>
    <t>Benitez 3415638887</t>
  </si>
  <si>
    <t>Santone 3413584583</t>
  </si>
  <si>
    <t>Petrini 3416401682</t>
  </si>
  <si>
    <t>Financiado+ tc-cti $1014999</t>
  </si>
  <si>
    <t>Ccconi 3416867817</t>
  </si>
  <si>
    <t>Goncebat 3417551074</t>
  </si>
  <si>
    <t>Fernandez 3413375224</t>
  </si>
  <si>
    <t>Leiva 3417563733</t>
  </si>
  <si>
    <t>0364</t>
  </si>
  <si>
    <t>0510</t>
  </si>
  <si>
    <t>0511</t>
  </si>
  <si>
    <t>Ferreyra 3416274379</t>
  </si>
  <si>
    <t>Rios 3412143509</t>
  </si>
  <si>
    <t>Rios 3412145427</t>
  </si>
  <si>
    <t>Rios 3483489813</t>
  </si>
  <si>
    <t>Cornejo 3417420117</t>
  </si>
  <si>
    <t>Moreyra 3417516788</t>
  </si>
  <si>
    <t>Guerrero 3416659696</t>
  </si>
  <si>
    <t>PORTADA 21/01</t>
  </si>
  <si>
    <t>Madariaga 3412719333</t>
  </si>
  <si>
    <t>Ciardelli, Adrian</t>
  </si>
  <si>
    <t>Alfaro Rodriguez, Estefanía</t>
  </si>
  <si>
    <t>Segser SA 3415463394</t>
  </si>
  <si>
    <t>Oviedo 9993250374</t>
  </si>
  <si>
    <t>770</t>
  </si>
  <si>
    <t>Ganon 3415945161</t>
  </si>
  <si>
    <t>Olsina 3416638248</t>
  </si>
  <si>
    <t>Mannino 3412846464</t>
  </si>
  <si>
    <t>Loretan 3416124902</t>
  </si>
  <si>
    <t>Bermudez 3413187170</t>
  </si>
  <si>
    <t>Cagnolo 3413189383</t>
  </si>
  <si>
    <t>771</t>
  </si>
  <si>
    <t>Villarreal 3417819592</t>
  </si>
  <si>
    <t>Coronel 3416396876</t>
  </si>
  <si>
    <t>Coronel 3412709165</t>
  </si>
  <si>
    <t>Machuca 3476370560</t>
  </si>
  <si>
    <t>Ferrand 3412684930</t>
  </si>
  <si>
    <t>Marelli 3412752877</t>
  </si>
  <si>
    <t>Peroni 3417821209</t>
  </si>
  <si>
    <t>tc-cti $149599,2</t>
  </si>
  <si>
    <t>Ojeda 3416983493</t>
  </si>
  <si>
    <t>Lazo 3416755724</t>
  </si>
  <si>
    <t>FECHA PROGRAMADA 02/02</t>
  </si>
  <si>
    <t xml:space="preserve">Pagnutti </t>
  </si>
  <si>
    <t>7355</t>
  </si>
  <si>
    <t>Matafuegos</t>
  </si>
  <si>
    <t>Badalotti 3415494499</t>
  </si>
  <si>
    <t>Hidalgo 3416995205</t>
  </si>
  <si>
    <t>PORTADA 26/01</t>
  </si>
  <si>
    <t>Hidalgo 3417042565</t>
  </si>
  <si>
    <t>Meyer 3416904495</t>
  </si>
  <si>
    <t>Resiglione 3413402622</t>
  </si>
  <si>
    <t>Saad 3413356594</t>
  </si>
  <si>
    <t>Ruiz 3415606102</t>
  </si>
  <si>
    <t>Ruiz 3412114392</t>
  </si>
  <si>
    <t>tc-cti $261798,9</t>
  </si>
  <si>
    <t>Tabares 3416645986</t>
  </si>
  <si>
    <t>De Paoli, Lucio Martín</t>
  </si>
  <si>
    <t>Lemos 3416538751</t>
  </si>
  <si>
    <t>Diaz 3413975292</t>
  </si>
  <si>
    <t>Diaz 3412108219</t>
  </si>
  <si>
    <t>Oldani 3412129931</t>
  </si>
  <si>
    <t>Melgarejo 3417404575</t>
  </si>
  <si>
    <t>Borderi 3416492169</t>
  </si>
  <si>
    <t>Valdez 3412491077</t>
  </si>
  <si>
    <t>Galfre 3416651063</t>
  </si>
  <si>
    <t>Meurzet 3415461183</t>
  </si>
  <si>
    <t>Mattos 3412103773</t>
  </si>
  <si>
    <t>Noriega 3417521671</t>
  </si>
  <si>
    <t>Montiel 3415942993</t>
  </si>
  <si>
    <t>PORTADA 28/01</t>
  </si>
  <si>
    <t>Chariano 3412139633</t>
  </si>
  <si>
    <t>Fernandez 3412655675</t>
  </si>
  <si>
    <t>Jaquelina 3412263043</t>
  </si>
  <si>
    <t>772</t>
  </si>
  <si>
    <t>Castillo 3413302402</t>
  </si>
  <si>
    <t>Padilla 3417474940</t>
  </si>
  <si>
    <t>Perez 3415827540</t>
  </si>
  <si>
    <t>Rodriguez 3413184006</t>
  </si>
  <si>
    <t>Sangermano 3412836415</t>
  </si>
  <si>
    <t>Perrone 3415317387</t>
  </si>
  <si>
    <t>Martorell, Ariadna</t>
  </si>
  <si>
    <t>Garcia 3415640014</t>
  </si>
  <si>
    <t>Sosa 3412719110</t>
  </si>
  <si>
    <t>Manacorda 3416759092</t>
  </si>
  <si>
    <t>Grognoletti 3413197353</t>
  </si>
  <si>
    <t>Desinado 3413381327</t>
  </si>
  <si>
    <t>tc-cti $679999,01</t>
  </si>
  <si>
    <t>Herrera 3417195504</t>
  </si>
  <si>
    <t>PORTADA 30/01</t>
  </si>
  <si>
    <t>774</t>
  </si>
  <si>
    <t>Moreno 3413444724</t>
  </si>
  <si>
    <t>Financiado + tc-cti $554999,01</t>
  </si>
  <si>
    <t>Molina 3413453571</t>
  </si>
  <si>
    <t>Gasparri 3416488093</t>
  </si>
  <si>
    <t>Leguizamon 3412700321</t>
  </si>
  <si>
    <t>Sanabria 3416101847</t>
  </si>
  <si>
    <t>Tocalli 3415869708</t>
  </si>
  <si>
    <t>Segser SA 3415142033</t>
  </si>
  <si>
    <t>Licera 3417483808</t>
  </si>
  <si>
    <t>Caldelari 3413014803</t>
  </si>
  <si>
    <t>tc-cti $251599,2</t>
  </si>
  <si>
    <t>775</t>
  </si>
  <si>
    <t>Valverde 3413109292</t>
  </si>
  <si>
    <t>Vega 3412160458</t>
  </si>
  <si>
    <t>Coria 3416236013</t>
  </si>
  <si>
    <t>Reyes 3412167976</t>
  </si>
  <si>
    <t>Pereira 3417209165</t>
  </si>
  <si>
    <t>Pereira 3417209201</t>
  </si>
  <si>
    <t>Rieffolo 3412472733</t>
  </si>
  <si>
    <t>Rieffolo 3412544629</t>
  </si>
  <si>
    <t>tc-cti $142799,21</t>
  </si>
  <si>
    <t>Aggeri 3415781143</t>
  </si>
  <si>
    <t>776</t>
  </si>
  <si>
    <t>777</t>
  </si>
  <si>
    <t>Cabral 3415461775</t>
  </si>
  <si>
    <t>Reynoso 3468529559</t>
  </si>
  <si>
    <t>Bone 3416123917</t>
  </si>
  <si>
    <t>Brest, Tatiana</t>
  </si>
  <si>
    <t>Glacho 3412110551</t>
  </si>
  <si>
    <t>Román 3416585018</t>
  </si>
  <si>
    <t>0759</t>
  </si>
  <si>
    <t>Cuadernillos</t>
  </si>
  <si>
    <t>Paximada 3413300902</t>
  </si>
  <si>
    <t>778</t>
  </si>
  <si>
    <t>Perez 3412112657</t>
  </si>
  <si>
    <t>Borace 3416688400</t>
  </si>
  <si>
    <t>Blanco 3417526432</t>
  </si>
  <si>
    <t>Sandra 3415410432</t>
  </si>
  <si>
    <t>Barbona 3416951462</t>
  </si>
  <si>
    <t>Gorosito 3412478829</t>
  </si>
  <si>
    <t>Schpeir 3412646951</t>
  </si>
  <si>
    <t>Duran 3413277179</t>
  </si>
  <si>
    <t>Lopez 3476230522</t>
  </si>
  <si>
    <t>Valenti 3415457739</t>
  </si>
  <si>
    <t>Larrañaga 3412773933</t>
  </si>
  <si>
    <t>tc-cti $69000 + Financiado</t>
  </si>
  <si>
    <t>779</t>
  </si>
  <si>
    <t>780</t>
  </si>
  <si>
    <t>Benavidez 3417503801</t>
  </si>
  <si>
    <t>Romero 3417426800</t>
  </si>
  <si>
    <t>Arroyo 3472548605</t>
  </si>
  <si>
    <t>0365</t>
  </si>
  <si>
    <t>Mule 3412720525</t>
  </si>
  <si>
    <t>Martin 3412810233</t>
  </si>
  <si>
    <t>Trobat 3412810859</t>
  </si>
  <si>
    <t>Fabbrizi 3416147549</t>
  </si>
  <si>
    <t>Piermattei 3416457809</t>
  </si>
  <si>
    <t>Cistorna 3413226815</t>
  </si>
  <si>
    <t>Ojeda 3476307440</t>
  </si>
  <si>
    <t>Cristofol 3412175450</t>
  </si>
  <si>
    <t>Quevedo 3417210747</t>
  </si>
  <si>
    <t>Castañeda 3498453679</t>
  </si>
  <si>
    <t>Aramis 3412852999</t>
  </si>
  <si>
    <t>Spetale 3413708986</t>
  </si>
  <si>
    <t>Osuna 3417463200</t>
  </si>
  <si>
    <t>santanderc</t>
  </si>
  <si>
    <t>Cabral 3476395498</t>
  </si>
  <si>
    <t>Coria 3415442304</t>
  </si>
  <si>
    <t>Piñero 3412757417</t>
  </si>
  <si>
    <t>Vaccari 3412820629</t>
  </si>
  <si>
    <t>Romero 3417568625</t>
  </si>
  <si>
    <t>Quintana 3413571785</t>
  </si>
  <si>
    <t>Troncoso 3413479942</t>
  </si>
  <si>
    <t>Palavecino 3413936004</t>
  </si>
  <si>
    <t>Marcantoni 3412821290</t>
  </si>
  <si>
    <t>Bertolotti 3412821306</t>
  </si>
  <si>
    <t>Gonzalez 3412801007</t>
  </si>
  <si>
    <t>Cattaneo 3416848758</t>
  </si>
  <si>
    <t>783</t>
  </si>
  <si>
    <t>Castañeda 3413520025</t>
  </si>
  <si>
    <t>Diaz 3412713213</t>
  </si>
  <si>
    <t>Cazzoli 3416547440</t>
  </si>
  <si>
    <t>Perez 3412555470</t>
  </si>
  <si>
    <t>Bordon 3415626837</t>
  </si>
  <si>
    <t>Pereyra 3476660176</t>
  </si>
  <si>
    <t>Perreyra 3412729374</t>
  </si>
  <si>
    <t>Bosco 3413859548</t>
  </si>
  <si>
    <t>tc-cti $300000</t>
  </si>
  <si>
    <t>784</t>
  </si>
  <si>
    <t>Pasquero 3417498628</t>
  </si>
  <si>
    <t>Orieta 3416572774</t>
  </si>
  <si>
    <t>Bravo 3412770376</t>
  </si>
  <si>
    <t>tc-cti $203999,01</t>
  </si>
  <si>
    <t>Del Pozo 3416618743</t>
  </si>
  <si>
    <t>Ariza 3417546512</t>
  </si>
  <si>
    <t>Balbuena 3415980541</t>
  </si>
  <si>
    <t>Asensio 3416756286</t>
  </si>
  <si>
    <t>Portada 12/2</t>
  </si>
  <si>
    <t>Del Rio 3467639237</t>
  </si>
  <si>
    <t>Camila 3416764016</t>
  </si>
  <si>
    <t>Oldani 3413351601</t>
  </si>
  <si>
    <t>0366</t>
  </si>
  <si>
    <t>Romero 34164329</t>
  </si>
  <si>
    <t>Pinto 3412474088</t>
  </si>
  <si>
    <t>Benitez 3402554620</t>
  </si>
  <si>
    <t>Lopez 3415606338</t>
  </si>
  <si>
    <t>Vera 3412681157</t>
  </si>
  <si>
    <t>Driz 3413831548</t>
  </si>
  <si>
    <t>Aquino 3417207449</t>
  </si>
  <si>
    <t>Scolastrichi 3413653367</t>
  </si>
  <si>
    <t>Escobar 3413348142</t>
  </si>
  <si>
    <t>Paruzzo 3416155629</t>
  </si>
  <si>
    <t>Bruschni 3413443704</t>
  </si>
  <si>
    <t>Perez 3413840006</t>
  </si>
  <si>
    <t>Ame 3412829622</t>
  </si>
  <si>
    <t>Braida 3412832097</t>
  </si>
  <si>
    <t>Diaz 3413996067</t>
  </si>
  <si>
    <t>Nuñez 3471316576</t>
  </si>
  <si>
    <t>De Santiago 3412115418</t>
  </si>
  <si>
    <t>Ferreyra 3413746368</t>
  </si>
  <si>
    <t>Rey 3412124557</t>
  </si>
  <si>
    <t>Gimenez 3412472903</t>
  </si>
  <si>
    <t>Granero 3412712338</t>
  </si>
  <si>
    <t>Canella 3416368761</t>
  </si>
  <si>
    <t>Reposición SIM</t>
  </si>
  <si>
    <t>Fierro 3413646694</t>
  </si>
  <si>
    <t>Gomez 3417408786</t>
  </si>
  <si>
    <t>Dudaniec 3417498820</t>
  </si>
  <si>
    <t>Madero3417411095</t>
  </si>
  <si>
    <t>Simez 3413182184</t>
  </si>
  <si>
    <t>785</t>
  </si>
  <si>
    <t>Wisonsky 3417446539</t>
  </si>
  <si>
    <t>Aguilar 3412791045</t>
  </si>
  <si>
    <t>Guirao 3413516204</t>
  </si>
  <si>
    <t>Benitez 3416949589</t>
  </si>
  <si>
    <t>786</t>
  </si>
  <si>
    <t>787</t>
  </si>
  <si>
    <t>Campos 2355519483</t>
  </si>
  <si>
    <t>tc-cti $519999,2</t>
  </si>
  <si>
    <t>788</t>
  </si>
  <si>
    <t>Cristofani 3415600934</t>
  </si>
  <si>
    <t>Molina 3412846429</t>
  </si>
  <si>
    <t>Calvagna 3415407808</t>
  </si>
  <si>
    <t>Diaz  34120202200</t>
  </si>
  <si>
    <t>Sosa 3415603990</t>
  </si>
  <si>
    <t>Lanza 3413600566</t>
  </si>
  <si>
    <t>Lanza 3413600578</t>
  </si>
  <si>
    <t>Caric 3415609121</t>
  </si>
  <si>
    <t>Caric 3415609122</t>
  </si>
  <si>
    <t>Amoroso 3415610339</t>
  </si>
  <si>
    <t>Rodriguez 34162368094</t>
  </si>
  <si>
    <t>789</t>
  </si>
  <si>
    <t>Quiroga 3413429190</t>
  </si>
  <si>
    <t>Santillan 3413251242</t>
  </si>
  <si>
    <t>Antonello 3415610547</t>
  </si>
  <si>
    <t>tc-cti $251599,02</t>
  </si>
  <si>
    <t>Melia 3412164773</t>
  </si>
  <si>
    <t>790</t>
  </si>
  <si>
    <t>791</t>
  </si>
  <si>
    <t>$12300 1 cta.</t>
  </si>
  <si>
    <t>Fernandez 3413192343</t>
  </si>
  <si>
    <t>Ledesma 3413192343</t>
  </si>
  <si>
    <t>792</t>
  </si>
  <si>
    <t>Barrionuevo 3415611213</t>
  </si>
  <si>
    <t>Pereyra 3416753716</t>
  </si>
  <si>
    <t>Portada 20/02</t>
  </si>
  <si>
    <t>0367</t>
  </si>
  <si>
    <t>Rivanera 3415493134</t>
  </si>
  <si>
    <t>Rodriguez 3417207423</t>
  </si>
  <si>
    <t>Sainz 3412758129</t>
  </si>
  <si>
    <t>Zunzunegui 3416805688</t>
  </si>
  <si>
    <t>Lastra 3416122608</t>
  </si>
  <si>
    <t>Cervi 3415493784</t>
  </si>
  <si>
    <t>Santillan 3417413791</t>
  </si>
  <si>
    <t>793</t>
  </si>
  <si>
    <t>Taibo 3416836018</t>
  </si>
  <si>
    <t>Pagniello 3413720831</t>
  </si>
  <si>
    <t>Chavez, Joaquín Fernández</t>
  </si>
  <si>
    <t>Pereyra 3413526099</t>
  </si>
  <si>
    <t>Fiori 3415620604</t>
  </si>
  <si>
    <t>Echeverria 3412144877</t>
  </si>
  <si>
    <t>Financiado + tc-cti $39199,2</t>
  </si>
  <si>
    <t>794</t>
  </si>
  <si>
    <t>$19987,5 1cta.</t>
  </si>
  <si>
    <t>Sciarratta 3416527126</t>
  </si>
  <si>
    <t>tc-cti $639999,2</t>
  </si>
  <si>
    <t>795</t>
  </si>
  <si>
    <t>796</t>
  </si>
  <si>
    <t>Toro 3364030470</t>
  </si>
  <si>
    <t>Zalba 3412019140</t>
  </si>
  <si>
    <t>tc-cti $224399,1</t>
  </si>
  <si>
    <t>Borges 3412147576</t>
  </si>
  <si>
    <t>Borges 3413180243</t>
  </si>
  <si>
    <t>Del Prado 3413713834</t>
  </si>
  <si>
    <t>tc-cti $131999,2</t>
  </si>
  <si>
    <t>Zarate 3415403882</t>
  </si>
  <si>
    <t>Acosta 3417492571</t>
  </si>
  <si>
    <t>Acosta 3412760426</t>
  </si>
  <si>
    <t>797</t>
  </si>
  <si>
    <t>Blanco 3413745091</t>
  </si>
  <si>
    <t>Portada 24/02</t>
  </si>
  <si>
    <t>Pantano 3415713710</t>
  </si>
  <si>
    <t>798</t>
  </si>
  <si>
    <t>Figueroa 3412608563</t>
  </si>
  <si>
    <t>Barra 3417488586</t>
  </si>
  <si>
    <t>Ferreyra 3416218438</t>
  </si>
  <si>
    <t>Sainz 3416118884</t>
  </si>
  <si>
    <t>Pirini 3412740130</t>
  </si>
  <si>
    <t>Nuñez 3413724224</t>
  </si>
  <si>
    <t>Sabetta 3416511046</t>
  </si>
  <si>
    <t>Perachi 2994627027</t>
  </si>
  <si>
    <t>Portada 25/02</t>
  </si>
  <si>
    <t>Cordoba 3415912762</t>
  </si>
  <si>
    <t>Salazar 3416720419</t>
  </si>
  <si>
    <t>Cecarelli 34130289777</t>
  </si>
  <si>
    <t>Albertengo 3413623472</t>
  </si>
  <si>
    <t>Ayala 3400537032</t>
  </si>
  <si>
    <t>Ayala 3400538628</t>
  </si>
  <si>
    <t>Blando 3413439102</t>
  </si>
  <si>
    <t>Blando 34150485017</t>
  </si>
  <si>
    <t>Vallejo 3415826143</t>
  </si>
  <si>
    <t>tc-cti $809999,1</t>
  </si>
  <si>
    <t>Ramirez 3415826158</t>
  </si>
  <si>
    <t>tc-cti $1169999,1</t>
  </si>
  <si>
    <t>Vanega 3416571665</t>
  </si>
  <si>
    <t>Obregon 3417814682</t>
  </si>
  <si>
    <t>Machado 3413536896</t>
  </si>
  <si>
    <t>Casco 3415880656</t>
  </si>
  <si>
    <t>Paredes 3415812345</t>
  </si>
  <si>
    <t>Garcilazo 3417459143</t>
  </si>
  <si>
    <t>tc-cti $178499,01</t>
  </si>
  <si>
    <t>799</t>
  </si>
  <si>
    <t>Pereyra 3413055824</t>
  </si>
  <si>
    <t>Eberhardt 3417548842</t>
  </si>
  <si>
    <t>Ibarra 3415828169</t>
  </si>
  <si>
    <t>Antequera 3413482116</t>
  </si>
  <si>
    <t>tc-cti $178499,1</t>
  </si>
  <si>
    <t>Alcaraz 3415007877</t>
  </si>
  <si>
    <t>Martinez 3415523044</t>
  </si>
  <si>
    <t>Meonis 3412792214</t>
  </si>
  <si>
    <t>Isabella 3415828467</t>
  </si>
  <si>
    <t>0532</t>
  </si>
  <si>
    <t>0533</t>
  </si>
  <si>
    <t>800</t>
  </si>
  <si>
    <t>Rossi 3415971879</t>
  </si>
  <si>
    <t>Mariatti 3413089589</t>
  </si>
  <si>
    <t>tc-cti $312799,2</t>
  </si>
  <si>
    <t>Retamozo 3415835612</t>
  </si>
  <si>
    <t>Fernandez 3415845286</t>
  </si>
  <si>
    <t>0368</t>
  </si>
  <si>
    <t>Almada 3415472790</t>
  </si>
  <si>
    <t>Zabala 3412503619</t>
  </si>
  <si>
    <t>Prota 3413745287</t>
  </si>
  <si>
    <t>Fernandez 3415409073</t>
  </si>
  <si>
    <t>Portada 27/02</t>
  </si>
  <si>
    <t>Acevedo 3416471721</t>
  </si>
  <si>
    <t>Alvez 3416087859</t>
  </si>
  <si>
    <t>Forquera 9993962816</t>
  </si>
  <si>
    <t>E-SIM 3413316555</t>
  </si>
  <si>
    <t>Forquera 9993962819</t>
  </si>
  <si>
    <t>E-SIM 3413316568</t>
  </si>
  <si>
    <t>Forquera 9993962818</t>
  </si>
  <si>
    <t>E-SIM 3413316552</t>
  </si>
  <si>
    <t>Forquera 9993962826</t>
  </si>
  <si>
    <t>E-SIM 3413820052</t>
  </si>
  <si>
    <t>Forquera 9993962825</t>
  </si>
  <si>
    <t>E-SIM 3412800394</t>
  </si>
  <si>
    <t>Arias 3417402697</t>
  </si>
  <si>
    <t>Sottomano 2995304260</t>
  </si>
  <si>
    <t>Vetre 3415106996</t>
  </si>
  <si>
    <t>Borelli 3417558953</t>
  </si>
  <si>
    <t>Escobar 3415403569</t>
  </si>
  <si>
    <t>Escobar 3412826356</t>
  </si>
  <si>
    <t>Lucero 3413184496</t>
  </si>
  <si>
    <t>tc-cti $647999,21</t>
  </si>
  <si>
    <t>Hellmuth 3417424893</t>
  </si>
  <si>
    <t>801</t>
  </si>
  <si>
    <t>Panacar SRL</t>
  </si>
  <si>
    <t>Cortez 3415914877</t>
  </si>
  <si>
    <t>Mas 3415774105</t>
  </si>
  <si>
    <t>Gimenez 3412117708</t>
  </si>
  <si>
    <t>Muñoz 3413160582</t>
  </si>
  <si>
    <t>Varela 3415099789</t>
  </si>
  <si>
    <t>Se porta el 02/03</t>
  </si>
  <si>
    <t>Uzcategui 3412755478</t>
  </si>
  <si>
    <t>Gonzalez 3416811990</t>
  </si>
  <si>
    <t>Caballero 3417529412</t>
  </si>
  <si>
    <t>Febre 3417410088</t>
  </si>
  <si>
    <t>802</t>
  </si>
  <si>
    <t>Mariatti, Claudio Juan</t>
  </si>
  <si>
    <t>Consumidor finqal</t>
  </si>
  <si>
    <t>803</t>
  </si>
  <si>
    <t>Nuñez 3481231010</t>
  </si>
  <si>
    <t>Plencovivh 3412214046</t>
  </si>
  <si>
    <t>Plencovich 3416474029</t>
  </si>
  <si>
    <t>Pedemonte 3412143459</t>
  </si>
  <si>
    <t>Salazar 3417455356</t>
  </si>
  <si>
    <t>Alba 3417529488</t>
  </si>
  <si>
    <t>Traferri 3416914671</t>
  </si>
  <si>
    <t>Fontana 3415634503</t>
  </si>
  <si>
    <t>tc-cti $539999,21</t>
  </si>
  <si>
    <t>804</t>
  </si>
  <si>
    <t>Miñon 3415950481</t>
  </si>
  <si>
    <t>Di Gangi 3412260774</t>
  </si>
  <si>
    <t>Di Gangi 3416395141</t>
  </si>
  <si>
    <t>Domingorena 3412762409</t>
  </si>
  <si>
    <t>Domingorena 3417519196</t>
  </si>
  <si>
    <t>805</t>
  </si>
  <si>
    <t>Hernandez 3415815305</t>
  </si>
  <si>
    <t>Fontana 3417444838</t>
  </si>
  <si>
    <t>Pratto 3417489124</t>
  </si>
  <si>
    <t>Caruso 3415962438</t>
  </si>
  <si>
    <t>PREPAGOS</t>
  </si>
  <si>
    <t>Paganini 3416473294</t>
  </si>
  <si>
    <t>Mansilla 3415502222</t>
  </si>
  <si>
    <t>Czernak 3413437697</t>
  </si>
  <si>
    <t>Panza 3417522142</t>
  </si>
  <si>
    <t>Bouzas 3417473621</t>
  </si>
  <si>
    <t>Palmolelli 3412769873</t>
  </si>
  <si>
    <t>Nuñez 3417506115</t>
  </si>
  <si>
    <t>mprz5</t>
  </si>
  <si>
    <t>0369</t>
  </si>
  <si>
    <t>Roa 3415041108</t>
  </si>
  <si>
    <t>Efectivo</t>
  </si>
  <si>
    <t>Bracco 3412127022</t>
  </si>
  <si>
    <t>tc-cti $247499</t>
  </si>
  <si>
    <t>Bracco 3412827562</t>
  </si>
  <si>
    <t>SE PORTO EL 5/3</t>
  </si>
  <si>
    <t>Bracco 3416140676</t>
  </si>
  <si>
    <t>Pegonza 3417527420</t>
  </si>
  <si>
    <t>Colantonio 3416610492</t>
  </si>
  <si>
    <t>Liberati 3413897271</t>
  </si>
  <si>
    <t>Gallego 3415901377</t>
  </si>
  <si>
    <t>Maidana 3416836149</t>
  </si>
  <si>
    <t>ARREPENTIMIENTO</t>
  </si>
  <si>
    <t>Vittori 3417465418</t>
  </si>
  <si>
    <t>Ramos 3425256779</t>
  </si>
  <si>
    <t>SE PORTO EL 6/3</t>
  </si>
  <si>
    <t>Rolon 3412175622</t>
  </si>
  <si>
    <t>Garcia 3413377060</t>
  </si>
  <si>
    <t>Broin 2995965475</t>
  </si>
  <si>
    <t>Bettati 3417826327</t>
  </si>
  <si>
    <t>Vazquez 3417826330</t>
  </si>
  <si>
    <t>Vazquez 3413313092</t>
  </si>
  <si>
    <t>SE PORTO EL 10/3</t>
  </si>
  <si>
    <t xml:space="preserve">Uocra </t>
  </si>
  <si>
    <t>Cubillas 3412776131</t>
  </si>
  <si>
    <t>Ortiz 3412124335</t>
  </si>
  <si>
    <t>Tanducci 3415944900</t>
  </si>
  <si>
    <t>809</t>
  </si>
  <si>
    <t>Poenitz 3413873358</t>
  </si>
  <si>
    <t>Gentili 3412285460</t>
  </si>
  <si>
    <t>Vallejos 3413238257</t>
  </si>
  <si>
    <t>Martin 9994755843</t>
  </si>
  <si>
    <t>3416939224</t>
  </si>
  <si>
    <t>Ocampo 3412828812</t>
  </si>
  <si>
    <t>Perez 3416275526</t>
  </si>
  <si>
    <t>tc-cti $90000 + Financiado</t>
  </si>
  <si>
    <t>Fortini 3412150016</t>
  </si>
  <si>
    <t>Fortini 3412152254</t>
  </si>
  <si>
    <t>2927</t>
  </si>
  <si>
    <t>Enriquez 3416523974</t>
  </si>
  <si>
    <t>Ortiz 3415043926</t>
  </si>
  <si>
    <t>Scassa 3416575203</t>
  </si>
  <si>
    <t>Peralta 3416606532</t>
  </si>
  <si>
    <t xml:space="preserve">Carga virtual </t>
  </si>
  <si>
    <t>810</t>
  </si>
  <si>
    <t>Avalos 3413241851</t>
  </si>
  <si>
    <t>SE PORTO EL 11/3</t>
  </si>
  <si>
    <t>Soria 3413038570</t>
  </si>
  <si>
    <t>Azat 3412746288</t>
  </si>
  <si>
    <t>Busetti 3412169073</t>
  </si>
  <si>
    <t>Mancuello 3412778169</t>
  </si>
  <si>
    <t>Conde 3415669530</t>
  </si>
  <si>
    <t>Aguiar 3415009099</t>
  </si>
  <si>
    <t>Cesare 3416282876</t>
  </si>
  <si>
    <t>Severino 3413480170</t>
  </si>
  <si>
    <t>tc-cti $134399,2</t>
  </si>
  <si>
    <t>Rodriguez 3413915421</t>
  </si>
  <si>
    <t>Centurion 3413494869</t>
  </si>
  <si>
    <t>Cardozo 3412174870</t>
  </si>
  <si>
    <t>Moyano 3416992318</t>
  </si>
  <si>
    <t>Bonaduci 3476525207</t>
  </si>
  <si>
    <t>Rodriguez 3412534892</t>
  </si>
  <si>
    <t>Fernandez 3412178673</t>
  </si>
  <si>
    <t>Lanser 3412178937</t>
  </si>
  <si>
    <t>Lanser 3412178969</t>
  </si>
  <si>
    <t>811</t>
  </si>
  <si>
    <t>Astesiano 3415906737</t>
  </si>
  <si>
    <t>Ledesma 3417426445</t>
  </si>
  <si>
    <t>Vera 3416102897</t>
  </si>
  <si>
    <t>Acevedo 3412789222</t>
  </si>
  <si>
    <t>Acevedo 3417490673</t>
  </si>
  <si>
    <t>Suarez 3415556648</t>
  </si>
  <si>
    <t>Limido 3405485382</t>
  </si>
  <si>
    <t>Chaves 3416657436</t>
  </si>
  <si>
    <t>Pampo 3460699377</t>
  </si>
  <si>
    <t>Biasoni 3416666746</t>
  </si>
  <si>
    <t>0370</t>
  </si>
  <si>
    <t>Medina 3413459699</t>
  </si>
  <si>
    <t>Zalazar 3413404717</t>
  </si>
  <si>
    <t>Mignola 3412720063</t>
  </si>
  <si>
    <t>Arias 3413378779</t>
  </si>
  <si>
    <t>Tuells 9993300234</t>
  </si>
  <si>
    <t>E-SIM - 3413043743</t>
  </si>
  <si>
    <t>Lopez 3416111498</t>
  </si>
  <si>
    <t>Gomez 3415937929</t>
  </si>
  <si>
    <t>Martin 3413544178</t>
  </si>
  <si>
    <t>Kunz 3471555862</t>
  </si>
  <si>
    <t>Di Modena Olivera 3413979349</t>
  </si>
  <si>
    <t>Cordoba 3413471415</t>
  </si>
  <si>
    <t>Celiz 3412753485</t>
  </si>
  <si>
    <t>Juarez 3415646416</t>
  </si>
  <si>
    <t>Dangelo 3415987640</t>
  </si>
  <si>
    <t>Batalla 3415404944</t>
  </si>
  <si>
    <t>812</t>
  </si>
  <si>
    <t>Martinez 3413695829</t>
  </si>
  <si>
    <t>Lorincz 3417437146</t>
  </si>
  <si>
    <t>Citta 3417437559</t>
  </si>
  <si>
    <t>Bordigon 3416956041</t>
  </si>
  <si>
    <t>Villalba 3415508619</t>
  </si>
  <si>
    <t>Mendoza 3416081376</t>
  </si>
  <si>
    <t>Caro Payer 1125970006</t>
  </si>
  <si>
    <t>SE PORTO EL 18/3</t>
  </si>
  <si>
    <t>Sosa 3417437697</t>
  </si>
  <si>
    <t>Enriquez 3413402374</t>
  </si>
  <si>
    <t>Lassus 3413826959</t>
  </si>
  <si>
    <t>Romero 3413417357</t>
  </si>
  <si>
    <t>Palacios 3412020838</t>
  </si>
  <si>
    <t>Manchado 3413005177</t>
  </si>
  <si>
    <t>Rodriguez 3415079732</t>
  </si>
  <si>
    <t>813</t>
  </si>
  <si>
    <t>Navarro 3412118712</t>
  </si>
  <si>
    <t>Rigoni, Constanza</t>
  </si>
  <si>
    <t>Pascual 3413072287</t>
  </si>
  <si>
    <t>tc-cti $197999,2</t>
  </si>
  <si>
    <t>Ramirez 3413832131</t>
  </si>
  <si>
    <t>Garcia 3416774139</t>
  </si>
  <si>
    <t>Garcia 3416399888</t>
  </si>
  <si>
    <t>Barberis 3413255891</t>
  </si>
  <si>
    <t>Fernandez 3416059975</t>
  </si>
  <si>
    <t>Beron 3436401200</t>
  </si>
  <si>
    <t>Financiado - tc-cti $159999,21</t>
  </si>
  <si>
    <t>Zapata 3416483752</t>
  </si>
  <si>
    <t>Barraquero 3412724850</t>
  </si>
  <si>
    <t>Vedia 3415923406</t>
  </si>
  <si>
    <t>Rosado 3416445816</t>
  </si>
  <si>
    <t>Piriz 3412472497</t>
  </si>
  <si>
    <t>Lombo 3413018354</t>
  </si>
  <si>
    <t>Carignano 3413002465</t>
  </si>
  <si>
    <t>Pampalone 3413548389</t>
  </si>
  <si>
    <t>Spiller 3412721572</t>
  </si>
  <si>
    <t>Segura 3413127090</t>
  </si>
  <si>
    <t>814</t>
  </si>
  <si>
    <t>Cariaga, Sofia</t>
  </si>
  <si>
    <t>0371</t>
  </si>
  <si>
    <t>Gutierrez, Antonela Nahir Lara</t>
  </si>
  <si>
    <t>Rabery 3412092704</t>
  </si>
  <si>
    <t>Lanero 9993362454</t>
  </si>
  <si>
    <t>Bazan 3417530075</t>
  </si>
  <si>
    <t>Rosa 3412273992</t>
  </si>
  <si>
    <t>Lopez 3412153240</t>
  </si>
  <si>
    <t>Cantero 3415459776</t>
  </si>
  <si>
    <t>Gomez 3415149179</t>
  </si>
  <si>
    <t>Fernandez 3416654496</t>
  </si>
  <si>
    <t>Aranda 3413639272</t>
  </si>
  <si>
    <t>Ferrero 3412144187</t>
  </si>
  <si>
    <t>Flores 3415507457</t>
  </si>
  <si>
    <t>Seifo 3416165592</t>
  </si>
  <si>
    <t>Fleitas 3417433283</t>
  </si>
  <si>
    <t>Fabro 3413211400</t>
  </si>
  <si>
    <t>Diaz 3415042725</t>
  </si>
  <si>
    <t>De los Santos 3416687395</t>
  </si>
  <si>
    <t>816</t>
  </si>
  <si>
    <t>$25112,50 1 cta.</t>
  </si>
  <si>
    <t>Sanz 3462546599</t>
  </si>
  <si>
    <t>Marquez 3417830826</t>
  </si>
  <si>
    <t>Villagra A272:J272</t>
  </si>
  <si>
    <t>Spetale 3415319761</t>
  </si>
  <si>
    <t>Geiser 3415660650</t>
  </si>
  <si>
    <t>Martinez 3417207656</t>
  </si>
  <si>
    <t>Gonzalez 3416647782</t>
  </si>
  <si>
    <t>Villagra 3417830899</t>
  </si>
  <si>
    <t>817</t>
  </si>
  <si>
    <t>Perez 3416828785</t>
  </si>
  <si>
    <t>Ocaranza 3416898512</t>
  </si>
  <si>
    <t>Vidotto 3412705880</t>
  </si>
  <si>
    <t>Delutault 3413420022</t>
  </si>
  <si>
    <t>Pellerino 3415102449</t>
  </si>
  <si>
    <t>Vila 3417830996</t>
  </si>
  <si>
    <t>Pereira 3416471377</t>
  </si>
  <si>
    <t>More 3412671512</t>
  </si>
  <si>
    <t>Urrutia 3415317030</t>
  </si>
  <si>
    <t>tc-cti $247500</t>
  </si>
  <si>
    <t>Benitez 3417831028</t>
  </si>
  <si>
    <t>Miller 3415524716</t>
  </si>
  <si>
    <t>Gomez 3416539234</t>
  </si>
  <si>
    <t>tc-cti $123199,21</t>
  </si>
  <si>
    <t>Estrella 3417831059</t>
  </si>
  <si>
    <t>Dominguez 3416811204</t>
  </si>
  <si>
    <t>Serra 3364683312</t>
  </si>
  <si>
    <t>Fernandez 3415475352</t>
  </si>
  <si>
    <t>Semino 3401593555</t>
  </si>
  <si>
    <t>Sollier 3417831135</t>
  </si>
  <si>
    <t>Diaz 3413025057</t>
  </si>
  <si>
    <t>Gorgora 3416675182</t>
  </si>
  <si>
    <t>Fernandez 3468538371</t>
  </si>
  <si>
    <t>De Vito 3413436065</t>
  </si>
  <si>
    <t>Cantero 3415669556</t>
  </si>
  <si>
    <t>4876</t>
  </si>
  <si>
    <t>producto</t>
  </si>
  <si>
    <t>0372</t>
  </si>
  <si>
    <t>Lator 3413277068</t>
  </si>
  <si>
    <t>Lator 3417831186</t>
  </si>
  <si>
    <t>Bearzotti 3412804511</t>
  </si>
  <si>
    <t>Tc-cti $809999.01</t>
  </si>
  <si>
    <t>Sanabria 3417831197</t>
  </si>
  <si>
    <t>Alonso 3417831198</t>
  </si>
  <si>
    <t>Velasco 3417831207</t>
  </si>
  <si>
    <t>Escalada 3415554632</t>
  </si>
  <si>
    <t>Marini 3417831278</t>
  </si>
  <si>
    <t>Boselli 3413454264</t>
  </si>
  <si>
    <t>Sequeira 3415764385</t>
  </si>
  <si>
    <t>Meza 3416635758</t>
  </si>
  <si>
    <t>SE PORTA EL 30/3</t>
  </si>
  <si>
    <t>Meza 3424622114</t>
  </si>
  <si>
    <t>821</t>
  </si>
  <si>
    <t>Varga 3417419274</t>
  </si>
  <si>
    <t>Sosa 3413749764</t>
  </si>
  <si>
    <t>Rocio Falcón</t>
  </si>
  <si>
    <t>822</t>
  </si>
  <si>
    <t>Aristu 3413023710</t>
  </si>
  <si>
    <t>Gonzalez 9994644331</t>
  </si>
  <si>
    <t>Ramirez, Clara Danila</t>
  </si>
  <si>
    <t>Sanchez 3417831970</t>
  </si>
  <si>
    <t>Lucero 3417832059</t>
  </si>
  <si>
    <t>Villalva 3417445180</t>
  </si>
  <si>
    <t>Orlando 3416407011</t>
  </si>
  <si>
    <t>Acuña 3412729930</t>
  </si>
  <si>
    <t>Wasinki 3415194152</t>
  </si>
  <si>
    <t>Silva 3415449793</t>
  </si>
  <si>
    <t>Gozalez 3412801007</t>
  </si>
  <si>
    <t>Campos 3416231923</t>
  </si>
  <si>
    <t>SE PORTA EL 1/4</t>
  </si>
  <si>
    <t>Campos 9993993168</t>
  </si>
  <si>
    <t>Frias 3517043754</t>
  </si>
  <si>
    <t>0556</t>
  </si>
  <si>
    <t>Dispenser</t>
  </si>
  <si>
    <t>0557</t>
  </si>
  <si>
    <t>Godoy 3417565589</t>
  </si>
  <si>
    <t>Lazare 3417800949</t>
  </si>
  <si>
    <t>Fernandez 3417533942</t>
  </si>
  <si>
    <t>Fernandez 3416756742</t>
  </si>
  <si>
    <t>Bertiche 3415493610</t>
  </si>
  <si>
    <t>Piovano 3412700913</t>
  </si>
  <si>
    <t>Irisarri 3413455859</t>
  </si>
  <si>
    <t>Piano, Julio Claudio</t>
  </si>
  <si>
    <t>Soria 3415810556</t>
  </si>
  <si>
    <t>tc-cti $114000 - tc-cti $52000</t>
  </si>
  <si>
    <t>Mori 3413083853</t>
  </si>
  <si>
    <t>Huberto 3416234450</t>
  </si>
  <si>
    <t>Alba 3415460276</t>
  </si>
  <si>
    <t>Alba 3417836292</t>
  </si>
  <si>
    <t>Davi 3476373819</t>
  </si>
  <si>
    <t>Villalba 3412718005</t>
  </si>
  <si>
    <t>Ronga 3413996762</t>
  </si>
  <si>
    <t>Spinelli 3413649480</t>
  </si>
  <si>
    <t>CANCELADA POR CUIT DADO DE BAJA</t>
  </si>
  <si>
    <t>Lezcano 3413634141</t>
  </si>
  <si>
    <t>Saracco 341385821</t>
  </si>
  <si>
    <t>Velazco 3416848798</t>
  </si>
  <si>
    <t>825</t>
  </si>
  <si>
    <t>Martin, Luciano Jesus</t>
  </si>
  <si>
    <t>0373</t>
  </si>
  <si>
    <t>1051</t>
  </si>
  <si>
    <t>Ramos 3416713257</t>
  </si>
  <si>
    <t>SE PORTA EL 6/4</t>
  </si>
  <si>
    <t>Ramos 3417837874</t>
  </si>
  <si>
    <t>Bosco, Rocio</t>
  </si>
  <si>
    <t>Martinez, Sonia</t>
  </si>
  <si>
    <t>Miranda, 3413574253</t>
  </si>
  <si>
    <t>Retiró Riddell</t>
  </si>
  <si>
    <t>Giannone, Renso</t>
  </si>
  <si>
    <t>Caballero 3417494531</t>
  </si>
  <si>
    <t>Britez 3416094542</t>
  </si>
  <si>
    <t>Dominguez 3413727622</t>
  </si>
  <si>
    <t>Dominguez 3416984376</t>
  </si>
  <si>
    <t>Miranda 3413574253</t>
  </si>
  <si>
    <t>Sanchez 3412800393</t>
  </si>
  <si>
    <t>Ezequiel 3416090769</t>
  </si>
  <si>
    <t>Romero 3413483696</t>
  </si>
  <si>
    <t>Mauricio 3417416433</t>
  </si>
  <si>
    <t>Bue 3417838026</t>
  </si>
  <si>
    <t>Paniagua 3413859900</t>
  </si>
  <si>
    <t>tc-cti $263999,01</t>
  </si>
  <si>
    <t>Farias 3415662348</t>
  </si>
  <si>
    <t>Farias 3415205409</t>
  </si>
  <si>
    <t>Farias 3415901559</t>
  </si>
  <si>
    <t>Medina 3412849365</t>
  </si>
  <si>
    <t>Benitez 3417837952</t>
  </si>
  <si>
    <t>Blanar, Iván</t>
  </si>
  <si>
    <t>Tenca 3416489122</t>
  </si>
  <si>
    <t>Luna 3415726738</t>
  </si>
  <si>
    <t>tc-cti $236799,21</t>
  </si>
  <si>
    <t>Fracchia 3417838061</t>
  </si>
  <si>
    <t>828</t>
  </si>
  <si>
    <t>Cain 3412804435</t>
  </si>
  <si>
    <t>Giovana 3415846020</t>
  </si>
  <si>
    <t>Lezcano 341563357</t>
  </si>
  <si>
    <t>Aranda 3412159468</t>
  </si>
  <si>
    <t>Perez 3416817443</t>
  </si>
  <si>
    <t>Ramos, Gisela Alexis</t>
  </si>
  <si>
    <t>Verhagen 3416121830</t>
  </si>
  <si>
    <t>Bordon 3417838129</t>
  </si>
  <si>
    <t>Aguirre 3413528798</t>
  </si>
  <si>
    <t>Avalos 3412102689</t>
  </si>
  <si>
    <t>Lubkovckyi 3413670898</t>
  </si>
  <si>
    <t>Utrera 3416773881</t>
  </si>
  <si>
    <t>Casetta 3412129877</t>
  </si>
  <si>
    <t>Escalante 3417808197</t>
  </si>
  <si>
    <t>tc-cti $809999,01</t>
  </si>
  <si>
    <t>Elisei 3462513693</t>
  </si>
  <si>
    <t>Almada 3476539232</t>
  </si>
  <si>
    <t>Astorga 3412176462</t>
  </si>
  <si>
    <t>Astonga 3416729742</t>
  </si>
  <si>
    <t>Mule 3415449608</t>
  </si>
  <si>
    <t>Coletto 3417802483</t>
  </si>
  <si>
    <t>Quintana 3416541813</t>
  </si>
  <si>
    <t>Duque 3417838174</t>
  </si>
  <si>
    <t>Mendieta 3413753926</t>
  </si>
  <si>
    <t>831</t>
  </si>
  <si>
    <t>$29212,50 1 cta.</t>
  </si>
  <si>
    <t>Muñoz 3415599300</t>
  </si>
  <si>
    <t>Malatini 3416906047</t>
  </si>
  <si>
    <t>0374</t>
  </si>
  <si>
    <t>Arancibia 3413617374</t>
  </si>
  <si>
    <t>Schimpf 3415209212</t>
  </si>
  <si>
    <t>Nebreda 3417851012</t>
  </si>
  <si>
    <t>Sortino 3417851372</t>
  </si>
  <si>
    <t>Ciani 3413952632</t>
  </si>
  <si>
    <t>Schenfeld 3415483244</t>
  </si>
  <si>
    <t>tc-cti $288999</t>
  </si>
  <si>
    <t>Lopez 3415838245</t>
  </si>
  <si>
    <t>Melgarejo 3462653772</t>
  </si>
  <si>
    <t>Fracchia 3417851422</t>
  </si>
  <si>
    <t>PORTADA 8/4</t>
  </si>
  <si>
    <t>Dorning 3415151883</t>
  </si>
  <si>
    <t>Kontides 3417558625</t>
  </si>
  <si>
    <t>Testolin 3417851751</t>
  </si>
  <si>
    <t>Aquilanti 3416852673</t>
  </si>
  <si>
    <t>Alvarez 3413505711</t>
  </si>
  <si>
    <t>Alvarez 3412642594</t>
  </si>
  <si>
    <t>Gomez 3413260360</t>
  </si>
  <si>
    <t>Bravo 3415411399</t>
  </si>
  <si>
    <t>Farrigna 3412614421</t>
  </si>
  <si>
    <t>Rodriguez 3412858232</t>
  </si>
  <si>
    <t>Fany 3413060715</t>
  </si>
  <si>
    <t>Rodrguez 3417482463</t>
  </si>
  <si>
    <t>Pérez, Julio Daniel Ezequiel</t>
  </si>
  <si>
    <t>Romero 3412478489</t>
  </si>
  <si>
    <t>Abramor 3413279028</t>
  </si>
  <si>
    <t>Ledesma 3416202390</t>
  </si>
  <si>
    <t>Meriles 3412821254</t>
  </si>
  <si>
    <t>Lopez 3413884985</t>
  </si>
  <si>
    <t>Delponte 3417852441</t>
  </si>
  <si>
    <t>tc-cti $206999</t>
  </si>
  <si>
    <t>Retamoso 3412150256</t>
  </si>
  <si>
    <t>Espinosa 3417852471</t>
  </si>
  <si>
    <t>PORTADA 15/4</t>
  </si>
  <si>
    <t>Ortiz 3416286194</t>
  </si>
  <si>
    <t>Sguerzo 3412171546</t>
  </si>
  <si>
    <t>Migueles 3417852484</t>
  </si>
  <si>
    <t>Gomez 3416435111</t>
  </si>
  <si>
    <t>Guidetti 3417852501</t>
  </si>
  <si>
    <t>Valdez 3416966562</t>
  </si>
  <si>
    <t>Valdez 3413965229</t>
  </si>
  <si>
    <t>Moreyra 3416674257</t>
  </si>
  <si>
    <t>Lategano 3413372541</t>
  </si>
  <si>
    <t>Velazco 3417804153</t>
  </si>
  <si>
    <t>Franco 3413965229</t>
  </si>
  <si>
    <t>Oviedo 3416010260</t>
  </si>
  <si>
    <t>Palacios 341336151</t>
  </si>
  <si>
    <t>Gomez 3412823189</t>
  </si>
  <si>
    <t>Cipiti 3417852538</t>
  </si>
  <si>
    <t>Cipiti 3416241911</t>
  </si>
  <si>
    <t>0375</t>
  </si>
  <si>
    <t>Roldan 3413820447</t>
  </si>
  <si>
    <t>PORTADA 14/4</t>
  </si>
  <si>
    <t>Roldan 3416277466</t>
  </si>
  <si>
    <t>Roldan 3413936258</t>
  </si>
  <si>
    <t>Roldan 3413862814</t>
  </si>
  <si>
    <t>Zamoski 3413375105</t>
  </si>
  <si>
    <t>Esquivel 3417464983</t>
  </si>
  <si>
    <t>Gonzalez 3412126876</t>
  </si>
  <si>
    <t>Gomez 3417831185</t>
  </si>
  <si>
    <t>Malanca 3417831215</t>
  </si>
  <si>
    <t>Altamirano 3416860089</t>
  </si>
  <si>
    <t>Dure 3416514921</t>
  </si>
  <si>
    <t>Ojeda 3415496777</t>
  </si>
  <si>
    <t>Mollar 3417854624</t>
  </si>
  <si>
    <t>Becerra 3413817733</t>
  </si>
  <si>
    <t>PORTADA 16/4</t>
  </si>
  <si>
    <t>Becerra 3413290984</t>
  </si>
  <si>
    <t>Biscoglio 3413354538</t>
  </si>
  <si>
    <t>Palacios 3416714701</t>
  </si>
  <si>
    <t>Lezcano 3412831684</t>
  </si>
  <si>
    <t>Morrone 3417854780</t>
  </si>
  <si>
    <t>Morrone 3416950361</t>
  </si>
  <si>
    <t>Ferraris 3401512879</t>
  </si>
  <si>
    <t>Damiano 3417854901</t>
  </si>
  <si>
    <t>Montaño 3415458006</t>
  </si>
  <si>
    <t>Suarez 3415062535</t>
  </si>
  <si>
    <t>Bello 3412715163</t>
  </si>
  <si>
    <t>Sosa 3412473581</t>
  </si>
  <si>
    <t>Espindola 3413366340</t>
  </si>
  <si>
    <t>Carrizo 3416189839</t>
  </si>
  <si>
    <t>Entesano 3412813455</t>
  </si>
  <si>
    <t>Ginex 3413733628</t>
  </si>
  <si>
    <t>Correa 3415641209</t>
  </si>
  <si>
    <t>Candia 3416810863</t>
  </si>
  <si>
    <t>Movane 3417507553</t>
  </si>
  <si>
    <t>Martinez 3417855091</t>
  </si>
  <si>
    <t>Obregon 3412507960</t>
  </si>
  <si>
    <t>Obregon 3417854869</t>
  </si>
  <si>
    <t>Obregon 3417854870</t>
  </si>
  <si>
    <t>Gutierrez 3413266840</t>
  </si>
  <si>
    <t>838</t>
  </si>
  <si>
    <t>$16400 1 cta.</t>
  </si>
  <si>
    <t>839</t>
  </si>
  <si>
    <t>Marcelino Viajes SAS 3417538033</t>
  </si>
  <si>
    <t>tc-cti $1169999,01</t>
  </si>
  <si>
    <t>Gomez 3413266273</t>
  </si>
  <si>
    <t>Gomez 3417859405</t>
  </si>
  <si>
    <t>Roldan, Fernando Ariel</t>
  </si>
  <si>
    <t>Muñoz 3412544236</t>
  </si>
  <si>
    <t>Bordanabe 3412619818</t>
  </si>
  <si>
    <t>Miño 3417859441</t>
  </si>
  <si>
    <t>tc-cti $306999</t>
  </si>
  <si>
    <t>Araya 3415324179</t>
  </si>
  <si>
    <t>Beltrocco 3416569636</t>
  </si>
  <si>
    <t>Alcala 3416556387</t>
  </si>
  <si>
    <t>Martinez 3413636345</t>
  </si>
  <si>
    <t>Ocampo 3413544749</t>
  </si>
  <si>
    <t>Nieves 3413259397</t>
  </si>
  <si>
    <t>Spotti 3413487260</t>
  </si>
  <si>
    <t>Echeverria 3413491048</t>
  </si>
  <si>
    <t>Astellano 3412723543</t>
  </si>
  <si>
    <t>Peloso 3476219438</t>
  </si>
  <si>
    <t>Sancanela 3415596191</t>
  </si>
  <si>
    <t>Sancanela 3412171942</t>
  </si>
  <si>
    <t>Chip no funciona</t>
  </si>
  <si>
    <t>Smoluch 3416507735</t>
  </si>
  <si>
    <t>Amado 3417462136</t>
  </si>
  <si>
    <t>Cupón - O6WYV</t>
  </si>
  <si>
    <t>Olivera 3417859491</t>
  </si>
  <si>
    <t>0376</t>
  </si>
  <si>
    <t>Piriz 3417859579</t>
  </si>
  <si>
    <t>Flores 2946526658</t>
  </si>
  <si>
    <t>Espino 3417859607</t>
  </si>
  <si>
    <t>Tramontana 3417184688</t>
  </si>
  <si>
    <t>Salerno 3417859658</t>
  </si>
  <si>
    <t>Tomas 3417859682</t>
  </si>
  <si>
    <t>Gauna 3417843936</t>
  </si>
  <si>
    <t>Sandoval 3417843938</t>
  </si>
  <si>
    <t>Sandoval 3417843940</t>
  </si>
  <si>
    <t>Sandoval 3417843941</t>
  </si>
  <si>
    <t>Sandoval 3417843942</t>
  </si>
  <si>
    <t>196065</t>
  </si>
  <si>
    <t>Ruero 3417859567</t>
  </si>
  <si>
    <t>Santiago 3412157699</t>
  </si>
  <si>
    <t>Santiago 3417480457</t>
  </si>
  <si>
    <t>Bazan 3417433422</t>
  </si>
  <si>
    <t>Saad 3413367938</t>
  </si>
  <si>
    <t>Figoni 341652390</t>
  </si>
  <si>
    <t>Amore 3413381193</t>
  </si>
  <si>
    <t>Maderna 3415815543</t>
  </si>
  <si>
    <t>tc-cti $287999,2</t>
  </si>
  <si>
    <t>No levantó señal el equipo</t>
  </si>
  <si>
    <t>E-SIM sí levantó señal</t>
  </si>
  <si>
    <t>Volvió después y pidió igual una sim-car</t>
  </si>
  <si>
    <t>Calvo 3413748642</t>
  </si>
  <si>
    <t>Zalazar 3402442320</t>
  </si>
  <si>
    <t>Carrazo 3415424925</t>
  </si>
  <si>
    <t>Silva 3415987433</t>
  </si>
  <si>
    <t>Bertorini 3413495385</t>
  </si>
  <si>
    <t>Cupón - PEYDX</t>
  </si>
  <si>
    <t>Farias 3412515750</t>
  </si>
  <si>
    <t>Arguello 3417194768</t>
  </si>
  <si>
    <t>PORTADA 28/4</t>
  </si>
  <si>
    <t>843</t>
  </si>
  <si>
    <t>$41000 1 cta.</t>
  </si>
  <si>
    <t>Rosario Tendencias SAS</t>
  </si>
  <si>
    <t>Sandoval 3416616396</t>
  </si>
  <si>
    <t>Sandoval 3413703902</t>
  </si>
  <si>
    <t>0580</t>
  </si>
  <si>
    <t>0581</t>
  </si>
  <si>
    <t>Ayelo 3417430639</t>
  </si>
  <si>
    <t>Gloriani, Valentina</t>
  </si>
  <si>
    <t>Woca 3416432769</t>
  </si>
  <si>
    <t>Raponi 3417483979</t>
  </si>
  <si>
    <t>844</t>
  </si>
  <si>
    <t>Fernandez 3476568950</t>
  </si>
  <si>
    <t>Crevel 3412721546</t>
  </si>
  <si>
    <t>Perez 3412126261</t>
  </si>
  <si>
    <t>tc-ct $167999</t>
  </si>
  <si>
    <t>Benitez 3417463986</t>
  </si>
  <si>
    <t>Di Pietro 3415626921</t>
  </si>
  <si>
    <t>Fuentes 3416154093</t>
  </si>
  <si>
    <t>Cupón - QMD0G</t>
  </si>
  <si>
    <t>Gatto, Raul</t>
  </si>
  <si>
    <t>Ruiz, Camila Elizabeth</t>
  </si>
  <si>
    <t>Pugliese 3413381041</t>
  </si>
  <si>
    <t>Gette 3417849052</t>
  </si>
  <si>
    <t>Gette 3417849054</t>
  </si>
  <si>
    <t>Castro 2995960526</t>
  </si>
  <si>
    <t>Efectivo.</t>
  </si>
  <si>
    <t>Lescano 3417849057</t>
  </si>
  <si>
    <t>Santillan 3415894024</t>
  </si>
  <si>
    <t>Cupón - GXYVR</t>
  </si>
  <si>
    <t>Arminio 3417849074</t>
  </si>
  <si>
    <t>0377</t>
  </si>
  <si>
    <t>Koller 3416398191</t>
  </si>
  <si>
    <t>Torres 3413004214</t>
  </si>
  <si>
    <t>Viola 3416699047</t>
  </si>
  <si>
    <t>Giraudon 3415760450</t>
  </si>
  <si>
    <t>Romero 3412729380</t>
  </si>
  <si>
    <t>Smetlicovitch 3417849517</t>
  </si>
  <si>
    <t>Bevilacqua, Agustina</t>
  </si>
  <si>
    <t>Rodriguez 3415919200</t>
  </si>
  <si>
    <t>Suarez 3417430300</t>
  </si>
  <si>
    <t>Garcia 3415426159</t>
  </si>
  <si>
    <t>Demarre 3415449232</t>
  </si>
  <si>
    <t>Rodriguez 3413399319</t>
  </si>
  <si>
    <t>Perez 3417821718</t>
  </si>
  <si>
    <t>0763</t>
  </si>
  <si>
    <t>Compra del mes.</t>
  </si>
  <si>
    <t>Mendoza 3413945822</t>
  </si>
  <si>
    <t>Gimenez 3412444933</t>
  </si>
  <si>
    <t>Veron 3412147960</t>
  </si>
  <si>
    <t>Cupón - Z64EL</t>
  </si>
  <si>
    <t>Setticasi 3413700065</t>
  </si>
  <si>
    <t>Rodriguez 3413145952</t>
  </si>
  <si>
    <t>De paoli 3417439030</t>
  </si>
  <si>
    <t xml:space="preserve">Cardozo, Maximiliano David </t>
  </si>
  <si>
    <t>Levain 3417482835</t>
  </si>
  <si>
    <t>Se porta 05/05</t>
  </si>
  <si>
    <t>Leon 3417123184</t>
  </si>
  <si>
    <t>Consumidorf inal</t>
  </si>
  <si>
    <t>Reyes 3416859864</t>
  </si>
  <si>
    <t>0382</t>
  </si>
  <si>
    <t>Bianchi 3412104586</t>
  </si>
  <si>
    <t>Suarez 3412831523</t>
  </si>
  <si>
    <t>Alegre 3413745443</t>
  </si>
  <si>
    <t>Obregon 3476534726</t>
  </si>
  <si>
    <t>Medina 3415402648</t>
  </si>
  <si>
    <t>Vespa 3415993161</t>
  </si>
  <si>
    <t>Undiner 3416451354</t>
  </si>
  <si>
    <t>Dinunzio 3413377838</t>
  </si>
  <si>
    <t>tc-cti $1299999</t>
  </si>
  <si>
    <t>Martinez 3416020799</t>
  </si>
  <si>
    <t>Passaris 3412832442</t>
  </si>
  <si>
    <t>Claria 3413124438</t>
  </si>
  <si>
    <t>Santoleri 3412474601</t>
  </si>
  <si>
    <t>Rizzotto 3464567988</t>
  </si>
  <si>
    <t>HIDROGEL FILMINAS MATTE PRIVACY</t>
  </si>
  <si>
    <t>Junio del 2026</t>
  </si>
  <si>
    <t>Gomez 3415823337</t>
  </si>
  <si>
    <t>Velazquez 3413267784</t>
  </si>
  <si>
    <t>Ambros 3415043822</t>
  </si>
  <si>
    <t>Crespo 3417798550</t>
  </si>
  <si>
    <t>Autorizó Javi</t>
  </si>
  <si>
    <t>Lucero 3412006372</t>
  </si>
  <si>
    <t>Scassa 3415848862</t>
  </si>
  <si>
    <t>QR + QR + $273874,01</t>
  </si>
  <si>
    <t>Vicario 3415068003</t>
  </si>
  <si>
    <t>Autorizado: Vicario, Hernan</t>
  </si>
  <si>
    <t>HG'FILMSPY</t>
  </si>
  <si>
    <t>Redmi 15c 4G</t>
  </si>
  <si>
    <t>HGCFILMS</t>
  </si>
  <si>
    <t>Redmi 15 Pro</t>
  </si>
  <si>
    <t>HIDROGEL FILMINAS zCORTADA CLEAR</t>
  </si>
  <si>
    <t>Renso retira</t>
  </si>
  <si>
    <t>Sarria 3416540394</t>
  </si>
  <si>
    <t>Ciliberti 3417812415</t>
  </si>
  <si>
    <t>tc-cti $1199999</t>
  </si>
  <si>
    <t>Galvan 3417487277</t>
  </si>
  <si>
    <t>Abovsky 3417849863</t>
  </si>
  <si>
    <t>Ritondale 3415528218</t>
  </si>
  <si>
    <t>Alcaraz 3413066245</t>
  </si>
  <si>
    <t>Tolosa 3417554503</t>
  </si>
  <si>
    <t>De La Fuente 3412589293</t>
  </si>
  <si>
    <t>Zuber 3416517788</t>
  </si>
  <si>
    <t>Osorio, Lautaro</t>
  </si>
  <si>
    <t>FD5D'IPH14NE</t>
  </si>
  <si>
    <t>GLASS FULL IPH 14</t>
  </si>
  <si>
    <t>CVJ'PD20WX20</t>
  </si>
  <si>
    <t>CAR. PARED CABEZAL USB-C - 20W 3A SOUL</t>
  </si>
  <si>
    <t>PRM'IPH14BL</t>
  </si>
  <si>
    <t>TPU IPH 14 / 13 MAGSAFE TRANS</t>
  </si>
  <si>
    <t>Biasutti 3476587276</t>
  </si>
  <si>
    <t>Arnold 3415419008</t>
  </si>
  <si>
    <t>tc-cti $495999</t>
  </si>
  <si>
    <t>Leunberger 3413861494</t>
  </si>
  <si>
    <t>tc-cti $119999,21 + financiado</t>
  </si>
  <si>
    <t>Reverzat 3412128066</t>
  </si>
  <si>
    <t>Ledesma 3413970131</t>
  </si>
  <si>
    <t>TRCRA17</t>
  </si>
  <si>
    <t>TPU SAM. A17 / A26 COMBO REF</t>
  </si>
  <si>
    <t>Consumidor fnal</t>
  </si>
  <si>
    <t>903</t>
  </si>
  <si>
    <t>Arenas 3416274889</t>
  </si>
  <si>
    <t>6952025612635</t>
  </si>
  <si>
    <t>CABLE TIPO C 1MTS 6.0A TREQA</t>
  </si>
  <si>
    <t>902</t>
  </si>
  <si>
    <t>Gauna 3415003876</t>
  </si>
  <si>
    <t>tc-cti $187199,21</t>
  </si>
  <si>
    <t>905</t>
  </si>
  <si>
    <t>Muñoz 3417814469</t>
  </si>
  <si>
    <t>Oller 3412470145</t>
  </si>
  <si>
    <t>CVJ'XUSB1BL</t>
  </si>
  <si>
    <t>CAR. PARED CABEZAL USB - 2.4A SOUL</t>
  </si>
  <si>
    <t>POPS'FUTBOL</t>
  </si>
  <si>
    <t>SOPORTE POP SOCKET DIS.</t>
  </si>
  <si>
    <t>PLT'XS650NE</t>
  </si>
  <si>
    <t>PARLANTE CHICO BT SOUL XS650 MIXROCK 7W NEGRO</t>
  </si>
  <si>
    <t>CA'USBDUALMI</t>
  </si>
  <si>
    <t>CAR. AUTO MICRO DUAL 2A SOUL</t>
  </si>
  <si>
    <t>907</t>
  </si>
  <si>
    <t>908</t>
  </si>
  <si>
    <t>$19475 1cta.</t>
  </si>
  <si>
    <t>909</t>
  </si>
  <si>
    <t>$32000 1cta.</t>
  </si>
  <si>
    <t>Santoro 3413018382</t>
  </si>
  <si>
    <t>tc-cti $458999</t>
  </si>
  <si>
    <t>Acosta 3476200763</t>
  </si>
  <si>
    <t>Scopetta 3412270438</t>
  </si>
  <si>
    <t>Scopetta 3417569022</t>
  </si>
  <si>
    <t>Barra 3416413808</t>
  </si>
  <si>
    <t>tc-cti $368999,01</t>
  </si>
  <si>
    <t>Speranza 3413133980</t>
  </si>
  <si>
    <t>Tachetti 3412706325</t>
  </si>
  <si>
    <t>Tinivella 3417441245</t>
  </si>
  <si>
    <t>PSS'A166NE</t>
  </si>
  <si>
    <t>TPU SAM. A16 SILICONA SUPER NEGRO</t>
  </si>
  <si>
    <t>PSS'A176NE</t>
  </si>
  <si>
    <t>TPU SAM. A17 SILICONA SUPER NEGRO</t>
  </si>
  <si>
    <t>21A07TR</t>
  </si>
  <si>
    <t>TPU SAM. A07 CRISTAL</t>
  </si>
  <si>
    <t>tc-cti $269999</t>
  </si>
  <si>
    <t>Topic 3412700322</t>
  </si>
  <si>
    <t>913</t>
  </si>
  <si>
    <t>5GP7X</t>
  </si>
  <si>
    <t>FD9PSA07</t>
  </si>
  <si>
    <t>GLASS FULL SAM. A07 PRIVACY</t>
  </si>
  <si>
    <t>0383</t>
  </si>
  <si>
    <t>Monzon 3417528407</t>
  </si>
  <si>
    <t>Monzon 3412800105</t>
  </si>
  <si>
    <t>Arrua 3417519035</t>
  </si>
  <si>
    <t>Zapata 3412752727</t>
  </si>
  <si>
    <t>Zapata 3413190367</t>
  </si>
  <si>
    <t>Bellantig 3415474414</t>
  </si>
  <si>
    <t>tc-cti $233999,01</t>
  </si>
  <si>
    <t>Von Fürth 3416401526</t>
  </si>
  <si>
    <t>Von Fürth 3413732103</t>
  </si>
  <si>
    <t>Von Fürth 3416292404</t>
  </si>
  <si>
    <t>Hug 3413660315</t>
  </si>
  <si>
    <t>tc-cti $368999.01</t>
  </si>
  <si>
    <t>Molina 34136462111</t>
  </si>
  <si>
    <t>Gangemi 3413142510</t>
  </si>
  <si>
    <t>Kercktaert 3413528603</t>
  </si>
  <si>
    <t>Aguirre 3416764134</t>
  </si>
  <si>
    <t>tc-cti $223199.2</t>
  </si>
  <si>
    <t>HG'FILMSM</t>
  </si>
  <si>
    <t>dezol</t>
  </si>
  <si>
    <t>HIDROGEL FILMINAS MATTE</t>
  </si>
  <si>
    <t>8257</t>
  </si>
  <si>
    <t>Recarga matafuego</t>
  </si>
  <si>
    <t>Incentivo 100%</t>
  </si>
  <si>
    <t>Raya 3471585380</t>
  </si>
  <si>
    <t>Pizarro 3417548030</t>
  </si>
  <si>
    <t>ACCESORIOS</t>
  </si>
  <si>
    <t>O62YV</t>
  </si>
  <si>
    <t>ACTIVADO NRO PORTADO 03/06/2026</t>
  </si>
  <si>
    <t>978879</t>
  </si>
  <si>
    <t>ACTIVADO NRO PORTADO 10/06/2026</t>
  </si>
  <si>
    <t>Centurion 3412658281</t>
  </si>
  <si>
    <t>Soveron 3417497625</t>
  </si>
  <si>
    <t>956</t>
  </si>
  <si>
    <t>Romero 3412421701</t>
  </si>
  <si>
    <t>Corozza 3413813738</t>
  </si>
  <si>
    <t>Aguirre 3476612223</t>
  </si>
  <si>
    <t>Chirino 1121613263</t>
  </si>
  <si>
    <t>Jijon 3413582533</t>
  </si>
  <si>
    <t>Accesorios</t>
  </si>
  <si>
    <t>A este paso nuestra comisión es:</t>
  </si>
  <si>
    <t>Cabral 3412788592</t>
  </si>
  <si>
    <t>Ribba 3417803215</t>
  </si>
  <si>
    <t>velazquez, jorge</t>
  </si>
  <si>
    <t>Sanchez 3417447260</t>
  </si>
  <si>
    <t>Corazza 3416693659</t>
  </si>
  <si>
    <t>Rueda 3417564852</t>
  </si>
  <si>
    <t>Alfonso 3416184418</t>
  </si>
  <si>
    <t>Mancino 3417495575</t>
  </si>
  <si>
    <t>Gomes 3413353825</t>
  </si>
  <si>
    <t>Medina 3417536564</t>
  </si>
  <si>
    <t>Escalante 3415492165</t>
  </si>
  <si>
    <t>Navarro 3413553583</t>
  </si>
  <si>
    <t>Terrazzino 3415555126</t>
  </si>
  <si>
    <t>Terrazzino 3412159007</t>
  </si>
  <si>
    <t>Terrazzino 3416556449</t>
  </si>
  <si>
    <t>Ruffini 3416570409</t>
  </si>
  <si>
    <t>Micheloud 3402507242</t>
  </si>
  <si>
    <t>Yanneli 3413620125</t>
  </si>
  <si>
    <t>Frare, Antonela Castria</t>
  </si>
  <si>
    <t>TANISA07</t>
  </si>
  <si>
    <t>TPU SAM. A07 ANIMADA</t>
  </si>
  <si>
    <t>ACTIVADO NRO PORTADO 12/06/2026</t>
  </si>
  <si>
    <t>Avila, Gisela Beatriz</t>
  </si>
  <si>
    <t>Bove 3413269481</t>
  </si>
  <si>
    <t>Forteaga 3413382202</t>
  </si>
  <si>
    <t>Ybarra 3416452919</t>
  </si>
  <si>
    <t>Medina 3413279238</t>
  </si>
  <si>
    <t>Perazzo 3412470532</t>
  </si>
  <si>
    <t>Perrazo 3412470532</t>
  </si>
  <si>
    <t>Freire 3412256426</t>
  </si>
  <si>
    <t>Urraco 3416101167</t>
  </si>
  <si>
    <t>919</t>
  </si>
  <si>
    <t>Reposición Acce</t>
  </si>
  <si>
    <t>FCUS'UNI65NE</t>
  </si>
  <si>
    <t>FLIP UNI. 6,5" SILICONA NEGRO</t>
  </si>
  <si>
    <t>TRBBA07</t>
  </si>
  <si>
    <t>TPU SAM. A07 BUBBLE</t>
  </si>
  <si>
    <t>PSS'XT2527NE</t>
  </si>
  <si>
    <t>TPU MOT. G86 SILICONA SUPER NEGRO</t>
  </si>
  <si>
    <t>TRBBA17</t>
  </si>
  <si>
    <t>TPU SAM. A17 / A26 BUBBLE</t>
  </si>
  <si>
    <t>TRCRG17</t>
  </si>
  <si>
    <t>TPU MOT. G15 / G17 COMBO REF</t>
  </si>
  <si>
    <t>FCUS'UNI69FU</t>
  </si>
  <si>
    <t>FLIP UNI. 6,5" A 6,9" SILICONA FUCSIA</t>
  </si>
  <si>
    <t>FCUS'UNI69NE</t>
  </si>
  <si>
    <t>FLIP UNI. 6,5" A 6,9" SILICONA NEGRO</t>
  </si>
  <si>
    <t>PSAC'A165RS</t>
  </si>
  <si>
    <t>TPU SAM. A16 SILICONA FELPA C/ANILLO Y CORREA ROSA</t>
  </si>
  <si>
    <t>PSAC'A165NE</t>
  </si>
  <si>
    <t>TPU SAM. A16 SILICONA FELPA C/ANILLO Y CORREA NEGRO</t>
  </si>
  <si>
    <t>SILFE70</t>
  </si>
  <si>
    <t>TPU MOT. EDGE 70 SILICONA FELPA</t>
  </si>
  <si>
    <t>PSS'XT2527AZ</t>
  </si>
  <si>
    <t>TPU MOT. G86 SILICONA SUPER AZUL</t>
  </si>
  <si>
    <t>PSAC'IPH15BO</t>
  </si>
  <si>
    <t>TPU IPH. 15 SILICONA FELPA C/ANILLO Y CORREA BORDO</t>
  </si>
  <si>
    <t>TRCRE60F</t>
  </si>
  <si>
    <t>TPU MOT. EDGE 60 FUSION COMBO REF</t>
  </si>
  <si>
    <t>PSAC'A165BO</t>
  </si>
  <si>
    <t>TPU SAM. A16 SILICONA FELPA C/ANILLO Y CORREA BORDO</t>
  </si>
  <si>
    <t>PSAC'IPH15VI</t>
  </si>
  <si>
    <t>TPU IPH. 15 SILICONA FELPA C/ANILLO Y CORREA VIOLETA</t>
  </si>
  <si>
    <t>PSAC'IPH15PE</t>
  </si>
  <si>
    <t>TPU IPH. 15 SILICONA FELPA C/ANILLO Y CORREA PETROLEO</t>
  </si>
  <si>
    <t>PSAC'A165PE</t>
  </si>
  <si>
    <t>TPU SAM. A16 SILICONA FELPA C/ANILLO Y CORREA PETROLEO</t>
  </si>
  <si>
    <t>TRBBG15</t>
  </si>
  <si>
    <t>TPU MOT. G15 BUBBLE</t>
  </si>
  <si>
    <t>PSAC'IPH15AZ</t>
  </si>
  <si>
    <t>TPU IPH. 15 SILICONA FELPA C/ANILLO Y CORREA AZUL</t>
  </si>
  <si>
    <t>SSFA37</t>
  </si>
  <si>
    <t>TPU SAM. A37 SILICONA FELPA</t>
  </si>
  <si>
    <t>SSFA57</t>
  </si>
  <si>
    <t>TPU SAM. A57 SILICONA FELPA</t>
  </si>
  <si>
    <t>T0ED60F</t>
  </si>
  <si>
    <t>TPU MOT. EDGE 60 FUSION RUBBER</t>
  </si>
  <si>
    <t>SILFG56</t>
  </si>
  <si>
    <t>TPU MOT. G56 SILICONA FELPA</t>
  </si>
  <si>
    <t>TIP15SM</t>
  </si>
  <si>
    <t>TPU IPH 15 MAGSAFE SILICONA</t>
  </si>
  <si>
    <t>AGMIP14</t>
  </si>
  <si>
    <t>TPU IPH 14 AG GLASS MAGSAFE</t>
  </si>
  <si>
    <t>TIP17SM</t>
  </si>
  <si>
    <t>TPU IPH 17 MAGSAFE SILICONA</t>
  </si>
  <si>
    <t>AGMIP17</t>
  </si>
  <si>
    <t>TPU IPH 17 AG GLASS MAGSAFE</t>
  </si>
  <si>
    <t>SSFA07</t>
  </si>
  <si>
    <t>TPU SAM. A07 SILICONA FELPA</t>
  </si>
  <si>
    <t>SILFG17</t>
  </si>
  <si>
    <t>TPU MOT. G15 / G17 SILICONA FELPA</t>
  </si>
  <si>
    <t>SSFA17</t>
  </si>
  <si>
    <t>TPU SAM. A17 SILICONA FELPA</t>
  </si>
  <si>
    <t>7178175243072</t>
  </si>
  <si>
    <t>SOPORTE MANGO -TRIPODE BT MIC. Y LUZ LED</t>
  </si>
  <si>
    <t>8806094911992</t>
  </si>
  <si>
    <t>CAR. PARED TIPO C 25W SAMSUNG OR. C/CABLE NEGRO</t>
  </si>
  <si>
    <t>6932554471897</t>
  </si>
  <si>
    <t>AUR. BT BUD XIAOMI BUDS 8 LITE NEGRO</t>
  </si>
  <si>
    <t>6941812791240</t>
  </si>
  <si>
    <t>AUR. BT BUD XIAOMI BUDS 6 PLAY NEGRO</t>
  </si>
  <si>
    <t>6932554464240</t>
  </si>
  <si>
    <t>AUR. BT BUD XIAOMI BUDS 8 ACTIVE BLANCO</t>
  </si>
  <si>
    <t>USB'PD60TT</t>
  </si>
  <si>
    <t>CABLE TIPO C A TIPO C 1MTS SOUL 60W</t>
  </si>
  <si>
    <t>USB'PD27TL</t>
  </si>
  <si>
    <t>CABLE TIPO C A LIGHTNING IPH 7 1MTS SOUL 27W</t>
  </si>
  <si>
    <t>USB'CLIPH</t>
  </si>
  <si>
    <t>CABLE LIGHTNING IPH 7 1MTS SOUL 2.4A</t>
  </si>
  <si>
    <t>USB'CLIPH2MBL</t>
  </si>
  <si>
    <t>CABLE LIGHTNING IPH 7 2MTS SOUL</t>
  </si>
  <si>
    <t>USB'CLTC2MBL</t>
  </si>
  <si>
    <t>CABLE TIPO C 2MTS SOUL 2.4A</t>
  </si>
  <si>
    <t>6932554464233</t>
  </si>
  <si>
    <t>AUR. BT BUD XIAOMI BUDS 8 ACTIVE NEGRO</t>
  </si>
  <si>
    <t>USB'MATTBL</t>
  </si>
  <si>
    <t>CABLE TIPO C A TIPO C 1MTS SOUL MAYADO 60W</t>
  </si>
  <si>
    <t>USB'MATCNE</t>
  </si>
  <si>
    <t>CABLE TIPO C 1MTS SOUL MAYADO 2.4A</t>
  </si>
  <si>
    <t>USB'MATCBL</t>
  </si>
  <si>
    <t>MLS'S389NE</t>
  </si>
  <si>
    <t>AUR. ML SOUL S389 NEGRO</t>
  </si>
  <si>
    <t>MLS'S389TBL</t>
  </si>
  <si>
    <t>AUR. ML SOUL S389 TIPO C - BLANCO</t>
  </si>
  <si>
    <t>MLS'S99TNE</t>
  </si>
  <si>
    <t>AUR. ML SOUL S99 TIPO C - NEGRO</t>
  </si>
  <si>
    <t>MLS'S99TBL</t>
  </si>
  <si>
    <t>AUR. ML SOUL S99 TIPO C - BLANCO</t>
  </si>
  <si>
    <t>MLS'S389TNE</t>
  </si>
  <si>
    <t>AUR. ML SOUL S389 TIPO C - NEGRO</t>
  </si>
  <si>
    <t>SOP'Q600</t>
  </si>
  <si>
    <t>SOPORTE CAR. INALAMBRICA 2EN1 AUTO SOPAPA + VENTILACION 15W SOUL Q600</t>
  </si>
  <si>
    <t>USB'FCLT30</t>
  </si>
  <si>
    <t>CABLE TIPO C 1MTS SOUL 2.4A</t>
  </si>
  <si>
    <t>CA'DUSB10W</t>
  </si>
  <si>
    <t xml:space="preserve">CAR. AUTO DUAL USB 10W SOUL </t>
  </si>
  <si>
    <t>MLS'S59AM</t>
  </si>
  <si>
    <t>AUR. ML SOUL S59 AMARILLO</t>
  </si>
  <si>
    <t>025215492587</t>
  </si>
  <si>
    <t>MEMORIA MICROSD 64GB C10 MAXELL</t>
  </si>
  <si>
    <t>PRCS'XT2521NE</t>
  </si>
  <si>
    <t>TPU MOT. G15 REF. DUO SOFT NEGRO</t>
  </si>
  <si>
    <t>PRCS'XT2521AZ</t>
  </si>
  <si>
    <t>TPU MOT. G15 REF. DUO SOFT AZUL</t>
  </si>
  <si>
    <t>PRCS'XT2521FU</t>
  </si>
  <si>
    <t>TPU MOT. G15 REF. DUO SOFT FUCSIA</t>
  </si>
  <si>
    <t>PRCS'XT2521AQ</t>
  </si>
  <si>
    <t>TPU MOT. G15 REF. DUO SOFT AQUA</t>
  </si>
  <si>
    <t>SELF'J450</t>
  </si>
  <si>
    <t>SOPORTE BASTON SELFIE BT SOUL J450 C/TRIPODE AUTOMATICO</t>
  </si>
  <si>
    <t>OC'15PLN</t>
  </si>
  <si>
    <t>GLASS CAMARAS LENTE DIAMANTES IPH 14/15 - 14 PLUS /15 PLUS</t>
  </si>
  <si>
    <t>OC'DIPH17RS</t>
  </si>
  <si>
    <t>GLASS CAMARAS LENTE DIAMANTES IPH 17</t>
  </si>
  <si>
    <t>OC'15PLRS</t>
  </si>
  <si>
    <t>OC'16PLN</t>
  </si>
  <si>
    <t>GLASS CAMARAS LENTE DIAMANTES IPH 16 / 16 PLUS</t>
  </si>
  <si>
    <t>OC'16PMN</t>
  </si>
  <si>
    <t>GLASS CAMARAS LENTE DIAMANTES IPH 16 PRO / 16 PRO MAX</t>
  </si>
  <si>
    <t>OC'DIPH17PL</t>
  </si>
  <si>
    <t>OC'15PMPL</t>
  </si>
  <si>
    <t>GLASS CAMARAS LENTE DIAMANTES IPH 15 PRO / 15 PRO MAX</t>
  </si>
  <si>
    <t>FD5DP'XT2521</t>
  </si>
  <si>
    <t>GLASS FULL MOT. G15 PRIVACY</t>
  </si>
  <si>
    <t>FD5D'A175NE</t>
  </si>
  <si>
    <t>GLASS FULL SAM. A17</t>
  </si>
  <si>
    <t>FD5DP'IPH14</t>
  </si>
  <si>
    <t>GLASS FULL IPH 14 PRIVACY</t>
  </si>
  <si>
    <t>FD5DP'A165</t>
  </si>
  <si>
    <t>GLASS FULL SAM. A16 PRIVACY</t>
  </si>
  <si>
    <t>FD5D'XT2521NE</t>
  </si>
  <si>
    <t>GLASS FULL MOT. G15</t>
  </si>
  <si>
    <t>FD5D'XT2433NE</t>
  </si>
  <si>
    <t>GLASS FULL MOT. G35</t>
  </si>
  <si>
    <t>FD5D'IPH17PNE</t>
  </si>
  <si>
    <t>GLASS FULL IPH 17 PRO</t>
  </si>
  <si>
    <t>FD5DP'XT2437</t>
  </si>
  <si>
    <t>GLASS FULL MOT. G75 PRIVACY</t>
  </si>
  <si>
    <t>FD5D'XT2529NE</t>
  </si>
  <si>
    <t>GLASS FULL MOT. G56</t>
  </si>
  <si>
    <t>FD5D'A075NE</t>
  </si>
  <si>
    <t>GLASS FULL SAM. A07</t>
  </si>
  <si>
    <t>FD5DP'A075</t>
  </si>
  <si>
    <t>FD5D'XT2535NE</t>
  </si>
  <si>
    <t>GLASS FULL MOT. G06</t>
  </si>
  <si>
    <t>FD5D'A566NE</t>
  </si>
  <si>
    <t>GLASS FULL SAM. A56</t>
  </si>
  <si>
    <t>FD5D'A266NE</t>
  </si>
  <si>
    <t>GLASS FULL SAM. A26</t>
  </si>
  <si>
    <t>FD5DP'A175</t>
  </si>
  <si>
    <t>GLASS FULL SAM. A17 PRIVACY</t>
  </si>
  <si>
    <t>FD5D'XT2527NE</t>
  </si>
  <si>
    <t>GLASS FULL MOT. G86</t>
  </si>
  <si>
    <t>FD5DP'IPH16PM</t>
  </si>
  <si>
    <t>GLASS FULL IPH 16 PRO MAX PRIVACY</t>
  </si>
  <si>
    <t>6952025710195</t>
  </si>
  <si>
    <t>DIG. ARO LED 10" 26CM RGB LED 88 (SIN TRIPODE)</t>
  </si>
  <si>
    <t>A'RC1R</t>
  </si>
  <si>
    <t>DIG. ARO LED  RECTANGULAR RGB LED 88 (SIN TRIPODE)</t>
  </si>
  <si>
    <t>26TRIPG</t>
  </si>
  <si>
    <t>SOPORTE TRIPODE METAL 2.10Mts.</t>
  </si>
  <si>
    <t>HG'FILMTM</t>
  </si>
  <si>
    <t>HIDROGEL FILMINAS TABLETS MATTE 300X200</t>
  </si>
  <si>
    <t>HG'FILMHD</t>
  </si>
  <si>
    <t>Sosa 3416828399</t>
  </si>
  <si>
    <t>Cañizares 3415044051</t>
  </si>
  <si>
    <t>Ibarra 3416542113</t>
  </si>
  <si>
    <t>De Iparraguirre 3416430407</t>
  </si>
  <si>
    <t>Sanguinetti 341660508</t>
  </si>
  <si>
    <t>Cafferata 3329543628</t>
  </si>
  <si>
    <t>Casafu 3416845823</t>
  </si>
  <si>
    <t>Moreira 3476625333</t>
  </si>
  <si>
    <t>Villagra 3364539755</t>
  </si>
  <si>
    <t>Morales 3413469404</t>
  </si>
  <si>
    <t>Umeres 3415200834</t>
  </si>
  <si>
    <t>PRMIP14C</t>
  </si>
  <si>
    <t>TPU IPH 14 / 13 MAGSAFE TRANS COLORES MATTE</t>
  </si>
  <si>
    <t>Espinoza, Emiliano</t>
  </si>
  <si>
    <t>Fleitas 3417569341</t>
  </si>
  <si>
    <t>Hellaid 3412170698</t>
  </si>
  <si>
    <t>Aguilera 341001230</t>
  </si>
  <si>
    <t>tc-cti $240000 + Financiado</t>
  </si>
  <si>
    <t>Orellano 3417409986</t>
  </si>
  <si>
    <t>Orellano 3417501180</t>
  </si>
  <si>
    <t>Orellano 3417569432</t>
  </si>
  <si>
    <t>Romero 3415880696</t>
  </si>
  <si>
    <t>Vila Laura 3401506245</t>
  </si>
  <si>
    <t>Emon 3416696909</t>
  </si>
  <si>
    <t>922</t>
  </si>
  <si>
    <t>Jaime 3413374018</t>
  </si>
  <si>
    <t>Saucedo 3417486755</t>
  </si>
  <si>
    <t>Lescano 3415461650</t>
  </si>
  <si>
    <t>Morochi 3412784813</t>
  </si>
  <si>
    <t>Esteban 3415458421</t>
  </si>
  <si>
    <t>Maragliano 3415452191</t>
  </si>
  <si>
    <t>Maragliano 3415645821</t>
  </si>
  <si>
    <t>Rodriguez 34166400769</t>
  </si>
  <si>
    <t>923</t>
  </si>
  <si>
    <t>924</t>
  </si>
  <si>
    <t>M1Y30</t>
  </si>
  <si>
    <t>926</t>
  </si>
  <si>
    <t>X5c</t>
  </si>
  <si>
    <t>S23 ULTRA</t>
  </si>
  <si>
    <t>Poco M8 Pro 5G</t>
  </si>
  <si>
    <t>A16 4G</t>
  </si>
  <si>
    <t>TMBSA06</t>
  </si>
  <si>
    <t>TPU SAM. A06 / A05S MAGSAFE BRILLANTINA</t>
  </si>
  <si>
    <t>Lopez 3413051502</t>
  </si>
  <si>
    <t>Autorizado: Vallejo Miriam 23444821</t>
  </si>
  <si>
    <t>Beron 3415958563</t>
  </si>
  <si>
    <t>0384</t>
  </si>
  <si>
    <t>928</t>
  </si>
  <si>
    <t>Poultroni 3416554061</t>
  </si>
  <si>
    <t>Soraire 3416773603</t>
  </si>
  <si>
    <t>Gonzalez 3412117389</t>
  </si>
  <si>
    <t>Bevacqua 3415895847</t>
  </si>
  <si>
    <t>Alegre, Sabrina</t>
  </si>
  <si>
    <t>Autorizo Javier</t>
  </si>
  <si>
    <t>Calvo, Magadalena</t>
  </si>
  <si>
    <t>FD9PME15</t>
  </si>
  <si>
    <t>GLASS FULL MOT. G05 / E15 PRIVACY</t>
  </si>
  <si>
    <t>Transferencia EMAR</t>
  </si>
  <si>
    <t>Cardozo 3417442049</t>
  </si>
  <si>
    <t>Robledo  3415633559</t>
  </si>
  <si>
    <t>Londoño 34844592100</t>
  </si>
  <si>
    <t>Ferreyra 3412827701</t>
  </si>
  <si>
    <t>Alegre 3412476806</t>
  </si>
  <si>
    <t>Cordo 3416906458</t>
  </si>
  <si>
    <t>Fleitas 3413534461</t>
  </si>
  <si>
    <t>puDFI16M</t>
  </si>
  <si>
    <t>TPU IPH 16 PRO MAX BORDER DIFUMADO REF</t>
  </si>
  <si>
    <t>ACTIVADO NRO PORTADO 17/06/2026</t>
  </si>
  <si>
    <t>Gimenez 3417560796</t>
  </si>
  <si>
    <t>Parlatore 3415477742</t>
  </si>
  <si>
    <t>Barbarich 2477343430</t>
  </si>
  <si>
    <t>Baez 3417793425</t>
  </si>
  <si>
    <t>Baez 3412752800</t>
  </si>
  <si>
    <t>Martinez 3415604959</t>
  </si>
  <si>
    <t>Gimenez 3412470784</t>
  </si>
  <si>
    <t>tc-cti $295199,21</t>
  </si>
  <si>
    <t>TSMIPH14PM</t>
  </si>
  <si>
    <t>TPU IPH 14 PRO MAX SILICONA C/MARCA</t>
  </si>
  <si>
    <t>GFPIPH14PM</t>
  </si>
  <si>
    <t>GLASS FULL IPH 14 PRO MAX PRIVACY</t>
  </si>
  <si>
    <t>Sosa 3412733127</t>
  </si>
  <si>
    <t>Schpeir 3412551474</t>
  </si>
  <si>
    <t>Espinosa 3416051314</t>
  </si>
  <si>
    <t>Ojeda 3416540057</t>
  </si>
  <si>
    <t>Lopez 3417516837</t>
  </si>
  <si>
    <t>Seijas 3413224476</t>
  </si>
  <si>
    <t>Narvaja 3415425874</t>
  </si>
  <si>
    <t>PSS'XT2535AZ</t>
  </si>
  <si>
    <t>TPU MOT. G06 SILICONA SUPER AZUL</t>
  </si>
  <si>
    <t>TRCRA07</t>
  </si>
  <si>
    <t>TPU SAM. A07 COMBO REF</t>
  </si>
  <si>
    <t>Roberts 3412759403</t>
  </si>
  <si>
    <t>Martinez 3416057140</t>
  </si>
  <si>
    <t>934</t>
  </si>
  <si>
    <t>z64el</t>
  </si>
  <si>
    <t>AUR'BT50NE</t>
  </si>
  <si>
    <t>AUR. BT VINCHA SOUL BT50 NEGRO</t>
  </si>
  <si>
    <t>Barro 3416538158</t>
  </si>
  <si>
    <t>tc-cti $269999,00</t>
  </si>
  <si>
    <t>Sandoval 3413568617</t>
  </si>
  <si>
    <t>Financiado + tc-cti $168999,00</t>
  </si>
  <si>
    <t>negj46</t>
  </si>
  <si>
    <t>2002487429174</t>
  </si>
  <si>
    <t>YZ5R</t>
  </si>
  <si>
    <t>DIG. REPUESTO PAPEL ADHECIVO BLANCO- CAMARA IMP. X 5 ROLLOS</t>
  </si>
  <si>
    <t>NEXD8J</t>
  </si>
  <si>
    <t>Sanchez 3417565204</t>
  </si>
  <si>
    <t>938</t>
  </si>
  <si>
    <t>jz5r</t>
  </si>
  <si>
    <t>exd8j</t>
  </si>
  <si>
    <t>Martire 3412820724</t>
  </si>
  <si>
    <t>Aquino 3417556488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</si>
</sst>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164" formatCode="_ &quot;$&quot;\ * #,##0.00_ ;_ &quot;$&quot;\ * \-#,##0.00_ ;_ &quot;$&quot;\ * &quot;-&quot;??_ ;_ @_ "/>
    <numFmt numFmtId="165" formatCode="[$-C0A]mmmm\ yyyy;@"/>
    <numFmt numFmtId="166" formatCode="_-&quot;$&quot;\ * #,##0_-;\-&quot;$&quot;\ * #,##0_-;_-&quot;$&quot;\ * &quot;-&quot;??_-;_-@_-"/>
    <numFmt numFmtId="167" formatCode="&quot;$&quot;\ #,##0.00"/>
  </numFmts>
  <fonts count="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Bahnschrift"/>
      <family val="2"/>
    </font>
    <font>
      <b/>
      <sz val="10"/>
      <color theme="0"/>
      <name val="Bahnschrift"/>
      <family val="2"/>
    </font>
    <font>
      <sz val="11"/>
      <color theme="1"/>
      <name val="Bahnschrift"/>
      <family val="2"/>
    </font>
    <font>
      <b/>
      <sz val="10"/>
      <color theme="1"/>
      <name val="Bahnschrift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i/>
      <sz val="11"/>
      <color rgb="FFFF0000"/>
      <name val="Calibri"/>
      <family val="2"/>
      <scheme val="minor"/>
    </font>
    <font>
      <b/>
      <sz val="10"/>
      <color indexed="17"/>
      <name val="Arial"/>
      <family val="2"/>
    </font>
    <font>
      <b/>
      <sz val="11"/>
      <color theme="0"/>
      <name val="Calibri"/>
      <family val="2"/>
      <scheme val="minor"/>
    </font>
    <font>
      <sz val="9"/>
      <name val="Arial"/>
      <family val="2"/>
    </font>
    <font>
      <sz val="8"/>
      <name val="Arial"/>
      <family val="2"/>
    </font>
    <font>
      <sz val="10"/>
      <color theme="1"/>
      <name val="Airal"/>
    </font>
    <font>
      <b/>
      <sz val="12"/>
      <color theme="0"/>
      <name val="Calibri"/>
      <family val="2"/>
      <scheme val="minor"/>
    </font>
    <font>
      <sz val="10"/>
      <color theme="0"/>
      <name val="Arial"/>
      <family val="2"/>
    </font>
    <font>
      <b/>
      <sz val="8"/>
      <color indexed="81"/>
      <name val="Tahoma"/>
      <family val="2"/>
    </font>
    <font>
      <b/>
      <sz val="26"/>
      <color theme="1"/>
      <name val="Bahnschrift"/>
      <family val="2"/>
    </font>
    <font>
      <b/>
      <sz val="26"/>
      <color theme="0"/>
      <name val="Bahnschrift"/>
      <family val="2"/>
    </font>
    <font>
      <b/>
      <sz val="11"/>
      <color theme="1"/>
      <name val="Bahnschrift"/>
      <family val="2"/>
    </font>
    <font>
      <b/>
      <sz val="12"/>
      <color theme="0"/>
      <name val="Bahnschrift"/>
      <family val="2"/>
    </font>
    <font>
      <b/>
      <sz val="10"/>
      <color theme="1"/>
      <name val="Bahnschrift"/>
      <family val="2"/>
    </font>
    <font>
      <b/>
      <sz val="9"/>
      <color theme="0"/>
      <name val="Calibri"/>
      <family val="2"/>
      <scheme val="minor"/>
    </font>
    <font>
      <sz val="9"/>
      <color rgb="FF000000"/>
      <name val="Calibri"/>
      <family val="2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0"/>
      <name val="Bahnschrift"/>
      <family val="2"/>
    </font>
    <font>
      <sz val="10"/>
      <color theme="2" tint="-0.249977111117893"/>
      <name val="Bahnschrift"/>
      <family val="2"/>
    </font>
    <font>
      <sz val="9"/>
      <color theme="1"/>
      <name val="Bahnschrift"/>
      <family val="2"/>
    </font>
    <font>
      <sz val="11"/>
      <color theme="0" tint="-0.14999847407452621"/>
      <name val="Bahnschrift"/>
      <family val="2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DEC8EE"/>
        <bgColor indexed="64"/>
      </patternFill>
    </fill>
    <fill>
      <patternFill patternType="solid">
        <fgColor rgb="FFAE78D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4A3B6A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030A0"/>
      </left>
      <right/>
      <top style="thin">
        <color rgb="FF7030A0"/>
      </top>
      <bottom/>
      <diagonal/>
    </border>
    <border>
      <left/>
      <right/>
      <top style="thin">
        <color rgb="FF7030A0"/>
      </top>
      <bottom/>
      <diagonal/>
    </border>
    <border>
      <left/>
      <right style="thin">
        <color rgb="FF7030A0"/>
      </right>
      <top style="thin">
        <color rgb="FF7030A0"/>
      </top>
      <bottom/>
      <diagonal/>
    </border>
    <border>
      <left style="thin">
        <color rgb="FF7030A0"/>
      </left>
      <right/>
      <top/>
      <bottom/>
      <diagonal/>
    </border>
    <border>
      <left/>
      <right style="thin">
        <color rgb="FF7030A0"/>
      </right>
      <top/>
      <bottom/>
      <diagonal/>
    </border>
    <border>
      <left style="thin">
        <color rgb="FF954ECA"/>
      </left>
      <right/>
      <top style="thin">
        <color rgb="FF954ECA"/>
      </top>
      <bottom/>
      <diagonal/>
    </border>
    <border>
      <left/>
      <right/>
      <top style="thin">
        <color rgb="FF954ECA"/>
      </top>
      <bottom/>
      <diagonal/>
    </border>
    <border>
      <left/>
      <right style="thin">
        <color rgb="FF954ECA"/>
      </right>
      <top style="thin">
        <color rgb="FF954ECA"/>
      </top>
      <bottom/>
      <diagonal/>
    </border>
    <border>
      <left style="thin">
        <color rgb="FF954ECA"/>
      </left>
      <right/>
      <top/>
      <bottom/>
      <diagonal/>
    </border>
    <border>
      <left/>
      <right style="thin">
        <color rgb="FF954ECA"/>
      </right>
      <top/>
      <bottom/>
      <diagonal/>
    </border>
    <border>
      <left style="thin">
        <color rgb="FF954ECA"/>
      </left>
      <right/>
      <top/>
      <bottom style="thin">
        <color rgb="FF954ECA"/>
      </bottom>
      <diagonal/>
    </border>
    <border>
      <left/>
      <right/>
      <top/>
      <bottom style="thin">
        <color rgb="FF954ECA"/>
      </bottom>
      <diagonal/>
    </border>
    <border>
      <left/>
      <right style="thin">
        <color rgb="FF954ECA"/>
      </right>
      <top/>
      <bottom style="thin">
        <color rgb="FF954ECA"/>
      </bottom>
      <diagonal/>
    </border>
    <border>
      <left style="medium">
        <color indexed="64"/>
      </left>
      <right/>
      <top/>
      <bottom/>
      <diagonal/>
    </border>
    <border>
      <left style="thin">
        <color rgb="FF4A3B6A"/>
      </left>
      <right style="thin">
        <color rgb="FF4A3B6A"/>
      </right>
      <top style="thin">
        <color rgb="FF4A3B6A"/>
      </top>
      <bottom style="thin">
        <color rgb="FF4A3B6A"/>
      </bottom>
      <diagonal/>
    </border>
    <border>
      <left style="thin">
        <color rgb="FF4A3B6A"/>
      </left>
      <right/>
      <top style="thin">
        <color rgb="FF4A3B6A"/>
      </top>
      <bottom/>
      <diagonal/>
    </border>
    <border>
      <left/>
      <right/>
      <top style="thin">
        <color rgb="FF4A3B6A"/>
      </top>
      <bottom/>
      <diagonal/>
    </border>
    <border>
      <left/>
      <right style="thin">
        <color rgb="FF4A3B6A"/>
      </right>
      <top style="thin">
        <color rgb="FF4A3B6A"/>
      </top>
      <bottom/>
      <diagonal/>
    </border>
    <border>
      <left style="thin">
        <color rgb="FF4A3B6A"/>
      </left>
      <right/>
      <top/>
      <bottom/>
      <diagonal/>
    </border>
    <border>
      <left/>
      <right style="thin">
        <color rgb="FF4A3B6A"/>
      </right>
      <top/>
      <bottom/>
      <diagonal/>
    </border>
    <border>
      <left style="thin">
        <color rgb="FF4A3B6A"/>
      </left>
      <right/>
      <top/>
      <bottom style="thin">
        <color rgb="FF4A3B6A"/>
      </bottom>
      <diagonal/>
    </border>
    <border>
      <left/>
      <right/>
      <top/>
      <bottom style="thin">
        <color rgb="FF4A3B6A"/>
      </bottom>
      <diagonal/>
    </border>
    <border>
      <left/>
      <right style="thin">
        <color rgb="FF4A3B6A"/>
      </right>
      <top/>
      <bottom style="thin">
        <color rgb="FF4A3B6A"/>
      </bottom>
      <diagonal/>
    </border>
  </borders>
  <cellStyleXfs count="7">
    <xf numFmtId="0" fontId="0" fillId="0" borderId="0"/>
    <xf numFmtId="164" fontId="7" fillId="0" borderId="0" applyFont="0" applyFill="0" applyBorder="0" applyAlignment="0" applyProtection="0"/>
    <xf numFmtId="0" fontId="7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21">
    <xf numFmtId="0" fontId="0" fillId="0" borderId="0" xfId="0"/>
    <xf numFmtId="0" fontId="2" fillId="2" borderId="0" xfId="0" applyFont="1" applyFill="1" applyAlignment="1">
      <alignment horizontal="center" vertical="center"/>
    </xf>
    <xf numFmtId="0" fontId="4" fillId="0" borderId="0" xfId="0" applyFont="1" applyAlignment="1">
      <alignment vertical="center"/>
    </xf>
    <xf numFmtId="16" fontId="6" fillId="4" borderId="1" xfId="0" applyNumberFormat="1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right" vertical="center"/>
    </xf>
    <xf numFmtId="16" fontId="7" fillId="5" borderId="5" xfId="0" applyNumberFormat="1" applyFont="1" applyFill="1" applyBorder="1" applyAlignment="1">
      <alignment horizontal="left" vertical="center"/>
    </xf>
    <xf numFmtId="16" fontId="8" fillId="0" borderId="3" xfId="0" applyNumberFormat="1" applyFont="1" applyBorder="1" applyAlignment="1" applyProtection="1">
      <alignment vertical="center"/>
      <protection locked="0" hidden="1"/>
    </xf>
    <xf numFmtId="16" fontId="8" fillId="6" borderId="3" xfId="0" applyNumberFormat="1" applyFont="1" applyFill="1" applyBorder="1" applyAlignment="1" applyProtection="1">
      <alignment vertical="center"/>
      <protection locked="0" hidden="1"/>
    </xf>
    <xf numFmtId="16" fontId="8" fillId="7" borderId="3" xfId="0" applyNumberFormat="1" applyFont="1" applyFill="1" applyBorder="1" applyAlignment="1" applyProtection="1">
      <alignment vertical="center"/>
      <protection locked="0" hidden="1"/>
    </xf>
    <xf numFmtId="16" fontId="8" fillId="8" borderId="3" xfId="0" applyNumberFormat="1" applyFont="1" applyFill="1" applyBorder="1" applyAlignment="1" applyProtection="1">
      <alignment vertical="center"/>
      <protection locked="0" hidden="1"/>
    </xf>
    <xf numFmtId="16" fontId="8" fillId="9" borderId="3" xfId="0" applyNumberFormat="1" applyFont="1" applyFill="1" applyBorder="1" applyAlignment="1" applyProtection="1">
      <alignment vertical="center"/>
      <protection locked="0" hidden="1"/>
    </xf>
    <xf numFmtId="16" fontId="8" fillId="10" borderId="3" xfId="0" applyNumberFormat="1" applyFont="1" applyFill="1" applyBorder="1" applyAlignment="1" applyProtection="1">
      <alignment vertical="center"/>
      <protection locked="0" hidden="1"/>
    </xf>
    <xf numFmtId="16" fontId="7" fillId="11" borderId="3" xfId="0" applyNumberFormat="1" applyFont="1" applyFill="1" applyBorder="1" applyAlignment="1" applyProtection="1">
      <alignment vertical="center"/>
      <protection locked="0" hidden="1"/>
    </xf>
    <xf numFmtId="16" fontId="7" fillId="0" borderId="3" xfId="0" applyNumberFormat="1" applyFont="1" applyBorder="1" applyAlignment="1">
      <alignment vertical="center"/>
    </xf>
    <xf numFmtId="16" fontId="8" fillId="2" borderId="3" xfId="0" applyNumberFormat="1" applyFont="1" applyFill="1" applyBorder="1" applyAlignment="1" applyProtection="1">
      <alignment vertical="center"/>
      <protection locked="0" hidden="1"/>
    </xf>
    <xf numFmtId="16" fontId="7" fillId="0" borderId="0" xfId="0" applyNumberFormat="1" applyFont="1" applyAlignment="1" applyProtection="1">
      <alignment vertical="center"/>
      <protection hidden="1"/>
    </xf>
    <xf numFmtId="16" fontId="7" fillId="0" borderId="0" xfId="0" applyNumberFormat="1" applyFont="1" applyAlignment="1">
      <alignment vertical="center"/>
    </xf>
    <xf numFmtId="16" fontId="6" fillId="4" borderId="6" xfId="0" applyNumberFormat="1" applyFont="1" applyFill="1" applyBorder="1" applyAlignment="1">
      <alignment horizontal="center" vertical="center"/>
    </xf>
    <xf numFmtId="49" fontId="6" fillId="4" borderId="7" xfId="0" applyNumberFormat="1" applyFont="1" applyFill="1" applyBorder="1" applyAlignment="1">
      <alignment horizontal="right" vertical="center"/>
    </xf>
    <xf numFmtId="164" fontId="6" fillId="4" borderId="8" xfId="0" applyNumberFormat="1" applyFont="1" applyFill="1" applyBorder="1" applyAlignment="1">
      <alignment vertical="center"/>
    </xf>
    <xf numFmtId="0" fontId="6" fillId="0" borderId="9" xfId="0" applyFont="1" applyBorder="1" applyAlignment="1">
      <alignment vertical="center"/>
    </xf>
    <xf numFmtId="49" fontId="7" fillId="4" borderId="10" xfId="0" applyNumberFormat="1" applyFont="1" applyFill="1" applyBorder="1" applyAlignment="1">
      <alignment horizontal="right" vertical="center"/>
    </xf>
    <xf numFmtId="164" fontId="6" fillId="4" borderId="11" xfId="0" applyNumberFormat="1" applyFont="1" applyFill="1" applyBorder="1" applyAlignment="1">
      <alignment vertical="center"/>
    </xf>
    <xf numFmtId="0" fontId="9" fillId="12" borderId="2" xfId="0" applyFont="1" applyFill="1" applyBorder="1" applyAlignment="1" applyProtection="1">
      <alignment horizontal="center" vertical="center"/>
      <protection locked="0" hidden="1"/>
    </xf>
    <xf numFmtId="49" fontId="7" fillId="4" borderId="12" xfId="0" applyNumberFormat="1" applyFont="1" applyFill="1" applyBorder="1" applyAlignment="1">
      <alignment horizontal="right" vertical="center"/>
    </xf>
    <xf numFmtId="164" fontId="6" fillId="4" borderId="8" xfId="0" applyNumberFormat="1" applyFont="1" applyFill="1" applyBorder="1" applyAlignment="1" applyProtection="1">
      <alignment vertical="center"/>
      <protection locked="0" hidden="1"/>
    </xf>
    <xf numFmtId="0" fontId="6" fillId="0" borderId="9" xfId="0" applyFont="1" applyBorder="1" applyAlignment="1" applyProtection="1">
      <alignment vertical="center"/>
      <protection locked="0" hidden="1"/>
    </xf>
    <xf numFmtId="0" fontId="6" fillId="0" borderId="3" xfId="0" applyFont="1" applyBorder="1" applyAlignment="1" applyProtection="1">
      <alignment vertical="center"/>
      <protection locked="0" hidden="1"/>
    </xf>
    <xf numFmtId="0" fontId="7" fillId="13" borderId="3" xfId="0" applyFont="1" applyFill="1" applyBorder="1" applyAlignment="1" applyProtection="1">
      <alignment vertical="center"/>
      <protection locked="0"/>
    </xf>
    <xf numFmtId="164" fontId="6" fillId="13" borderId="3" xfId="0" applyNumberFormat="1" applyFont="1" applyFill="1" applyBorder="1" applyAlignment="1">
      <alignment vertical="center"/>
    </xf>
    <xf numFmtId="0" fontId="7" fillId="0" borderId="3" xfId="0" applyFont="1" applyBorder="1" applyAlignment="1">
      <alignment vertical="center"/>
    </xf>
    <xf numFmtId="0" fontId="7" fillId="14" borderId="7" xfId="0" applyFont="1" applyFill="1" applyBorder="1" applyAlignment="1">
      <alignment vertical="center"/>
    </xf>
    <xf numFmtId="0" fontId="7" fillId="14" borderId="10" xfId="0" applyFont="1" applyFill="1" applyBorder="1" applyAlignment="1">
      <alignment vertical="center"/>
    </xf>
    <xf numFmtId="16" fontId="7" fillId="14" borderId="11" xfId="0" applyNumberFormat="1" applyFont="1" applyFill="1" applyBorder="1" applyAlignment="1" applyProtection="1">
      <alignment vertical="center"/>
      <protection locked="0"/>
    </xf>
    <xf numFmtId="16" fontId="6" fillId="0" borderId="6" xfId="0" applyNumberFormat="1" applyFont="1" applyBorder="1" applyAlignment="1" applyProtection="1">
      <alignment horizontal="center" vertical="center"/>
      <protection locked="0"/>
    </xf>
    <xf numFmtId="49" fontId="6" fillId="4" borderId="13" xfId="0" applyNumberFormat="1" applyFont="1" applyFill="1" applyBorder="1" applyAlignment="1">
      <alignment horizontal="right" vertical="center"/>
    </xf>
    <xf numFmtId="164" fontId="6" fillId="4" borderId="14" xfId="0" applyNumberFormat="1" applyFont="1" applyFill="1" applyBorder="1" applyAlignment="1">
      <alignment vertical="center"/>
    </xf>
    <xf numFmtId="0" fontId="7" fillId="0" borderId="15" xfId="0" applyFont="1" applyBorder="1" applyAlignment="1">
      <alignment vertical="center"/>
    </xf>
    <xf numFmtId="49" fontId="7" fillId="4" borderId="16" xfId="0" applyNumberFormat="1" applyFont="1" applyFill="1" applyBorder="1" applyAlignment="1">
      <alignment horizontal="right" vertical="center"/>
    </xf>
    <xf numFmtId="164" fontId="6" fillId="4" borderId="17" xfId="0" applyNumberFormat="1" applyFont="1" applyFill="1" applyBorder="1" applyAlignment="1">
      <alignment vertical="center"/>
    </xf>
    <xf numFmtId="0" fontId="7" fillId="0" borderId="0" xfId="0" applyFont="1" applyAlignment="1" applyProtection="1">
      <alignment vertical="center"/>
      <protection hidden="1"/>
    </xf>
    <xf numFmtId="49" fontId="7" fillId="4" borderId="18" xfId="0" applyNumberFormat="1" applyFont="1" applyFill="1" applyBorder="1" applyAlignment="1">
      <alignment horizontal="right" vertical="center"/>
    </xf>
    <xf numFmtId="0" fontId="6" fillId="0" borderId="19" xfId="0" applyFont="1" applyBorder="1" applyAlignment="1" applyProtection="1">
      <alignment vertical="center"/>
      <protection locked="0" hidden="1"/>
    </xf>
    <xf numFmtId="49" fontId="7" fillId="9" borderId="15" xfId="0" applyNumberFormat="1" applyFont="1" applyFill="1" applyBorder="1" applyAlignment="1" applyProtection="1">
      <alignment horizontal="right" vertical="center"/>
      <protection locked="0"/>
    </xf>
    <xf numFmtId="0" fontId="7" fillId="9" borderId="3" xfId="0" applyFont="1" applyFill="1" applyBorder="1" applyAlignment="1" applyProtection="1">
      <alignment vertical="center"/>
      <protection locked="0"/>
    </xf>
    <xf numFmtId="0" fontId="7" fillId="14" borderId="20" xfId="0" applyFont="1" applyFill="1" applyBorder="1" applyAlignment="1">
      <alignment vertical="center"/>
    </xf>
    <xf numFmtId="2" fontId="7" fillId="14" borderId="3" xfId="0" quotePrefix="1" applyNumberFormat="1" applyFont="1" applyFill="1" applyBorder="1" applyAlignment="1">
      <alignment vertical="center"/>
    </xf>
    <xf numFmtId="2" fontId="7" fillId="14" borderId="21" xfId="0" quotePrefix="1" applyNumberFormat="1" applyFont="1" applyFill="1" applyBorder="1" applyAlignment="1">
      <alignment vertical="center"/>
    </xf>
    <xf numFmtId="0" fontId="7" fillId="5" borderId="5" xfId="0" applyFont="1" applyFill="1" applyBorder="1" applyAlignment="1">
      <alignment horizontal="left" vertical="center"/>
    </xf>
    <xf numFmtId="49" fontId="7" fillId="5" borderId="5" xfId="0" applyNumberFormat="1" applyFont="1" applyFill="1" applyBorder="1" applyAlignment="1">
      <alignment horizontal="left" vertical="center"/>
    </xf>
    <xf numFmtId="2" fontId="7" fillId="5" borderId="5" xfId="0" applyNumberFormat="1" applyFont="1" applyFill="1" applyBorder="1" applyAlignment="1">
      <alignment horizontal="left" vertical="center"/>
    </xf>
    <xf numFmtId="0" fontId="7" fillId="15" borderId="5" xfId="0" applyFont="1" applyFill="1" applyBorder="1" applyAlignment="1">
      <alignment horizontal="left" vertical="center"/>
    </xf>
    <xf numFmtId="0" fontId="7" fillId="5" borderId="22" xfId="0" applyFont="1" applyFill="1" applyBorder="1" applyAlignment="1">
      <alignment horizontal="left" vertical="center"/>
    </xf>
    <xf numFmtId="49" fontId="7" fillId="5" borderId="22" xfId="0" applyNumberFormat="1" applyFont="1" applyFill="1" applyBorder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14" borderId="13" xfId="0" applyFont="1" applyFill="1" applyBorder="1" applyAlignment="1">
      <alignment vertical="center"/>
    </xf>
    <xf numFmtId="2" fontId="7" fillId="14" borderId="16" xfId="0" quotePrefix="1" applyNumberFormat="1" applyFont="1" applyFill="1" applyBorder="1" applyAlignment="1">
      <alignment vertical="center"/>
    </xf>
    <xf numFmtId="2" fontId="7" fillId="14" borderId="17" xfId="0" quotePrefix="1" applyNumberFormat="1" applyFont="1" applyFill="1" applyBorder="1" applyAlignment="1">
      <alignment vertical="center"/>
    </xf>
    <xf numFmtId="0" fontId="8" fillId="0" borderId="3" xfId="0" applyFont="1" applyBorder="1" applyAlignment="1" applyProtection="1">
      <alignment vertical="center"/>
      <protection locked="0" hidden="1"/>
    </xf>
    <xf numFmtId="49" fontId="8" fillId="0" borderId="3" xfId="0" applyNumberFormat="1" applyFont="1" applyBorder="1" applyAlignment="1" applyProtection="1">
      <alignment vertical="center"/>
      <protection locked="0" hidden="1"/>
    </xf>
    <xf numFmtId="0" fontId="10" fillId="0" borderId="3" xfId="0" applyFont="1" applyBorder="1" applyAlignment="1">
      <alignment horizontal="center"/>
    </xf>
    <xf numFmtId="2" fontId="8" fillId="0" borderId="3" xfId="0" applyNumberFormat="1" applyFont="1" applyBorder="1" applyAlignment="1" applyProtection="1">
      <alignment vertical="center"/>
      <protection locked="0" hidden="1"/>
    </xf>
    <xf numFmtId="1" fontId="8" fillId="0" borderId="3" xfId="0" applyNumberFormat="1" applyFont="1" applyBorder="1" applyAlignment="1" applyProtection="1">
      <alignment vertical="center"/>
      <protection locked="0" hidden="1"/>
    </xf>
    <xf numFmtId="49" fontId="7" fillId="0" borderId="3" xfId="0" applyNumberFormat="1" applyFont="1" applyBorder="1" applyAlignment="1" applyProtection="1">
      <alignment vertical="center"/>
      <protection locked="0" hidden="1"/>
    </xf>
    <xf numFmtId="49" fontId="8" fillId="0" borderId="3" xfId="0" applyNumberFormat="1" applyFont="1" applyBorder="1" applyAlignment="1" applyProtection="1">
      <alignment horizontal="right" vertical="center"/>
      <protection locked="0" hidden="1"/>
    </xf>
    <xf numFmtId="0" fontId="7" fillId="0" borderId="3" xfId="0" applyFont="1" applyBorder="1" applyAlignment="1" applyProtection="1">
      <alignment vertical="center"/>
      <protection locked="0" hidden="1"/>
    </xf>
    <xf numFmtId="49" fontId="8" fillId="0" borderId="3" xfId="0" applyNumberFormat="1" applyFont="1" applyBorder="1" applyAlignment="1" applyProtection="1">
      <alignment horizontal="left" vertical="center"/>
      <protection locked="0" hidden="1"/>
    </xf>
    <xf numFmtId="0" fontId="6" fillId="0" borderId="0" xfId="0" applyFont="1" applyAlignment="1" applyProtection="1">
      <alignment vertical="center"/>
      <protection locked="0"/>
    </xf>
    <xf numFmtId="0" fontId="6" fillId="0" borderId="0" xfId="0" applyFont="1" applyAlignment="1">
      <alignment vertical="center"/>
    </xf>
    <xf numFmtId="49" fontId="7" fillId="6" borderId="3" xfId="0" applyNumberFormat="1" applyFont="1" applyFill="1" applyBorder="1" applyAlignment="1" applyProtection="1">
      <alignment vertical="center"/>
      <protection locked="0" hidden="1"/>
    </xf>
    <xf numFmtId="0" fontId="8" fillId="6" borderId="3" xfId="0" applyFont="1" applyFill="1" applyBorder="1" applyAlignment="1" applyProtection="1">
      <alignment vertical="center"/>
      <protection locked="0" hidden="1"/>
    </xf>
    <xf numFmtId="49" fontId="8" fillId="6" borderId="3" xfId="0" applyNumberFormat="1" applyFont="1" applyFill="1" applyBorder="1" applyAlignment="1" applyProtection="1">
      <alignment horizontal="right" vertical="center"/>
      <protection locked="0" hidden="1"/>
    </xf>
    <xf numFmtId="0" fontId="7" fillId="6" borderId="3" xfId="0" applyFont="1" applyFill="1" applyBorder="1" applyAlignment="1" applyProtection="1">
      <alignment vertical="center"/>
      <protection locked="0" hidden="1"/>
    </xf>
    <xf numFmtId="49" fontId="8" fillId="6" borderId="3" xfId="0" applyNumberFormat="1" applyFont="1" applyFill="1" applyBorder="1" applyAlignment="1" applyProtection="1">
      <alignment horizontal="left" vertical="center"/>
      <protection locked="0" hidden="1"/>
    </xf>
    <xf numFmtId="49" fontId="8" fillId="6" borderId="3" xfId="0" applyNumberFormat="1" applyFont="1" applyFill="1" applyBorder="1" applyAlignment="1" applyProtection="1">
      <alignment vertical="center"/>
      <protection locked="0" hidden="1"/>
    </xf>
    <xf numFmtId="2" fontId="8" fillId="6" borderId="3" xfId="0" applyNumberFormat="1" applyFont="1" applyFill="1" applyBorder="1" applyAlignment="1" applyProtection="1">
      <alignment vertical="center"/>
      <protection locked="0" hidden="1"/>
    </xf>
    <xf numFmtId="1" fontId="8" fillId="6" borderId="3" xfId="0" applyNumberFormat="1" applyFont="1" applyFill="1" applyBorder="1" applyAlignment="1" applyProtection="1">
      <alignment vertical="center"/>
      <protection locked="0" hidden="1"/>
    </xf>
    <xf numFmtId="0" fontId="8" fillId="7" borderId="3" xfId="0" applyFont="1" applyFill="1" applyBorder="1" applyAlignment="1" applyProtection="1">
      <alignment vertical="center"/>
      <protection locked="0" hidden="1"/>
    </xf>
    <xf numFmtId="49" fontId="8" fillId="7" borderId="3" xfId="0" applyNumberFormat="1" applyFont="1" applyFill="1" applyBorder="1" applyAlignment="1" applyProtection="1">
      <alignment vertical="center"/>
      <protection locked="0" hidden="1"/>
    </xf>
    <xf numFmtId="2" fontId="8" fillId="7" borderId="3" xfId="0" applyNumberFormat="1" applyFont="1" applyFill="1" applyBorder="1" applyAlignment="1" applyProtection="1">
      <alignment vertical="center"/>
      <protection locked="0" hidden="1"/>
    </xf>
    <xf numFmtId="1" fontId="8" fillId="7" borderId="3" xfId="0" applyNumberFormat="1" applyFont="1" applyFill="1" applyBorder="1" applyAlignment="1" applyProtection="1">
      <alignment vertical="center"/>
      <protection locked="0" hidden="1"/>
    </xf>
    <xf numFmtId="49" fontId="7" fillId="7" borderId="3" xfId="0" applyNumberFormat="1" applyFont="1" applyFill="1" applyBorder="1" applyAlignment="1" applyProtection="1">
      <alignment vertical="center"/>
      <protection locked="0" hidden="1"/>
    </xf>
    <xf numFmtId="49" fontId="8" fillId="7" borderId="3" xfId="0" applyNumberFormat="1" applyFont="1" applyFill="1" applyBorder="1" applyAlignment="1" applyProtection="1">
      <alignment horizontal="right" vertical="center"/>
      <protection locked="0" hidden="1"/>
    </xf>
    <xf numFmtId="0" fontId="7" fillId="7" borderId="3" xfId="0" applyFont="1" applyFill="1" applyBorder="1" applyAlignment="1" applyProtection="1">
      <alignment vertical="center"/>
      <protection locked="0" hidden="1"/>
    </xf>
    <xf numFmtId="49" fontId="8" fillId="7" borderId="3" xfId="0" applyNumberFormat="1" applyFont="1" applyFill="1" applyBorder="1" applyAlignment="1" applyProtection="1">
      <alignment horizontal="left" vertical="center"/>
      <protection locked="0" hidden="1"/>
    </xf>
    <xf numFmtId="0" fontId="8" fillId="8" borderId="3" xfId="0" applyFont="1" applyFill="1" applyBorder="1" applyAlignment="1" applyProtection="1">
      <alignment vertical="center"/>
      <protection locked="0" hidden="1"/>
    </xf>
    <xf numFmtId="49" fontId="8" fillId="8" borderId="3" xfId="0" applyNumberFormat="1" applyFont="1" applyFill="1" applyBorder="1" applyAlignment="1" applyProtection="1">
      <alignment vertical="center"/>
      <protection locked="0" hidden="1"/>
    </xf>
    <xf numFmtId="2" fontId="8" fillId="8" borderId="3" xfId="0" applyNumberFormat="1" applyFont="1" applyFill="1" applyBorder="1" applyAlignment="1" applyProtection="1">
      <alignment vertical="center"/>
      <protection locked="0" hidden="1"/>
    </xf>
    <xf numFmtId="1" fontId="8" fillId="8" borderId="3" xfId="0" applyNumberFormat="1" applyFont="1" applyFill="1" applyBorder="1" applyAlignment="1" applyProtection="1">
      <alignment vertical="center"/>
      <protection locked="0" hidden="1"/>
    </xf>
    <xf numFmtId="49" fontId="7" fillId="8" borderId="3" xfId="0" applyNumberFormat="1" applyFont="1" applyFill="1" applyBorder="1" applyAlignment="1" applyProtection="1">
      <alignment vertical="center"/>
      <protection locked="0" hidden="1"/>
    </xf>
    <xf numFmtId="49" fontId="8" fillId="8" borderId="3" xfId="0" applyNumberFormat="1" applyFont="1" applyFill="1" applyBorder="1" applyAlignment="1" applyProtection="1">
      <alignment horizontal="right" vertical="center"/>
      <protection locked="0" hidden="1"/>
    </xf>
    <xf numFmtId="0" fontId="7" fillId="8" borderId="3" xfId="0" applyFont="1" applyFill="1" applyBorder="1" applyAlignment="1" applyProtection="1">
      <alignment vertical="center"/>
      <protection locked="0" hidden="1"/>
    </xf>
    <xf numFmtId="49" fontId="8" fillId="8" borderId="3" xfId="0" applyNumberFormat="1" applyFont="1" applyFill="1" applyBorder="1" applyAlignment="1" applyProtection="1">
      <alignment horizontal="left" vertical="center"/>
      <protection locked="0" hidden="1"/>
    </xf>
    <xf numFmtId="0" fontId="8" fillId="9" borderId="3" xfId="0" applyFont="1" applyFill="1" applyBorder="1" applyAlignment="1" applyProtection="1">
      <alignment vertical="center"/>
      <protection locked="0" hidden="1"/>
    </xf>
    <xf numFmtId="49" fontId="8" fillId="9" borderId="3" xfId="0" applyNumberFormat="1" applyFont="1" applyFill="1" applyBorder="1" applyAlignment="1" applyProtection="1">
      <alignment vertical="center"/>
      <protection locked="0" hidden="1"/>
    </xf>
    <xf numFmtId="2" fontId="8" fillId="9" borderId="3" xfId="0" applyNumberFormat="1" applyFont="1" applyFill="1" applyBorder="1" applyAlignment="1" applyProtection="1">
      <alignment vertical="center"/>
      <protection locked="0" hidden="1"/>
    </xf>
    <xf numFmtId="1" fontId="8" fillId="9" borderId="3" xfId="0" applyNumberFormat="1" applyFont="1" applyFill="1" applyBorder="1" applyAlignment="1" applyProtection="1">
      <alignment vertical="center"/>
      <protection locked="0" hidden="1"/>
    </xf>
    <xf numFmtId="49" fontId="7" fillId="9" borderId="3" xfId="0" applyNumberFormat="1" applyFont="1" applyFill="1" applyBorder="1" applyAlignment="1" applyProtection="1">
      <alignment vertical="center"/>
      <protection locked="0" hidden="1"/>
    </xf>
    <xf numFmtId="49" fontId="8" fillId="9" borderId="3" xfId="0" applyNumberFormat="1" applyFont="1" applyFill="1" applyBorder="1" applyAlignment="1" applyProtection="1">
      <alignment horizontal="right" vertical="center"/>
      <protection locked="0" hidden="1"/>
    </xf>
    <xf numFmtId="0" fontId="7" fillId="9" borderId="3" xfId="0" applyFont="1" applyFill="1" applyBorder="1" applyAlignment="1" applyProtection="1">
      <alignment vertical="center"/>
      <protection locked="0" hidden="1"/>
    </xf>
    <xf numFmtId="49" fontId="8" fillId="9" borderId="3" xfId="0" applyNumberFormat="1" applyFont="1" applyFill="1" applyBorder="1" applyAlignment="1" applyProtection="1">
      <alignment horizontal="left" vertical="center"/>
      <protection locked="0" hidden="1"/>
    </xf>
    <xf numFmtId="0" fontId="8" fillId="10" borderId="3" xfId="0" applyFont="1" applyFill="1" applyBorder="1" applyAlignment="1" applyProtection="1">
      <alignment vertical="center"/>
      <protection locked="0" hidden="1"/>
    </xf>
    <xf numFmtId="49" fontId="8" fillId="10" borderId="3" xfId="0" applyNumberFormat="1" applyFont="1" applyFill="1" applyBorder="1" applyAlignment="1" applyProtection="1">
      <alignment vertical="center"/>
      <protection locked="0" hidden="1"/>
    </xf>
    <xf numFmtId="2" fontId="8" fillId="10" borderId="3" xfId="0" applyNumberFormat="1" applyFont="1" applyFill="1" applyBorder="1" applyAlignment="1" applyProtection="1">
      <alignment vertical="center"/>
      <protection locked="0" hidden="1"/>
    </xf>
    <xf numFmtId="1" fontId="8" fillId="10" borderId="3" xfId="0" applyNumberFormat="1" applyFont="1" applyFill="1" applyBorder="1" applyAlignment="1" applyProtection="1">
      <alignment vertical="center"/>
      <protection locked="0" hidden="1"/>
    </xf>
    <xf numFmtId="49" fontId="7" fillId="10" borderId="3" xfId="0" applyNumberFormat="1" applyFont="1" applyFill="1" applyBorder="1" applyAlignment="1" applyProtection="1">
      <alignment vertical="center"/>
      <protection locked="0" hidden="1"/>
    </xf>
    <xf numFmtId="49" fontId="8" fillId="10" borderId="3" xfId="0" applyNumberFormat="1" applyFont="1" applyFill="1" applyBorder="1" applyAlignment="1" applyProtection="1">
      <alignment horizontal="right" vertical="center"/>
      <protection locked="0" hidden="1"/>
    </xf>
    <xf numFmtId="0" fontId="7" fillId="10" borderId="3" xfId="0" applyFont="1" applyFill="1" applyBorder="1" applyAlignment="1" applyProtection="1">
      <alignment vertical="center"/>
      <protection locked="0" hidden="1"/>
    </xf>
    <xf numFmtId="49" fontId="8" fillId="10" borderId="3" xfId="0" applyNumberFormat="1" applyFont="1" applyFill="1" applyBorder="1" applyAlignment="1" applyProtection="1">
      <alignment horizontal="left" vertical="center"/>
      <protection locked="0" hidden="1"/>
    </xf>
    <xf numFmtId="2" fontId="6" fillId="0" borderId="0" xfId="0" applyNumberFormat="1" applyFont="1" applyAlignment="1">
      <alignment vertical="center"/>
    </xf>
    <xf numFmtId="1" fontId="0" fillId="6" borderId="3" xfId="0" applyNumberFormat="1" applyFill="1" applyBorder="1" applyProtection="1">
      <protection locked="0" hidden="1"/>
    </xf>
    <xf numFmtId="2" fontId="7" fillId="0" borderId="0" xfId="0" applyNumberFormat="1" applyFont="1" applyAlignment="1">
      <alignment vertical="center"/>
    </xf>
    <xf numFmtId="2" fontId="7" fillId="0" borderId="3" xfId="0" applyNumberFormat="1" applyFont="1" applyBorder="1" applyAlignment="1">
      <alignment vertical="center"/>
    </xf>
    <xf numFmtId="0" fontId="7" fillId="11" borderId="3" xfId="0" applyFont="1" applyFill="1" applyBorder="1" applyAlignment="1" applyProtection="1">
      <alignment vertical="center"/>
      <protection locked="0" hidden="1"/>
    </xf>
    <xf numFmtId="49" fontId="7" fillId="11" borderId="3" xfId="0" applyNumberFormat="1" applyFont="1" applyFill="1" applyBorder="1" applyAlignment="1" applyProtection="1">
      <alignment vertical="center"/>
      <protection locked="0" hidden="1"/>
    </xf>
    <xf numFmtId="2" fontId="7" fillId="11" borderId="3" xfId="0" applyNumberFormat="1" applyFont="1" applyFill="1" applyBorder="1" applyAlignment="1" applyProtection="1">
      <alignment vertical="center"/>
      <protection locked="0" hidden="1"/>
    </xf>
    <xf numFmtId="1" fontId="7" fillId="11" borderId="3" xfId="0" applyNumberFormat="1" applyFont="1" applyFill="1" applyBorder="1" applyAlignment="1" applyProtection="1">
      <alignment vertical="center"/>
      <protection locked="0" hidden="1"/>
    </xf>
    <xf numFmtId="49" fontId="7" fillId="11" borderId="3" xfId="0" applyNumberFormat="1" applyFont="1" applyFill="1" applyBorder="1" applyAlignment="1" applyProtection="1">
      <alignment horizontal="right" vertical="center"/>
      <protection locked="0" hidden="1"/>
    </xf>
    <xf numFmtId="49" fontId="7" fillId="11" borderId="3" xfId="0" applyNumberFormat="1" applyFont="1" applyFill="1" applyBorder="1" applyAlignment="1" applyProtection="1">
      <alignment horizontal="left" vertical="center"/>
      <protection locked="0" hidden="1"/>
    </xf>
    <xf numFmtId="0" fontId="7" fillId="0" borderId="20" xfId="0" applyFont="1" applyBorder="1" applyAlignment="1" applyProtection="1">
      <alignment vertical="center"/>
      <protection locked="0" hidden="1"/>
    </xf>
    <xf numFmtId="0" fontId="8" fillId="2" borderId="3" xfId="0" applyFont="1" applyFill="1" applyBorder="1" applyAlignment="1" applyProtection="1">
      <alignment vertical="center"/>
      <protection locked="0" hidden="1"/>
    </xf>
    <xf numFmtId="49" fontId="8" fillId="2" borderId="3" xfId="0" applyNumberFormat="1" applyFont="1" applyFill="1" applyBorder="1" applyAlignment="1" applyProtection="1">
      <alignment vertical="center"/>
      <protection locked="0" hidden="1"/>
    </xf>
    <xf numFmtId="2" fontId="8" fillId="2" borderId="3" xfId="0" applyNumberFormat="1" applyFont="1" applyFill="1" applyBorder="1" applyAlignment="1" applyProtection="1">
      <alignment vertical="center"/>
      <protection locked="0" hidden="1"/>
    </xf>
    <xf numFmtId="1" fontId="8" fillId="2" borderId="3" xfId="0" applyNumberFormat="1" applyFont="1" applyFill="1" applyBorder="1" applyAlignment="1" applyProtection="1">
      <alignment vertical="center"/>
      <protection locked="0" hidden="1"/>
    </xf>
    <xf numFmtId="0" fontId="7" fillId="2" borderId="20" xfId="0" applyFont="1" applyFill="1" applyBorder="1" applyAlignment="1" applyProtection="1">
      <alignment vertical="center"/>
      <protection locked="0" hidden="1"/>
    </xf>
    <xf numFmtId="49" fontId="7" fillId="2" borderId="3" xfId="0" applyNumberFormat="1" applyFont="1" applyFill="1" applyBorder="1" applyAlignment="1" applyProtection="1">
      <alignment vertical="center"/>
      <protection locked="0" hidden="1"/>
    </xf>
    <xf numFmtId="49" fontId="8" fillId="2" borderId="3" xfId="0" applyNumberFormat="1" applyFont="1" applyFill="1" applyBorder="1" applyAlignment="1" applyProtection="1">
      <alignment horizontal="right" vertical="center"/>
      <protection locked="0" hidden="1"/>
    </xf>
    <xf numFmtId="0" fontId="7" fillId="2" borderId="3" xfId="0" applyFont="1" applyFill="1" applyBorder="1" applyAlignment="1" applyProtection="1">
      <alignment vertical="center"/>
      <protection locked="0" hidden="1"/>
    </xf>
    <xf numFmtId="49" fontId="8" fillId="2" borderId="3" xfId="0" applyNumberFormat="1" applyFont="1" applyFill="1" applyBorder="1" applyAlignment="1" applyProtection="1">
      <alignment horizontal="left" vertical="center"/>
      <protection locked="0" hidden="1"/>
    </xf>
    <xf numFmtId="0" fontId="6" fillId="2" borderId="0" xfId="0" applyFont="1" applyFill="1" applyAlignment="1" applyProtection="1">
      <alignment vertical="center"/>
      <protection locked="0"/>
    </xf>
    <xf numFmtId="0" fontId="6" fillId="2" borderId="0" xfId="0" applyFont="1" applyFill="1" applyAlignment="1">
      <alignment vertical="center"/>
    </xf>
    <xf numFmtId="0" fontId="11" fillId="2" borderId="0" xfId="0" applyFont="1" applyFill="1" applyAlignment="1" applyProtection="1">
      <alignment vertical="center"/>
      <protection locked="0"/>
    </xf>
    <xf numFmtId="0" fontId="11" fillId="2" borderId="0" xfId="0" applyFont="1" applyFill="1" applyAlignment="1">
      <alignment vertical="center"/>
    </xf>
    <xf numFmtId="49" fontId="7" fillId="0" borderId="0" xfId="0" applyNumberFormat="1" applyFont="1" applyAlignment="1" applyProtection="1">
      <alignment vertical="center"/>
      <protection hidden="1"/>
    </xf>
    <xf numFmtId="2" fontId="7" fillId="0" borderId="0" xfId="0" applyNumberFormat="1" applyFont="1" applyAlignment="1" applyProtection="1">
      <alignment vertical="center"/>
      <protection hidden="1"/>
    </xf>
    <xf numFmtId="0" fontId="7" fillId="0" borderId="0" xfId="0" applyFont="1" applyAlignment="1" applyProtection="1">
      <alignment horizontal="left" vertical="center"/>
      <protection hidden="1"/>
    </xf>
    <xf numFmtId="49" fontId="7" fillId="0" borderId="0" xfId="0" applyNumberFormat="1" applyFont="1" applyAlignment="1">
      <alignment vertical="center"/>
    </xf>
    <xf numFmtId="0" fontId="7" fillId="0" borderId="0" xfId="0" applyFont="1" applyAlignment="1">
      <alignment horizontal="left" vertical="center"/>
    </xf>
    <xf numFmtId="16" fontId="13" fillId="5" borderId="23" xfId="0" applyNumberFormat="1" applyFont="1" applyFill="1" applyBorder="1" applyAlignment="1" applyProtection="1">
      <alignment horizontal="left" vertical="center"/>
      <protection locked="0"/>
    </xf>
    <xf numFmtId="0" fontId="13" fillId="5" borderId="24" xfId="0" applyFont="1" applyFill="1" applyBorder="1" applyAlignment="1" applyProtection="1">
      <alignment horizontal="left" vertical="center"/>
      <protection locked="0"/>
    </xf>
    <xf numFmtId="49" fontId="13" fillId="5" borderId="24" xfId="0" applyNumberFormat="1" applyFont="1" applyFill="1" applyBorder="1" applyAlignment="1" applyProtection="1">
      <alignment horizontal="left" vertical="center"/>
      <protection locked="0"/>
    </xf>
    <xf numFmtId="1" fontId="14" fillId="5" borderId="24" xfId="0" applyNumberFormat="1" applyFont="1" applyFill="1" applyBorder="1" applyAlignment="1" applyProtection="1">
      <alignment horizontal="left" vertical="center"/>
      <protection locked="0"/>
    </xf>
    <xf numFmtId="1" fontId="14" fillId="5" borderId="25" xfId="0" applyNumberFormat="1" applyFont="1" applyFill="1" applyBorder="1" applyAlignment="1" applyProtection="1">
      <alignment horizontal="left" vertical="center"/>
      <protection locked="0"/>
    </xf>
    <xf numFmtId="49" fontId="14" fillId="5" borderId="24" xfId="0" applyNumberFormat="1" applyFont="1" applyFill="1" applyBorder="1" applyAlignment="1" applyProtection="1">
      <alignment horizontal="left" vertical="center"/>
      <protection locked="0"/>
    </xf>
    <xf numFmtId="49" fontId="14" fillId="5" borderId="26" xfId="0" applyNumberFormat="1" applyFont="1" applyFill="1" applyBorder="1" applyAlignment="1" applyProtection="1">
      <alignment horizontal="left" vertical="center"/>
      <protection locked="0"/>
    </xf>
    <xf numFmtId="1" fontId="14" fillId="5" borderId="24" xfId="1" applyNumberFormat="1" applyFont="1" applyFill="1" applyBorder="1" applyAlignment="1" applyProtection="1">
      <alignment horizontal="left" vertical="center"/>
      <protection locked="0"/>
    </xf>
    <xf numFmtId="0" fontId="14" fillId="5" borderId="26" xfId="0" applyFont="1" applyFill="1" applyBorder="1" applyAlignment="1" applyProtection="1">
      <alignment horizontal="left" vertical="center"/>
      <protection locked="0"/>
    </xf>
    <xf numFmtId="16" fontId="0" fillId="0" borderId="3" xfId="0" applyNumberFormat="1" applyBorder="1" applyProtection="1">
      <protection locked="0"/>
    </xf>
    <xf numFmtId="0" fontId="7" fillId="0" borderId="3" xfId="0" applyFont="1" applyBorder="1" applyProtection="1">
      <protection locked="0"/>
    </xf>
    <xf numFmtId="49" fontId="7" fillId="0" borderId="3" xfId="0" applyNumberFormat="1" applyFont="1" applyBorder="1" applyProtection="1">
      <protection locked="0"/>
    </xf>
    <xf numFmtId="1" fontId="0" fillId="0" borderId="3" xfId="0" applyNumberFormat="1" applyBorder="1" applyProtection="1">
      <protection locked="0"/>
    </xf>
    <xf numFmtId="1" fontId="7" fillId="0" borderId="6" xfId="2" applyNumberFormat="1" applyBorder="1" applyProtection="1">
      <protection locked="0"/>
    </xf>
    <xf numFmtId="49" fontId="7" fillId="0" borderId="3" xfId="2" applyNumberFormat="1" applyBorder="1" applyProtection="1">
      <protection locked="0"/>
    </xf>
    <xf numFmtId="0" fontId="0" fillId="0" borderId="3" xfId="0" applyBorder="1" applyProtection="1">
      <protection locked="0"/>
    </xf>
    <xf numFmtId="0" fontId="7" fillId="0" borderId="3" xfId="0" applyFont="1" applyBorder="1" applyAlignment="1" applyProtection="1">
      <alignment horizontal="left"/>
      <protection locked="0"/>
    </xf>
    <xf numFmtId="0" fontId="0" fillId="0" borderId="6" xfId="0" applyBorder="1" applyProtection="1">
      <protection locked="0"/>
    </xf>
    <xf numFmtId="0" fontId="7" fillId="0" borderId="20" xfId="0" applyFont="1" applyBorder="1" applyProtection="1">
      <protection locked="0"/>
    </xf>
    <xf numFmtId="1" fontId="7" fillId="16" borderId="3" xfId="1" applyNumberFormat="1" applyFont="1" applyFill="1" applyBorder="1" applyProtection="1"/>
    <xf numFmtId="0" fontId="0" fillId="16" borderId="27" xfId="0" applyFill="1" applyBorder="1"/>
    <xf numFmtId="49" fontId="0" fillId="0" borderId="3" xfId="0" applyNumberFormat="1" applyBorder="1" applyProtection="1">
      <protection locked="0"/>
    </xf>
    <xf numFmtId="49" fontId="7" fillId="2" borderId="3" xfId="2" applyNumberFormat="1" applyFill="1" applyBorder="1" applyProtection="1">
      <protection locked="0"/>
    </xf>
    <xf numFmtId="0" fontId="7" fillId="0" borderId="6" xfId="0" applyFont="1" applyBorder="1" applyProtection="1">
      <protection locked="0"/>
    </xf>
    <xf numFmtId="49" fontId="7" fillId="0" borderId="1" xfId="2" applyNumberFormat="1" applyBorder="1" applyProtection="1">
      <protection locked="0"/>
    </xf>
    <xf numFmtId="16" fontId="7" fillId="0" borderId="3" xfId="0" applyNumberFormat="1" applyFont="1" applyBorder="1" applyProtection="1">
      <protection locked="0"/>
    </xf>
    <xf numFmtId="1" fontId="7" fillId="0" borderId="3" xfId="0" applyNumberFormat="1" applyFont="1" applyBorder="1" applyProtection="1">
      <protection locked="0"/>
    </xf>
    <xf numFmtId="9" fontId="7" fillId="0" borderId="6" xfId="0" applyNumberFormat="1" applyFont="1" applyBorder="1" applyProtection="1">
      <protection locked="0"/>
    </xf>
    <xf numFmtId="9" fontId="0" fillId="0" borderId="6" xfId="0" applyNumberFormat="1" applyBorder="1" applyProtection="1">
      <protection locked="0"/>
    </xf>
    <xf numFmtId="1" fontId="7" fillId="0" borderId="6" xfId="0" applyNumberFormat="1" applyFont="1" applyBorder="1" applyProtection="1">
      <protection locked="0"/>
    </xf>
    <xf numFmtId="16" fontId="7" fillId="9" borderId="3" xfId="0" applyNumberFormat="1" applyFont="1" applyFill="1" applyBorder="1"/>
    <xf numFmtId="0" fontId="7" fillId="9" borderId="3" xfId="0" applyFont="1" applyFill="1" applyBorder="1"/>
    <xf numFmtId="49" fontId="7" fillId="9" borderId="3" xfId="0" applyNumberFormat="1" applyFont="1" applyFill="1" applyBorder="1"/>
    <xf numFmtId="0" fontId="0" fillId="9" borderId="6" xfId="0" applyFill="1" applyBorder="1" applyProtection="1">
      <protection locked="0"/>
    </xf>
    <xf numFmtId="49" fontId="0" fillId="2" borderId="3" xfId="0" applyNumberFormat="1" applyFill="1" applyBorder="1" applyProtection="1">
      <protection locked="0"/>
    </xf>
    <xf numFmtId="1" fontId="0" fillId="2" borderId="3" xfId="0" applyNumberFormat="1" applyFill="1" applyBorder="1" applyProtection="1">
      <protection locked="0"/>
    </xf>
    <xf numFmtId="1" fontId="7" fillId="2" borderId="6" xfId="2" applyNumberFormat="1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6" xfId="0" applyFill="1" applyBorder="1" applyProtection="1">
      <protection locked="0"/>
    </xf>
    <xf numFmtId="49" fontId="7" fillId="0" borderId="3" xfId="3" applyNumberFormat="1" applyFont="1" applyBorder="1" applyProtection="1">
      <protection locked="0"/>
    </xf>
    <xf numFmtId="1" fontId="7" fillId="0" borderId="3" xfId="3" applyNumberFormat="1" applyFont="1" applyBorder="1" applyProtection="1">
      <protection locked="0"/>
    </xf>
    <xf numFmtId="1" fontId="7" fillId="0" borderId="6" xfId="3" applyNumberFormat="1" applyFont="1" applyBorder="1" applyProtection="1">
      <protection locked="0"/>
    </xf>
    <xf numFmtId="49" fontId="15" fillId="0" borderId="3" xfId="0" applyNumberFormat="1" applyFont="1" applyBorder="1" applyAlignment="1">
      <alignment vertical="center"/>
    </xf>
    <xf numFmtId="0" fontId="7" fillId="9" borderId="6" xfId="0" applyFont="1" applyFill="1" applyBorder="1" applyProtection="1">
      <protection locked="0"/>
    </xf>
    <xf numFmtId="1" fontId="7" fillId="0" borderId="3" xfId="0" applyNumberFormat="1" applyFont="1" applyBorder="1" applyAlignment="1" applyProtection="1">
      <alignment wrapText="1"/>
      <protection locked="0"/>
    </xf>
    <xf numFmtId="49" fontId="7" fillId="0" borderId="20" xfId="2" applyNumberFormat="1" applyBorder="1" applyProtection="1">
      <protection locked="0"/>
    </xf>
    <xf numFmtId="49" fontId="7" fillId="0" borderId="20" xfId="0" applyNumberFormat="1" applyFont="1" applyBorder="1" applyProtection="1">
      <protection locked="0"/>
    </xf>
    <xf numFmtId="1" fontId="7" fillId="0" borderId="3" xfId="2" applyNumberFormat="1" applyBorder="1" applyProtection="1">
      <protection locked="0"/>
    </xf>
    <xf numFmtId="16" fontId="7" fillId="2" borderId="3" xfId="0" applyNumberFormat="1" applyFont="1" applyFill="1" applyBorder="1" applyProtection="1">
      <protection locked="0"/>
    </xf>
    <xf numFmtId="0" fontId="7" fillId="2" borderId="3" xfId="0" applyFont="1" applyFill="1" applyBorder="1" applyProtection="1">
      <protection locked="0"/>
    </xf>
    <xf numFmtId="49" fontId="7" fillId="2" borderId="3" xfId="0" applyNumberFormat="1" applyFont="1" applyFill="1" applyBorder="1" applyProtection="1">
      <protection locked="0"/>
    </xf>
    <xf numFmtId="1" fontId="7" fillId="2" borderId="3" xfId="0" applyNumberFormat="1" applyFont="1" applyFill="1" applyBorder="1" applyProtection="1">
      <protection locked="0"/>
    </xf>
    <xf numFmtId="1" fontId="0" fillId="0" borderId="6" xfId="0" applyNumberFormat="1" applyBorder="1" applyProtection="1">
      <protection locked="0"/>
    </xf>
    <xf numFmtId="0" fontId="7" fillId="2" borderId="3" xfId="0" applyFont="1" applyFill="1" applyBorder="1" applyAlignment="1" applyProtection="1">
      <alignment horizontal="left"/>
      <protection locked="0"/>
    </xf>
    <xf numFmtId="1" fontId="0" fillId="0" borderId="0" xfId="0" applyNumberFormat="1" applyProtection="1">
      <protection locked="0"/>
    </xf>
    <xf numFmtId="49" fontId="0" fillId="0" borderId="1" xfId="0" applyNumberFormat="1" applyBorder="1" applyProtection="1">
      <protection locked="0"/>
    </xf>
    <xf numFmtId="16" fontId="0" fillId="2" borderId="3" xfId="0" applyNumberFormat="1" applyFill="1" applyBorder="1" applyProtection="1">
      <protection locked="0"/>
    </xf>
    <xf numFmtId="0" fontId="7" fillId="2" borderId="6" xfId="0" applyFont="1" applyFill="1" applyBorder="1" applyProtection="1">
      <protection locked="0"/>
    </xf>
    <xf numFmtId="1" fontId="7" fillId="0" borderId="0" xfId="2" applyNumberFormat="1" applyProtection="1">
      <protection locked="0"/>
    </xf>
    <xf numFmtId="49" fontId="7" fillId="2" borderId="1" xfId="0" applyNumberFormat="1" applyFont="1" applyFill="1" applyBorder="1" applyProtection="1">
      <protection locked="0"/>
    </xf>
    <xf numFmtId="0" fontId="7" fillId="0" borderId="3" xfId="0" applyFont="1" applyBorder="1" applyAlignment="1" applyProtection="1">
      <alignment horizontal="right" vertical="center"/>
      <protection locked="0"/>
    </xf>
    <xf numFmtId="0" fontId="7" fillId="0" borderId="3" xfId="0" applyFont="1" applyBorder="1" applyAlignment="1" applyProtection="1">
      <alignment vertical="center"/>
      <protection locked="0"/>
    </xf>
    <xf numFmtId="0" fontId="7" fillId="0" borderId="20" xfId="0" applyFont="1" applyBorder="1" applyAlignment="1" applyProtection="1">
      <alignment vertical="center"/>
      <protection locked="0"/>
    </xf>
    <xf numFmtId="0" fontId="7" fillId="0" borderId="5" xfId="0" applyFont="1" applyBorder="1" applyProtection="1">
      <protection locked="0"/>
    </xf>
    <xf numFmtId="49" fontId="7" fillId="0" borderId="5" xfId="0" applyNumberFormat="1" applyFont="1" applyBorder="1" applyProtection="1">
      <protection locked="0"/>
    </xf>
    <xf numFmtId="0" fontId="7" fillId="0" borderId="28" xfId="0" applyFont="1" applyBorder="1" applyProtection="1">
      <protection locked="0"/>
    </xf>
    <xf numFmtId="0" fontId="0" fillId="0" borderId="28" xfId="0" applyBorder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Alignment="1" applyProtection="1">
      <alignment horizontal="left"/>
      <protection locked="0"/>
    </xf>
    <xf numFmtId="0" fontId="12" fillId="11" borderId="11" xfId="4" applyFont="1" applyFill="1" applyBorder="1" applyAlignment="1">
      <alignment horizontal="center" vertical="center"/>
    </xf>
    <xf numFmtId="0" fontId="1" fillId="0" borderId="0" xfId="4" applyAlignment="1">
      <alignment horizontal="center"/>
    </xf>
    <xf numFmtId="0" fontId="12" fillId="11" borderId="21" xfId="4" applyFont="1" applyFill="1" applyBorder="1" applyAlignment="1">
      <alignment horizontal="center" vertical="center"/>
    </xf>
    <xf numFmtId="0" fontId="1" fillId="0" borderId="0" xfId="4"/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165" fontId="19" fillId="3" borderId="0" xfId="0" applyNumberFormat="1" applyFont="1" applyFill="1" applyAlignment="1">
      <alignment vertical="center"/>
    </xf>
    <xf numFmtId="165" fontId="20" fillId="3" borderId="0" xfId="0" applyNumberFormat="1" applyFont="1" applyFill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30" xfId="0" applyFont="1" applyFill="1" applyBorder="1" applyAlignment="1">
      <alignment vertical="center"/>
    </xf>
    <xf numFmtId="0" fontId="4" fillId="3" borderId="30" xfId="0" applyFont="1" applyFill="1" applyBorder="1" applyAlignment="1">
      <alignment vertical="center"/>
    </xf>
    <xf numFmtId="0" fontId="4" fillId="3" borderId="31" xfId="0" applyFont="1" applyFill="1" applyBorder="1" applyAlignment="1">
      <alignment vertical="center"/>
    </xf>
    <xf numFmtId="0" fontId="2" fillId="3" borderId="32" xfId="0" applyFont="1" applyFill="1" applyBorder="1" applyAlignment="1">
      <alignment vertical="center"/>
    </xf>
    <xf numFmtId="0" fontId="4" fillId="3" borderId="33" xfId="0" applyFont="1" applyFill="1" applyBorder="1" applyAlignment="1">
      <alignment vertical="center"/>
    </xf>
    <xf numFmtId="0" fontId="3" fillId="3" borderId="4" xfId="0" applyFont="1" applyFill="1" applyBorder="1" applyAlignment="1">
      <alignment horizontal="center" vertical="center"/>
    </xf>
    <xf numFmtId="165" fontId="22" fillId="3" borderId="0" xfId="0" applyNumberFormat="1" applyFont="1" applyFill="1" applyAlignment="1">
      <alignment horizontal="right" vertical="center"/>
    </xf>
    <xf numFmtId="0" fontId="4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18" borderId="4" xfId="0" applyFont="1" applyFill="1" applyBorder="1" applyAlignment="1">
      <alignment horizontal="center" vertical="center"/>
    </xf>
    <xf numFmtId="0" fontId="2" fillId="19" borderId="4" xfId="0" applyFont="1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2" fillId="3" borderId="0" xfId="0" applyFont="1" applyFill="1" applyAlignment="1">
      <alignment vertical="center"/>
    </xf>
    <xf numFmtId="0" fontId="4" fillId="3" borderId="0" xfId="0" applyFont="1" applyFill="1" applyAlignment="1">
      <alignment vertical="center"/>
    </xf>
    <xf numFmtId="0" fontId="4" fillId="2" borderId="34" xfId="0" applyFont="1" applyFill="1" applyBorder="1" applyAlignment="1">
      <alignment horizontal="center" vertical="center"/>
    </xf>
    <xf numFmtId="0" fontId="4" fillId="2" borderId="35" xfId="0" applyFont="1" applyFill="1" applyBorder="1" applyAlignment="1">
      <alignment horizontal="center" vertical="center"/>
    </xf>
    <xf numFmtId="0" fontId="4" fillId="2" borderId="36" xfId="0" applyFont="1" applyFill="1" applyBorder="1" applyAlignment="1">
      <alignment horizontal="center" vertical="center"/>
    </xf>
    <xf numFmtId="0" fontId="4" fillId="2" borderId="37" xfId="0" applyFont="1" applyFill="1" applyBorder="1" applyAlignment="1">
      <alignment horizontal="center" vertical="center"/>
    </xf>
    <xf numFmtId="0" fontId="4" fillId="2" borderId="38" xfId="0" applyFont="1" applyFill="1" applyBorder="1" applyAlignment="1">
      <alignment horizontal="center" vertical="center"/>
    </xf>
    <xf numFmtId="0" fontId="4" fillId="2" borderId="39" xfId="0" applyFont="1" applyFill="1" applyBorder="1" applyAlignment="1">
      <alignment horizontal="center" vertical="center"/>
    </xf>
    <xf numFmtId="0" fontId="4" fillId="2" borderId="40" xfId="0" applyFont="1" applyFill="1" applyBorder="1" applyAlignment="1">
      <alignment horizontal="center" vertical="center"/>
    </xf>
    <xf numFmtId="0" fontId="2" fillId="2" borderId="40" xfId="0" applyFont="1" applyFill="1" applyBorder="1" applyAlignment="1">
      <alignment horizontal="center" vertical="center" wrapText="1"/>
    </xf>
    <xf numFmtId="0" fontId="2" fillId="2" borderId="41" xfId="0" applyFont="1" applyFill="1" applyBorder="1" applyAlignment="1">
      <alignment horizontal="center" vertical="center" wrapText="1"/>
    </xf>
    <xf numFmtId="0" fontId="2" fillId="2" borderId="37" xfId="0" applyFont="1" applyFill="1" applyBorder="1" applyAlignment="1">
      <alignment horizontal="center" vertical="center"/>
    </xf>
    <xf numFmtId="9" fontId="2" fillId="2" borderId="0" xfId="5" applyFont="1" applyFill="1" applyBorder="1" applyAlignment="1">
      <alignment horizontal="center" vertical="center"/>
    </xf>
    <xf numFmtId="165" fontId="22" fillId="3" borderId="0" xfId="0" applyNumberFormat="1" applyFont="1" applyFill="1" applyAlignment="1">
      <alignment vertical="center"/>
    </xf>
    <xf numFmtId="0" fontId="5" fillId="18" borderId="4" xfId="0" applyFont="1" applyFill="1" applyBorder="1" applyAlignment="1">
      <alignment horizontal="center" vertical="center"/>
    </xf>
    <xf numFmtId="166" fontId="2" fillId="2" borderId="0" xfId="6" applyNumberFormat="1" applyFont="1" applyFill="1" applyBorder="1" applyAlignment="1">
      <alignment horizontal="center" vertical="center"/>
    </xf>
    <xf numFmtId="49" fontId="16" fillId="0" borderId="0" xfId="0" applyNumberFormat="1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7" fillId="0" borderId="0" xfId="0" applyFont="1"/>
    <xf numFmtId="9" fontId="2" fillId="2" borderId="0" xfId="0" applyNumberFormat="1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4" fillId="2" borderId="0" xfId="0" applyFont="1" applyFill="1" applyAlignment="1">
      <alignment vertical="center"/>
    </xf>
    <xf numFmtId="9" fontId="2" fillId="0" borderId="0" xfId="5" applyFont="1" applyFill="1" applyBorder="1" applyAlignment="1">
      <alignment horizontal="center" vertical="center"/>
    </xf>
    <xf numFmtId="166" fontId="2" fillId="0" borderId="0" xfId="6" applyNumberFormat="1" applyFont="1" applyFill="1" applyBorder="1" applyAlignment="1">
      <alignment horizontal="center" vertical="center"/>
    </xf>
    <xf numFmtId="1" fontId="2" fillId="0" borderId="0" xfId="5" applyNumberFormat="1" applyFont="1" applyFill="1" applyBorder="1" applyAlignment="1">
      <alignment horizontal="center" vertical="center"/>
    </xf>
    <xf numFmtId="0" fontId="24" fillId="11" borderId="3" xfId="4" applyFont="1" applyFill="1" applyBorder="1" applyAlignment="1">
      <alignment horizontal="center" vertical="center"/>
    </xf>
    <xf numFmtId="0" fontId="25" fillId="16" borderId="3" xfId="2" applyFont="1" applyFill="1" applyBorder="1" applyAlignment="1">
      <alignment horizontal="center"/>
    </xf>
    <xf numFmtId="0" fontId="26" fillId="14" borderId="3" xfId="4" applyFont="1" applyFill="1" applyBorder="1"/>
    <xf numFmtId="0" fontId="26" fillId="17" borderId="3" xfId="4" applyFont="1" applyFill="1" applyBorder="1"/>
    <xf numFmtId="1" fontId="1" fillId="20" borderId="17" xfId="4" applyNumberFormat="1" applyFill="1" applyBorder="1" applyProtection="1">
      <protection locked="0" hidden="1"/>
    </xf>
    <xf numFmtId="1" fontId="2" fillId="0" borderId="0" xfId="0" applyNumberFormat="1" applyFont="1" applyAlignment="1">
      <alignment horizontal="center" vertical="center"/>
    </xf>
    <xf numFmtId="0" fontId="2" fillId="2" borderId="0" xfId="6" applyNumberFormat="1" applyFont="1" applyFill="1" applyBorder="1" applyAlignment="1">
      <alignment horizontal="center" vertical="center"/>
    </xf>
    <xf numFmtId="0" fontId="3" fillId="21" borderId="43" xfId="0" applyFont="1" applyFill="1" applyBorder="1" applyAlignment="1">
      <alignment horizontal="center" vertical="center"/>
    </xf>
    <xf numFmtId="0" fontId="28" fillId="21" borderId="43" xfId="0" applyFont="1" applyFill="1" applyBorder="1" applyAlignment="1">
      <alignment horizontal="center" vertical="center"/>
    </xf>
    <xf numFmtId="0" fontId="2" fillId="21" borderId="43" xfId="0" applyFont="1" applyFill="1" applyBorder="1" applyAlignment="1">
      <alignment horizontal="center" vertical="center"/>
    </xf>
    <xf numFmtId="0" fontId="5" fillId="19" borderId="43" xfId="0" applyFont="1" applyFill="1" applyBorder="1" applyAlignment="1">
      <alignment horizontal="center" vertical="center"/>
    </xf>
    <xf numFmtId="0" fontId="5" fillId="18" borderId="43" xfId="0" applyFont="1" applyFill="1" applyBorder="1" applyAlignment="1">
      <alignment horizontal="center" vertical="center"/>
    </xf>
    <xf numFmtId="0" fontId="2" fillId="21" borderId="44" xfId="0" applyFont="1" applyFill="1" applyBorder="1" applyAlignment="1">
      <alignment vertical="center"/>
    </xf>
    <xf numFmtId="0" fontId="2" fillId="21" borderId="45" xfId="0" applyFont="1" applyFill="1" applyBorder="1" applyAlignment="1">
      <alignment vertical="center"/>
    </xf>
    <xf numFmtId="0" fontId="4" fillId="21" borderId="45" xfId="0" applyFont="1" applyFill="1" applyBorder="1" applyAlignment="1">
      <alignment vertical="center"/>
    </xf>
    <xf numFmtId="0" fontId="4" fillId="21" borderId="46" xfId="0" applyFont="1" applyFill="1" applyBorder="1" applyAlignment="1">
      <alignment vertical="center"/>
    </xf>
    <xf numFmtId="0" fontId="2" fillId="21" borderId="47" xfId="0" applyFont="1" applyFill="1" applyBorder="1" applyAlignment="1">
      <alignment vertical="center"/>
    </xf>
    <xf numFmtId="165" fontId="20" fillId="21" borderId="0" xfId="0" applyNumberFormat="1" applyFont="1" applyFill="1" applyAlignment="1">
      <alignment vertical="center"/>
    </xf>
    <xf numFmtId="165" fontId="19" fillId="21" borderId="0" xfId="0" applyNumberFormat="1" applyFont="1" applyFill="1" applyAlignment="1">
      <alignment vertical="center"/>
    </xf>
    <xf numFmtId="165" fontId="22" fillId="21" borderId="0" xfId="0" applyNumberFormat="1" applyFont="1" applyFill="1" applyAlignment="1">
      <alignment vertical="center"/>
    </xf>
    <xf numFmtId="165" fontId="22" fillId="21" borderId="0" xfId="0" applyNumberFormat="1" applyFont="1" applyFill="1" applyAlignment="1">
      <alignment horizontal="right" vertical="center"/>
    </xf>
    <xf numFmtId="0" fontId="4" fillId="21" borderId="48" xfId="0" applyFont="1" applyFill="1" applyBorder="1" applyAlignment="1">
      <alignment vertical="center"/>
    </xf>
    <xf numFmtId="0" fontId="3" fillId="2" borderId="47" xfId="0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2" fillId="21" borderId="49" xfId="0" applyFont="1" applyFill="1" applyBorder="1" applyAlignment="1">
      <alignment vertical="center"/>
    </xf>
    <xf numFmtId="0" fontId="2" fillId="21" borderId="50" xfId="0" applyFont="1" applyFill="1" applyBorder="1" applyAlignment="1">
      <alignment vertical="center"/>
    </xf>
    <xf numFmtId="0" fontId="4" fillId="21" borderId="50" xfId="0" applyFont="1" applyFill="1" applyBorder="1" applyAlignment="1">
      <alignment vertical="center"/>
    </xf>
    <xf numFmtId="0" fontId="4" fillId="21" borderId="51" xfId="0" applyFont="1" applyFill="1" applyBorder="1" applyAlignment="1">
      <alignment vertical="center"/>
    </xf>
    <xf numFmtId="0" fontId="5" fillId="2" borderId="0" xfId="0" applyFont="1" applyFill="1" applyAlignment="1">
      <alignment vertical="center"/>
    </xf>
    <xf numFmtId="0" fontId="5" fillId="2" borderId="48" xfId="0" applyFont="1" applyFill="1" applyBorder="1" applyAlignment="1">
      <alignment vertical="center"/>
    </xf>
    <xf numFmtId="0" fontId="5" fillId="2" borderId="50" xfId="0" applyFont="1" applyFill="1" applyBorder="1" applyAlignment="1">
      <alignment vertical="center"/>
    </xf>
    <xf numFmtId="0" fontId="5" fillId="2" borderId="51" xfId="0" applyFont="1" applyFill="1" applyBorder="1" applyAlignment="1">
      <alignment vertical="center"/>
    </xf>
    <xf numFmtId="0" fontId="2" fillId="2" borderId="45" xfId="0" applyFont="1" applyFill="1" applyBorder="1" applyAlignment="1">
      <alignment vertical="center"/>
    </xf>
    <xf numFmtId="0" fontId="5" fillId="2" borderId="45" xfId="0" applyFont="1" applyFill="1" applyBorder="1" applyAlignment="1">
      <alignment vertical="center"/>
    </xf>
    <xf numFmtId="0" fontId="5" fillId="2" borderId="46" xfId="0" applyFont="1" applyFill="1" applyBorder="1" applyAlignment="1">
      <alignment vertical="center"/>
    </xf>
    <xf numFmtId="0" fontId="5" fillId="2" borderId="44" xfId="0" applyFont="1" applyFill="1" applyBorder="1" applyAlignment="1">
      <alignment vertical="center"/>
    </xf>
    <xf numFmtId="0" fontId="5" fillId="2" borderId="47" xfId="0" applyFont="1" applyFill="1" applyBorder="1" applyAlignment="1">
      <alignment vertical="center"/>
    </xf>
    <xf numFmtId="0" fontId="5" fillId="2" borderId="49" xfId="0" applyFont="1" applyFill="1" applyBorder="1" applyAlignment="1">
      <alignment vertical="center"/>
    </xf>
    <xf numFmtId="1" fontId="2" fillId="2" borderId="3" xfId="5" applyNumberFormat="1" applyFont="1" applyFill="1" applyBorder="1" applyAlignment="1">
      <alignment horizontal="center" vertical="center"/>
    </xf>
    <xf numFmtId="1" fontId="2" fillId="2" borderId="3" xfId="0" applyNumberFormat="1" applyFont="1" applyFill="1" applyBorder="1" applyAlignment="1">
      <alignment horizontal="center" vertical="center"/>
    </xf>
    <xf numFmtId="166" fontId="2" fillId="2" borderId="3" xfId="6" applyNumberFormat="1" applyFont="1" applyFill="1" applyBorder="1" applyAlignment="1">
      <alignment horizontal="center" vertical="center"/>
    </xf>
    <xf numFmtId="0" fontId="3" fillId="21" borderId="3" xfId="0" applyFont="1" applyFill="1" applyBorder="1" applyAlignment="1">
      <alignment horizontal="center" vertical="center"/>
    </xf>
    <xf numFmtId="9" fontId="2" fillId="18" borderId="3" xfId="5" applyFont="1" applyFill="1" applyBorder="1" applyAlignment="1">
      <alignment horizontal="center" vertical="center"/>
    </xf>
    <xf numFmtId="1" fontId="2" fillId="18" borderId="3" xfId="6" applyNumberFormat="1" applyFont="1" applyFill="1" applyBorder="1" applyAlignment="1">
      <alignment horizontal="center" vertical="center"/>
    </xf>
    <xf numFmtId="10" fontId="29" fillId="2" borderId="0" xfId="5" applyNumberFormat="1" applyFont="1" applyFill="1" applyBorder="1" applyAlignment="1">
      <alignment horizontal="center" vertical="center"/>
    </xf>
    <xf numFmtId="1" fontId="2" fillId="2" borderId="0" xfId="0" applyNumberFormat="1" applyFont="1" applyFill="1" applyAlignment="1">
      <alignment horizontal="center" vertical="center"/>
    </xf>
    <xf numFmtId="14" fontId="5" fillId="2" borderId="0" xfId="0" applyNumberFormat="1" applyFont="1" applyFill="1" applyAlignment="1">
      <alignment vertical="center"/>
    </xf>
    <xf numFmtId="9" fontId="4" fillId="0" borderId="0" xfId="0" applyNumberFormat="1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3" xfId="6" applyNumberFormat="1" applyFont="1" applyBorder="1" applyAlignment="1">
      <alignment horizontal="center" vertical="center"/>
    </xf>
    <xf numFmtId="0" fontId="5" fillId="2" borderId="30" xfId="0" applyFont="1" applyFill="1" applyBorder="1" applyAlignment="1">
      <alignment vertical="center"/>
    </xf>
    <xf numFmtId="0" fontId="31" fillId="0" borderId="3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2" borderId="50" xfId="0" applyFont="1" applyFill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167" fontId="5" fillId="2" borderId="30" xfId="6" applyNumberFormat="1" applyFont="1" applyFill="1" applyBorder="1" applyAlignment="1">
      <alignment horizontal="center" vertical="center"/>
    </xf>
    <xf numFmtId="167" fontId="5" fillId="2" borderId="0" xfId="6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right" vertical="center"/>
    </xf>
    <xf numFmtId="0" fontId="27" fillId="0" borderId="42" xfId="4" applyFont="1" applyBorder="1" applyAlignment="1">
      <alignment horizontal="center"/>
    </xf>
    <xf numFmtId="0" fontId="27" fillId="0" borderId="0" xfId="4" applyFont="1" applyAlignment="1">
      <alignment horizontal="center"/>
    </xf>
  </cellXfs>
  <cellStyles count="7">
    <cellStyle name="Moneda" xfId="6" builtinId="4"/>
    <cellStyle name="Moneda 2" xfId="1" xr:uid="{00000000-0005-0000-0000-000001000000}"/>
    <cellStyle name="Normal" xfId="0" builtinId="0"/>
    <cellStyle name="Normal 2" xfId="2" xr:uid="{00000000-0005-0000-0000-000003000000}"/>
    <cellStyle name="Normal 4" xfId="4" xr:uid="{00000000-0005-0000-0000-000004000000}"/>
    <cellStyle name="Normal 6" xfId="3" xr:uid="{00000000-0005-0000-0000-000005000000}"/>
    <cellStyle name="Porcentaje" xfId="5" builtinId="5"/>
  </cellStyles>
  <dxfs count="0"/>
  <tableStyles count="0" defaultTableStyle="TableStyleMedium2" defaultPivotStyle="PivotStyleLight16"/>
  <colors>
    <mruColors>
      <color rgb="FFCCFF66"/>
      <color rgb="FFFFFFCC"/>
      <color rgb="FFDEC8EE"/>
      <color rgb="FFAE78D6"/>
      <color rgb="FF4A3B6A"/>
      <color rgb="FFD1E7DD"/>
      <color rgb="FF954ECA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10</xdr:col>
      <xdr:colOff>31749</xdr:colOff>
      <xdr:row>2</xdr:row>
      <xdr:rowOff>0</xdr:rowOff>
    </xdr:to>
    <xdr:sp macro="[0]!ActualizarDatos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5D936B96-820F-409B-9F3C-E95081A30675}"/>
            </a:ext>
          </a:extLst>
        </xdr:cNvPr>
        <xdr:cNvSpPr/>
      </xdr:nvSpPr>
      <xdr:spPr>
        <a:xfrm>
          <a:off x="5662083" y="179917"/>
          <a:ext cx="1598083" cy="317500"/>
        </a:xfrm>
        <a:prstGeom prst="roundRect">
          <a:avLst/>
        </a:prstGeom>
        <a:solidFill>
          <a:srgbClr val="4A3B6A"/>
        </a:solidFill>
        <a:ln>
          <a:solidFill>
            <a:srgbClr val="7030A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>
              <a:latin typeface="Bahnschrift" panose="020B0502040204020203" pitchFamily="34" charset="0"/>
            </a:rPr>
            <a:t>ACTUALIZAR</a:t>
          </a:r>
          <a:r>
            <a:rPr lang="es-AR" sz="1100" b="1" baseline="0">
              <a:latin typeface="Bahnschrift" panose="020B0502040204020203" pitchFamily="34" charset="0"/>
            </a:rPr>
            <a:t> DATOS</a:t>
          </a:r>
        </a:p>
      </xdr:txBody>
    </xdr:sp>
    <xdr:clientData/>
  </xdr:twoCellAnchor>
  <xdr:twoCellAnchor>
    <xdr:from>
      <xdr:col>7</xdr:col>
      <xdr:colOff>1</xdr:colOff>
      <xdr:row>1</xdr:row>
      <xdr:rowOff>0</xdr:rowOff>
    </xdr:from>
    <xdr:to>
      <xdr:col>8</xdr:col>
      <xdr:colOff>0</xdr:colOff>
      <xdr:row>2</xdr:row>
      <xdr:rowOff>0</xdr:rowOff>
    </xdr:to>
    <xdr:sp macro="[0]!Copiar" textlink="">
      <xdr:nvSpPr>
        <xdr:cNvPr id="3" name="Rectángulo redondeado 1">
          <a:extLst>
            <a:ext uri="{FF2B5EF4-FFF2-40B4-BE49-F238E27FC236}">
              <a16:creationId xmlns:a16="http://schemas.microsoft.com/office/drawing/2014/main" id="{AFAE96B4-965D-473A-B76C-61E789D8FD94}"/>
            </a:ext>
          </a:extLst>
        </xdr:cNvPr>
        <xdr:cNvSpPr/>
      </xdr:nvSpPr>
      <xdr:spPr>
        <a:xfrm>
          <a:off x="4878918" y="179917"/>
          <a:ext cx="783165" cy="317500"/>
        </a:xfrm>
        <a:prstGeom prst="roundRect">
          <a:avLst/>
        </a:prstGeom>
        <a:solidFill>
          <a:srgbClr val="4A3B6A"/>
        </a:solidFill>
        <a:ln>
          <a:solidFill>
            <a:srgbClr val="7030A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 baseline="0">
              <a:latin typeface="Bahnschrift" panose="020B0502040204020203" pitchFamily="34" charset="0"/>
            </a:rPr>
            <a:t>COPIAR</a:t>
          </a:r>
        </a:p>
      </xdr:txBody>
    </xdr:sp>
    <xdr:clientData/>
  </xdr:twoCellAnchor>
  <xdr:twoCellAnchor>
    <xdr:from>
      <xdr:col>22</xdr:col>
      <xdr:colOff>0</xdr:colOff>
      <xdr:row>4</xdr:row>
      <xdr:rowOff>0</xdr:rowOff>
    </xdr:from>
    <xdr:to>
      <xdr:col>24</xdr:col>
      <xdr:colOff>0</xdr:colOff>
      <xdr:row>5</xdr:row>
      <xdr:rowOff>0</xdr:rowOff>
    </xdr:to>
    <xdr:sp macro="[0]!VerificarCaja" textlink="">
      <xdr:nvSpPr>
        <xdr:cNvPr id="5" name="Rectángulo redondeado 1">
          <a:extLst>
            <a:ext uri="{FF2B5EF4-FFF2-40B4-BE49-F238E27FC236}">
              <a16:creationId xmlns:a16="http://schemas.microsoft.com/office/drawing/2014/main" id="{AD4DE245-7CDD-448C-8F64-D7DBC7F42D27}"/>
            </a:ext>
          </a:extLst>
        </xdr:cNvPr>
        <xdr:cNvSpPr/>
      </xdr:nvSpPr>
      <xdr:spPr>
        <a:xfrm>
          <a:off x="7588250" y="179917"/>
          <a:ext cx="1524000" cy="317500"/>
        </a:xfrm>
        <a:prstGeom prst="roundRect">
          <a:avLst/>
        </a:prstGeom>
        <a:solidFill>
          <a:srgbClr val="4A3B6A"/>
        </a:solidFill>
        <a:ln>
          <a:solidFill>
            <a:srgbClr val="7030A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 baseline="0">
              <a:latin typeface="Bahnschrift" panose="020B0502040204020203" pitchFamily="34" charset="0"/>
            </a:rPr>
            <a:t>VERIFICAR CAJA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ActualizarDatos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281583" y="179917"/>
          <a:ext cx="3143250" cy="317500"/>
        </a:xfrm>
        <a:prstGeom prst="roundRect">
          <a:avLst/>
        </a:prstGeom>
        <a:solidFill>
          <a:srgbClr val="7030A0"/>
        </a:solidFill>
        <a:ln>
          <a:solidFill>
            <a:srgbClr val="7030A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>
              <a:latin typeface="Bahnschrift" panose="020B0502040204020203" pitchFamily="34" charset="0"/>
            </a:rPr>
            <a:t>ACTUALIZAR</a:t>
          </a:r>
          <a:r>
            <a:rPr lang="es-AR" sz="1100" b="1" baseline="0">
              <a:latin typeface="Bahnschrift" panose="020B0502040204020203" pitchFamily="34" charset="0"/>
            </a:rPr>
            <a:t> DATOS</a:t>
          </a:r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Copiar" textlink="">
      <xdr:nvSpPr>
        <xdr:cNvPr id="3" name="Rectángulo redondeado 1">
          <a:extLst>
            <a:ext uri="{FF2B5EF4-FFF2-40B4-BE49-F238E27FC236}">
              <a16:creationId xmlns:a16="http://schemas.microsoft.com/office/drawing/2014/main" id="{6B378286-2493-4980-AB80-0D7913F99818}"/>
            </a:ext>
          </a:extLst>
        </xdr:cNvPr>
        <xdr:cNvSpPr/>
      </xdr:nvSpPr>
      <xdr:spPr>
        <a:xfrm>
          <a:off x="12604750" y="179917"/>
          <a:ext cx="762000" cy="317500"/>
        </a:xfrm>
        <a:prstGeom prst="roundRect">
          <a:avLst/>
        </a:prstGeom>
        <a:solidFill>
          <a:srgbClr val="7030A0"/>
        </a:solidFill>
        <a:ln>
          <a:solidFill>
            <a:srgbClr val="7030A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 baseline="0">
              <a:latin typeface="Bahnschrift" panose="020B0502040204020203" pitchFamily="34" charset="0"/>
            </a:rPr>
            <a:t>COPIAR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C\Desktop\CAJA3ROSARIO2605.xlsx" TargetMode="External"/><Relationship Id="rId1" Type="http://schemas.openxmlformats.org/officeDocument/2006/relationships/externalLinkPath" Target="CAJA3ROSARIO260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JA"/>
      <sheetName val="CC"/>
      <sheetName val="Saldos"/>
      <sheetName val="Gastos"/>
      <sheetName val="Equipos"/>
      <sheetName val="Movimiento"/>
      <sheetName val="Ayuda"/>
      <sheetName val="Val"/>
      <sheetName val="CajaAcc"/>
      <sheetName val="Accesorio"/>
      <sheetName val="TablaPuntos"/>
      <sheetName val="Objetivos"/>
      <sheetName val="TDC"/>
    </sheetNames>
    <sheetDataSet>
      <sheetData sheetId="0" refreshError="1"/>
      <sheetData sheetId="1" refreshError="1"/>
      <sheetData sheetId="2" refreshError="1"/>
      <sheetData sheetId="3">
        <row r="2">
          <cell r="A2" t="str">
            <v>ALQUILER</v>
          </cell>
        </row>
        <row r="3">
          <cell r="A3" t="str">
            <v>AUTOMOTOR</v>
          </cell>
        </row>
        <row r="4">
          <cell r="A4" t="str">
            <v>BANCARIOS</v>
          </cell>
        </row>
        <row r="5">
          <cell r="A5" t="str">
            <v>COMISION</v>
          </cell>
        </row>
        <row r="6">
          <cell r="A6" t="str">
            <v>FLETE</v>
          </cell>
        </row>
        <row r="7">
          <cell r="A7" t="str">
            <v>SERVICIOS</v>
          </cell>
        </row>
        <row r="8">
          <cell r="A8" t="str">
            <v>LIBRERÍA</v>
          </cell>
        </row>
        <row r="9">
          <cell r="A9" t="str">
            <v>LIMPIEZA</v>
          </cell>
        </row>
        <row r="11">
          <cell r="A11" t="str">
            <v>PUBLICIDAD</v>
          </cell>
        </row>
        <row r="12">
          <cell r="A12" t="str">
            <v>SUELDOS</v>
          </cell>
        </row>
        <row r="14">
          <cell r="A14" t="str">
            <v>VARIOS</v>
          </cell>
        </row>
        <row r="15">
          <cell r="A15" t="str">
            <v>VIATICOS</v>
          </cell>
        </row>
        <row r="16">
          <cell r="A16" t="str">
            <v>SEGURIDAD</v>
          </cell>
        </row>
        <row r="17">
          <cell r="A17" t="str">
            <v>MUNICIPAL</v>
          </cell>
        </row>
      </sheetData>
      <sheetData sheetId="4">
        <row r="4">
          <cell r="A4" t="str">
            <v>SIM-CAR</v>
          </cell>
        </row>
        <row r="5">
          <cell r="A5" t="str">
            <v>SIM-1175</v>
          </cell>
        </row>
        <row r="6">
          <cell r="A6" t="str">
            <v>OBSERVA 3G</v>
          </cell>
        </row>
        <row r="7">
          <cell r="A7" t="str">
            <v>S-A06G128</v>
          </cell>
        </row>
        <row r="8">
          <cell r="A8" t="str">
            <v>S-A06G64</v>
          </cell>
        </row>
        <row r="9">
          <cell r="A9" t="str">
            <v>S-A15</v>
          </cell>
        </row>
        <row r="10">
          <cell r="A10" t="str">
            <v>S-A16G256</v>
          </cell>
        </row>
        <row r="11">
          <cell r="A11" t="str">
            <v>S-A23G5</v>
          </cell>
        </row>
        <row r="12">
          <cell r="A12" t="str">
            <v>S-A25</v>
          </cell>
        </row>
        <row r="13">
          <cell r="A13" t="str">
            <v>S-A26</v>
          </cell>
        </row>
        <row r="14">
          <cell r="A14" t="str">
            <v>S-A36G2</v>
          </cell>
        </row>
        <row r="15">
          <cell r="A15" t="str">
            <v>SM-SFIR220</v>
          </cell>
        </row>
        <row r="16">
          <cell r="A16" t="str">
            <v>SMW-EVO110</v>
          </cell>
        </row>
        <row r="17">
          <cell r="A17" t="str">
            <v>SMW-EVO120</v>
          </cell>
        </row>
        <row r="18">
          <cell r="A18" t="str">
            <v>SMW-EVO130</v>
          </cell>
        </row>
        <row r="19">
          <cell r="A19" t="str">
            <v>SMW-EVO600</v>
          </cell>
        </row>
        <row r="20">
          <cell r="A20" t="str">
            <v>SMW-EVO700</v>
          </cell>
        </row>
        <row r="21">
          <cell r="A21" t="str">
            <v>SMW-EVO800</v>
          </cell>
        </row>
        <row r="22">
          <cell r="A22" t="str">
            <v>SM-XK10</v>
          </cell>
        </row>
      </sheetData>
      <sheetData sheetId="5">
        <row r="3">
          <cell r="A3" t="str">
            <v>1CONCORDIA</v>
          </cell>
        </row>
        <row r="4">
          <cell r="A4" t="str">
            <v>1ROJAS</v>
          </cell>
        </row>
        <row r="5">
          <cell r="A5" t="str">
            <v>2COLON</v>
          </cell>
        </row>
        <row r="6">
          <cell r="A6" t="str">
            <v>2NICOLAS</v>
          </cell>
        </row>
        <row r="7">
          <cell r="A7" t="str">
            <v>2ROJAS</v>
          </cell>
        </row>
        <row r="8">
          <cell r="A8" t="str">
            <v>2ROSARIO</v>
          </cell>
        </row>
        <row r="9">
          <cell r="A9" t="str">
            <v>3ROSARIO</v>
          </cell>
        </row>
        <row r="10">
          <cell r="A10" t="str">
            <v>5CORRIENTES</v>
          </cell>
        </row>
        <row r="11">
          <cell r="A11" t="str">
            <v>6CORRIENTES</v>
          </cell>
        </row>
        <row r="12">
          <cell r="A12" t="str">
            <v>ACCESORIOS</v>
          </cell>
        </row>
        <row r="13">
          <cell r="A13" t="str">
            <v>ARRECIFES</v>
          </cell>
        </row>
        <row r="14">
          <cell r="A14" t="str">
            <v>CENTENARIO</v>
          </cell>
        </row>
        <row r="15">
          <cell r="A15" t="str">
            <v>1CONTABLE</v>
          </cell>
        </row>
        <row r="16">
          <cell r="A16" t="str">
            <v>D1175</v>
          </cell>
        </row>
        <row r="17">
          <cell r="A17" t="str">
            <v>DCEN</v>
          </cell>
        </row>
        <row r="19">
          <cell r="A19" t="str">
            <v>GPAZ</v>
          </cell>
        </row>
        <row r="21">
          <cell r="A21" t="str">
            <v>MERCEDES</v>
          </cell>
        </row>
        <row r="22">
          <cell r="A22" t="str">
            <v>PEDRO</v>
          </cell>
        </row>
        <row r="23">
          <cell r="A23" t="str">
            <v>PRODUCTO</v>
          </cell>
        </row>
        <row r="24">
          <cell r="A24" t="str">
            <v>SAMBA</v>
          </cell>
        </row>
        <row r="25">
          <cell r="A25" t="str">
            <v>SCEN</v>
          </cell>
        </row>
        <row r="26">
          <cell r="A26" t="str">
            <v>SNICOLAS</v>
          </cell>
        </row>
        <row r="28">
          <cell r="A28" t="str">
            <v>PROVEEDOR</v>
          </cell>
        </row>
        <row r="29">
          <cell r="A29" t="str">
            <v>CONCILIACION</v>
          </cell>
        </row>
        <row r="30">
          <cell r="A30" t="str">
            <v>DISTRIBUCION</v>
          </cell>
        </row>
        <row r="31">
          <cell r="A31" t="str">
            <v>REPARACION</v>
          </cell>
        </row>
        <row r="32">
          <cell r="A32" t="str">
            <v>GARANTIAS</v>
          </cell>
        </row>
        <row r="33">
          <cell r="A33" t="str">
            <v>PROMO</v>
          </cell>
        </row>
        <row r="34">
          <cell r="A34" t="str">
            <v>DISCONTINUO</v>
          </cell>
        </row>
        <row r="35">
          <cell r="A35" t="str">
            <v>CredicoopO</v>
          </cell>
        </row>
        <row r="36">
          <cell r="A36" t="str">
            <v>CredicoopOR</v>
          </cell>
        </row>
        <row r="37">
          <cell r="A37" t="str">
            <v>CredicoopC</v>
          </cell>
        </row>
        <row r="38">
          <cell r="A38" t="str">
            <v>MacroOR</v>
          </cell>
        </row>
        <row r="39">
          <cell r="A39" t="str">
            <v>MacroC</v>
          </cell>
        </row>
        <row r="40">
          <cell r="A40" t="str">
            <v>MacroT</v>
          </cell>
        </row>
        <row r="41">
          <cell r="A41" t="str">
            <v>SantanderOR</v>
          </cell>
        </row>
        <row r="42">
          <cell r="A42" t="str">
            <v>SantanderC</v>
          </cell>
        </row>
        <row r="43">
          <cell r="A43" t="str">
            <v>BAF</v>
          </cell>
        </row>
        <row r="44">
          <cell r="A44" t="str">
            <v>TEM</v>
          </cell>
        </row>
        <row r="45">
          <cell r="A45" t="str">
            <v>1Instaladora</v>
          </cell>
        </row>
        <row r="48">
          <cell r="A48" t="str">
            <v>---&gt;VENDEDORES (de la sucursal)</v>
          </cell>
        </row>
        <row r="49">
          <cell r="A49" t="str">
            <v>CAROLINA</v>
          </cell>
        </row>
        <row r="50">
          <cell r="A50" t="str">
            <v>FANNY</v>
          </cell>
        </row>
        <row r="51">
          <cell r="A51" t="str">
            <v>CARLOS</v>
          </cell>
        </row>
        <row r="52">
          <cell r="A52" t="str">
            <v>EVELYN</v>
          </cell>
        </row>
        <row r="53">
          <cell r="A53" t="str">
            <v>LORENZO</v>
          </cell>
        </row>
        <row r="54">
          <cell r="A54" t="str">
            <v>FAUSTO</v>
          </cell>
        </row>
        <row r="55">
          <cell r="A55" t="str">
            <v>EVA</v>
          </cell>
        </row>
        <row r="56">
          <cell r="A56" t="str">
            <v>ENZO</v>
          </cell>
        </row>
        <row r="57">
          <cell r="A57" t="str">
            <v>SHAIEL</v>
          </cell>
        </row>
        <row r="58">
          <cell r="A58" t="str">
            <v>LUCILA</v>
          </cell>
        </row>
        <row r="59">
          <cell r="A59" t="str">
            <v>SUB-FARINON</v>
          </cell>
        </row>
        <row r="60">
          <cell r="A60" t="str">
            <v>SUB-CORDOBA</v>
          </cell>
        </row>
        <row r="61">
          <cell r="A61" t="str">
            <v>FERNANDO</v>
          </cell>
        </row>
        <row r="76">
          <cell r="A76" t="str">
            <v>---&gt;VENDEDORES (de la sucursal)</v>
          </cell>
        </row>
        <row r="93">
          <cell r="A93" t="str">
            <v>x</v>
          </cell>
        </row>
      </sheetData>
      <sheetData sheetId="6" refreshError="1"/>
      <sheetData sheetId="7">
        <row r="1">
          <cell r="A1" t="str">
            <v>I2PLAY</v>
          </cell>
          <cell r="B1" t="str">
            <v>CAJA</v>
          </cell>
          <cell r="C1" t="str">
            <v>TRANSFER</v>
          </cell>
          <cell r="D1" t="str">
            <v>EFE</v>
          </cell>
          <cell r="E1" t="str">
            <v>VISA</v>
          </cell>
        </row>
        <row r="2">
          <cell r="A2" t="str">
            <v>I3PLAY</v>
          </cell>
          <cell r="B2" t="str">
            <v>MEN</v>
          </cell>
          <cell r="C2" t="str">
            <v>DIFERENCIA</v>
          </cell>
          <cell r="D2" t="str">
            <v>MACRO</v>
          </cell>
          <cell r="E2" t="str">
            <v>MASTER</v>
          </cell>
        </row>
        <row r="3">
          <cell r="A3" t="str">
            <v>MANT</v>
          </cell>
          <cell r="B3" t="str">
            <v>CC</v>
          </cell>
          <cell r="C3" t="str">
            <v>PAGOMEN</v>
          </cell>
          <cell r="D3" t="str">
            <v>CREDICOOP</v>
          </cell>
          <cell r="E3" t="str">
            <v>MAESTRO</v>
          </cell>
        </row>
        <row r="4">
          <cell r="A4" t="str">
            <v>PORTAP</v>
          </cell>
          <cell r="B4" t="str">
            <v>TDC</v>
          </cell>
          <cell r="C4" t="str">
            <v>PAGOCC</v>
          </cell>
          <cell r="D4" t="str">
            <v>SANTANDER</v>
          </cell>
          <cell r="E4" t="str">
            <v>AMEX</v>
          </cell>
        </row>
        <row r="5">
          <cell r="A5" t="str">
            <v>R2G</v>
          </cell>
          <cell r="B5" t="str">
            <v>CLARO</v>
          </cell>
          <cell r="D5" t="str">
            <v>GALICIA</v>
          </cell>
          <cell r="E5" t="str">
            <v>NARANJA</v>
          </cell>
        </row>
        <row r="6">
          <cell r="A6" t="str">
            <v>R4G</v>
          </cell>
          <cell r="D6" t="str">
            <v>HSBC</v>
          </cell>
          <cell r="E6" t="str">
            <v>CONSUMAX</v>
          </cell>
        </row>
        <row r="7">
          <cell r="A7" t="str">
            <v>R7G</v>
          </cell>
          <cell r="D7" t="str">
            <v>NACION</v>
          </cell>
          <cell r="E7" t="str">
            <v>QR</v>
          </cell>
        </row>
        <row r="8">
          <cell r="A8" t="str">
            <v>R10G</v>
          </cell>
          <cell r="D8" t="str">
            <v>PBA</v>
          </cell>
        </row>
        <row r="9">
          <cell r="A9" t="str">
            <v>R20G</v>
          </cell>
        </row>
        <row r="10">
          <cell r="A10" t="str">
            <v>R30G</v>
          </cell>
        </row>
        <row r="11">
          <cell r="A11" t="str">
            <v>P2G</v>
          </cell>
        </row>
        <row r="12">
          <cell r="A12" t="str">
            <v>P4G</v>
          </cell>
        </row>
        <row r="13">
          <cell r="A13" t="str">
            <v>P7G</v>
          </cell>
        </row>
        <row r="14">
          <cell r="A14" t="str">
            <v>P10G</v>
          </cell>
        </row>
        <row r="15">
          <cell r="A15" t="str">
            <v>P20G</v>
          </cell>
        </row>
        <row r="16">
          <cell r="A16" t="str">
            <v>P30G</v>
          </cell>
        </row>
        <row r="17">
          <cell r="A17" t="str">
            <v>ORGA</v>
          </cell>
        </row>
        <row r="18">
          <cell r="A18" t="str">
            <v>PREPAGA</v>
          </cell>
        </row>
        <row r="19">
          <cell r="A19" t="str">
            <v>CATER</v>
          </cell>
        </row>
        <row r="20">
          <cell r="A20" t="str">
            <v>MAVERICK</v>
          </cell>
        </row>
        <row r="21">
          <cell r="A21" t="str">
            <v>MIG</v>
          </cell>
        </row>
        <row r="22">
          <cell r="A22" t="str">
            <v>PROPIO</v>
          </cell>
        </row>
        <row r="23">
          <cell r="A23" t="str">
            <v>ACCESORIO</v>
          </cell>
        </row>
        <row r="24">
          <cell r="A24" t="str">
            <v>GASTO</v>
          </cell>
        </row>
        <row r="25">
          <cell r="A25" t="str">
            <v>VARIO</v>
          </cell>
        </row>
        <row r="26">
          <cell r="A26" t="str">
            <v>BAF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79D7F-4C87-4ABD-9D97-F303B4463E5D}">
  <sheetPr codeName="Hoja5">
    <pageSetUpPr fitToPage="1"/>
  </sheetPr>
  <dimension ref="A1:AE60"/>
  <sheetViews>
    <sheetView tabSelected="1" zoomScale="90" zoomScaleNormal="90" workbookViewId="0">
      <selection activeCell="P16" sqref="P16"/>
    </sheetView>
  </sheetViews>
  <sheetFormatPr baseColWidth="10" defaultRowHeight="14.25"/>
  <cols>
    <col min="1" max="1" width="2.7109375" style="2" customWidth="1"/>
    <col min="2" max="10" width="11.7109375" style="2" customWidth="1"/>
    <col min="11" max="11" width="2.7109375" style="2" customWidth="1"/>
    <col min="12" max="12" width="2.7109375" style="214" customWidth="1"/>
    <col min="13" max="14" width="11.42578125" style="2"/>
    <col min="15" max="15" width="11.42578125" style="225" customWidth="1"/>
    <col min="16" max="20" width="11.42578125" style="225"/>
    <col min="21" max="16384" width="11.42578125" style="2"/>
  </cols>
  <sheetData>
    <row r="1" spans="1:31">
      <c r="A1" s="270"/>
      <c r="B1" s="271"/>
      <c r="C1" s="271"/>
      <c r="D1" s="271"/>
      <c r="E1" s="271"/>
      <c r="F1" s="271"/>
      <c r="G1" s="271"/>
      <c r="H1" s="271"/>
      <c r="I1" s="272"/>
      <c r="J1" s="272"/>
      <c r="K1" s="273"/>
    </row>
    <row r="2" spans="1:31" ht="24.95" customHeight="1">
      <c r="A2" s="274"/>
      <c r="B2" s="275" t="s">
        <v>5075</v>
      </c>
      <c r="C2" s="276"/>
      <c r="D2" s="276"/>
      <c r="E2" s="276"/>
      <c r="F2" s="276"/>
      <c r="G2" s="276"/>
      <c r="H2" s="277"/>
      <c r="I2" s="277"/>
      <c r="J2" s="278"/>
      <c r="K2" s="279"/>
      <c r="M2" s="225"/>
      <c r="N2" s="225"/>
      <c r="V2" s="214"/>
      <c r="Z2" s="214"/>
      <c r="AA2" s="214"/>
      <c r="AB2" s="214"/>
      <c r="AC2" s="214"/>
      <c r="AD2" s="214"/>
      <c r="AE2" s="214"/>
    </row>
    <row r="3" spans="1:31">
      <c r="A3" s="283"/>
      <c r="B3" s="284"/>
      <c r="C3" s="284"/>
      <c r="D3" s="284"/>
      <c r="E3" s="284"/>
      <c r="F3" s="284"/>
      <c r="G3" s="284"/>
      <c r="H3" s="284"/>
      <c r="I3" s="285"/>
      <c r="J3" s="285"/>
      <c r="K3" s="286"/>
      <c r="M3" s="225"/>
      <c r="N3" s="225"/>
      <c r="V3" s="214"/>
      <c r="Z3" s="214"/>
      <c r="AA3" s="214"/>
      <c r="AB3" s="214"/>
      <c r="AC3" s="214"/>
      <c r="AD3" s="214"/>
      <c r="AE3" s="214"/>
    </row>
    <row r="4" spans="1:31" ht="15" customHeight="1">
      <c r="A4" s="280" t="s">
        <v>48</v>
      </c>
      <c r="B4" s="281"/>
      <c r="C4" s="281"/>
      <c r="D4" s="281"/>
      <c r="E4" s="281"/>
      <c r="F4" s="281"/>
      <c r="G4" s="287"/>
      <c r="H4" s="287"/>
      <c r="I4" s="287"/>
      <c r="J4" s="287"/>
      <c r="K4" s="288"/>
      <c r="M4" s="225"/>
      <c r="N4" s="225"/>
      <c r="O4" s="306"/>
      <c r="V4" s="214"/>
      <c r="Z4" s="214"/>
      <c r="AA4" s="214"/>
      <c r="AB4" s="214"/>
      <c r="AC4" s="214"/>
      <c r="AD4" s="214"/>
      <c r="AE4" s="214"/>
    </row>
    <row r="5" spans="1:31">
      <c r="A5" s="280"/>
      <c r="B5" s="267"/>
      <c r="C5" s="265" t="s">
        <v>89</v>
      </c>
      <c r="D5" s="265" t="s">
        <v>82</v>
      </c>
      <c r="E5" s="265" t="s">
        <v>86</v>
      </c>
      <c r="F5" s="265" t="s">
        <v>47</v>
      </c>
      <c r="G5" s="287"/>
      <c r="H5" s="305" t="s">
        <v>410</v>
      </c>
      <c r="I5" s="1">
        <f ca="1">DAY(TODAY()) - IF(OR(MONTH(TODAY())=1, MONTH(TODAY())=5, AND(MONTH(TODAY())=9, DAY(TODAY())&gt;=26), AND(MONTH(TODAY())=12, DAY(TODAY())&gt;=25)), 1, 0)</f>
        <v>21</v>
      </c>
      <c r="J5" s="303" t="s">
        <v>411</v>
      </c>
      <c r="K5" s="288"/>
      <c r="M5" s="315" t="s">
        <v>404</v>
      </c>
      <c r="N5" s="308" t="s">
        <v>5203</v>
      </c>
      <c r="O5" s="308" t="s">
        <v>5203</v>
      </c>
      <c r="P5" s="308" t="s">
        <v>5203</v>
      </c>
      <c r="Q5" s="308" t="s">
        <v>5203</v>
      </c>
      <c r="R5" s="307"/>
      <c r="S5" s="307"/>
      <c r="V5" s="214"/>
      <c r="Z5" s="214"/>
      <c r="AA5" s="214"/>
      <c r="AB5" s="214"/>
      <c r="AC5" s="214"/>
      <c r="AD5" s="214"/>
      <c r="AE5" s="214"/>
    </row>
    <row r="6" spans="1:31">
      <c r="A6" s="280"/>
      <c r="B6" s="266" t="s">
        <v>396</v>
      </c>
      <c r="C6" s="227">
        <f>+SUMIFS(Caja!$F:$F,Caja!$G:$G,"Cater",Caja!$L:$L,Inicio!C$5)</f>
        <v>19</v>
      </c>
      <c r="D6" s="227">
        <f>+SUMIFS(Caja!$F:$F,Caja!$G:$G,"Cater",Caja!$L:$L,Inicio!D$5)</f>
        <v>24</v>
      </c>
      <c r="E6" s="227">
        <f>+SUMIFS(Caja!$F:$F,Caja!$G:$G,"Cater",Caja!$L:$L,Inicio!E$5)</f>
        <v>16</v>
      </c>
      <c r="F6" s="269">
        <f t="shared" ref="F6:F9" si="0">+SUM(C6:E6)</f>
        <v>59</v>
      </c>
      <c r="G6" s="287"/>
      <c r="H6" s="287" t="s">
        <v>409</v>
      </c>
      <c r="I6" s="1">
        <f ca="1">DAY(EOMONTH(TODAY(),0)) - IF(OR(MONTH(TODAY())=1, MONTH(TODAY())=5, MONTH(TODAY())=9, MONTH(TODAY())=12), 1, 0)</f>
        <v>30</v>
      </c>
      <c r="J6" s="303" t="s">
        <v>411</v>
      </c>
      <c r="K6" s="288"/>
      <c r="M6" s="315"/>
      <c r="N6" s="308">
        <v>0</v>
      </c>
      <c r="O6" s="308">
        <v>1300000</v>
      </c>
      <c r="P6" s="308">
        <v>1500000</v>
      </c>
      <c r="Q6" s="308">
        <v>1750000</v>
      </c>
      <c r="R6" s="307"/>
      <c r="S6" s="307"/>
      <c r="V6" s="214"/>
      <c r="Z6" s="214"/>
      <c r="AA6" s="214"/>
      <c r="AB6" s="214"/>
      <c r="AC6" s="214"/>
      <c r="AD6" s="225"/>
      <c r="AE6" s="225"/>
    </row>
    <row r="7" spans="1:31">
      <c r="A7" s="280"/>
      <c r="B7" s="266" t="s">
        <v>397</v>
      </c>
      <c r="C7" s="227">
        <f>+SUMIFS(Caja!$F:$F,Caja!$G:$G,"P?*G",Caja!$L:$L,Inicio!C$5)</f>
        <v>6</v>
      </c>
      <c r="D7" s="227">
        <f>+SUMIFS(Caja!$F:$F,Caja!$G:$G,"P?*G",Caja!$L:$L,Inicio!D$5)</f>
        <v>7</v>
      </c>
      <c r="E7" s="227">
        <f>+SUMIFS(Caja!$F:$F,Caja!$G:$G,"P?*G",Caja!$L:$L,Inicio!E$5)</f>
        <v>1</v>
      </c>
      <c r="F7" s="269">
        <f t="shared" si="0"/>
        <v>14</v>
      </c>
      <c r="G7" s="287"/>
      <c r="H7" s="254"/>
      <c r="I7" s="254"/>
      <c r="J7" s="254"/>
      <c r="K7" s="288"/>
      <c r="M7" s="311">
        <v>135</v>
      </c>
      <c r="N7" s="311">
        <v>50000</v>
      </c>
      <c r="O7" s="311">
        <v>50000</v>
      </c>
      <c r="P7" s="311">
        <v>50000</v>
      </c>
      <c r="Q7" s="311">
        <v>50000</v>
      </c>
      <c r="R7" s="307"/>
      <c r="S7" s="307"/>
      <c r="V7" s="214"/>
      <c r="W7" s="2" t="s">
        <v>416</v>
      </c>
      <c r="Z7" s="214"/>
      <c r="AA7" s="214"/>
      <c r="AB7" s="214"/>
      <c r="AC7" s="214"/>
      <c r="AD7" s="226"/>
      <c r="AE7" s="226"/>
    </row>
    <row r="8" spans="1:31">
      <c r="A8" s="280"/>
      <c r="B8" s="266" t="s">
        <v>414</v>
      </c>
      <c r="C8" s="227">
        <f>+SUMIFS(Caja!$F:$F,Caja!$G:$G,"R?*G",Caja!$L:$L,Inicio!C$5)</f>
        <v>10</v>
      </c>
      <c r="D8" s="227">
        <f>+SUMIFS(Caja!$F:$F,Caja!$G:$G,"R?*G",Caja!$L:$L,Inicio!D$5)</f>
        <v>10</v>
      </c>
      <c r="E8" s="227">
        <f>+SUMIFS(Caja!$F:$F,Caja!$G:$G,"R?*G",Caja!$L:$L,Inicio!E$5)</f>
        <v>4</v>
      </c>
      <c r="F8" s="269">
        <f t="shared" si="0"/>
        <v>24</v>
      </c>
      <c r="G8" s="287"/>
      <c r="H8" s="287" t="s">
        <v>53</v>
      </c>
      <c r="I8" s="304">
        <f>+TablaPuntos!U3</f>
        <v>150</v>
      </c>
      <c r="J8" s="303" t="s">
        <v>412</v>
      </c>
      <c r="K8" s="288"/>
      <c r="M8" s="308">
        <v>150</v>
      </c>
      <c r="N8" s="308">
        <v>70000</v>
      </c>
      <c r="O8" s="309">
        <v>100000</v>
      </c>
      <c r="P8" s="308">
        <v>150000</v>
      </c>
      <c r="Q8" s="308">
        <v>200000</v>
      </c>
      <c r="R8" s="301">
        <v>1</v>
      </c>
      <c r="S8" s="307"/>
      <c r="V8" s="214"/>
      <c r="Z8" s="214"/>
      <c r="AA8" s="214"/>
      <c r="AB8" s="214"/>
      <c r="AC8" s="214"/>
      <c r="AD8" s="214"/>
      <c r="AE8" s="214"/>
    </row>
    <row r="9" spans="1:31" ht="14.25" customHeight="1">
      <c r="A9" s="280"/>
      <c r="B9" s="266" t="s">
        <v>0</v>
      </c>
      <c r="C9" s="227">
        <f>+SUMIFS(Caja!$F:$F,Caja!$G:$G,"BAF",Caja!$L:$L,Inicio!C$5)</f>
        <v>2</v>
      </c>
      <c r="D9" s="227">
        <f>+SUMIFS(Caja!$F:$F,Caja!$G:$G,"BAF",Caja!$L:$L,Inicio!D$5)</f>
        <v>2</v>
      </c>
      <c r="E9" s="227">
        <f>+SUMIFS(Caja!$F:$F,Caja!$G:$G,"BAF",Caja!$L:$L,Inicio!E$5)</f>
        <v>1</v>
      </c>
      <c r="F9" s="269">
        <f t="shared" si="0"/>
        <v>5</v>
      </c>
      <c r="G9" s="287"/>
      <c r="H9" s="287" t="s">
        <v>57</v>
      </c>
      <c r="I9" s="1">
        <f>+F10</f>
        <v>102</v>
      </c>
      <c r="J9" s="303">
        <f>+I9/I8</f>
        <v>0.68</v>
      </c>
      <c r="K9" s="288"/>
      <c r="M9" s="308">
        <v>165</v>
      </c>
      <c r="N9" s="308">
        <v>100000</v>
      </c>
      <c r="O9" s="308">
        <v>150000</v>
      </c>
      <c r="P9" s="308">
        <v>200000</v>
      </c>
      <c r="Q9" s="308">
        <v>250000</v>
      </c>
      <c r="R9" s="301">
        <v>1.1000000000000001</v>
      </c>
      <c r="S9" s="307"/>
      <c r="V9" s="214"/>
      <c r="W9" s="2" t="s">
        <v>417</v>
      </c>
      <c r="Z9" s="214"/>
      <c r="AA9" s="214"/>
      <c r="AB9" s="214"/>
      <c r="AC9" s="214"/>
      <c r="AD9" s="214"/>
      <c r="AE9" s="214"/>
    </row>
    <row r="10" spans="1:31" ht="14.25" customHeight="1">
      <c r="A10" s="280"/>
      <c r="B10" s="265" t="s">
        <v>47</v>
      </c>
      <c r="C10" s="269">
        <f>+SUM(C6:C9)</f>
        <v>37</v>
      </c>
      <c r="D10" s="269">
        <f t="shared" ref="D10:E10" si="1">+SUM(D6:D9)</f>
        <v>43</v>
      </c>
      <c r="E10" s="269">
        <f t="shared" si="1"/>
        <v>22</v>
      </c>
      <c r="F10" s="268">
        <f>+SUM(F6:F9)</f>
        <v>102</v>
      </c>
      <c r="G10" s="287"/>
      <c r="H10" s="287" t="s">
        <v>58</v>
      </c>
      <c r="I10" s="304">
        <f ca="1">+I9/I5*I6</f>
        <v>145.71428571428569</v>
      </c>
      <c r="J10" s="303">
        <f ca="1">+I10/I8</f>
        <v>0.97142857142857131</v>
      </c>
      <c r="K10" s="288"/>
      <c r="M10" s="308">
        <v>188</v>
      </c>
      <c r="N10" s="308">
        <v>150000</v>
      </c>
      <c r="O10" s="308">
        <v>200000</v>
      </c>
      <c r="P10" s="308">
        <v>250000</v>
      </c>
      <c r="Q10" s="308">
        <v>300000</v>
      </c>
      <c r="R10" s="301">
        <v>1.25</v>
      </c>
      <c r="S10" s="307"/>
      <c r="V10" s="214"/>
      <c r="Z10" s="214"/>
      <c r="AA10" s="214"/>
      <c r="AB10" s="214"/>
      <c r="AC10" s="214"/>
      <c r="AD10" s="214"/>
      <c r="AE10" s="214"/>
    </row>
    <row r="11" spans="1:31">
      <c r="A11" s="280"/>
      <c r="B11" s="282"/>
      <c r="C11" s="281"/>
      <c r="D11" s="281"/>
      <c r="E11" s="281"/>
      <c r="F11" s="281"/>
      <c r="G11" s="287"/>
      <c r="H11" s="287"/>
      <c r="I11" s="287"/>
      <c r="J11" s="287"/>
      <c r="K11" s="288"/>
      <c r="M11" s="307"/>
      <c r="N11" s="307"/>
      <c r="O11" s="307"/>
      <c r="P11" s="307"/>
      <c r="Q11" s="307"/>
      <c r="R11" s="307"/>
      <c r="S11" s="307"/>
      <c r="V11" s="214"/>
      <c r="W11" s="2" t="s">
        <v>418</v>
      </c>
      <c r="Z11" s="214"/>
      <c r="AA11" s="214"/>
      <c r="AB11" s="214"/>
      <c r="AC11" s="214"/>
      <c r="AD11" s="214"/>
      <c r="AE11" s="214"/>
    </row>
    <row r="12" spans="1:31">
      <c r="A12" s="294"/>
      <c r="B12" s="291"/>
      <c r="C12" s="292"/>
      <c r="D12" s="292"/>
      <c r="E12" s="292"/>
      <c r="F12" s="292"/>
      <c r="G12" s="292"/>
      <c r="H12" s="292"/>
      <c r="I12" s="292"/>
      <c r="J12" s="292"/>
      <c r="K12" s="293"/>
      <c r="M12" s="307"/>
      <c r="N12" s="307"/>
      <c r="O12" s="307"/>
      <c r="P12" s="307"/>
      <c r="Q12" s="307"/>
      <c r="R12" s="307"/>
      <c r="S12" s="307"/>
      <c r="V12" s="214"/>
      <c r="Z12" s="214"/>
      <c r="AA12" s="214"/>
      <c r="AB12" s="214"/>
      <c r="AC12" s="214"/>
      <c r="AD12" s="214"/>
      <c r="AE12" s="214"/>
    </row>
    <row r="13" spans="1:31">
      <c r="A13" s="295"/>
      <c r="B13" s="300" t="s">
        <v>403</v>
      </c>
      <c r="C13" s="300" t="s">
        <v>404</v>
      </c>
      <c r="D13" s="300" t="s">
        <v>406</v>
      </c>
      <c r="E13" s="300" t="s">
        <v>407</v>
      </c>
      <c r="F13" s="300" t="s">
        <v>405</v>
      </c>
      <c r="G13" s="287"/>
      <c r="H13" s="314" t="s">
        <v>5190</v>
      </c>
      <c r="I13" s="314"/>
      <c r="J13" s="314"/>
      <c r="K13" s="288"/>
      <c r="M13" s="307"/>
      <c r="N13" s="307"/>
      <c r="O13" s="307"/>
      <c r="P13" s="307"/>
      <c r="Q13" s="307"/>
      <c r="R13" s="307"/>
      <c r="S13" s="307"/>
      <c r="V13" s="214"/>
      <c r="W13" s="2" t="s">
        <v>419</v>
      </c>
      <c r="Z13" s="214"/>
      <c r="AA13" s="214"/>
      <c r="AB13" s="214"/>
      <c r="AC13" s="214"/>
      <c r="AD13" s="214"/>
      <c r="AE13" s="214"/>
    </row>
    <row r="14" spans="1:31">
      <c r="A14" s="295"/>
      <c r="B14" s="301">
        <v>0.9</v>
      </c>
      <c r="C14" s="297">
        <f>+$I$8*B14</f>
        <v>135</v>
      </c>
      <c r="D14" s="298">
        <f>+C14-$F$10</f>
        <v>33</v>
      </c>
      <c r="E14" s="302">
        <f ca="1">ROUNDUP(D14/($I$6-$I$5),0)</f>
        <v>4</v>
      </c>
      <c r="F14" s="299">
        <v>50000</v>
      </c>
      <c r="G14" s="287"/>
      <c r="H14" s="265" t="s">
        <v>89</v>
      </c>
      <c r="I14" s="265" t="s">
        <v>82</v>
      </c>
      <c r="J14" s="265" t="s">
        <v>86</v>
      </c>
      <c r="K14" s="288"/>
      <c r="M14" s="312" t="s">
        <v>5204</v>
      </c>
      <c r="N14" s="312"/>
      <c r="O14" s="312"/>
      <c r="P14" s="312"/>
      <c r="Q14" s="312"/>
      <c r="R14" s="307"/>
      <c r="S14" s="307"/>
      <c r="V14" s="214"/>
      <c r="Z14" s="214"/>
      <c r="AA14" s="214"/>
      <c r="AB14" s="214"/>
      <c r="AC14" s="214"/>
      <c r="AD14" s="214"/>
      <c r="AE14" s="214"/>
    </row>
    <row r="15" spans="1:31" ht="15" customHeight="1">
      <c r="A15" s="295"/>
      <c r="B15" s="301">
        <v>1</v>
      </c>
      <c r="C15" s="297">
        <f>+$I$8*B15</f>
        <v>150</v>
      </c>
      <c r="D15" s="298">
        <f>+C15-$F$10</f>
        <v>48</v>
      </c>
      <c r="E15" s="302">
        <f ca="1">ROUNDUP(D15/($I$6-$I$5),0)</f>
        <v>6</v>
      </c>
      <c r="F15" s="299">
        <v>70000</v>
      </c>
      <c r="G15" s="287"/>
      <c r="H15" s="227">
        <f>+SUMIFS(CajaAcc!$D:$D,CajaAcc!$J:$J,Inicio!H14)</f>
        <v>539468</v>
      </c>
      <c r="I15" s="227">
        <f>+SUMIFS(CajaAcc!$D:$D,CajaAcc!$J:$J,Inicio!I14)</f>
        <v>538500</v>
      </c>
      <c r="J15" s="227">
        <f>+SUMIFS(CajaAcc!$D:$D,CajaAcc!$J:$J,Inicio!J14)</f>
        <v>226000</v>
      </c>
      <c r="K15" s="288"/>
      <c r="M15" s="312">
        <f ca="1">IFERROR(INDEX(N7:Q10, MATCH(I10, M7:M10, 1), MATCH(I17, N6:Q6, 1)), 0)</f>
        <v>50000</v>
      </c>
      <c r="N15" s="312"/>
      <c r="O15" s="312"/>
      <c r="P15" s="312"/>
      <c r="Q15" s="312"/>
      <c r="R15" s="307"/>
      <c r="S15" s="307"/>
      <c r="V15" s="214"/>
      <c r="W15" s="2" t="s">
        <v>420</v>
      </c>
      <c r="Z15" s="214"/>
      <c r="AA15" s="214"/>
      <c r="AB15" s="214"/>
      <c r="AC15" s="214"/>
      <c r="AD15" s="214"/>
      <c r="AE15" s="214"/>
    </row>
    <row r="16" spans="1:31">
      <c r="A16" s="295"/>
      <c r="B16" s="301">
        <v>1.1000000000000001</v>
      </c>
      <c r="C16" s="297">
        <f>+$I$8*B16</f>
        <v>165</v>
      </c>
      <c r="D16" s="298">
        <f>+C16-$F$10</f>
        <v>63</v>
      </c>
      <c r="E16" s="302">
        <f ca="1">ROUNDUP(D16/($I$6-$I$5),0)</f>
        <v>7</v>
      </c>
      <c r="F16" s="299">
        <v>100000</v>
      </c>
      <c r="G16" s="287"/>
      <c r="H16" s="310" t="s">
        <v>57</v>
      </c>
      <c r="I16" s="316">
        <f>+H15+I15+J15</f>
        <v>1303968</v>
      </c>
      <c r="J16" s="316"/>
      <c r="K16" s="288"/>
      <c r="M16" s="225"/>
      <c r="N16" s="225"/>
      <c r="V16" s="214"/>
      <c r="Z16" s="214"/>
      <c r="AA16" s="214"/>
      <c r="AB16" s="214"/>
      <c r="AC16" s="214"/>
      <c r="AD16" s="214"/>
      <c r="AE16" s="214"/>
    </row>
    <row r="17" spans="1:31">
      <c r="A17" s="295"/>
      <c r="B17" s="301">
        <v>1.25</v>
      </c>
      <c r="C17" s="297">
        <f>+$I$8*B17</f>
        <v>187.5</v>
      </c>
      <c r="D17" s="298">
        <f>+C17-$F$10</f>
        <v>85.5</v>
      </c>
      <c r="E17" s="302">
        <f ca="1">ROUNDUP(D17/($I$6-$I$5),0)</f>
        <v>10</v>
      </c>
      <c r="F17" s="299">
        <v>150000</v>
      </c>
      <c r="G17" s="287"/>
      <c r="H17" s="287" t="s">
        <v>58</v>
      </c>
      <c r="I17" s="317">
        <f ca="1">+((+H15+I15+J15)/I5)*I6</f>
        <v>1862811.4285714284</v>
      </c>
      <c r="J17" s="317"/>
      <c r="K17" s="288"/>
      <c r="M17" s="225"/>
      <c r="N17" s="225"/>
      <c r="V17" s="214"/>
      <c r="Z17" s="214"/>
      <c r="AA17" s="214"/>
      <c r="AB17" s="214"/>
      <c r="AC17" s="214"/>
      <c r="AD17" s="214"/>
      <c r="AE17" s="214"/>
    </row>
    <row r="18" spans="1:31">
      <c r="A18" s="295"/>
      <c r="B18" s="287"/>
      <c r="C18" s="287"/>
      <c r="D18" s="287"/>
      <c r="E18" s="287"/>
      <c r="F18" s="287"/>
      <c r="G18" s="287"/>
      <c r="H18" s="287"/>
      <c r="I18" s="287"/>
      <c r="J18" s="287"/>
      <c r="K18" s="288"/>
      <c r="M18" s="225"/>
      <c r="N18" s="225"/>
      <c r="V18" s="214"/>
      <c r="Z18" s="214"/>
      <c r="AA18" s="214"/>
      <c r="AB18" s="214"/>
      <c r="AC18" s="214"/>
      <c r="AD18" s="214"/>
    </row>
    <row r="19" spans="1:31" ht="5.0999999999999996" customHeight="1">
      <c r="A19" s="294"/>
      <c r="B19" s="292"/>
      <c r="C19" s="292"/>
      <c r="D19" s="292"/>
      <c r="E19" s="292"/>
      <c r="F19" s="292"/>
      <c r="G19" s="292"/>
      <c r="H19" s="292"/>
      <c r="I19" s="292"/>
      <c r="J19" s="292"/>
      <c r="K19" s="293"/>
      <c r="M19" s="225"/>
      <c r="N19" s="225"/>
    </row>
    <row r="20" spans="1:31">
      <c r="A20" s="295"/>
      <c r="B20" s="313" t="s">
        <v>408</v>
      </c>
      <c r="C20" s="313"/>
      <c r="D20" s="313"/>
      <c r="E20" s="313"/>
      <c r="F20" s="313"/>
      <c r="G20" s="313"/>
      <c r="H20" s="313"/>
      <c r="I20" s="313"/>
      <c r="J20" s="313"/>
      <c r="K20" s="288"/>
      <c r="M20" s="225"/>
      <c r="N20" s="225"/>
    </row>
    <row r="21" spans="1:31" ht="5.0999999999999996" customHeight="1">
      <c r="A21" s="296"/>
      <c r="B21" s="289"/>
      <c r="C21" s="289"/>
      <c r="D21" s="289"/>
      <c r="E21" s="289"/>
      <c r="F21" s="289"/>
      <c r="G21" s="289"/>
      <c r="H21" s="289"/>
      <c r="I21" s="289"/>
      <c r="J21" s="289"/>
      <c r="K21" s="290"/>
    </row>
    <row r="22" spans="1:31">
      <c r="I22" s="213"/>
      <c r="J22" s="213"/>
      <c r="K22" s="213"/>
    </row>
    <row r="23" spans="1:31">
      <c r="B23" s="214"/>
      <c r="C23" s="230"/>
      <c r="D23" s="225"/>
      <c r="E23" s="225"/>
      <c r="H23" s="225"/>
    </row>
    <row r="24" spans="1:31">
      <c r="G24" s="214"/>
      <c r="H24" s="214"/>
      <c r="I24" s="226"/>
      <c r="J24" s="226"/>
    </row>
    <row r="25" spans="1:31">
      <c r="G25" s="214"/>
      <c r="H25" s="214"/>
      <c r="I25" s="214"/>
      <c r="J25" s="214"/>
    </row>
    <row r="26" spans="1:31">
      <c r="A26" s="214"/>
      <c r="G26" s="214"/>
      <c r="H26" s="214"/>
      <c r="I26" s="214"/>
      <c r="J26" s="214"/>
    </row>
    <row r="27" spans="1:31">
      <c r="A27" s="214"/>
      <c r="G27" s="214"/>
      <c r="H27" s="214"/>
      <c r="I27" s="214"/>
      <c r="J27" s="214"/>
    </row>
    <row r="28" spans="1:31">
      <c r="A28" s="214"/>
      <c r="G28" s="214"/>
      <c r="H28" s="214"/>
      <c r="I28" s="214"/>
      <c r="J28" s="214"/>
    </row>
    <row r="29" spans="1:31">
      <c r="A29" s="214"/>
      <c r="G29" s="214"/>
      <c r="H29" s="214"/>
      <c r="I29" s="214"/>
      <c r="J29" s="214"/>
    </row>
    <row r="30" spans="1:31">
      <c r="A30" s="214"/>
      <c r="G30" s="214"/>
      <c r="H30" s="214"/>
      <c r="I30" s="214"/>
      <c r="J30" s="214"/>
    </row>
    <row r="31" spans="1:31">
      <c r="A31" s="214"/>
      <c r="G31" s="214"/>
      <c r="H31" s="214"/>
      <c r="I31" s="214"/>
      <c r="J31" s="214"/>
    </row>
    <row r="32" spans="1:31">
      <c r="A32" s="214"/>
      <c r="G32" s="214"/>
      <c r="H32" s="214"/>
      <c r="I32" s="214"/>
      <c r="J32" s="214"/>
    </row>
    <row r="33" spans="1:10">
      <c r="A33" s="214"/>
      <c r="G33" s="214"/>
      <c r="H33" s="214"/>
      <c r="I33" s="214"/>
      <c r="J33" s="214"/>
    </row>
    <row r="34" spans="1:10">
      <c r="A34" s="214"/>
      <c r="G34" s="214"/>
      <c r="H34" s="214"/>
      <c r="I34" s="214"/>
      <c r="J34" s="214"/>
    </row>
    <row r="38" spans="1:10" ht="15">
      <c r="B38"/>
    </row>
    <row r="52" spans="1:9">
      <c r="A52" s="214"/>
      <c r="E52" s="214"/>
      <c r="F52" s="214"/>
      <c r="G52" s="214"/>
      <c r="H52" s="214"/>
      <c r="I52" s="214"/>
    </row>
    <row r="53" spans="1:9">
      <c r="A53" s="214"/>
      <c r="E53" s="214"/>
      <c r="F53" s="214"/>
      <c r="G53" s="214"/>
      <c r="H53" s="214"/>
      <c r="I53" s="214"/>
    </row>
    <row r="54" spans="1:9">
      <c r="A54" s="214"/>
      <c r="B54" s="214"/>
      <c r="C54" s="214"/>
      <c r="D54" s="214"/>
      <c r="E54" s="214"/>
      <c r="F54" s="214"/>
      <c r="G54" s="214"/>
      <c r="H54" s="214"/>
      <c r="I54" s="214"/>
    </row>
    <row r="55" spans="1:9">
      <c r="A55" s="214"/>
      <c r="B55" s="214"/>
      <c r="C55" s="214"/>
      <c r="D55" s="214"/>
      <c r="E55" s="214"/>
      <c r="F55" s="214"/>
      <c r="G55" s="214"/>
      <c r="H55" s="214"/>
      <c r="I55" s="214"/>
    </row>
    <row r="56" spans="1:9">
      <c r="A56" s="214"/>
      <c r="B56" s="214"/>
      <c r="C56" s="214"/>
      <c r="D56" s="214"/>
      <c r="E56" s="214"/>
      <c r="F56" s="214"/>
      <c r="G56" s="214"/>
      <c r="H56" s="214"/>
      <c r="I56" s="214"/>
    </row>
    <row r="57" spans="1:9">
      <c r="A57" s="214"/>
      <c r="B57" s="214"/>
      <c r="C57" s="214"/>
      <c r="D57" s="214"/>
      <c r="E57" s="214"/>
      <c r="F57" s="214"/>
      <c r="G57" s="214"/>
      <c r="H57" s="214"/>
      <c r="I57" s="214"/>
    </row>
    <row r="58" spans="1:9">
      <c r="A58" s="214"/>
      <c r="B58" s="214"/>
      <c r="C58" s="214"/>
      <c r="D58" s="214"/>
      <c r="E58" s="214"/>
      <c r="F58" s="214"/>
      <c r="G58" s="214"/>
      <c r="H58" s="214"/>
      <c r="I58" s="214"/>
    </row>
    <row r="59" spans="1:9">
      <c r="A59" s="214"/>
      <c r="B59" s="214"/>
      <c r="C59" s="214"/>
      <c r="D59" s="214"/>
      <c r="E59" s="214"/>
      <c r="F59" s="214"/>
      <c r="G59" s="214"/>
      <c r="H59" s="214"/>
      <c r="I59" s="214"/>
    </row>
    <row r="60" spans="1:9">
      <c r="A60" s="214"/>
      <c r="B60" s="214"/>
    </row>
  </sheetData>
  <mergeCells count="7">
    <mergeCell ref="M15:Q15"/>
    <mergeCell ref="M14:Q14"/>
    <mergeCell ref="B20:J20"/>
    <mergeCell ref="H13:J13"/>
    <mergeCell ref="M5:M6"/>
    <mergeCell ref="I16:J16"/>
    <mergeCell ref="I17:J17"/>
  </mergeCells>
  <conditionalFormatting sqref="N8:Q10">
    <cfRule type="colorScale" priority="1">
      <colorScale>
        <cfvo type="min"/>
        <cfvo type="max"/>
        <color rgb="FFFFEF9C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U58"/>
  <sheetViews>
    <sheetView zoomScale="90" zoomScaleNormal="90" workbookViewId="0">
      <selection activeCell="Q22" sqref="Q22"/>
    </sheetView>
  </sheetViews>
  <sheetFormatPr baseColWidth="10" defaultRowHeight="14.25"/>
  <cols>
    <col min="1" max="1" width="2.7109375" style="2" customWidth="1"/>
    <col min="2" max="3" width="11.42578125" style="2"/>
    <col min="4" max="4" width="11.42578125" style="2" customWidth="1"/>
    <col min="5" max="8" width="11.42578125" style="2"/>
    <col min="9" max="10" width="2.7109375" style="2" customWidth="1"/>
    <col min="11" max="14" width="11.42578125" style="2"/>
    <col min="15" max="15" width="2.7109375" style="2" customWidth="1"/>
    <col min="16" max="16" width="2.7109375" style="214" customWidth="1"/>
    <col min="17" max="19" width="15.7109375" style="251" customWidth="1"/>
    <col min="20" max="20" width="2.7109375" style="214" customWidth="1"/>
    <col min="21" max="21" width="11.42578125" style="214"/>
    <col min="22" max="16384" width="11.42578125" style="2"/>
  </cols>
  <sheetData>
    <row r="1" spans="1:21">
      <c r="A1" s="217"/>
      <c r="B1" s="218"/>
      <c r="C1" s="218"/>
      <c r="D1" s="218"/>
      <c r="E1" s="218"/>
      <c r="F1" s="218"/>
      <c r="G1" s="218"/>
      <c r="H1" s="218"/>
      <c r="I1" s="218"/>
      <c r="J1" s="218"/>
      <c r="K1" s="218"/>
      <c r="L1" s="218"/>
      <c r="M1" s="219"/>
      <c r="N1" s="219"/>
      <c r="O1" s="220"/>
    </row>
    <row r="2" spans="1:21" ht="24.95" customHeight="1">
      <c r="A2" s="221"/>
      <c r="B2" s="216" t="s">
        <v>415</v>
      </c>
      <c r="C2" s="215"/>
      <c r="D2" s="215"/>
      <c r="E2" s="215"/>
      <c r="F2" s="215"/>
      <c r="G2" s="215"/>
      <c r="H2" s="215"/>
      <c r="I2" s="215"/>
      <c r="J2" s="215"/>
      <c r="K2" s="244"/>
      <c r="L2" s="244"/>
      <c r="M2" s="244"/>
      <c r="N2" s="224" t="s">
        <v>413</v>
      </c>
      <c r="O2" s="222"/>
    </row>
    <row r="3" spans="1:21">
      <c r="A3" s="221"/>
      <c r="B3" s="231"/>
      <c r="C3" s="231"/>
      <c r="D3" s="231"/>
      <c r="E3" s="231"/>
      <c r="F3" s="231"/>
      <c r="G3" s="231"/>
      <c r="H3" s="231"/>
      <c r="I3" s="231"/>
      <c r="J3" s="231"/>
      <c r="K3" s="231"/>
      <c r="L3" s="231"/>
      <c r="M3" s="232"/>
      <c r="N3" s="232"/>
      <c r="O3" s="222"/>
    </row>
    <row r="4" spans="1:21">
      <c r="A4" s="233"/>
      <c r="B4" s="234"/>
      <c r="C4" s="234"/>
      <c r="D4" s="234"/>
      <c r="E4" s="234"/>
      <c r="F4" s="234"/>
      <c r="G4" s="234"/>
      <c r="H4" s="234"/>
      <c r="I4" s="234"/>
      <c r="J4" s="233"/>
      <c r="K4" s="234"/>
      <c r="L4" s="234"/>
      <c r="M4" s="234"/>
      <c r="N4" s="234"/>
      <c r="O4" s="235"/>
    </row>
    <row r="5" spans="1:21">
      <c r="A5" s="236"/>
      <c r="B5" s="1"/>
      <c r="C5" s="1"/>
      <c r="D5" s="1"/>
      <c r="E5" s="1"/>
      <c r="F5" s="1"/>
      <c r="G5" s="1"/>
      <c r="H5" s="1"/>
      <c r="I5" s="1"/>
      <c r="J5" s="242"/>
      <c r="K5" s="223"/>
      <c r="L5" s="223" t="s">
        <v>48</v>
      </c>
      <c r="M5" s="223" t="s">
        <v>49</v>
      </c>
      <c r="N5" s="223" t="s">
        <v>50</v>
      </c>
      <c r="O5" s="237"/>
      <c r="Q5" s="255">
        <v>0.9</v>
      </c>
      <c r="R5" s="257">
        <f>+$F$13*Q5</f>
        <v>135</v>
      </c>
      <c r="S5" s="256">
        <v>50000</v>
      </c>
      <c r="U5" s="263">
        <f>+R5-F12</f>
        <v>33</v>
      </c>
    </row>
    <row r="6" spans="1:21">
      <c r="A6" s="236"/>
      <c r="B6" s="223"/>
      <c r="C6" s="223" t="s">
        <v>48</v>
      </c>
      <c r="D6" s="223" t="s">
        <v>49</v>
      </c>
      <c r="E6" s="223" t="s">
        <v>56</v>
      </c>
      <c r="F6" s="223" t="s">
        <v>47</v>
      </c>
      <c r="G6" s="1"/>
      <c r="H6" s="243" t="s">
        <v>58</v>
      </c>
      <c r="I6" s="1"/>
      <c r="J6" s="242"/>
      <c r="K6" s="223" t="s">
        <v>44</v>
      </c>
      <c r="L6" s="227"/>
      <c r="M6" s="227"/>
      <c r="N6" s="227"/>
      <c r="O6" s="237"/>
      <c r="Q6" s="255">
        <v>1</v>
      </c>
      <c r="R6" s="257">
        <f>+$F$13*Q6</f>
        <v>150</v>
      </c>
      <c r="S6" s="256">
        <v>70000</v>
      </c>
      <c r="U6" s="263">
        <f>+R6-F12</f>
        <v>48</v>
      </c>
    </row>
    <row r="7" spans="1:21">
      <c r="A7" s="236"/>
      <c r="B7" s="223" t="s">
        <v>54</v>
      </c>
      <c r="C7" s="227">
        <f>+SUM(L6:L13)</f>
        <v>6</v>
      </c>
      <c r="D7" s="227">
        <f>+SUM(M6:M13)</f>
        <v>7</v>
      </c>
      <c r="E7" s="227">
        <f>+SUM(N6:N13)</f>
        <v>1</v>
      </c>
      <c r="F7" s="228">
        <f>+SUM(C7:E7)</f>
        <v>14</v>
      </c>
      <c r="G7" s="1"/>
      <c r="H7" s="243">
        <f ca="1">F12 * DAY(EOMONTH(TODAY(),0)) / (TODAY()-DATE(YEAR(TODAY()), MONTH(TODAY()), 1)+1)/F13</f>
        <v>0.97142857142857153</v>
      </c>
      <c r="I7" s="1"/>
      <c r="J7" s="242"/>
      <c r="K7" s="223" t="s">
        <v>37</v>
      </c>
      <c r="L7" s="227">
        <f>+SUMIFS(Caja!$F:$F,Caja!$G:$G,'Inicio (2)'!$K7,Caja!$L:$L,'Inicio (2)'!L$5)</f>
        <v>0</v>
      </c>
      <c r="M7" s="227">
        <f>+SUMIFS(Caja!$F:$F,Caja!$G:$G,'Inicio (2)'!$K7,Caja!$L:$L,'Inicio (2)'!M$5)</f>
        <v>0</v>
      </c>
      <c r="N7" s="227">
        <f>+SUMIFS(Caja!$F:$F,Caja!$G:$G,'Inicio (2)'!$K7,Caja!$L:$L,'Inicio (2)'!N$5)</f>
        <v>0</v>
      </c>
      <c r="O7" s="237"/>
      <c r="Q7" s="255">
        <v>1.1000000000000001</v>
      </c>
      <c r="R7" s="257">
        <f>+$F$13*Q7</f>
        <v>165</v>
      </c>
      <c r="S7" s="256">
        <v>100000</v>
      </c>
      <c r="U7" s="263">
        <f>+R7-F12</f>
        <v>63</v>
      </c>
    </row>
    <row r="8" spans="1:21">
      <c r="A8" s="236"/>
      <c r="B8" s="223" t="s">
        <v>55</v>
      </c>
      <c r="C8" s="227">
        <f>+SUM(L14:L19)</f>
        <v>10</v>
      </c>
      <c r="D8" s="227">
        <f>+SUM(M14:M19)</f>
        <v>10</v>
      </c>
      <c r="E8" s="227">
        <f>+SUM(N14:N19)</f>
        <v>4</v>
      </c>
      <c r="F8" s="228">
        <f t="shared" ref="F8:F11" si="0">+SUM(C8:E8)</f>
        <v>24</v>
      </c>
      <c r="G8" s="1"/>
      <c r="H8" s="1"/>
      <c r="I8" s="1"/>
      <c r="J8" s="242"/>
      <c r="K8" s="223" t="s">
        <v>38</v>
      </c>
      <c r="L8" s="227">
        <f>+SUMIFS(Caja!$F:$F,Caja!$G:$G,'Inicio (2)'!$K8,Caja!$L:$L,'Inicio (2)'!L$5)</f>
        <v>2</v>
      </c>
      <c r="M8" s="227">
        <f>+SUMIFS(Caja!$F:$F,Caja!$G:$G,'Inicio (2)'!$K8,Caja!$L:$L,'Inicio (2)'!M$5)</f>
        <v>6</v>
      </c>
      <c r="N8" s="227">
        <f>+SUMIFS(Caja!$F:$F,Caja!$G:$G,'Inicio (2)'!$K8,Caja!$L:$L,'Inicio (2)'!N$5)</f>
        <v>1</v>
      </c>
      <c r="O8" s="237"/>
      <c r="Q8" s="255">
        <v>1.25</v>
      </c>
      <c r="R8" s="257">
        <f>+$F$13*Q8</f>
        <v>187.5</v>
      </c>
      <c r="S8" s="256">
        <v>150000</v>
      </c>
      <c r="U8" s="263">
        <f>+R8-F12</f>
        <v>85.5</v>
      </c>
    </row>
    <row r="9" spans="1:21">
      <c r="A9" s="236"/>
      <c r="B9" s="223" t="s">
        <v>51</v>
      </c>
      <c r="C9" s="227">
        <f t="shared" ref="C9:E11" si="1">+L20</f>
        <v>19</v>
      </c>
      <c r="D9" s="227">
        <f t="shared" si="1"/>
        <v>24</v>
      </c>
      <c r="E9" s="227">
        <f t="shared" si="1"/>
        <v>16</v>
      </c>
      <c r="F9" s="228">
        <f t="shared" si="0"/>
        <v>59</v>
      </c>
      <c r="G9" s="1"/>
      <c r="H9" s="1"/>
      <c r="I9" s="1"/>
      <c r="J9" s="242"/>
      <c r="K9" s="223" t="s">
        <v>39</v>
      </c>
      <c r="L9" s="227">
        <f>+SUMIFS(Caja!$F:$F,Caja!$G:$G,'Inicio (2)'!$K9,Caja!$L:$L,'Inicio (2)'!L$5)</f>
        <v>3</v>
      </c>
      <c r="M9" s="227">
        <f>+SUMIFS(Caja!$F:$F,Caja!$G:$G,'Inicio (2)'!$K9,Caja!$L:$L,'Inicio (2)'!M$5)</f>
        <v>0</v>
      </c>
      <c r="N9" s="227">
        <f>+SUMIFS(Caja!$F:$F,Caja!$G:$G,'Inicio (2)'!$K9,Caja!$L:$L,'Inicio (2)'!N$5)</f>
        <v>0</v>
      </c>
      <c r="O9" s="237"/>
    </row>
    <row r="10" spans="1:21">
      <c r="A10" s="236"/>
      <c r="B10" s="223" t="s">
        <v>0</v>
      </c>
      <c r="C10" s="227">
        <f t="shared" si="1"/>
        <v>2</v>
      </c>
      <c r="D10" s="227">
        <f t="shared" si="1"/>
        <v>2</v>
      </c>
      <c r="E10" s="227">
        <f t="shared" si="1"/>
        <v>1</v>
      </c>
      <c r="F10" s="228">
        <f t="shared" si="0"/>
        <v>5</v>
      </c>
      <c r="G10" s="1"/>
      <c r="H10" s="1"/>
      <c r="I10" s="1"/>
      <c r="J10" s="242"/>
      <c r="K10" s="223" t="s">
        <v>40</v>
      </c>
      <c r="L10" s="227">
        <f>+SUMIFS(Caja!$F:$F,Caja!$G:$G,'Inicio (2)'!$K10,Caja!$L:$L,'Inicio (2)'!L$5)</f>
        <v>1</v>
      </c>
      <c r="M10" s="227">
        <f>+SUMIFS(Caja!$F:$F,Caja!$G:$G,'Inicio (2)'!$K10,Caja!$L:$L,'Inicio (2)'!M$5)</f>
        <v>0</v>
      </c>
      <c r="N10" s="227">
        <f>+SUMIFS(Caja!$F:$F,Caja!$G:$G,'Inicio (2)'!$K10,Caja!$L:$L,'Inicio (2)'!N$5)</f>
        <v>0</v>
      </c>
      <c r="O10" s="237"/>
    </row>
    <row r="11" spans="1:21" ht="14.25" customHeight="1">
      <c r="A11" s="236"/>
      <c r="B11" s="223" t="s">
        <v>59</v>
      </c>
      <c r="C11" s="227">
        <f t="shared" si="1"/>
        <v>0</v>
      </c>
      <c r="D11" s="227">
        <f t="shared" si="1"/>
        <v>0</v>
      </c>
      <c r="E11" s="227">
        <f t="shared" si="1"/>
        <v>0</v>
      </c>
      <c r="F11" s="228">
        <f t="shared" si="0"/>
        <v>0</v>
      </c>
      <c r="G11" s="1"/>
      <c r="H11" s="1"/>
      <c r="I11" s="1"/>
      <c r="J11" s="242"/>
      <c r="K11" s="223" t="s">
        <v>41</v>
      </c>
      <c r="L11" s="227">
        <f>+SUMIFS(Caja!$F:$F,Caja!$G:$G,'Inicio (2)'!$K11,Caja!$L:$L,'Inicio (2)'!L$5)</f>
        <v>0</v>
      </c>
      <c r="M11" s="227">
        <f>+SUMIFS(Caja!$F:$F,Caja!$G:$G,'Inicio (2)'!$K11,Caja!$L:$L,'Inicio (2)'!M$5)</f>
        <v>1</v>
      </c>
      <c r="N11" s="227">
        <f>+SUMIFS(Caja!$F:$F,Caja!$G:$G,'Inicio (2)'!$K11,Caja!$L:$L,'Inicio (2)'!N$5)</f>
        <v>0</v>
      </c>
      <c r="O11" s="237"/>
    </row>
    <row r="12" spans="1:21" ht="14.25" customHeight="1">
      <c r="A12" s="236"/>
      <c r="B12" s="223" t="s">
        <v>47</v>
      </c>
      <c r="C12" s="245">
        <f>+SUM(C7:C11)</f>
        <v>37</v>
      </c>
      <c r="D12" s="245">
        <f>+SUM(D7:D11)</f>
        <v>43</v>
      </c>
      <c r="E12" s="245">
        <f>+SUM(E7:E11)</f>
        <v>22</v>
      </c>
      <c r="F12" s="229">
        <f>+SUM(C12:E12)</f>
        <v>102</v>
      </c>
      <c r="G12" s="1"/>
      <c r="H12" s="1"/>
      <c r="I12" s="1"/>
      <c r="J12" s="242"/>
      <c r="K12" s="223" t="s">
        <v>42</v>
      </c>
      <c r="L12" s="227">
        <f>+SUMIFS(Caja!$F:$F,Caja!$G:$G,'Inicio (2)'!$K12,Caja!$L:$L,'Inicio (2)'!L$5)</f>
        <v>0</v>
      </c>
      <c r="M12" s="227">
        <f>+SUMIFS(Caja!$F:$F,Caja!$G:$G,'Inicio (2)'!$K12,Caja!$L:$L,'Inicio (2)'!M$5)</f>
        <v>0</v>
      </c>
      <c r="N12" s="227">
        <f>+SUMIFS(Caja!$F:$F,Caja!$G:$G,'Inicio (2)'!$K12,Caja!$L:$L,'Inicio (2)'!N$5)</f>
        <v>0</v>
      </c>
      <c r="O12" s="237"/>
    </row>
    <row r="13" spans="1:21">
      <c r="A13" s="236"/>
      <c r="B13" s="1" t="s">
        <v>53</v>
      </c>
      <c r="C13" s="1">
        <v>55</v>
      </c>
      <c r="D13" s="1">
        <v>55</v>
      </c>
      <c r="E13" s="1">
        <v>40</v>
      </c>
      <c r="F13" s="1">
        <v>150</v>
      </c>
      <c r="H13" s="1"/>
      <c r="I13" s="1"/>
      <c r="J13" s="242"/>
      <c r="K13" s="223" t="s">
        <v>43</v>
      </c>
      <c r="L13" s="227">
        <f>+SUMIFS(Caja!$F:$F,Caja!$G:$G,'Inicio (2)'!$K13,Caja!$L:$L,'Inicio (2)'!L$5)</f>
        <v>0</v>
      </c>
      <c r="M13" s="227">
        <f>+SUMIFS(Caja!$F:$F,Caja!$G:$G,'Inicio (2)'!$K13,Caja!$L:$L,'Inicio (2)'!M$5)</f>
        <v>0</v>
      </c>
      <c r="N13" s="227">
        <f>+SUMIFS(Caja!$F:$F,Caja!$G:$G,'Inicio (2)'!$K13,Caja!$L:$L,'Inicio (2)'!N$5)</f>
        <v>0</v>
      </c>
      <c r="O13" s="237"/>
    </row>
    <row r="14" spans="1:21">
      <c r="A14" s="236"/>
      <c r="B14" s="1"/>
      <c r="C14" s="1"/>
      <c r="D14" s="1"/>
      <c r="E14" s="1"/>
      <c r="F14" s="1"/>
      <c r="G14" s="1"/>
      <c r="H14" s="1"/>
      <c r="I14" s="1"/>
      <c r="J14" s="242"/>
      <c r="K14" s="223" t="s">
        <v>31</v>
      </c>
      <c r="L14" s="227">
        <f>+SUMIFS(Caja!$F:$F,Caja!$G:$G,'Inicio (2)'!$K14,Caja!$L:$L,'Inicio (2)'!L$5)</f>
        <v>9</v>
      </c>
      <c r="M14" s="227">
        <f>+SUMIFS(Caja!$F:$F,Caja!$G:$G,'Inicio (2)'!$K14,Caja!$L:$L,'Inicio (2)'!M$5)</f>
        <v>10</v>
      </c>
      <c r="N14" s="227">
        <f>+SUMIFS(Caja!$F:$F,Caja!$G:$G,'Inicio (2)'!$K14,Caja!$L:$L,'Inicio (2)'!N$5)</f>
        <v>4</v>
      </c>
      <c r="O14" s="237"/>
    </row>
    <row r="15" spans="1:21">
      <c r="A15" s="236"/>
      <c r="B15" s="1" t="s">
        <v>57</v>
      </c>
      <c r="C15" s="243">
        <f>+C12/C13</f>
        <v>0.67272727272727273</v>
      </c>
      <c r="D15" s="243">
        <f>+D12/D13</f>
        <v>0.78181818181818186</v>
      </c>
      <c r="E15" s="243">
        <f>+E12/E13</f>
        <v>0.55000000000000004</v>
      </c>
      <c r="F15" s="243">
        <f>+F12/F13</f>
        <v>0.68</v>
      </c>
      <c r="G15" s="1"/>
      <c r="H15" s="1"/>
      <c r="I15" s="1"/>
      <c r="J15" s="242"/>
      <c r="K15" s="223" t="s">
        <v>32</v>
      </c>
      <c r="L15" s="227">
        <f>+SUMIFS(Caja!$F:$F,Caja!$G:$G,'Inicio (2)'!$K15,Caja!$L:$L,'Inicio (2)'!L$5)</f>
        <v>0</v>
      </c>
      <c r="M15" s="227">
        <f>+SUMIFS(Caja!$F:$F,Caja!$G:$G,'Inicio (2)'!$K15,Caja!$L:$L,'Inicio (2)'!M$5)</f>
        <v>0</v>
      </c>
      <c r="N15" s="227">
        <f>+SUMIFS(Caja!$F:$F,Caja!$G:$G,'Inicio (2)'!$K15,Caja!$L:$L,'Inicio (2)'!N$5)</f>
        <v>0</v>
      </c>
      <c r="O15" s="237"/>
    </row>
    <row r="16" spans="1:21">
      <c r="A16" s="236"/>
      <c r="B16" s="1" t="s">
        <v>58</v>
      </c>
      <c r="C16" s="243">
        <f ca="1">C12 * DAY(EOMONTH(TODAY(),0)) / (TODAY()-DATE(YEAR(TODAY()), MONTH(TODAY()), 1)+1)/C13</f>
        <v>0.96103896103896103</v>
      </c>
      <c r="D16" s="243">
        <f ca="1">D12 * DAY(EOMONTH(TODAY(),0)) / (TODAY()-DATE(YEAR(TODAY()), MONTH(TODAY()), 1)+1)/D13</f>
        <v>1.1168831168831168</v>
      </c>
      <c r="E16" s="243">
        <f ca="1">E12 * DAY(EOMONTH(TODAY(),0)) / (TODAY()-DATE(YEAR(TODAY()), MONTH(TODAY()), 1)+1)/E13</f>
        <v>0.7857142857142857</v>
      </c>
      <c r="F16" s="243">
        <f ca="1">F12 * DAY(EOMONTH(TODAY(),0)) / (TODAY()-DATE(YEAR(TODAY()), MONTH(TODAY()), 1)+1)/F13</f>
        <v>0.97142857142857153</v>
      </c>
      <c r="G16" s="264"/>
      <c r="H16" s="1"/>
      <c r="I16" s="1"/>
      <c r="J16" s="242"/>
      <c r="K16" s="223" t="s">
        <v>33</v>
      </c>
      <c r="L16" s="227">
        <f>+SUMIFS(Caja!$F:$F,Caja!$G:$G,'Inicio (2)'!$K16,Caja!$L:$L,'Inicio (2)'!L$5)</f>
        <v>1</v>
      </c>
      <c r="M16" s="227">
        <f>+SUMIFS(Caja!$F:$F,Caja!$G:$G,'Inicio (2)'!$K16,Caja!$L:$L,'Inicio (2)'!M$5)</f>
        <v>0</v>
      </c>
      <c r="N16" s="227">
        <f>+SUMIFS(Caja!$F:$F,Caja!$G:$G,'Inicio (2)'!$K16,Caja!$L:$L,'Inicio (2)'!N$5)</f>
        <v>0</v>
      </c>
      <c r="O16" s="237"/>
    </row>
    <row r="17" spans="1:15">
      <c r="A17" s="236"/>
      <c r="B17" s="1"/>
      <c r="C17" s="254"/>
      <c r="D17" s="254"/>
      <c r="E17" s="254"/>
      <c r="F17" s="254"/>
      <c r="G17" s="1"/>
      <c r="H17" s="1"/>
      <c r="I17" s="1"/>
      <c r="J17" s="242"/>
      <c r="K17" s="223" t="s">
        <v>34</v>
      </c>
      <c r="L17" s="227">
        <f>+SUMIFS(Caja!$F:$F,Caja!$G:$G,'Inicio (2)'!$K17,Caja!$L:$L,'Inicio (2)'!L$5)</f>
        <v>0</v>
      </c>
      <c r="M17" s="227">
        <f>+SUMIFS(Caja!$F:$F,Caja!$G:$G,'Inicio (2)'!$K17,Caja!$L:$L,'Inicio (2)'!M$5)</f>
        <v>0</v>
      </c>
      <c r="N17" s="227">
        <f>+SUMIFS(Caja!$F:$F,Caja!$G:$G,'Inicio (2)'!$K17,Caja!$L:$L,'Inicio (2)'!N$5)</f>
        <v>0</v>
      </c>
      <c r="O17" s="237"/>
    </row>
    <row r="18" spans="1:15">
      <c r="A18" s="236"/>
      <c r="C18" s="254"/>
      <c r="D18" s="254"/>
      <c r="E18" s="254"/>
      <c r="F18" s="254"/>
      <c r="G18" s="250"/>
      <c r="H18" s="1"/>
      <c r="I18" s="1"/>
      <c r="J18" s="242"/>
      <c r="K18" s="223" t="s">
        <v>35</v>
      </c>
      <c r="L18" s="227">
        <f>+SUMIFS(Caja!$F:$F,Caja!$G:$G,'Inicio (2)'!$K18,Caja!$L:$L,'Inicio (2)'!L$5)</f>
        <v>0</v>
      </c>
      <c r="M18" s="227">
        <f>+SUMIFS(Caja!$F:$F,Caja!$G:$G,'Inicio (2)'!$K18,Caja!$L:$L,'Inicio (2)'!M$5)</f>
        <v>0</v>
      </c>
      <c r="N18" s="227">
        <f>+SUMIFS(Caja!$F:$F,Caja!$G:$G,'Inicio (2)'!$K18,Caja!$L:$L,'Inicio (2)'!N$5)</f>
        <v>0</v>
      </c>
      <c r="O18" s="237"/>
    </row>
    <row r="19" spans="1:15">
      <c r="A19" s="236"/>
      <c r="B19" s="252" t="str">
        <f ca="1">+"Faltan "&amp;+DAY(EOMONTH(TODAY(),0))-(TODAY()-DATE(YEAR(TODAY()),MONTH(TODAY()),1)+1)&amp;+" días para terminar el mes. "</f>
        <v xml:space="preserve">Faltan 9 días para terminar el mes. </v>
      </c>
      <c r="C19" s="254"/>
      <c r="D19" s="254"/>
      <c r="E19" s="254"/>
      <c r="F19" s="1"/>
      <c r="G19" s="1"/>
      <c r="H19" s="1"/>
      <c r="I19" s="1"/>
      <c r="J19" s="242"/>
      <c r="K19" s="223" t="s">
        <v>36</v>
      </c>
      <c r="L19" s="227">
        <f>+SUMIFS(Caja!$F:$F,Caja!$G:$G,'Inicio (2)'!$K19,Caja!$L:$L,'Inicio (2)'!L$5)</f>
        <v>0</v>
      </c>
      <c r="M19" s="227">
        <f>+SUMIFS(Caja!$F:$F,Caja!$G:$G,'Inicio (2)'!$K19,Caja!$L:$L,'Inicio (2)'!M$5)</f>
        <v>0</v>
      </c>
      <c r="N19" s="227">
        <f>+SUMIFS(Caja!$F:$F,Caja!$G:$G,'Inicio (2)'!$K19,Caja!$L:$L,'Inicio (2)'!N$5)</f>
        <v>0</v>
      </c>
      <c r="O19" s="237"/>
    </row>
    <row r="20" spans="1:15">
      <c r="A20" s="236"/>
      <c r="B20" s="253" t="str">
        <f ca="1">+"Hay que hacer "&amp;ROUND((+F13*0.9-F12)/(+DAY(EOMONTH(TODAY(),0))-(TODAY()-DATE(YEAR(TODAY()),MONTH(TODAY()),1)+1)),2)&amp;+" por día para llegar al 90%"</f>
        <v>Hay que hacer 3,67 por día para llegar al 90%</v>
      </c>
      <c r="C20" s="254"/>
      <c r="D20" s="254"/>
      <c r="E20" s="254"/>
      <c r="F20" s="1"/>
      <c r="G20" s="1"/>
      <c r="H20" s="1"/>
      <c r="I20" s="1"/>
      <c r="J20" s="242"/>
      <c r="K20" s="223" t="s">
        <v>51</v>
      </c>
      <c r="L20" s="227">
        <f>+SUMIFS(Caja!$F:$F,Caja!$G:$G,'Inicio (2)'!$K20,Caja!$L:$L,'Inicio (2)'!L$5)</f>
        <v>19</v>
      </c>
      <c r="M20" s="227">
        <f>+SUMIFS(Caja!$F:$F,Caja!$G:$G,'Inicio (2)'!$K20,Caja!$L:$L,'Inicio (2)'!M$5)</f>
        <v>24</v>
      </c>
      <c r="N20" s="227">
        <f>+SUMIFS(Caja!$F:$F,Caja!$G:$G,'Inicio (2)'!$K20,Caja!$L:$L,'Inicio (2)'!N$5)</f>
        <v>16</v>
      </c>
      <c r="O20" s="237"/>
    </row>
    <row r="21" spans="1:15">
      <c r="A21" s="236"/>
      <c r="B21" s="253" t="str">
        <f ca="1">+"Hay que hacer "&amp;ROUND((+F13-F12)/(+DAY(EOMONTH(TODAY(),0))-(TODAY()-DATE(YEAR(TODAY()),MONTH(TODAY()),1)+1)),2)&amp;+" por día para llegar al 100%"</f>
        <v>Hay que hacer 5,33 por día para llegar al 100%</v>
      </c>
      <c r="C21" s="1"/>
      <c r="D21" s="1"/>
      <c r="E21" s="1"/>
      <c r="F21" s="1"/>
      <c r="G21" s="1"/>
      <c r="H21" s="1"/>
      <c r="I21" s="1"/>
      <c r="J21" s="242"/>
      <c r="K21" s="223" t="s">
        <v>0</v>
      </c>
      <c r="L21" s="227">
        <f>+SUMIFS(Caja!$F:$F,Caja!$G:$G,'Inicio (2)'!$K21,Caja!$L:$L,'Inicio (2)'!L$5)</f>
        <v>2</v>
      </c>
      <c r="M21" s="227">
        <f>+SUMIFS(Caja!$F:$F,Caja!$G:$G,'Inicio (2)'!$K21,Caja!$L:$L,'Inicio (2)'!M$5)</f>
        <v>2</v>
      </c>
      <c r="N21" s="227">
        <f>+SUMIFS(Caja!$F:$F,Caja!$G:$G,'Inicio (2)'!$K21,Caja!$L:$L,'Inicio (2)'!N$5)</f>
        <v>1</v>
      </c>
      <c r="O21" s="237"/>
    </row>
    <row r="22" spans="1:15">
      <c r="A22" s="236"/>
      <c r="B22" s="253" t="str">
        <f ca="1">+"Hay que hacer "&amp;ROUND((+F13*1.1-F12)/(+DAY(EOMONTH(TODAY(),0))-(TODAY()-DATE(YEAR(TODAY()),MONTH(TODAY()),1)+1)),2)&amp;+" por día para llegar al 110%"</f>
        <v>Hay que hacer 7 por día para llegar al 110%</v>
      </c>
      <c r="C22" s="1"/>
      <c r="D22" s="1"/>
      <c r="E22" s="1"/>
      <c r="F22" s="1"/>
      <c r="G22" s="1"/>
      <c r="H22" s="1"/>
      <c r="I22" s="1"/>
      <c r="J22" s="242"/>
      <c r="K22" s="223" t="s">
        <v>59</v>
      </c>
      <c r="L22" s="227"/>
      <c r="M22" s="227"/>
      <c r="N22" s="227"/>
      <c r="O22" s="237"/>
    </row>
    <row r="23" spans="1:15">
      <c r="A23" s="236"/>
      <c r="B23" s="253" t="str">
        <f ca="1">+"Hay que hacer "&amp;ROUND((+F13*1.25-F12)/(+DAY(EOMONTH(TODAY(),0))-(TODAY()-DATE(YEAR(TODAY()),MONTH(TODAY()),1)+1)),2)&amp;+" por día para llegar al 125%"</f>
        <v>Hay que hacer 9,5 por día para llegar al 125%</v>
      </c>
      <c r="C23" s="243"/>
      <c r="D23" s="246"/>
      <c r="E23" s="1"/>
      <c r="F23" s="1"/>
      <c r="G23" s="1"/>
      <c r="H23" s="1"/>
      <c r="I23" s="1"/>
      <c r="J23" s="242"/>
      <c r="K23" s="318"/>
      <c r="L23" s="318"/>
      <c r="M23" s="318"/>
      <c r="N23" s="318"/>
      <c r="O23" s="237"/>
    </row>
    <row r="24" spans="1:15">
      <c r="A24" s="236"/>
      <c r="B24" s="254"/>
      <c r="C24" s="1"/>
      <c r="D24" s="246"/>
      <c r="E24" s="1"/>
      <c r="F24" s="1"/>
      <c r="G24" s="1"/>
      <c r="H24" s="1"/>
      <c r="I24" s="1"/>
      <c r="J24" s="242"/>
      <c r="K24" s="318" t="s">
        <v>52</v>
      </c>
      <c r="L24" s="318"/>
      <c r="M24" s="318"/>
      <c r="N24" s="318"/>
      <c r="O24" s="237"/>
    </row>
    <row r="25" spans="1:15">
      <c r="A25" s="238"/>
      <c r="B25" s="239"/>
      <c r="C25" s="239"/>
      <c r="D25" s="239"/>
      <c r="E25" s="239"/>
      <c r="F25" s="239"/>
      <c r="G25" s="239"/>
      <c r="H25" s="239"/>
      <c r="I25" s="239"/>
      <c r="J25" s="238"/>
      <c r="K25" s="239"/>
      <c r="L25" s="239"/>
      <c r="M25" s="240"/>
      <c r="N25" s="240"/>
      <c r="O25" s="241"/>
    </row>
    <row r="26" spans="1:15">
      <c r="M26" s="213"/>
      <c r="N26" s="213"/>
      <c r="O26" s="213"/>
    </row>
    <row r="27" spans="1:15">
      <c r="C27" s="230"/>
      <c r="D27" s="225"/>
      <c r="E27" s="225"/>
      <c r="J27" s="225"/>
      <c r="K27" s="225"/>
      <c r="L27" s="225"/>
    </row>
    <row r="28" spans="1:15">
      <c r="B28" s="214"/>
      <c r="C28" s="214"/>
      <c r="D28" s="214"/>
      <c r="E28" s="214"/>
      <c r="F28" s="214"/>
      <c r="G28" s="214"/>
      <c r="H28" s="214"/>
      <c r="I28" s="214"/>
      <c r="J28" s="214"/>
      <c r="K28" s="214"/>
      <c r="L28" s="214"/>
      <c r="M28" s="226"/>
      <c r="N28" s="226"/>
    </row>
    <row r="29" spans="1: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</row>
    <row r="30" spans="1:15">
      <c r="A30" s="214"/>
      <c r="B30" s="214"/>
      <c r="C30" s="214"/>
      <c r="D30" s="214"/>
      <c r="E30" s="214"/>
      <c r="F30" s="214"/>
      <c r="G30" s="214"/>
      <c r="H30" s="214"/>
      <c r="I30" s="214"/>
      <c r="J30" s="214"/>
      <c r="K30" s="214"/>
      <c r="L30" s="214"/>
      <c r="M30" s="214"/>
      <c r="N30" s="214"/>
    </row>
    <row r="31" spans="1:15">
      <c r="A31" s="214"/>
      <c r="B31" s="214"/>
      <c r="C31" s="214"/>
      <c r="D31" s="214"/>
      <c r="E31" s="214"/>
      <c r="F31" s="214"/>
      <c r="G31" s="214"/>
      <c r="H31" s="214"/>
      <c r="I31" s="214"/>
      <c r="J31" s="214"/>
      <c r="K31" s="214"/>
      <c r="L31" s="214"/>
      <c r="M31" s="214"/>
      <c r="N31" s="214"/>
    </row>
    <row r="32" spans="1:15">
      <c r="A32" s="214"/>
      <c r="B32" s="214"/>
      <c r="C32" s="214"/>
      <c r="D32" s="214"/>
      <c r="E32" s="214"/>
      <c r="F32" s="214"/>
      <c r="G32" s="214"/>
      <c r="H32" s="214"/>
      <c r="I32" s="214"/>
      <c r="J32" s="214"/>
      <c r="K32" s="214"/>
      <c r="L32" s="214"/>
      <c r="M32" s="214"/>
      <c r="N32" s="214"/>
    </row>
    <row r="33" spans="1:14">
      <c r="A33" s="214"/>
      <c r="B33" s="214"/>
      <c r="C33" s="214"/>
      <c r="D33" s="214"/>
      <c r="E33" s="214"/>
      <c r="F33" s="214"/>
      <c r="G33" s="214"/>
      <c r="H33" s="214"/>
      <c r="I33" s="214"/>
      <c r="J33" s="214"/>
      <c r="K33" s="214"/>
      <c r="L33" s="214"/>
      <c r="M33" s="214"/>
      <c r="N33" s="214"/>
    </row>
    <row r="34" spans="1:14">
      <c r="A34" s="214"/>
      <c r="B34" s="214"/>
      <c r="C34" s="214"/>
      <c r="D34" s="214"/>
      <c r="E34" s="214"/>
      <c r="F34" s="214"/>
      <c r="G34" s="214"/>
      <c r="H34" s="214"/>
      <c r="I34" s="214"/>
      <c r="J34" s="214"/>
      <c r="K34" s="214"/>
      <c r="L34" s="214"/>
      <c r="M34" s="214"/>
      <c r="N34" s="214"/>
    </row>
    <row r="35" spans="1:14">
      <c r="A35" s="214"/>
      <c r="B35" s="214"/>
      <c r="C35" s="214"/>
      <c r="D35" s="214"/>
      <c r="E35" s="214"/>
      <c r="F35" s="214"/>
      <c r="G35" s="214"/>
      <c r="H35" s="214"/>
      <c r="I35" s="214"/>
      <c r="J35" s="214"/>
      <c r="K35" s="214"/>
      <c r="L35" s="214"/>
      <c r="M35" s="214"/>
      <c r="N35" s="214"/>
    </row>
    <row r="36" spans="1:14">
      <c r="A36" s="214"/>
      <c r="B36" s="214"/>
      <c r="C36" s="214"/>
      <c r="D36" s="214"/>
      <c r="E36" s="214"/>
      <c r="F36" s="214"/>
      <c r="G36" s="214"/>
      <c r="H36" s="214"/>
      <c r="I36" s="214"/>
      <c r="J36" s="214"/>
      <c r="K36" s="214"/>
      <c r="L36" s="214"/>
      <c r="M36" s="214"/>
      <c r="N36" s="214"/>
    </row>
    <row r="37" spans="1:14">
      <c r="A37" s="214"/>
      <c r="B37" s="214"/>
      <c r="C37" s="214"/>
      <c r="D37" s="214"/>
      <c r="E37" s="214"/>
      <c r="F37" s="214"/>
      <c r="G37" s="214"/>
      <c r="H37" s="214"/>
      <c r="I37" s="214"/>
      <c r="J37" s="214"/>
      <c r="K37" s="214"/>
      <c r="L37" s="214"/>
      <c r="M37" s="225"/>
      <c r="N37" s="225"/>
    </row>
    <row r="38" spans="1:14">
      <c r="A38" s="214"/>
      <c r="B38" s="214"/>
      <c r="C38" s="214"/>
      <c r="D38" s="214"/>
      <c r="E38" s="214"/>
      <c r="F38" s="214"/>
      <c r="G38" s="214"/>
      <c r="H38" s="214"/>
      <c r="I38" s="214"/>
      <c r="J38" s="214"/>
      <c r="K38" s="214"/>
      <c r="L38" s="214"/>
      <c r="M38" s="226"/>
      <c r="N38" s="226"/>
    </row>
    <row r="39" spans="1:14">
      <c r="A39" s="214"/>
      <c r="B39" s="214"/>
      <c r="C39" s="214"/>
      <c r="D39" s="214"/>
      <c r="E39" s="214"/>
      <c r="F39" s="214"/>
      <c r="G39" s="214"/>
      <c r="H39" s="214"/>
      <c r="I39" s="214"/>
      <c r="J39" s="214"/>
      <c r="K39" s="214"/>
      <c r="L39" s="214"/>
      <c r="M39" s="214"/>
      <c r="N39" s="214"/>
    </row>
    <row r="40" spans="1:14">
      <c r="A40" s="214"/>
      <c r="B40" s="214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</row>
    <row r="41" spans="1:14">
      <c r="A41" s="214"/>
      <c r="B41" s="214"/>
      <c r="C41" s="214"/>
      <c r="D41" s="214"/>
      <c r="E41" s="214"/>
      <c r="F41" s="214"/>
      <c r="G41" s="214"/>
      <c r="H41" s="214"/>
      <c r="I41" s="214"/>
      <c r="J41" s="214"/>
      <c r="K41" s="214"/>
      <c r="L41" s="214"/>
      <c r="M41" s="214"/>
      <c r="N41" s="214"/>
    </row>
    <row r="42" spans="1:14">
      <c r="A42" s="214"/>
      <c r="B42" s="214"/>
      <c r="C42" s="214"/>
      <c r="D42" s="214"/>
      <c r="E42" s="214"/>
      <c r="F42" s="214"/>
      <c r="G42" s="214"/>
      <c r="H42" s="214"/>
      <c r="I42" s="214"/>
      <c r="J42" s="214"/>
      <c r="K42" s="214"/>
      <c r="L42" s="214"/>
      <c r="M42" s="214"/>
      <c r="N42" s="214"/>
    </row>
    <row r="43" spans="1:14">
      <c r="A43" s="214"/>
      <c r="B43" s="214"/>
      <c r="C43" s="214"/>
      <c r="D43" s="214"/>
      <c r="E43" s="214"/>
      <c r="F43" s="214"/>
      <c r="G43" s="214"/>
      <c r="H43" s="214"/>
      <c r="I43" s="214"/>
      <c r="J43" s="214"/>
      <c r="K43" s="214"/>
      <c r="L43" s="214"/>
      <c r="M43" s="214"/>
      <c r="N43" s="214"/>
    </row>
    <row r="44" spans="1:14">
      <c r="A44" s="214"/>
      <c r="B44" s="214"/>
      <c r="C44" s="214"/>
      <c r="D44" s="214"/>
      <c r="E44" s="214"/>
      <c r="F44" s="214"/>
      <c r="G44" s="214"/>
      <c r="H44" s="214"/>
      <c r="I44" s="214"/>
      <c r="J44" s="214"/>
      <c r="K44" s="214"/>
      <c r="L44" s="214"/>
      <c r="M44" s="214"/>
      <c r="N44" s="214"/>
    </row>
    <row r="45" spans="1:14">
      <c r="A45" s="214"/>
      <c r="B45" s="214"/>
      <c r="C45" s="214"/>
      <c r="D45" s="214"/>
      <c r="E45" s="214"/>
      <c r="F45" s="214"/>
      <c r="G45" s="214"/>
      <c r="H45" s="214"/>
      <c r="I45" s="214"/>
      <c r="J45" s="214"/>
      <c r="K45" s="214"/>
      <c r="L45" s="214"/>
      <c r="M45" s="214"/>
      <c r="N45" s="214"/>
    </row>
    <row r="46" spans="1:14">
      <c r="A46" s="214"/>
      <c r="B46" s="214"/>
      <c r="C46" s="214"/>
      <c r="D46" s="214"/>
      <c r="E46" s="214"/>
      <c r="F46" s="214"/>
      <c r="G46" s="214"/>
      <c r="H46" s="214"/>
      <c r="I46" s="214"/>
      <c r="J46" s="214"/>
      <c r="K46" s="214"/>
      <c r="L46" s="214"/>
      <c r="M46" s="214"/>
      <c r="N46" s="214"/>
    </row>
    <row r="47" spans="1:14">
      <c r="A47" s="214"/>
      <c r="B47" s="214"/>
      <c r="C47" s="214"/>
      <c r="D47" s="214"/>
      <c r="E47" s="214"/>
      <c r="F47" s="214"/>
      <c r="G47" s="214"/>
      <c r="H47" s="214"/>
      <c r="I47" s="214"/>
      <c r="J47" s="214"/>
      <c r="K47" s="214"/>
      <c r="L47" s="214"/>
      <c r="M47" s="214"/>
      <c r="N47" s="214"/>
    </row>
    <row r="48" spans="1:14">
      <c r="A48" s="214"/>
      <c r="B48" s="214"/>
      <c r="C48" s="214"/>
      <c r="D48" s="214"/>
      <c r="E48" s="214"/>
      <c r="F48" s="214"/>
      <c r="G48" s="214"/>
      <c r="H48" s="214"/>
      <c r="I48" s="214"/>
      <c r="J48" s="214"/>
      <c r="K48" s="214"/>
      <c r="L48" s="214"/>
      <c r="M48" s="214"/>
      <c r="N48" s="214"/>
    </row>
    <row r="49" spans="1:13">
      <c r="A49" s="214"/>
      <c r="B49" s="214"/>
      <c r="C49" s="214"/>
      <c r="D49" s="214"/>
      <c r="E49" s="214"/>
      <c r="F49" s="214"/>
      <c r="G49" s="214"/>
      <c r="H49" s="214"/>
      <c r="I49" s="214"/>
      <c r="J49" s="214"/>
      <c r="K49" s="214"/>
      <c r="L49" s="214"/>
      <c r="M49" s="214"/>
    </row>
    <row r="50" spans="1:13">
      <c r="A50" s="214"/>
      <c r="B50" s="214"/>
      <c r="C50" s="214"/>
      <c r="D50" s="214"/>
      <c r="E50" s="214"/>
      <c r="F50" s="214"/>
      <c r="G50" s="214"/>
      <c r="H50" s="214"/>
      <c r="I50" s="214"/>
      <c r="J50" s="214"/>
      <c r="K50" s="214"/>
      <c r="L50" s="214"/>
      <c r="M50" s="214"/>
    </row>
    <row r="51" spans="1:13">
      <c r="A51" s="214"/>
      <c r="B51" s="214"/>
      <c r="C51" s="214"/>
      <c r="D51" s="214"/>
      <c r="E51" s="214"/>
      <c r="F51" s="214"/>
      <c r="G51" s="214"/>
      <c r="H51" s="214"/>
      <c r="I51" s="214"/>
      <c r="J51" s="214"/>
      <c r="K51" s="214"/>
      <c r="L51" s="214"/>
      <c r="M51" s="214"/>
    </row>
    <row r="52" spans="1:13">
      <c r="A52" s="214"/>
      <c r="B52" s="214"/>
      <c r="C52" s="214"/>
      <c r="D52" s="214"/>
      <c r="E52" s="214"/>
      <c r="F52" s="214"/>
      <c r="G52" s="214"/>
      <c r="H52" s="214"/>
      <c r="I52" s="214"/>
      <c r="J52" s="214"/>
      <c r="K52" s="214"/>
      <c r="L52" s="214"/>
      <c r="M52" s="214"/>
    </row>
    <row r="53" spans="1:13">
      <c r="A53" s="214"/>
      <c r="B53" s="214"/>
      <c r="C53" s="214"/>
      <c r="D53" s="214"/>
      <c r="E53" s="214"/>
      <c r="F53" s="214"/>
      <c r="G53" s="214"/>
      <c r="H53" s="214"/>
      <c r="I53" s="214"/>
      <c r="J53" s="214"/>
      <c r="K53" s="214"/>
      <c r="L53" s="214"/>
      <c r="M53" s="214"/>
    </row>
    <row r="54" spans="1:13">
      <c r="A54" s="214"/>
      <c r="B54" s="214"/>
      <c r="C54" s="214"/>
      <c r="D54" s="214"/>
      <c r="E54" s="214"/>
      <c r="F54" s="214"/>
      <c r="G54" s="214"/>
      <c r="H54" s="214"/>
      <c r="I54" s="214"/>
      <c r="J54" s="214"/>
      <c r="K54" s="214"/>
      <c r="L54" s="214"/>
      <c r="M54" s="214"/>
    </row>
    <row r="55" spans="1:13">
      <c r="A55" s="214"/>
      <c r="B55" s="214"/>
      <c r="C55" s="214"/>
      <c r="D55" s="214"/>
      <c r="E55" s="214"/>
      <c r="F55" s="214"/>
      <c r="G55" s="214"/>
      <c r="H55" s="214"/>
      <c r="I55" s="214"/>
      <c r="J55" s="214"/>
      <c r="K55" s="214"/>
      <c r="L55" s="214"/>
      <c r="M55" s="214"/>
    </row>
    <row r="56" spans="1:13">
      <c r="A56" s="214"/>
      <c r="B56" s="214"/>
      <c r="C56" s="214"/>
      <c r="D56" s="214"/>
      <c r="E56" s="214"/>
      <c r="F56" s="214"/>
      <c r="G56" s="214"/>
      <c r="H56" s="214"/>
      <c r="I56" s="214"/>
      <c r="J56" s="214"/>
      <c r="K56" s="214"/>
      <c r="L56" s="214"/>
      <c r="M56" s="214"/>
    </row>
    <row r="57" spans="1:13">
      <c r="A57" s="214"/>
      <c r="B57" s="214"/>
      <c r="C57" s="214"/>
      <c r="D57" s="214"/>
      <c r="E57" s="214"/>
      <c r="F57" s="214"/>
      <c r="G57" s="214"/>
      <c r="H57" s="214"/>
      <c r="I57" s="214"/>
      <c r="J57" s="214"/>
      <c r="K57" s="214"/>
      <c r="L57" s="214"/>
      <c r="M57" s="214"/>
    </row>
    <row r="58" spans="1:13">
      <c r="A58" s="214"/>
      <c r="B58" s="214"/>
    </row>
  </sheetData>
  <mergeCells count="2">
    <mergeCell ref="K23:N23"/>
    <mergeCell ref="K24:N24"/>
  </mergeCells>
  <conditionalFormatting sqref="C15:F15">
    <cfRule type="colorScale" priority="4">
      <colorScale>
        <cfvo type="num" val="0"/>
        <cfvo type="num" val="&quot;1,25&quot;"/>
        <color rgb="FFFFC000"/>
        <color rgb="FF92D050"/>
      </colorScale>
    </cfRule>
  </conditionalFormatting>
  <conditionalFormatting sqref="L6:N22">
    <cfRule type="colorScale" priority="3">
      <colorScale>
        <cfvo type="min"/>
        <cfvo type="max"/>
        <color rgb="FFFCFCFF"/>
        <color rgb="FF63BE7B"/>
      </colorScale>
    </cfRule>
  </conditionalFormatting>
  <conditionalFormatting sqref="C7:E11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R2529"/>
  <sheetViews>
    <sheetView zoomScale="90" zoomScaleNormal="90" workbookViewId="0">
      <selection sqref="A1:CD2421"/>
    </sheetView>
  </sheetViews>
  <sheetFormatPr baseColWidth="10" defaultRowHeight="15"/>
  <cols>
    <col min="1" max="1" width="7.28515625" style="16" customWidth="1"/>
    <col min="2" max="2" width="29" style="55" bestFit="1" customWidth="1"/>
    <col min="3" max="3" width="7.5703125" style="137" customWidth="1"/>
    <col min="4" max="4" width="10.7109375" style="112" customWidth="1"/>
    <col min="5" max="5" width="11.7109375" style="112" customWidth="1"/>
    <col min="6" max="6" width="6.140625" style="55" customWidth="1"/>
    <col min="7" max="7" width="13.140625" style="55" customWidth="1"/>
    <col min="8" max="8" width="12.7109375" style="55" customWidth="1"/>
    <col min="9" max="9" width="6.7109375" style="137" customWidth="1"/>
    <col min="10" max="10" width="8.140625" style="55" customWidth="1"/>
    <col min="11" max="11" width="8.5703125" style="137" customWidth="1"/>
    <col min="12" max="12" width="10.7109375" style="137" customWidth="1"/>
    <col min="13" max="13" width="37.28515625" style="138" customWidth="1"/>
    <col min="14" max="14" width="3.42578125" style="55" customWidth="1"/>
    <col min="15" max="15" width="5.7109375" style="55" customWidth="1"/>
    <col min="16" max="16" width="8.140625" style="55" customWidth="1"/>
    <col min="17" max="17" width="11.5703125" style="55" customWidth="1"/>
    <col min="18" max="18" width="10.42578125" style="55" customWidth="1"/>
  </cols>
  <sheetData>
    <row r="1" spans="1:18">
      <c r="A1" s="3">
        <v>46174</v>
      </c>
      <c r="B1" s="17">
        <v>46194</v>
      </c>
      <c r="C1" s="18" t="s">
        <v>1</v>
      </c>
      <c r="D1" s="19">
        <v>308285.5877000005</v>
      </c>
      <c r="E1" s="20"/>
      <c r="F1" s="21" t="s">
        <v>2</v>
      </c>
      <c r="G1" s="22">
        <v>0</v>
      </c>
      <c r="H1" s="23"/>
      <c r="I1" s="24" t="s">
        <v>1</v>
      </c>
      <c r="J1" s="25">
        <v>553488.5877000005</v>
      </c>
      <c r="K1" s="26"/>
      <c r="L1" s="27"/>
      <c r="M1" s="28"/>
      <c r="N1" s="29">
        <v>0</v>
      </c>
      <c r="O1" s="30"/>
      <c r="P1" s="31"/>
      <c r="Q1" s="32"/>
      <c r="R1" s="33">
        <v>46176</v>
      </c>
    </row>
    <row r="2" spans="1:18" ht="15.75" thickBot="1">
      <c r="A2" s="4" t="s">
        <v>3</v>
      </c>
      <c r="B2" s="34"/>
      <c r="C2" s="35" t="s">
        <v>4</v>
      </c>
      <c r="D2" s="36">
        <v>0</v>
      </c>
      <c r="E2" s="37"/>
      <c r="F2" s="38" t="s">
        <v>5</v>
      </c>
      <c r="G2" s="39">
        <v>0</v>
      </c>
      <c r="H2" s="40"/>
      <c r="I2" s="41" t="s">
        <v>4</v>
      </c>
      <c r="J2" s="42"/>
      <c r="K2" s="43"/>
      <c r="L2" s="44"/>
      <c r="M2" s="28"/>
      <c r="N2" s="29">
        <v>0</v>
      </c>
      <c r="O2" s="30"/>
      <c r="P2" s="45" t="s">
        <v>6</v>
      </c>
      <c r="Q2" s="46">
        <v>1275468</v>
      </c>
      <c r="R2" s="47">
        <v>44500</v>
      </c>
    </row>
    <row r="3" spans="1:18" ht="15.75" thickBot="1">
      <c r="A3" s="5" t="s">
        <v>7</v>
      </c>
      <c r="B3" s="48" t="s">
        <v>8</v>
      </c>
      <c r="C3" s="49" t="s">
        <v>9</v>
      </c>
      <c r="D3" s="50" t="s">
        <v>10</v>
      </c>
      <c r="E3" s="50" t="s">
        <v>11</v>
      </c>
      <c r="F3" s="48" t="s">
        <v>12</v>
      </c>
      <c r="G3" s="51" t="s">
        <v>13</v>
      </c>
      <c r="H3" s="48" t="s">
        <v>14</v>
      </c>
      <c r="I3" s="49" t="s">
        <v>15</v>
      </c>
      <c r="J3" s="52" t="s">
        <v>16</v>
      </c>
      <c r="K3" s="49" t="s">
        <v>17</v>
      </c>
      <c r="L3" s="49" t="s">
        <v>18</v>
      </c>
      <c r="M3" s="53" t="s">
        <v>19</v>
      </c>
      <c r="N3" s="54"/>
      <c r="P3" s="56" t="s">
        <v>20</v>
      </c>
      <c r="Q3" s="57">
        <v>1303968</v>
      </c>
      <c r="R3" s="58">
        <v>44500</v>
      </c>
    </row>
    <row r="4" spans="1:18">
      <c r="A4" s="6">
        <v>46174</v>
      </c>
      <c r="B4" s="59" t="s">
        <v>81</v>
      </c>
      <c r="C4" s="60"/>
      <c r="D4" s="62">
        <v>35000</v>
      </c>
      <c r="E4" s="62"/>
      <c r="F4" s="63">
        <v>1</v>
      </c>
      <c r="G4" s="59" t="s">
        <v>74</v>
      </c>
      <c r="H4" s="59" t="s">
        <v>75</v>
      </c>
      <c r="I4" s="64" t="s">
        <v>60</v>
      </c>
      <c r="J4" s="59" t="s">
        <v>61</v>
      </c>
      <c r="K4" s="65"/>
      <c r="L4" s="66" t="s">
        <v>88</v>
      </c>
      <c r="M4" s="67"/>
      <c r="N4" s="68"/>
      <c r="O4" s="69"/>
      <c r="P4" s="69"/>
      <c r="Q4" s="69"/>
      <c r="R4" s="69"/>
    </row>
    <row r="5" spans="1:18">
      <c r="A5" s="6">
        <v>46174</v>
      </c>
      <c r="B5" s="59" t="s">
        <v>238</v>
      </c>
      <c r="C5" s="60" t="s">
        <v>5059</v>
      </c>
      <c r="D5" s="62"/>
      <c r="E5" s="62"/>
      <c r="F5" s="63">
        <v>35</v>
      </c>
      <c r="G5" s="59" t="s">
        <v>22</v>
      </c>
      <c r="H5" s="59" t="s">
        <v>21</v>
      </c>
      <c r="I5" s="64"/>
      <c r="J5" s="59"/>
      <c r="K5" s="65"/>
      <c r="L5" s="66" t="s">
        <v>95</v>
      </c>
      <c r="M5" s="67"/>
      <c r="N5" s="68"/>
      <c r="O5" s="69"/>
      <c r="P5" s="69"/>
      <c r="Q5" s="69"/>
      <c r="R5" s="69"/>
    </row>
    <row r="6" spans="1:18">
      <c r="A6" s="6">
        <v>46174</v>
      </c>
      <c r="B6" s="59" t="s">
        <v>5060</v>
      </c>
      <c r="C6" s="60"/>
      <c r="D6" s="62"/>
      <c r="E6" s="62"/>
      <c r="F6" s="63">
        <v>1</v>
      </c>
      <c r="G6" s="59" t="s">
        <v>64</v>
      </c>
      <c r="H6" s="59"/>
      <c r="I6" s="64"/>
      <c r="J6" s="59"/>
      <c r="K6" s="65"/>
      <c r="L6" s="66" t="s">
        <v>82</v>
      </c>
      <c r="M6" s="67" t="s">
        <v>96</v>
      </c>
      <c r="N6" s="68"/>
      <c r="O6" s="69"/>
      <c r="P6" s="69"/>
      <c r="Q6" s="69"/>
      <c r="R6" s="69"/>
    </row>
    <row r="7" spans="1:18">
      <c r="A7" s="6">
        <v>46174</v>
      </c>
      <c r="B7" s="59" t="s">
        <v>5061</v>
      </c>
      <c r="C7" s="60"/>
      <c r="D7" s="62">
        <v>500</v>
      </c>
      <c r="E7" s="62"/>
      <c r="F7" s="63">
        <v>1</v>
      </c>
      <c r="G7" s="59" t="s">
        <v>22</v>
      </c>
      <c r="H7" s="59" t="s">
        <v>21</v>
      </c>
      <c r="I7" s="64" t="s">
        <v>60</v>
      </c>
      <c r="J7" s="59" t="s">
        <v>61</v>
      </c>
      <c r="K7" s="65"/>
      <c r="L7" s="66" t="s">
        <v>82</v>
      </c>
      <c r="M7" s="67"/>
      <c r="N7" s="68"/>
      <c r="O7" s="69"/>
      <c r="P7" s="69"/>
      <c r="Q7" s="69"/>
      <c r="R7" s="69"/>
    </row>
    <row r="8" spans="1:18">
      <c r="A8" s="6">
        <v>46174</v>
      </c>
      <c r="B8" s="59" t="s">
        <v>5062</v>
      </c>
      <c r="C8" s="60"/>
      <c r="D8" s="62">
        <v>500</v>
      </c>
      <c r="E8" s="62"/>
      <c r="F8" s="63">
        <v>1</v>
      </c>
      <c r="G8" s="59" t="s">
        <v>22</v>
      </c>
      <c r="H8" s="59" t="s">
        <v>21</v>
      </c>
      <c r="I8" s="70" t="s">
        <v>60</v>
      </c>
      <c r="J8" s="71" t="s">
        <v>61</v>
      </c>
      <c r="K8" s="72"/>
      <c r="L8" s="73" t="s">
        <v>82</v>
      </c>
      <c r="M8" s="74"/>
      <c r="N8" s="68"/>
      <c r="O8" s="69"/>
      <c r="P8" s="69"/>
      <c r="Q8" s="69"/>
      <c r="R8" s="69"/>
    </row>
    <row r="9" spans="1:18">
      <c r="A9" s="6">
        <v>46174</v>
      </c>
      <c r="B9" s="59" t="s">
        <v>5063</v>
      </c>
      <c r="C9" s="60"/>
      <c r="D9" s="62">
        <v>500</v>
      </c>
      <c r="E9" s="62"/>
      <c r="F9" s="63">
        <v>1</v>
      </c>
      <c r="G9" s="59" t="s">
        <v>22</v>
      </c>
      <c r="H9" s="59" t="s">
        <v>21</v>
      </c>
      <c r="I9" s="64" t="s">
        <v>60</v>
      </c>
      <c r="J9" s="59" t="s">
        <v>61</v>
      </c>
      <c r="K9" s="65"/>
      <c r="L9" s="66" t="s">
        <v>89</v>
      </c>
      <c r="M9" s="67"/>
      <c r="N9" s="68"/>
      <c r="O9" s="69"/>
      <c r="P9" s="69"/>
      <c r="Q9" s="69"/>
      <c r="R9" s="69"/>
    </row>
    <row r="10" spans="1:18">
      <c r="A10" s="7">
        <v>46174</v>
      </c>
      <c r="B10" s="71" t="s">
        <v>5064</v>
      </c>
      <c r="C10" s="75"/>
      <c r="D10" s="76">
        <v>500</v>
      </c>
      <c r="E10" s="76"/>
      <c r="F10" s="77">
        <v>1</v>
      </c>
      <c r="G10" s="71" t="s">
        <v>22</v>
      </c>
      <c r="H10" s="71" t="s">
        <v>21</v>
      </c>
      <c r="I10" s="70" t="s">
        <v>60</v>
      </c>
      <c r="J10" s="71" t="s">
        <v>61</v>
      </c>
      <c r="K10" s="72"/>
      <c r="L10" s="73" t="s">
        <v>89</v>
      </c>
      <c r="M10" s="74"/>
      <c r="N10" s="68"/>
      <c r="O10" s="69"/>
      <c r="P10" s="69"/>
      <c r="Q10" s="69"/>
      <c r="R10" s="69"/>
    </row>
    <row r="11" spans="1:18">
      <c r="A11" s="6">
        <v>46174</v>
      </c>
      <c r="B11" s="59" t="s">
        <v>5065</v>
      </c>
      <c r="C11" s="60"/>
      <c r="D11" s="62"/>
      <c r="E11" s="62"/>
      <c r="F11" s="63">
        <v>1</v>
      </c>
      <c r="G11" s="59" t="s">
        <v>64</v>
      </c>
      <c r="H11" s="59"/>
      <c r="I11" s="64"/>
      <c r="J11" s="59"/>
      <c r="K11" s="65"/>
      <c r="L11" s="66" t="s">
        <v>89</v>
      </c>
      <c r="M11" s="67" t="s">
        <v>96</v>
      </c>
      <c r="N11" s="68"/>
      <c r="O11" s="69"/>
      <c r="P11" s="69"/>
      <c r="Q11" s="69"/>
      <c r="R11" s="69"/>
    </row>
    <row r="12" spans="1:18">
      <c r="A12" s="6">
        <v>46174</v>
      </c>
      <c r="B12" s="59" t="s">
        <v>76</v>
      </c>
      <c r="C12" s="60"/>
      <c r="D12" s="62">
        <v>10400</v>
      </c>
      <c r="E12" s="62"/>
      <c r="F12" s="63"/>
      <c r="G12" s="59" t="s">
        <v>77</v>
      </c>
      <c r="H12" s="59"/>
      <c r="I12" s="64" t="s">
        <v>60</v>
      </c>
      <c r="J12" s="59" t="s">
        <v>61</v>
      </c>
      <c r="K12" s="65"/>
      <c r="L12" s="66" t="s">
        <v>62</v>
      </c>
      <c r="M12" s="67"/>
      <c r="N12" s="68"/>
      <c r="O12" s="69"/>
      <c r="P12" s="69"/>
      <c r="Q12" s="69"/>
      <c r="R12" s="69"/>
    </row>
    <row r="13" spans="1:18">
      <c r="A13" s="6">
        <v>46174</v>
      </c>
      <c r="B13" s="59" t="s">
        <v>63</v>
      </c>
      <c r="C13" s="60"/>
      <c r="D13" s="62">
        <v>27000</v>
      </c>
      <c r="E13" s="62"/>
      <c r="F13" s="63"/>
      <c r="G13" s="59" t="s">
        <v>70</v>
      </c>
      <c r="H13" s="59"/>
      <c r="I13" s="64" t="s">
        <v>60</v>
      </c>
      <c r="J13" s="59" t="s">
        <v>61</v>
      </c>
      <c r="K13" s="65"/>
      <c r="L13" s="66" t="s">
        <v>62</v>
      </c>
      <c r="M13" s="67"/>
      <c r="N13" s="68"/>
      <c r="O13" s="69"/>
      <c r="P13" s="69"/>
      <c r="Q13" s="69"/>
      <c r="R13" s="69"/>
    </row>
    <row r="14" spans="1:18">
      <c r="A14" s="7">
        <v>46174</v>
      </c>
      <c r="B14" s="71" t="s">
        <v>80</v>
      </c>
      <c r="C14" s="75"/>
      <c r="D14" s="76"/>
      <c r="E14" s="76">
        <v>7923</v>
      </c>
      <c r="F14" s="77">
        <v>1</v>
      </c>
      <c r="G14" s="71" t="s">
        <v>74</v>
      </c>
      <c r="H14" s="71" t="s">
        <v>75</v>
      </c>
      <c r="I14" s="70" t="s">
        <v>60</v>
      </c>
      <c r="J14" s="71" t="s">
        <v>61</v>
      </c>
      <c r="K14" s="72" t="s">
        <v>5191</v>
      </c>
      <c r="L14" s="73" t="s">
        <v>87</v>
      </c>
      <c r="M14" s="74"/>
      <c r="N14" s="68"/>
      <c r="O14" s="69"/>
      <c r="P14" s="69"/>
      <c r="Q14" s="69"/>
      <c r="R14" s="69"/>
    </row>
    <row r="15" spans="1:18">
      <c r="A15" s="6">
        <v>46174</v>
      </c>
      <c r="B15" s="59" t="s">
        <v>80</v>
      </c>
      <c r="C15" s="60"/>
      <c r="D15" s="62"/>
      <c r="E15" s="62">
        <v>77</v>
      </c>
      <c r="F15" s="63">
        <v>1</v>
      </c>
      <c r="G15" s="59" t="s">
        <v>65</v>
      </c>
      <c r="H15" s="59" t="s">
        <v>66</v>
      </c>
      <c r="I15" s="64" t="s">
        <v>60</v>
      </c>
      <c r="J15" s="59" t="s">
        <v>61</v>
      </c>
      <c r="K15" s="65" t="s">
        <v>5191</v>
      </c>
      <c r="L15" s="66" t="s">
        <v>87</v>
      </c>
      <c r="M15" s="67"/>
      <c r="N15" s="68"/>
      <c r="O15" s="69"/>
      <c r="P15" s="69"/>
      <c r="Q15" s="69"/>
      <c r="R15" s="69"/>
    </row>
    <row r="16" spans="1:18">
      <c r="A16" s="6">
        <v>46174</v>
      </c>
      <c r="B16" s="59" t="s">
        <v>5066</v>
      </c>
      <c r="C16" s="60"/>
      <c r="D16" s="62">
        <v>500</v>
      </c>
      <c r="E16" s="62"/>
      <c r="F16" s="63">
        <v>1</v>
      </c>
      <c r="G16" s="59" t="s">
        <v>22</v>
      </c>
      <c r="H16" s="59" t="s">
        <v>21</v>
      </c>
      <c r="I16" s="64" t="s">
        <v>60</v>
      </c>
      <c r="J16" s="59" t="s">
        <v>61</v>
      </c>
      <c r="K16" s="65"/>
      <c r="L16" s="66" t="s">
        <v>89</v>
      </c>
      <c r="M16" s="67"/>
      <c r="N16" s="68"/>
      <c r="O16" s="69"/>
      <c r="P16" s="69"/>
      <c r="Q16" s="69"/>
      <c r="R16" s="69"/>
    </row>
    <row r="17" spans="1:18">
      <c r="A17" s="6">
        <v>46174</v>
      </c>
      <c r="B17" s="59" t="s">
        <v>5067</v>
      </c>
      <c r="C17" s="60"/>
      <c r="D17" s="62"/>
      <c r="E17" s="62"/>
      <c r="F17" s="63">
        <v>1</v>
      </c>
      <c r="G17" s="59" t="s">
        <v>64</v>
      </c>
      <c r="H17" s="59"/>
      <c r="I17" s="64"/>
      <c r="J17" s="59"/>
      <c r="K17" s="65"/>
      <c r="L17" s="66" t="s">
        <v>89</v>
      </c>
      <c r="M17" s="67" t="s">
        <v>5068</v>
      </c>
      <c r="N17" s="68"/>
      <c r="O17" s="69"/>
      <c r="P17" s="69"/>
      <c r="Q17" s="69"/>
      <c r="R17" s="69"/>
    </row>
    <row r="18" spans="1:18">
      <c r="A18" s="6">
        <v>46174</v>
      </c>
      <c r="B18" s="59" t="s">
        <v>5069</v>
      </c>
      <c r="C18" s="60"/>
      <c r="D18" s="62">
        <v>500</v>
      </c>
      <c r="E18" s="62"/>
      <c r="F18" s="63">
        <v>1</v>
      </c>
      <c r="G18" s="59" t="s">
        <v>22</v>
      </c>
      <c r="H18" s="59" t="s">
        <v>21</v>
      </c>
      <c r="I18" s="64" t="s">
        <v>60</v>
      </c>
      <c r="J18" s="59" t="s">
        <v>61</v>
      </c>
      <c r="K18" s="65"/>
      <c r="L18" s="66" t="s">
        <v>89</v>
      </c>
      <c r="M18" s="67"/>
      <c r="N18" s="68"/>
      <c r="O18" s="69"/>
      <c r="P18" s="69"/>
      <c r="Q18" s="69"/>
      <c r="R18" s="69"/>
    </row>
    <row r="19" spans="1:18">
      <c r="A19" s="6">
        <v>46174</v>
      </c>
      <c r="B19" s="59" t="s">
        <v>63</v>
      </c>
      <c r="C19" s="60"/>
      <c r="D19" s="62"/>
      <c r="E19" s="62">
        <v>3000</v>
      </c>
      <c r="F19" s="63">
        <v>1</v>
      </c>
      <c r="G19" s="59" t="s">
        <v>65</v>
      </c>
      <c r="H19" s="59" t="s">
        <v>66</v>
      </c>
      <c r="I19" s="64" t="s">
        <v>60</v>
      </c>
      <c r="J19" s="59" t="s">
        <v>61</v>
      </c>
      <c r="K19" s="65"/>
      <c r="L19" s="66" t="s">
        <v>62</v>
      </c>
      <c r="M19" s="67" t="s">
        <v>91</v>
      </c>
      <c r="N19" s="68"/>
      <c r="O19" s="69"/>
      <c r="P19" s="69"/>
      <c r="Q19" s="69"/>
      <c r="R19" s="69"/>
    </row>
    <row r="20" spans="1:18">
      <c r="A20" s="7">
        <v>46175</v>
      </c>
      <c r="B20" s="71" t="s">
        <v>5070</v>
      </c>
      <c r="C20" s="75"/>
      <c r="D20" s="76"/>
      <c r="E20" s="76"/>
      <c r="F20" s="77">
        <v>1</v>
      </c>
      <c r="G20" s="71" t="s">
        <v>64</v>
      </c>
      <c r="H20" s="71"/>
      <c r="I20" s="70"/>
      <c r="J20" s="71"/>
      <c r="K20" s="72"/>
      <c r="L20" s="73" t="s">
        <v>89</v>
      </c>
      <c r="M20" s="74" t="s">
        <v>96</v>
      </c>
      <c r="N20" s="68"/>
      <c r="O20" s="69"/>
      <c r="P20" s="69"/>
      <c r="Q20" s="69"/>
      <c r="R20" s="69"/>
    </row>
    <row r="21" spans="1:18">
      <c r="A21" s="8">
        <v>46175</v>
      </c>
      <c r="B21" s="78" t="s">
        <v>5071</v>
      </c>
      <c r="C21" s="79"/>
      <c r="D21" s="80"/>
      <c r="E21" s="80"/>
      <c r="F21" s="81">
        <v>1</v>
      </c>
      <c r="G21" s="78" t="s">
        <v>99</v>
      </c>
      <c r="H21" s="78" t="s">
        <v>21</v>
      </c>
      <c r="I21" s="82"/>
      <c r="J21" s="78"/>
      <c r="K21" s="83"/>
      <c r="L21" s="84" t="s">
        <v>82</v>
      </c>
      <c r="M21" s="85" t="s">
        <v>5192</v>
      </c>
      <c r="N21" s="68"/>
      <c r="O21" s="69"/>
      <c r="P21" s="69"/>
      <c r="Q21" s="69"/>
      <c r="R21" s="69"/>
    </row>
    <row r="22" spans="1:18">
      <c r="A22" s="6">
        <v>46175</v>
      </c>
      <c r="B22" s="59" t="s">
        <v>5072</v>
      </c>
      <c r="C22" s="60"/>
      <c r="D22" s="62">
        <v>500</v>
      </c>
      <c r="E22" s="62"/>
      <c r="F22" s="63">
        <v>1</v>
      </c>
      <c r="G22" s="59" t="s">
        <v>22</v>
      </c>
      <c r="H22" s="59" t="s">
        <v>21</v>
      </c>
      <c r="I22" s="64" t="s">
        <v>60</v>
      </c>
      <c r="J22" s="59" t="s">
        <v>61</v>
      </c>
      <c r="K22" s="65"/>
      <c r="L22" s="66" t="s">
        <v>89</v>
      </c>
      <c r="M22" s="67"/>
      <c r="N22" s="68"/>
      <c r="O22" s="69"/>
      <c r="P22" s="69"/>
      <c r="Q22" s="69"/>
      <c r="R22" s="69"/>
    </row>
    <row r="23" spans="1:18">
      <c r="A23" s="7">
        <v>46175</v>
      </c>
      <c r="B23" s="71" t="s">
        <v>5073</v>
      </c>
      <c r="C23" s="75"/>
      <c r="D23" s="76">
        <v>500</v>
      </c>
      <c r="E23" s="76"/>
      <c r="F23" s="77">
        <v>1</v>
      </c>
      <c r="G23" s="71" t="s">
        <v>22</v>
      </c>
      <c r="H23" s="71" t="s">
        <v>21</v>
      </c>
      <c r="I23" s="70" t="s">
        <v>60</v>
      </c>
      <c r="J23" s="71" t="s">
        <v>61</v>
      </c>
      <c r="K23" s="72"/>
      <c r="L23" s="73" t="s">
        <v>82</v>
      </c>
      <c r="M23" s="74"/>
      <c r="N23" s="68"/>
      <c r="O23" s="69"/>
      <c r="P23" s="69"/>
      <c r="Q23" s="69"/>
      <c r="R23" s="69"/>
    </row>
    <row r="24" spans="1:18">
      <c r="A24" s="7">
        <v>46175</v>
      </c>
      <c r="B24" s="71" t="s">
        <v>3752</v>
      </c>
      <c r="C24" s="75"/>
      <c r="D24" s="76"/>
      <c r="E24" s="76"/>
      <c r="F24" s="77">
        <v>1</v>
      </c>
      <c r="G24" s="71" t="s">
        <v>64</v>
      </c>
      <c r="H24" s="71"/>
      <c r="I24" s="70"/>
      <c r="J24" s="71"/>
      <c r="K24" s="72"/>
      <c r="L24" s="73" t="s">
        <v>82</v>
      </c>
      <c r="M24" s="74" t="s">
        <v>92</v>
      </c>
      <c r="N24" s="68"/>
      <c r="O24" s="69"/>
      <c r="P24" s="69"/>
      <c r="Q24" s="69"/>
      <c r="R24" s="69"/>
    </row>
    <row r="25" spans="1:18">
      <c r="A25" s="6">
        <v>46175</v>
      </c>
      <c r="B25" s="59" t="s">
        <v>76</v>
      </c>
      <c r="C25" s="60"/>
      <c r="D25" s="62">
        <v>13500</v>
      </c>
      <c r="E25" s="62"/>
      <c r="F25" s="63"/>
      <c r="G25" s="59" t="s">
        <v>77</v>
      </c>
      <c r="H25" s="59"/>
      <c r="I25" s="64" t="s">
        <v>60</v>
      </c>
      <c r="J25" s="59" t="s">
        <v>61</v>
      </c>
      <c r="K25" s="65"/>
      <c r="L25" s="66" t="s">
        <v>62</v>
      </c>
      <c r="M25" s="67"/>
      <c r="N25" s="68"/>
      <c r="O25" s="69"/>
      <c r="P25" s="69"/>
      <c r="Q25" s="69"/>
      <c r="R25" s="69"/>
    </row>
    <row r="26" spans="1:18">
      <c r="A26" s="6">
        <v>46175</v>
      </c>
      <c r="B26" s="59" t="s">
        <v>63</v>
      </c>
      <c r="C26" s="60"/>
      <c r="D26" s="62">
        <v>10343</v>
      </c>
      <c r="E26" s="62"/>
      <c r="F26" s="63"/>
      <c r="G26" s="59" t="s">
        <v>70</v>
      </c>
      <c r="H26" s="59"/>
      <c r="I26" s="64" t="s">
        <v>60</v>
      </c>
      <c r="J26" s="59" t="s">
        <v>61</v>
      </c>
      <c r="K26" s="65"/>
      <c r="L26" s="66" t="s">
        <v>62</v>
      </c>
      <c r="M26" s="59"/>
      <c r="N26" s="68"/>
      <c r="O26" s="69"/>
      <c r="P26" s="69"/>
      <c r="Q26" s="69"/>
      <c r="R26" s="69"/>
    </row>
    <row r="27" spans="1:18">
      <c r="A27" s="7">
        <v>46175</v>
      </c>
      <c r="B27" s="71" t="s">
        <v>5076</v>
      </c>
      <c r="C27" s="75"/>
      <c r="D27" s="76">
        <v>500</v>
      </c>
      <c r="E27" s="76"/>
      <c r="F27" s="77">
        <v>1</v>
      </c>
      <c r="G27" s="71" t="s">
        <v>22</v>
      </c>
      <c r="H27" s="71" t="s">
        <v>21</v>
      </c>
      <c r="I27" s="70" t="s">
        <v>60</v>
      </c>
      <c r="J27" s="71" t="s">
        <v>61</v>
      </c>
      <c r="K27" s="72"/>
      <c r="L27" s="73" t="s">
        <v>82</v>
      </c>
      <c r="M27" s="74"/>
      <c r="N27" s="68"/>
      <c r="O27" s="69"/>
      <c r="P27" s="69"/>
      <c r="Q27" s="69"/>
      <c r="R27" s="69"/>
    </row>
    <row r="28" spans="1:18">
      <c r="A28" s="6">
        <v>46175</v>
      </c>
      <c r="B28" s="59" t="s">
        <v>63</v>
      </c>
      <c r="C28" s="60"/>
      <c r="D28" s="62"/>
      <c r="E28" s="62">
        <v>1500</v>
      </c>
      <c r="F28" s="63">
        <v>1</v>
      </c>
      <c r="G28" s="59" t="s">
        <v>65</v>
      </c>
      <c r="H28" s="59" t="s">
        <v>66</v>
      </c>
      <c r="I28" s="64" t="s">
        <v>60</v>
      </c>
      <c r="J28" s="59" t="s">
        <v>61</v>
      </c>
      <c r="K28" s="65"/>
      <c r="L28" s="66" t="s">
        <v>62</v>
      </c>
      <c r="M28" s="67" t="s">
        <v>91</v>
      </c>
      <c r="N28" s="68"/>
      <c r="O28" s="69"/>
      <c r="P28" s="69"/>
      <c r="Q28" s="69"/>
      <c r="R28" s="69"/>
    </row>
    <row r="29" spans="1:18">
      <c r="A29" s="6">
        <v>46176</v>
      </c>
      <c r="B29" s="59" t="s">
        <v>81</v>
      </c>
      <c r="C29" s="60"/>
      <c r="D29" s="62">
        <v>30000</v>
      </c>
      <c r="E29" s="62"/>
      <c r="F29" s="63">
        <v>1</v>
      </c>
      <c r="G29" s="59" t="s">
        <v>74</v>
      </c>
      <c r="H29" s="59" t="s">
        <v>75</v>
      </c>
      <c r="I29" s="64" t="s">
        <v>60</v>
      </c>
      <c r="J29" s="59" t="s">
        <v>61</v>
      </c>
      <c r="K29" s="65"/>
      <c r="L29" s="66" t="s">
        <v>88</v>
      </c>
      <c r="M29" s="67"/>
      <c r="N29" s="68"/>
      <c r="O29" s="69"/>
      <c r="P29" s="69"/>
      <c r="Q29" s="69"/>
      <c r="R29" s="69"/>
    </row>
    <row r="30" spans="1:18">
      <c r="A30" s="6">
        <v>46176</v>
      </c>
      <c r="B30" s="59" t="s">
        <v>320</v>
      </c>
      <c r="C30" s="60"/>
      <c r="D30" s="62">
        <v>500</v>
      </c>
      <c r="E30" s="62"/>
      <c r="F30" s="63">
        <v>1</v>
      </c>
      <c r="G30" s="59" t="s">
        <v>22</v>
      </c>
      <c r="H30" s="59" t="s">
        <v>21</v>
      </c>
      <c r="I30" s="64" t="s">
        <v>60</v>
      </c>
      <c r="J30" s="59" t="s">
        <v>61</v>
      </c>
      <c r="K30" s="65"/>
      <c r="L30" s="66" t="s">
        <v>86</v>
      </c>
      <c r="M30" s="67"/>
      <c r="N30" s="68"/>
      <c r="O30" s="69"/>
      <c r="P30" s="69"/>
      <c r="Q30" s="69"/>
      <c r="R30" s="69"/>
    </row>
    <row r="31" spans="1:18">
      <c r="A31" s="6">
        <v>46176</v>
      </c>
      <c r="B31" s="59" t="s">
        <v>5077</v>
      </c>
      <c r="C31" s="60"/>
      <c r="D31" s="62"/>
      <c r="E31" s="62"/>
      <c r="F31" s="63">
        <v>1</v>
      </c>
      <c r="G31" s="59" t="s">
        <v>64</v>
      </c>
      <c r="H31" s="59"/>
      <c r="I31" s="64"/>
      <c r="J31" s="59"/>
      <c r="K31" s="65"/>
      <c r="L31" s="66" t="s">
        <v>86</v>
      </c>
      <c r="M31" s="67" t="s">
        <v>96</v>
      </c>
      <c r="N31" s="68"/>
      <c r="O31" s="69"/>
      <c r="P31" s="69"/>
      <c r="Q31" s="69"/>
      <c r="R31" s="69"/>
    </row>
    <row r="32" spans="1:18">
      <c r="A32" s="7">
        <v>46176</v>
      </c>
      <c r="B32" s="71" t="s">
        <v>5078</v>
      </c>
      <c r="C32" s="75"/>
      <c r="D32" s="76">
        <v>500</v>
      </c>
      <c r="E32" s="76"/>
      <c r="F32" s="77">
        <v>1</v>
      </c>
      <c r="G32" s="71" t="s">
        <v>22</v>
      </c>
      <c r="H32" s="71" t="s">
        <v>21</v>
      </c>
      <c r="I32" s="70" t="s">
        <v>60</v>
      </c>
      <c r="J32" s="71" t="s">
        <v>61</v>
      </c>
      <c r="K32" s="72"/>
      <c r="L32" s="73" t="s">
        <v>82</v>
      </c>
      <c r="M32" s="74"/>
      <c r="N32" s="68"/>
      <c r="O32" s="69"/>
      <c r="P32" s="69"/>
      <c r="Q32" s="69"/>
      <c r="R32" s="69"/>
    </row>
    <row r="33" spans="1:18">
      <c r="A33" s="6">
        <v>46176</v>
      </c>
      <c r="B33" s="59" t="s">
        <v>63</v>
      </c>
      <c r="C33" s="60"/>
      <c r="D33" s="62">
        <v>400</v>
      </c>
      <c r="E33" s="62"/>
      <c r="F33" s="63">
        <v>4</v>
      </c>
      <c r="G33" s="59" t="s">
        <v>22</v>
      </c>
      <c r="H33" s="59" t="s">
        <v>93</v>
      </c>
      <c r="I33" s="64" t="s">
        <v>60</v>
      </c>
      <c r="J33" s="59" t="s">
        <v>61</v>
      </c>
      <c r="K33" s="65"/>
      <c r="L33" s="66" t="s">
        <v>62</v>
      </c>
      <c r="M33" s="67"/>
      <c r="N33" s="68"/>
      <c r="O33" s="69"/>
      <c r="P33" s="69"/>
      <c r="Q33" s="69"/>
      <c r="R33" s="69"/>
    </row>
    <row r="34" spans="1:18">
      <c r="A34" s="6">
        <v>46176</v>
      </c>
      <c r="B34" s="59" t="s">
        <v>5079</v>
      </c>
      <c r="C34" s="60"/>
      <c r="D34" s="62"/>
      <c r="E34" s="62"/>
      <c r="F34" s="63">
        <v>1</v>
      </c>
      <c r="G34" s="59" t="s">
        <v>79</v>
      </c>
      <c r="H34" s="59" t="s">
        <v>21</v>
      </c>
      <c r="I34" s="64"/>
      <c r="J34" s="59"/>
      <c r="K34" s="65"/>
      <c r="L34" s="66" t="s">
        <v>86</v>
      </c>
      <c r="M34" s="67"/>
      <c r="N34" s="68"/>
      <c r="O34" s="69"/>
      <c r="P34" s="69"/>
      <c r="Q34" s="69"/>
      <c r="R34" s="69"/>
    </row>
    <row r="35" spans="1:18">
      <c r="A35" s="6">
        <v>46176</v>
      </c>
      <c r="B35" s="59" t="s">
        <v>76</v>
      </c>
      <c r="C35" s="60"/>
      <c r="D35" s="62">
        <v>9050</v>
      </c>
      <c r="E35" s="62"/>
      <c r="F35" s="63"/>
      <c r="G35" s="59" t="s">
        <v>77</v>
      </c>
      <c r="H35" s="59"/>
      <c r="I35" s="64" t="s">
        <v>60</v>
      </c>
      <c r="J35" s="59" t="s">
        <v>61</v>
      </c>
      <c r="K35" s="65"/>
      <c r="L35" s="66" t="s">
        <v>62</v>
      </c>
      <c r="M35" s="67"/>
      <c r="N35" s="68"/>
      <c r="O35" s="69"/>
      <c r="P35" s="69"/>
      <c r="Q35" s="69"/>
      <c r="R35" s="69"/>
    </row>
    <row r="36" spans="1:18">
      <c r="A36" s="6">
        <v>46176</v>
      </c>
      <c r="B36" s="59" t="s">
        <v>5081</v>
      </c>
      <c r="C36" s="60"/>
      <c r="D36" s="62"/>
      <c r="E36" s="62"/>
      <c r="F36" s="63">
        <v>1</v>
      </c>
      <c r="G36" s="59" t="s">
        <v>22</v>
      </c>
      <c r="H36" s="59" t="s">
        <v>21</v>
      </c>
      <c r="I36" s="64"/>
      <c r="J36" s="59"/>
      <c r="K36" s="65"/>
      <c r="L36" s="66" t="s">
        <v>101</v>
      </c>
      <c r="M36" s="67"/>
      <c r="N36" s="68"/>
      <c r="O36" s="69"/>
      <c r="P36" s="69"/>
      <c r="Q36" s="69"/>
      <c r="R36" s="69"/>
    </row>
    <row r="37" spans="1:18">
      <c r="A37" s="6">
        <v>46176</v>
      </c>
      <c r="B37" s="59" t="s">
        <v>5082</v>
      </c>
      <c r="C37" s="60"/>
      <c r="D37" s="62"/>
      <c r="E37" s="62"/>
      <c r="F37" s="63">
        <v>1</v>
      </c>
      <c r="G37" s="59" t="s">
        <v>64</v>
      </c>
      <c r="H37" s="59"/>
      <c r="I37" s="64"/>
      <c r="J37" s="59"/>
      <c r="K37" s="65"/>
      <c r="L37" s="66" t="s">
        <v>86</v>
      </c>
      <c r="M37" s="67" t="s">
        <v>5083</v>
      </c>
      <c r="N37" s="68"/>
      <c r="O37" s="69"/>
      <c r="P37" s="69"/>
      <c r="Q37" s="69"/>
      <c r="R37" s="69"/>
    </row>
    <row r="38" spans="1:18">
      <c r="A38" s="7">
        <v>46176</v>
      </c>
      <c r="B38" s="71" t="s">
        <v>5084</v>
      </c>
      <c r="C38" s="75"/>
      <c r="D38" s="76">
        <v>500</v>
      </c>
      <c r="E38" s="76"/>
      <c r="F38" s="77">
        <v>1</v>
      </c>
      <c r="G38" s="71" t="s">
        <v>22</v>
      </c>
      <c r="H38" s="71" t="s">
        <v>21</v>
      </c>
      <c r="I38" s="70" t="s">
        <v>60</v>
      </c>
      <c r="J38" s="71" t="s">
        <v>61</v>
      </c>
      <c r="K38" s="72"/>
      <c r="L38" s="73" t="s">
        <v>82</v>
      </c>
      <c r="M38" s="74" t="s">
        <v>5085</v>
      </c>
      <c r="N38" s="68"/>
      <c r="O38" s="69"/>
      <c r="P38" s="69"/>
      <c r="Q38" s="69"/>
      <c r="R38" s="69"/>
    </row>
    <row r="39" spans="1:18">
      <c r="A39" s="6">
        <v>46176</v>
      </c>
      <c r="B39" s="59" t="s">
        <v>63</v>
      </c>
      <c r="C39" s="60"/>
      <c r="D39" s="62">
        <v>44500</v>
      </c>
      <c r="E39" s="62"/>
      <c r="F39" s="63"/>
      <c r="G39" s="59" t="s">
        <v>70</v>
      </c>
      <c r="H39" s="59"/>
      <c r="I39" s="64" t="s">
        <v>60</v>
      </c>
      <c r="J39" s="59" t="s">
        <v>61</v>
      </c>
      <c r="K39" s="65"/>
      <c r="L39" s="66" t="s">
        <v>62</v>
      </c>
      <c r="M39" s="67"/>
      <c r="N39" s="68"/>
      <c r="O39" s="69"/>
      <c r="P39" s="69"/>
      <c r="Q39" s="69"/>
      <c r="R39" s="69"/>
    </row>
    <row r="40" spans="1:18">
      <c r="A40" s="6">
        <v>46176</v>
      </c>
      <c r="B40" s="59" t="s">
        <v>63</v>
      </c>
      <c r="C40" s="60"/>
      <c r="D40" s="62"/>
      <c r="E40" s="62">
        <v>1500</v>
      </c>
      <c r="F40" s="63">
        <v>1</v>
      </c>
      <c r="G40" s="59" t="s">
        <v>65</v>
      </c>
      <c r="H40" s="59" t="s">
        <v>66</v>
      </c>
      <c r="I40" s="64" t="s">
        <v>60</v>
      </c>
      <c r="J40" s="59" t="s">
        <v>61</v>
      </c>
      <c r="K40" s="65"/>
      <c r="L40" s="66" t="s">
        <v>62</v>
      </c>
      <c r="M40" s="67" t="s">
        <v>91</v>
      </c>
      <c r="N40" s="68"/>
      <c r="O40" s="69"/>
      <c r="P40" s="69"/>
      <c r="Q40" s="69"/>
      <c r="R40" s="69"/>
    </row>
    <row r="41" spans="1:18">
      <c r="A41" s="6">
        <v>46176</v>
      </c>
      <c r="B41" s="59" t="s">
        <v>63</v>
      </c>
      <c r="C41" s="60"/>
      <c r="D41" s="62"/>
      <c r="E41" s="62">
        <v>400</v>
      </c>
      <c r="F41" s="63">
        <v>1</v>
      </c>
      <c r="G41" s="59" t="s">
        <v>65</v>
      </c>
      <c r="H41" s="59" t="s">
        <v>66</v>
      </c>
      <c r="I41" s="64" t="s">
        <v>60</v>
      </c>
      <c r="J41" s="59" t="s">
        <v>61</v>
      </c>
      <c r="K41" s="65"/>
      <c r="L41" s="66" t="s">
        <v>62</v>
      </c>
      <c r="M41" s="67" t="s">
        <v>94</v>
      </c>
      <c r="N41" s="68"/>
      <c r="O41" s="69"/>
      <c r="P41" s="69"/>
      <c r="Q41" s="69"/>
      <c r="R41" s="69"/>
    </row>
    <row r="42" spans="1:18">
      <c r="A42" s="7">
        <v>46177</v>
      </c>
      <c r="B42" s="71" t="s">
        <v>80</v>
      </c>
      <c r="C42" s="75"/>
      <c r="D42" s="76"/>
      <c r="E42" s="76">
        <v>12379</v>
      </c>
      <c r="F42" s="77">
        <v>1</v>
      </c>
      <c r="G42" s="71" t="s">
        <v>74</v>
      </c>
      <c r="H42" s="71" t="s">
        <v>75</v>
      </c>
      <c r="I42" s="70" t="s">
        <v>60</v>
      </c>
      <c r="J42" s="71" t="s">
        <v>61</v>
      </c>
      <c r="K42" s="72" t="s">
        <v>5193</v>
      </c>
      <c r="L42" s="73" t="s">
        <v>87</v>
      </c>
      <c r="M42" s="74"/>
      <c r="N42" s="68"/>
      <c r="O42" s="69"/>
      <c r="P42" s="69"/>
      <c r="Q42" s="69"/>
      <c r="R42" s="69"/>
    </row>
    <row r="43" spans="1:18">
      <c r="A43" s="6">
        <v>46177</v>
      </c>
      <c r="B43" s="59" t="s">
        <v>80</v>
      </c>
      <c r="C43" s="60"/>
      <c r="D43" s="62"/>
      <c r="E43" s="62">
        <v>121</v>
      </c>
      <c r="F43" s="63">
        <v>1</v>
      </c>
      <c r="G43" s="59" t="s">
        <v>65</v>
      </c>
      <c r="H43" s="59" t="s">
        <v>66</v>
      </c>
      <c r="I43" s="64" t="s">
        <v>60</v>
      </c>
      <c r="J43" s="59" t="s">
        <v>61</v>
      </c>
      <c r="K43" s="65" t="s">
        <v>5193</v>
      </c>
      <c r="L43" s="66" t="s">
        <v>87</v>
      </c>
      <c r="M43" s="67"/>
      <c r="N43" s="68"/>
      <c r="O43" s="69"/>
      <c r="P43" s="69"/>
      <c r="Q43" s="69"/>
      <c r="R43" s="69"/>
    </row>
    <row r="44" spans="1:18">
      <c r="A44" s="6">
        <v>46177</v>
      </c>
      <c r="B44" s="59" t="s">
        <v>661</v>
      </c>
      <c r="C44" s="60"/>
      <c r="D44" s="62"/>
      <c r="E44" s="62">
        <v>402890</v>
      </c>
      <c r="F44" s="63">
        <v>1</v>
      </c>
      <c r="G44" s="59" t="s">
        <v>74</v>
      </c>
      <c r="H44" s="59" t="s">
        <v>75</v>
      </c>
      <c r="I44" s="64" t="s">
        <v>60</v>
      </c>
      <c r="J44" s="59" t="s">
        <v>61</v>
      </c>
      <c r="K44" s="65"/>
      <c r="L44" s="66" t="s">
        <v>104</v>
      </c>
      <c r="M44" s="67" t="s">
        <v>5091</v>
      </c>
      <c r="N44" s="68"/>
      <c r="O44" s="69"/>
      <c r="P44" s="69"/>
      <c r="Q44" s="69"/>
      <c r="R44" s="69"/>
    </row>
    <row r="45" spans="1:18">
      <c r="A45" s="6">
        <v>46177</v>
      </c>
      <c r="B45" s="59" t="s">
        <v>5092</v>
      </c>
      <c r="C45" s="60"/>
      <c r="D45" s="62">
        <v>500</v>
      </c>
      <c r="E45" s="62"/>
      <c r="F45" s="63">
        <v>1</v>
      </c>
      <c r="G45" s="59" t="s">
        <v>22</v>
      </c>
      <c r="H45" s="59" t="s">
        <v>21</v>
      </c>
      <c r="I45" s="70" t="s">
        <v>60</v>
      </c>
      <c r="J45" s="71" t="s">
        <v>61</v>
      </c>
      <c r="K45" s="72"/>
      <c r="L45" s="73" t="s">
        <v>86</v>
      </c>
      <c r="M45" s="74"/>
      <c r="N45" s="68"/>
      <c r="O45" s="69"/>
      <c r="P45" s="69"/>
      <c r="Q45" s="69"/>
      <c r="R45" s="69"/>
    </row>
    <row r="46" spans="1:18">
      <c r="A46" s="6">
        <v>46177</v>
      </c>
      <c r="B46" s="59" t="s">
        <v>5093</v>
      </c>
      <c r="C46" s="60"/>
      <c r="D46" s="62"/>
      <c r="E46" s="62"/>
      <c r="F46" s="63">
        <v>1</v>
      </c>
      <c r="G46" s="59" t="s">
        <v>64</v>
      </c>
      <c r="H46" s="59"/>
      <c r="I46" s="64"/>
      <c r="J46" s="59"/>
      <c r="K46" s="65"/>
      <c r="L46" s="66" t="s">
        <v>86</v>
      </c>
      <c r="M46" s="67" t="s">
        <v>5094</v>
      </c>
      <c r="N46" s="68"/>
      <c r="O46" s="69"/>
      <c r="P46" s="69"/>
      <c r="Q46" s="69"/>
      <c r="R46" s="69"/>
    </row>
    <row r="47" spans="1:18">
      <c r="A47" s="7">
        <v>46177</v>
      </c>
      <c r="B47" s="71" t="s">
        <v>5095</v>
      </c>
      <c r="C47" s="75"/>
      <c r="D47" s="76"/>
      <c r="E47" s="76"/>
      <c r="F47" s="77">
        <v>1</v>
      </c>
      <c r="G47" s="71" t="s">
        <v>79</v>
      </c>
      <c r="H47" s="71" t="s">
        <v>21</v>
      </c>
      <c r="I47" s="70"/>
      <c r="J47" s="71"/>
      <c r="K47" s="72"/>
      <c r="L47" s="73" t="s">
        <v>86</v>
      </c>
      <c r="M47" s="74"/>
      <c r="N47" s="68"/>
      <c r="O47" s="69"/>
      <c r="P47" s="69"/>
      <c r="Q47" s="69"/>
      <c r="R47" s="69"/>
    </row>
    <row r="48" spans="1:18">
      <c r="A48" s="6">
        <v>46177</v>
      </c>
      <c r="B48" s="59" t="s">
        <v>63</v>
      </c>
      <c r="C48" s="60"/>
      <c r="D48" s="62">
        <v>33500</v>
      </c>
      <c r="E48" s="62"/>
      <c r="F48" s="63"/>
      <c r="G48" s="59" t="s">
        <v>70</v>
      </c>
      <c r="H48" s="59"/>
      <c r="I48" s="70" t="s">
        <v>60</v>
      </c>
      <c r="J48" s="71" t="s">
        <v>61</v>
      </c>
      <c r="K48" s="72"/>
      <c r="L48" s="73" t="s">
        <v>62</v>
      </c>
      <c r="M48" s="74"/>
      <c r="N48" s="68"/>
      <c r="O48" s="69"/>
      <c r="P48" s="69"/>
      <c r="Q48" s="69"/>
      <c r="R48" s="69"/>
    </row>
    <row r="49" spans="1:18">
      <c r="A49" s="6">
        <v>46177</v>
      </c>
      <c r="B49" s="59" t="s">
        <v>80</v>
      </c>
      <c r="C49" s="60"/>
      <c r="D49" s="62"/>
      <c r="E49" s="62">
        <v>33176</v>
      </c>
      <c r="F49" s="63">
        <v>1</v>
      </c>
      <c r="G49" s="59" t="s">
        <v>74</v>
      </c>
      <c r="H49" s="59" t="s">
        <v>75</v>
      </c>
      <c r="I49" s="64" t="s">
        <v>60</v>
      </c>
      <c r="J49" s="59" t="s">
        <v>61</v>
      </c>
      <c r="K49" s="65" t="s">
        <v>1863</v>
      </c>
      <c r="L49" s="66" t="s">
        <v>87</v>
      </c>
      <c r="M49" s="67"/>
      <c r="N49" s="68"/>
      <c r="O49" s="69"/>
      <c r="P49" s="69"/>
      <c r="Q49" s="69"/>
      <c r="R49" s="69"/>
    </row>
    <row r="50" spans="1:18">
      <c r="A50" s="6">
        <v>46177</v>
      </c>
      <c r="B50" s="59" t="s">
        <v>80</v>
      </c>
      <c r="C50" s="60"/>
      <c r="D50" s="62"/>
      <c r="E50" s="62">
        <v>324</v>
      </c>
      <c r="F50" s="63">
        <v>1</v>
      </c>
      <c r="G50" s="59" t="s">
        <v>65</v>
      </c>
      <c r="H50" s="59" t="s">
        <v>66</v>
      </c>
      <c r="I50" s="64" t="s">
        <v>60</v>
      </c>
      <c r="J50" s="59" t="s">
        <v>61</v>
      </c>
      <c r="K50" s="65" t="s">
        <v>1863</v>
      </c>
      <c r="L50" s="66" t="s">
        <v>87</v>
      </c>
      <c r="M50" s="67"/>
      <c r="N50" s="68"/>
      <c r="O50" s="69"/>
      <c r="P50" s="69"/>
      <c r="Q50" s="69"/>
      <c r="R50" s="69"/>
    </row>
    <row r="51" spans="1:18">
      <c r="A51" s="6">
        <v>46177</v>
      </c>
      <c r="B51" s="59" t="s">
        <v>5096</v>
      </c>
      <c r="C51" s="60"/>
      <c r="D51" s="62">
        <v>500</v>
      </c>
      <c r="E51" s="62"/>
      <c r="F51" s="63">
        <v>1</v>
      </c>
      <c r="G51" s="59" t="s">
        <v>22</v>
      </c>
      <c r="H51" s="59" t="s">
        <v>21</v>
      </c>
      <c r="I51" s="64" t="s">
        <v>60</v>
      </c>
      <c r="J51" s="59" t="s">
        <v>61</v>
      </c>
      <c r="K51" s="65"/>
      <c r="L51" s="66" t="s">
        <v>86</v>
      </c>
      <c r="M51" s="67"/>
      <c r="N51" s="68"/>
      <c r="O51" s="69"/>
      <c r="P51" s="69"/>
      <c r="Q51" s="69"/>
      <c r="R51" s="69"/>
    </row>
    <row r="52" spans="1:18">
      <c r="A52" s="9">
        <v>46177</v>
      </c>
      <c r="B52" s="86" t="s">
        <v>63</v>
      </c>
      <c r="C52" s="87"/>
      <c r="D52" s="88">
        <v>100</v>
      </c>
      <c r="E52" s="88"/>
      <c r="F52" s="89">
        <v>1</v>
      </c>
      <c r="G52" s="86" t="s">
        <v>22</v>
      </c>
      <c r="H52" s="86" t="s">
        <v>21</v>
      </c>
      <c r="I52" s="90" t="s">
        <v>60</v>
      </c>
      <c r="J52" s="86" t="s">
        <v>61</v>
      </c>
      <c r="K52" s="91"/>
      <c r="L52" s="92" t="s">
        <v>62</v>
      </c>
      <c r="M52" s="93"/>
      <c r="N52" s="68"/>
      <c r="O52" s="69"/>
      <c r="P52" s="69"/>
      <c r="Q52" s="69"/>
      <c r="R52" s="69"/>
    </row>
    <row r="53" spans="1:18">
      <c r="A53" s="10">
        <v>46177</v>
      </c>
      <c r="B53" s="94" t="s">
        <v>76</v>
      </c>
      <c r="C53" s="95"/>
      <c r="D53" s="96">
        <v>2000</v>
      </c>
      <c r="E53" s="96"/>
      <c r="F53" s="97"/>
      <c r="G53" s="94" t="s">
        <v>77</v>
      </c>
      <c r="H53" s="94"/>
      <c r="I53" s="98" t="s">
        <v>60</v>
      </c>
      <c r="J53" s="94" t="s">
        <v>61</v>
      </c>
      <c r="K53" s="99"/>
      <c r="L53" s="100" t="s">
        <v>62</v>
      </c>
      <c r="M53" s="101"/>
      <c r="N53" s="68"/>
      <c r="O53" s="69"/>
      <c r="P53" s="69"/>
      <c r="Q53" s="69"/>
      <c r="R53" s="69"/>
    </row>
    <row r="54" spans="1:18">
      <c r="A54" s="6">
        <v>46177</v>
      </c>
      <c r="B54" s="59" t="s">
        <v>5097</v>
      </c>
      <c r="C54" s="60"/>
      <c r="D54" s="62">
        <v>500</v>
      </c>
      <c r="E54" s="62"/>
      <c r="F54" s="63">
        <v>1</v>
      </c>
      <c r="G54" s="59" t="s">
        <v>22</v>
      </c>
      <c r="H54" s="59" t="s">
        <v>21</v>
      </c>
      <c r="I54" s="64" t="s">
        <v>60</v>
      </c>
      <c r="J54" s="59" t="s">
        <v>61</v>
      </c>
      <c r="K54" s="65"/>
      <c r="L54" s="66" t="s">
        <v>89</v>
      </c>
      <c r="M54" s="67"/>
      <c r="N54" s="68"/>
      <c r="O54" s="69"/>
      <c r="P54" s="69"/>
      <c r="Q54" s="69"/>
      <c r="R54" s="69"/>
    </row>
    <row r="55" spans="1:18">
      <c r="A55" s="6">
        <v>46177</v>
      </c>
      <c r="B55" s="59" t="s">
        <v>63</v>
      </c>
      <c r="C55" s="60"/>
      <c r="D55" s="62"/>
      <c r="E55" s="62">
        <v>1500</v>
      </c>
      <c r="F55" s="63">
        <v>1</v>
      </c>
      <c r="G55" s="59" t="s">
        <v>65</v>
      </c>
      <c r="H55" s="59" t="s">
        <v>66</v>
      </c>
      <c r="I55" s="64" t="s">
        <v>60</v>
      </c>
      <c r="J55" s="59" t="s">
        <v>61</v>
      </c>
      <c r="K55" s="65"/>
      <c r="L55" s="66" t="s">
        <v>62</v>
      </c>
      <c r="M55" s="67" t="s">
        <v>91</v>
      </c>
      <c r="N55" s="68"/>
      <c r="O55" s="69"/>
      <c r="P55" s="69"/>
      <c r="Q55" s="69"/>
      <c r="R55" s="69"/>
    </row>
    <row r="56" spans="1:18">
      <c r="A56" s="7">
        <v>46177</v>
      </c>
      <c r="B56" s="71" t="s">
        <v>63</v>
      </c>
      <c r="C56" s="75"/>
      <c r="D56" s="76"/>
      <c r="E56" s="76">
        <v>100</v>
      </c>
      <c r="F56" s="77">
        <v>1</v>
      </c>
      <c r="G56" s="71" t="s">
        <v>65</v>
      </c>
      <c r="H56" s="71" t="s">
        <v>66</v>
      </c>
      <c r="I56" s="70" t="s">
        <v>60</v>
      </c>
      <c r="J56" s="71" t="s">
        <v>61</v>
      </c>
      <c r="K56" s="72"/>
      <c r="L56" s="73" t="s">
        <v>62</v>
      </c>
      <c r="M56" s="74" t="s">
        <v>94</v>
      </c>
      <c r="N56" s="68"/>
      <c r="O56" s="69"/>
      <c r="P56" s="69"/>
      <c r="Q56" s="69"/>
      <c r="R56" s="69"/>
    </row>
    <row r="57" spans="1:18">
      <c r="A57" s="6">
        <v>46177</v>
      </c>
      <c r="B57" s="59" t="s">
        <v>5102</v>
      </c>
      <c r="C57" s="60"/>
      <c r="D57" s="62"/>
      <c r="E57" s="62"/>
      <c r="F57" s="63">
        <v>1</v>
      </c>
      <c r="G57" s="59" t="s">
        <v>0</v>
      </c>
      <c r="H57" s="59"/>
      <c r="I57" s="64"/>
      <c r="J57" s="59"/>
      <c r="K57" s="65"/>
      <c r="L57" s="66" t="s">
        <v>82</v>
      </c>
      <c r="M57" s="67"/>
      <c r="N57" s="68"/>
      <c r="O57" s="69"/>
      <c r="P57" s="69"/>
      <c r="Q57" s="69"/>
      <c r="R57" s="69"/>
    </row>
    <row r="58" spans="1:18">
      <c r="A58" s="6">
        <v>46178</v>
      </c>
      <c r="B58" s="59" t="s">
        <v>196</v>
      </c>
      <c r="C58" s="60"/>
      <c r="D58" s="62"/>
      <c r="E58" s="62">
        <v>8000</v>
      </c>
      <c r="F58" s="63">
        <v>1</v>
      </c>
      <c r="G58" s="59" t="s">
        <v>65</v>
      </c>
      <c r="H58" s="59" t="s">
        <v>560</v>
      </c>
      <c r="I58" s="64" t="s">
        <v>60</v>
      </c>
      <c r="J58" s="59" t="s">
        <v>61</v>
      </c>
      <c r="K58" s="65"/>
      <c r="L58" s="66" t="s">
        <v>62</v>
      </c>
      <c r="M58" s="67"/>
      <c r="N58" s="68"/>
      <c r="O58" s="69"/>
      <c r="P58" s="69"/>
      <c r="Q58" s="69"/>
      <c r="R58" s="69"/>
    </row>
    <row r="59" spans="1:18">
      <c r="A59" s="6">
        <v>46178</v>
      </c>
      <c r="B59" s="59" t="s">
        <v>5098</v>
      </c>
      <c r="C59" s="60"/>
      <c r="D59" s="62">
        <v>500</v>
      </c>
      <c r="E59" s="62"/>
      <c r="F59" s="63">
        <v>1</v>
      </c>
      <c r="G59" s="59" t="s">
        <v>22</v>
      </c>
      <c r="H59" s="59" t="s">
        <v>21</v>
      </c>
      <c r="I59" s="64" t="s">
        <v>60</v>
      </c>
      <c r="J59" s="59" t="s">
        <v>61</v>
      </c>
      <c r="K59" s="65"/>
      <c r="L59" s="66" t="s">
        <v>82</v>
      </c>
      <c r="M59" s="67"/>
      <c r="N59" s="68"/>
      <c r="O59" s="69"/>
      <c r="P59" s="69"/>
      <c r="Q59" s="69"/>
      <c r="R59" s="69"/>
    </row>
    <row r="60" spans="1:18">
      <c r="A60" s="6">
        <v>46178</v>
      </c>
      <c r="B60" s="59" t="s">
        <v>5099</v>
      </c>
      <c r="C60" s="60"/>
      <c r="D60" s="62"/>
      <c r="E60" s="62"/>
      <c r="F60" s="63">
        <v>1</v>
      </c>
      <c r="G60" s="59" t="s">
        <v>79</v>
      </c>
      <c r="H60" s="59" t="s">
        <v>21</v>
      </c>
      <c r="I60" s="64"/>
      <c r="J60" s="59"/>
      <c r="K60" s="65"/>
      <c r="L60" s="66" t="s">
        <v>89</v>
      </c>
      <c r="M60" s="67"/>
      <c r="N60" s="68"/>
      <c r="O60" s="69"/>
      <c r="P60" s="69"/>
      <c r="Q60" s="69"/>
      <c r="R60" s="69"/>
    </row>
    <row r="61" spans="1:18">
      <c r="A61" s="6">
        <v>46178</v>
      </c>
      <c r="B61" s="59" t="s">
        <v>5100</v>
      </c>
      <c r="C61" s="60"/>
      <c r="D61" s="62">
        <v>500</v>
      </c>
      <c r="E61" s="62"/>
      <c r="F61" s="63">
        <v>1</v>
      </c>
      <c r="G61" s="59" t="s">
        <v>22</v>
      </c>
      <c r="H61" s="59" t="s">
        <v>21</v>
      </c>
      <c r="I61" s="64" t="s">
        <v>60</v>
      </c>
      <c r="J61" s="59" t="s">
        <v>61</v>
      </c>
      <c r="K61" s="65"/>
      <c r="L61" s="66" t="s">
        <v>89</v>
      </c>
      <c r="M61" s="67"/>
      <c r="N61" s="68"/>
      <c r="O61" s="69"/>
      <c r="P61" s="69"/>
      <c r="Q61" s="69"/>
      <c r="R61" s="69"/>
    </row>
    <row r="62" spans="1:18">
      <c r="A62" s="7">
        <v>46178</v>
      </c>
      <c r="B62" s="71" t="s">
        <v>5101</v>
      </c>
      <c r="C62" s="75"/>
      <c r="D62" s="76">
        <v>500</v>
      </c>
      <c r="E62" s="76"/>
      <c r="F62" s="77">
        <v>1</v>
      </c>
      <c r="G62" s="71" t="s">
        <v>22</v>
      </c>
      <c r="H62" s="71" t="s">
        <v>21</v>
      </c>
      <c r="I62" s="70" t="s">
        <v>60</v>
      </c>
      <c r="J62" s="71" t="s">
        <v>61</v>
      </c>
      <c r="K62" s="72"/>
      <c r="L62" s="73" t="s">
        <v>89</v>
      </c>
      <c r="M62" s="74"/>
      <c r="N62" s="68"/>
      <c r="O62" s="69"/>
      <c r="P62" s="69"/>
      <c r="Q62" s="69"/>
      <c r="R62" s="69"/>
    </row>
    <row r="63" spans="1:18">
      <c r="A63" s="7">
        <v>46178</v>
      </c>
      <c r="B63" s="71" t="s">
        <v>1043</v>
      </c>
      <c r="C63" s="75"/>
      <c r="D63" s="76">
        <v>500</v>
      </c>
      <c r="E63" s="76"/>
      <c r="F63" s="77">
        <v>1</v>
      </c>
      <c r="G63" s="71" t="s">
        <v>22</v>
      </c>
      <c r="H63" s="71" t="s">
        <v>21</v>
      </c>
      <c r="I63" s="70" t="s">
        <v>60</v>
      </c>
      <c r="J63" s="71" t="s">
        <v>61</v>
      </c>
      <c r="K63" s="72"/>
      <c r="L63" s="73" t="s">
        <v>89</v>
      </c>
      <c r="M63" s="74"/>
      <c r="N63" s="68"/>
      <c r="O63" s="69"/>
      <c r="P63" s="69"/>
      <c r="Q63" s="69"/>
      <c r="R63" s="69"/>
    </row>
    <row r="64" spans="1:18">
      <c r="A64" s="6">
        <v>46178</v>
      </c>
      <c r="B64" s="59" t="s">
        <v>63</v>
      </c>
      <c r="C64" s="60"/>
      <c r="D64" s="62">
        <v>100</v>
      </c>
      <c r="E64" s="62"/>
      <c r="F64" s="63">
        <v>1</v>
      </c>
      <c r="G64" s="59" t="s">
        <v>22</v>
      </c>
      <c r="H64" s="59" t="s">
        <v>21</v>
      </c>
      <c r="I64" s="64" t="s">
        <v>60</v>
      </c>
      <c r="J64" s="59" t="s">
        <v>61</v>
      </c>
      <c r="K64" s="65"/>
      <c r="L64" s="66" t="s">
        <v>62</v>
      </c>
      <c r="M64" s="67"/>
      <c r="N64" s="68"/>
      <c r="O64" s="69"/>
      <c r="P64" s="69"/>
      <c r="Q64" s="69"/>
      <c r="R64" s="69"/>
    </row>
    <row r="65" spans="1:18">
      <c r="A65" s="6">
        <v>46178</v>
      </c>
      <c r="B65" s="59" t="s">
        <v>76</v>
      </c>
      <c r="C65" s="60"/>
      <c r="D65" s="62">
        <v>43700</v>
      </c>
      <c r="E65" s="62"/>
      <c r="F65" s="63"/>
      <c r="G65" s="59" t="s">
        <v>77</v>
      </c>
      <c r="H65" s="59"/>
      <c r="I65" s="64" t="s">
        <v>60</v>
      </c>
      <c r="J65" s="59" t="s">
        <v>61</v>
      </c>
      <c r="K65" s="65"/>
      <c r="L65" s="66" t="s">
        <v>62</v>
      </c>
      <c r="M65" s="67"/>
      <c r="N65" s="68"/>
      <c r="O65" s="69"/>
      <c r="P65" s="69"/>
      <c r="Q65" s="69"/>
      <c r="R65" s="69"/>
    </row>
    <row r="66" spans="1:18">
      <c r="A66" s="6">
        <v>46178</v>
      </c>
      <c r="B66" s="59" t="s">
        <v>63</v>
      </c>
      <c r="C66" s="60"/>
      <c r="D66" s="62"/>
      <c r="E66" s="62">
        <v>2000</v>
      </c>
      <c r="F66" s="63">
        <v>1</v>
      </c>
      <c r="G66" s="59" t="s">
        <v>65</v>
      </c>
      <c r="H66" s="59" t="s">
        <v>66</v>
      </c>
      <c r="I66" s="64" t="s">
        <v>60</v>
      </c>
      <c r="J66" s="59" t="s">
        <v>61</v>
      </c>
      <c r="K66" s="65"/>
      <c r="L66" s="66" t="s">
        <v>62</v>
      </c>
      <c r="M66" s="67" t="s">
        <v>91</v>
      </c>
      <c r="N66" s="68"/>
      <c r="O66" s="69"/>
      <c r="P66" s="69"/>
      <c r="Q66" s="69"/>
      <c r="R66" s="69"/>
    </row>
    <row r="67" spans="1:18">
      <c r="A67" s="11">
        <v>46178</v>
      </c>
      <c r="B67" s="102" t="s">
        <v>63</v>
      </c>
      <c r="C67" s="103"/>
      <c r="D67" s="104"/>
      <c r="E67" s="104">
        <v>100</v>
      </c>
      <c r="F67" s="105">
        <v>1</v>
      </c>
      <c r="G67" s="102" t="s">
        <v>65</v>
      </c>
      <c r="H67" s="102" t="s">
        <v>66</v>
      </c>
      <c r="I67" s="106" t="s">
        <v>60</v>
      </c>
      <c r="J67" s="102" t="s">
        <v>61</v>
      </c>
      <c r="K67" s="107"/>
      <c r="L67" s="108" t="s">
        <v>62</v>
      </c>
      <c r="M67" s="109" t="s">
        <v>94</v>
      </c>
      <c r="N67" s="68"/>
      <c r="O67" s="69"/>
      <c r="P67" s="69"/>
      <c r="Q67" s="69"/>
      <c r="R67" s="69"/>
    </row>
    <row r="68" spans="1:18">
      <c r="A68" s="11">
        <v>46179</v>
      </c>
      <c r="B68" s="102" t="s">
        <v>84</v>
      </c>
      <c r="C68" s="103"/>
      <c r="D68" s="104">
        <v>-52000</v>
      </c>
      <c r="E68" s="104"/>
      <c r="F68" s="105"/>
      <c r="G68" s="102" t="s">
        <v>77</v>
      </c>
      <c r="H68" s="102"/>
      <c r="I68" s="106" t="s">
        <v>60</v>
      </c>
      <c r="J68" s="102" t="s">
        <v>61</v>
      </c>
      <c r="K68" s="107"/>
      <c r="L68" s="108" t="s">
        <v>62</v>
      </c>
      <c r="M68" s="109"/>
      <c r="N68" s="68"/>
      <c r="O68" s="69"/>
      <c r="P68" s="69"/>
      <c r="Q68" s="69"/>
      <c r="R68" s="69"/>
    </row>
    <row r="69" spans="1:18">
      <c r="A69" s="6">
        <v>46179</v>
      </c>
      <c r="B69" s="59" t="s">
        <v>84</v>
      </c>
      <c r="C69" s="60"/>
      <c r="D69" s="62"/>
      <c r="E69" s="62">
        <v>-2750</v>
      </c>
      <c r="F69" s="63">
        <v>1</v>
      </c>
      <c r="G69" s="59" t="s">
        <v>65</v>
      </c>
      <c r="H69" s="59" t="s">
        <v>85</v>
      </c>
      <c r="I69" s="64" t="s">
        <v>60</v>
      </c>
      <c r="J69" s="59" t="s">
        <v>61</v>
      </c>
      <c r="K69" s="65"/>
      <c r="L69" s="66" t="s">
        <v>62</v>
      </c>
      <c r="M69" s="67"/>
      <c r="N69" s="68"/>
      <c r="O69" s="69"/>
      <c r="P69" s="69"/>
      <c r="Q69" s="69"/>
      <c r="R69" s="69"/>
    </row>
    <row r="70" spans="1:18">
      <c r="A70" s="6">
        <v>46179</v>
      </c>
      <c r="B70" s="59" t="s">
        <v>84</v>
      </c>
      <c r="C70" s="60"/>
      <c r="D70" s="62"/>
      <c r="E70" s="62">
        <v>750</v>
      </c>
      <c r="F70" s="63">
        <v>1</v>
      </c>
      <c r="G70" s="59" t="s">
        <v>65</v>
      </c>
      <c r="H70" s="59" t="s">
        <v>66</v>
      </c>
      <c r="I70" s="64" t="s">
        <v>60</v>
      </c>
      <c r="J70" s="59" t="s">
        <v>61</v>
      </c>
      <c r="K70" s="65"/>
      <c r="L70" s="66" t="s">
        <v>62</v>
      </c>
      <c r="M70" s="67"/>
      <c r="N70" s="68"/>
      <c r="O70" s="69"/>
      <c r="P70" s="69"/>
      <c r="Q70" s="69"/>
      <c r="R70" s="69"/>
    </row>
    <row r="71" spans="1:18">
      <c r="A71" s="6">
        <v>46179</v>
      </c>
      <c r="B71" s="59" t="s">
        <v>5109</v>
      </c>
      <c r="C71" s="60"/>
      <c r="D71" s="62"/>
      <c r="E71" s="62"/>
      <c r="F71" s="63">
        <v>1</v>
      </c>
      <c r="G71" s="59" t="s">
        <v>99</v>
      </c>
      <c r="H71" s="59" t="s">
        <v>21</v>
      </c>
      <c r="I71" s="64"/>
      <c r="J71" s="59"/>
      <c r="K71" s="65"/>
      <c r="L71" s="66" t="s">
        <v>89</v>
      </c>
      <c r="M71" s="67" t="s">
        <v>5226</v>
      </c>
      <c r="N71" s="68"/>
      <c r="O71" s="69"/>
      <c r="P71" s="69"/>
      <c r="Q71" s="69"/>
      <c r="R71" s="69"/>
    </row>
    <row r="72" spans="1:18">
      <c r="A72" s="6">
        <v>46179</v>
      </c>
      <c r="B72" s="59" t="s">
        <v>5110</v>
      </c>
      <c r="C72" s="60"/>
      <c r="D72" s="62"/>
      <c r="E72" s="62"/>
      <c r="F72" s="63">
        <v>1</v>
      </c>
      <c r="G72" s="59" t="s">
        <v>64</v>
      </c>
      <c r="H72" s="59"/>
      <c r="I72" s="64"/>
      <c r="J72" s="59"/>
      <c r="K72" s="65"/>
      <c r="L72" s="66" t="s">
        <v>89</v>
      </c>
      <c r="M72" s="67" t="s">
        <v>5111</v>
      </c>
      <c r="N72" s="68"/>
      <c r="O72" s="69"/>
      <c r="P72" s="69"/>
      <c r="Q72" s="69"/>
      <c r="R72" s="69"/>
    </row>
    <row r="73" spans="1:18">
      <c r="A73" s="6">
        <v>46179</v>
      </c>
      <c r="B73" s="59" t="s">
        <v>5112</v>
      </c>
      <c r="C73" s="60"/>
      <c r="D73" s="62"/>
      <c r="E73" s="62"/>
      <c r="F73" s="63">
        <v>1</v>
      </c>
      <c r="G73" s="59" t="s">
        <v>64</v>
      </c>
      <c r="H73" s="59"/>
      <c r="I73" s="64"/>
      <c r="J73" s="59"/>
      <c r="K73" s="65"/>
      <c r="L73" s="66" t="s">
        <v>89</v>
      </c>
      <c r="M73" s="67" t="s">
        <v>5113</v>
      </c>
      <c r="N73" s="68"/>
      <c r="O73" s="69"/>
      <c r="P73" s="69"/>
      <c r="Q73" s="69"/>
      <c r="R73" s="69"/>
    </row>
    <row r="74" spans="1:18">
      <c r="A74" s="6">
        <v>46179</v>
      </c>
      <c r="B74" s="59" t="s">
        <v>4286</v>
      </c>
      <c r="C74" s="60"/>
      <c r="D74" s="62">
        <v>500</v>
      </c>
      <c r="E74" s="62"/>
      <c r="F74" s="63">
        <v>1</v>
      </c>
      <c r="G74" s="59" t="s">
        <v>22</v>
      </c>
      <c r="H74" s="59" t="s">
        <v>21</v>
      </c>
      <c r="I74" s="64" t="s">
        <v>60</v>
      </c>
      <c r="J74" s="59" t="s">
        <v>61</v>
      </c>
      <c r="K74" s="65"/>
      <c r="L74" s="66" t="s">
        <v>89</v>
      </c>
      <c r="M74" s="67"/>
      <c r="N74" s="68"/>
      <c r="O74" s="69"/>
      <c r="P74" s="69"/>
      <c r="Q74" s="69"/>
      <c r="R74" s="69"/>
    </row>
    <row r="75" spans="1:18">
      <c r="A75" s="6">
        <v>46179</v>
      </c>
      <c r="B75" s="59" t="s">
        <v>4752</v>
      </c>
      <c r="C75" s="60"/>
      <c r="D75" s="62">
        <v>500</v>
      </c>
      <c r="E75" s="62"/>
      <c r="F75" s="63">
        <v>1</v>
      </c>
      <c r="G75" s="59" t="s">
        <v>22</v>
      </c>
      <c r="H75" s="59" t="s">
        <v>21</v>
      </c>
      <c r="I75" s="64" t="s">
        <v>60</v>
      </c>
      <c r="J75" s="59" t="s">
        <v>61</v>
      </c>
      <c r="K75" s="65"/>
      <c r="L75" s="66" t="s">
        <v>89</v>
      </c>
      <c r="M75" s="67"/>
      <c r="N75" s="68"/>
      <c r="O75" s="69"/>
      <c r="P75" s="69"/>
      <c r="Q75" s="69"/>
      <c r="R75" s="69"/>
    </row>
    <row r="76" spans="1:18">
      <c r="A76" s="6">
        <v>46179</v>
      </c>
      <c r="B76" s="59" t="s">
        <v>63</v>
      </c>
      <c r="C76" s="60"/>
      <c r="D76" s="62">
        <v>29000</v>
      </c>
      <c r="E76" s="62"/>
      <c r="F76" s="63">
        <v>1</v>
      </c>
      <c r="G76" s="59" t="s">
        <v>70</v>
      </c>
      <c r="H76" s="59"/>
      <c r="I76" s="64" t="s">
        <v>71</v>
      </c>
      <c r="J76" s="59" t="s">
        <v>72</v>
      </c>
      <c r="K76" s="65" t="s">
        <v>5123</v>
      </c>
      <c r="L76" s="66" t="s">
        <v>62</v>
      </c>
      <c r="M76" s="67" t="s">
        <v>272</v>
      </c>
      <c r="N76" s="68"/>
      <c r="O76" s="69"/>
      <c r="P76" s="69"/>
      <c r="Q76" s="69"/>
      <c r="R76" s="69"/>
    </row>
    <row r="77" spans="1:18">
      <c r="A77" s="6">
        <v>46179</v>
      </c>
      <c r="B77" s="59" t="s">
        <v>5114</v>
      </c>
      <c r="C77" s="60"/>
      <c r="D77" s="62"/>
      <c r="E77" s="62"/>
      <c r="F77" s="63">
        <v>1</v>
      </c>
      <c r="G77" s="59" t="s">
        <v>64</v>
      </c>
      <c r="H77" s="59"/>
      <c r="I77" s="64"/>
      <c r="J77" s="59"/>
      <c r="K77" s="65"/>
      <c r="L77" s="66" t="s">
        <v>89</v>
      </c>
      <c r="M77" s="67" t="s">
        <v>96</v>
      </c>
      <c r="N77" s="68"/>
      <c r="O77" s="69"/>
      <c r="P77" s="69"/>
      <c r="Q77" s="69"/>
      <c r="R77" s="69"/>
    </row>
    <row r="78" spans="1:18">
      <c r="A78" s="6">
        <v>46179</v>
      </c>
      <c r="B78" s="59" t="s">
        <v>5115</v>
      </c>
      <c r="C78" s="60"/>
      <c r="D78" s="62"/>
      <c r="E78" s="62"/>
      <c r="F78" s="63">
        <v>1</v>
      </c>
      <c r="G78" s="59" t="s">
        <v>64</v>
      </c>
      <c r="H78" s="59"/>
      <c r="I78" s="64"/>
      <c r="J78" s="59"/>
      <c r="K78" s="65"/>
      <c r="L78" s="66" t="s">
        <v>89</v>
      </c>
      <c r="M78" s="67" t="s">
        <v>96</v>
      </c>
      <c r="N78" s="68"/>
      <c r="O78" s="69"/>
      <c r="P78" s="69"/>
      <c r="Q78" s="69"/>
      <c r="R78" s="69"/>
    </row>
    <row r="79" spans="1:18">
      <c r="A79" s="6">
        <v>46179</v>
      </c>
      <c r="B79" s="59" t="s">
        <v>5118</v>
      </c>
      <c r="C79" s="60"/>
      <c r="D79" s="62">
        <v>44500</v>
      </c>
      <c r="E79" s="62"/>
      <c r="F79" s="63">
        <v>3</v>
      </c>
      <c r="G79" s="59" t="s">
        <v>70</v>
      </c>
      <c r="H79" s="59"/>
      <c r="I79" s="64" t="s">
        <v>71</v>
      </c>
      <c r="J79" s="59" t="s">
        <v>72</v>
      </c>
      <c r="K79" s="65" t="s">
        <v>5119</v>
      </c>
      <c r="L79" s="66" t="s">
        <v>62</v>
      </c>
      <c r="M79" s="67" t="s">
        <v>90</v>
      </c>
      <c r="N79" s="68"/>
      <c r="O79" s="69"/>
      <c r="P79" s="69"/>
      <c r="Q79" s="69"/>
      <c r="R79" s="69"/>
    </row>
    <row r="80" spans="1:18">
      <c r="A80" s="6">
        <v>46179</v>
      </c>
      <c r="B80" s="59" t="s">
        <v>63</v>
      </c>
      <c r="C80" s="60"/>
      <c r="D80" s="62">
        <v>39500</v>
      </c>
      <c r="E80" s="62"/>
      <c r="F80" s="63"/>
      <c r="G80" s="59" t="s">
        <v>70</v>
      </c>
      <c r="H80" s="59"/>
      <c r="I80" s="64" t="s">
        <v>60</v>
      </c>
      <c r="J80" s="59" t="s">
        <v>61</v>
      </c>
      <c r="K80" s="65"/>
      <c r="L80" s="66" t="s">
        <v>62</v>
      </c>
      <c r="M80" s="67"/>
      <c r="N80" s="68"/>
      <c r="O80" s="69"/>
      <c r="P80" s="69"/>
      <c r="Q80" s="69"/>
      <c r="R80" s="69"/>
    </row>
    <row r="81" spans="1:18">
      <c r="A81" s="6">
        <v>46179</v>
      </c>
      <c r="B81" s="59" t="s">
        <v>5120</v>
      </c>
      <c r="C81" s="60"/>
      <c r="D81" s="62"/>
      <c r="E81" s="62"/>
      <c r="F81" s="63">
        <v>1</v>
      </c>
      <c r="G81" s="59" t="s">
        <v>64</v>
      </c>
      <c r="H81" s="59"/>
      <c r="I81" s="64"/>
      <c r="J81" s="59"/>
      <c r="K81" s="65"/>
      <c r="L81" s="66" t="s">
        <v>86</v>
      </c>
      <c r="M81" s="67" t="s">
        <v>5094</v>
      </c>
      <c r="N81" s="68"/>
      <c r="O81" s="69"/>
      <c r="P81" s="69"/>
      <c r="Q81" s="69"/>
      <c r="R81" s="110"/>
    </row>
    <row r="82" spans="1:18">
      <c r="A82" s="7">
        <v>46179</v>
      </c>
      <c r="B82" s="71" t="s">
        <v>63</v>
      </c>
      <c r="C82" s="75"/>
      <c r="D82" s="76"/>
      <c r="E82" s="76">
        <v>1000</v>
      </c>
      <c r="F82" s="77">
        <v>1</v>
      </c>
      <c r="G82" s="71" t="s">
        <v>65</v>
      </c>
      <c r="H82" s="71" t="s">
        <v>66</v>
      </c>
      <c r="I82" s="70" t="s">
        <v>60</v>
      </c>
      <c r="J82" s="71" t="s">
        <v>61</v>
      </c>
      <c r="K82" s="72"/>
      <c r="L82" s="73" t="s">
        <v>62</v>
      </c>
      <c r="M82" s="74" t="s">
        <v>91</v>
      </c>
      <c r="N82" s="68"/>
      <c r="O82" s="69"/>
      <c r="P82" s="69"/>
      <c r="Q82" s="69"/>
      <c r="R82" s="69"/>
    </row>
    <row r="83" spans="1:18">
      <c r="A83" s="6">
        <v>46179</v>
      </c>
      <c r="B83" s="59" t="s">
        <v>76</v>
      </c>
      <c r="C83" s="60"/>
      <c r="D83" s="62">
        <v>1000</v>
      </c>
      <c r="E83" s="62"/>
      <c r="F83" s="63"/>
      <c r="G83" s="59" t="s">
        <v>77</v>
      </c>
      <c r="H83" s="59"/>
      <c r="I83" s="64" t="s">
        <v>60</v>
      </c>
      <c r="J83" s="59" t="s">
        <v>61</v>
      </c>
      <c r="K83" s="65"/>
      <c r="L83" s="66" t="s">
        <v>62</v>
      </c>
      <c r="M83" s="67"/>
      <c r="N83" s="68"/>
      <c r="O83" s="69"/>
      <c r="P83" s="69"/>
      <c r="Q83" s="69"/>
      <c r="R83" s="69"/>
    </row>
    <row r="84" spans="1:18">
      <c r="A84" s="7">
        <v>46180</v>
      </c>
      <c r="B84" s="71" t="s">
        <v>4669</v>
      </c>
      <c r="C84" s="75"/>
      <c r="D84" s="76">
        <v>500</v>
      </c>
      <c r="E84" s="76"/>
      <c r="F84" s="77">
        <v>1</v>
      </c>
      <c r="G84" s="71" t="s">
        <v>22</v>
      </c>
      <c r="H84" s="71" t="s">
        <v>21</v>
      </c>
      <c r="I84" s="70" t="s">
        <v>60</v>
      </c>
      <c r="J84" s="71" t="s">
        <v>61</v>
      </c>
      <c r="K84" s="72"/>
      <c r="L84" s="73" t="s">
        <v>82</v>
      </c>
      <c r="M84" s="74"/>
      <c r="N84" s="68"/>
      <c r="O84" s="69"/>
      <c r="P84" s="69"/>
      <c r="Q84" s="69"/>
      <c r="R84" s="69"/>
    </row>
    <row r="85" spans="1:18">
      <c r="A85" s="8">
        <v>46180</v>
      </c>
      <c r="B85" s="78" t="s">
        <v>5124</v>
      </c>
      <c r="C85" s="79"/>
      <c r="D85" s="80">
        <v>500</v>
      </c>
      <c r="E85" s="80"/>
      <c r="F85" s="81">
        <v>1</v>
      </c>
      <c r="G85" s="78" t="s">
        <v>22</v>
      </c>
      <c r="H85" s="78" t="s">
        <v>21</v>
      </c>
      <c r="I85" s="82" t="s">
        <v>60</v>
      </c>
      <c r="J85" s="78" t="s">
        <v>61</v>
      </c>
      <c r="K85" s="83"/>
      <c r="L85" s="84" t="s">
        <v>82</v>
      </c>
      <c r="M85" s="85"/>
      <c r="N85" s="68"/>
      <c r="O85" s="69"/>
      <c r="P85" s="69"/>
      <c r="Q85" s="69"/>
      <c r="R85" s="69"/>
    </row>
    <row r="86" spans="1:18">
      <c r="A86" s="7">
        <v>46180</v>
      </c>
      <c r="B86" s="71" t="s">
        <v>5124</v>
      </c>
      <c r="C86" s="75"/>
      <c r="D86" s="76"/>
      <c r="E86" s="76"/>
      <c r="F86" s="77">
        <v>1</v>
      </c>
      <c r="G86" s="71" t="s">
        <v>64</v>
      </c>
      <c r="H86" s="71"/>
      <c r="I86" s="70"/>
      <c r="J86" s="71"/>
      <c r="K86" s="72"/>
      <c r="L86" s="73" t="s">
        <v>82</v>
      </c>
      <c r="M86" s="74" t="s">
        <v>5125</v>
      </c>
      <c r="N86" s="68"/>
      <c r="O86" s="69"/>
      <c r="P86" s="69"/>
      <c r="Q86" s="69"/>
      <c r="R86" s="69"/>
    </row>
    <row r="87" spans="1:18">
      <c r="A87" s="6">
        <v>46180</v>
      </c>
      <c r="B87" s="59" t="s">
        <v>5127</v>
      </c>
      <c r="C87" s="60"/>
      <c r="D87" s="62">
        <v>500</v>
      </c>
      <c r="E87" s="62"/>
      <c r="F87" s="63">
        <v>1</v>
      </c>
      <c r="G87" s="59" t="s">
        <v>22</v>
      </c>
      <c r="H87" s="59" t="s">
        <v>21</v>
      </c>
      <c r="I87" s="64" t="s">
        <v>60</v>
      </c>
      <c r="J87" s="59" t="s">
        <v>61</v>
      </c>
      <c r="K87" s="65"/>
      <c r="L87" s="66" t="s">
        <v>82</v>
      </c>
      <c r="M87" s="67"/>
      <c r="N87" s="68"/>
      <c r="O87" s="69"/>
      <c r="P87" s="69"/>
      <c r="Q87" s="69"/>
      <c r="R87" s="69"/>
    </row>
    <row r="88" spans="1:18">
      <c r="A88" s="6">
        <v>46180</v>
      </c>
      <c r="B88" s="59" t="s">
        <v>5127</v>
      </c>
      <c r="C88" s="60"/>
      <c r="D88" s="62"/>
      <c r="E88" s="62"/>
      <c r="F88" s="63">
        <v>1</v>
      </c>
      <c r="G88" s="59" t="s">
        <v>64</v>
      </c>
      <c r="H88" s="59"/>
      <c r="I88" s="64"/>
      <c r="J88" s="59"/>
      <c r="K88" s="65"/>
      <c r="L88" s="66" t="s">
        <v>82</v>
      </c>
      <c r="M88" s="67" t="s">
        <v>96</v>
      </c>
      <c r="N88" s="68"/>
      <c r="O88" s="69"/>
      <c r="P88" s="69"/>
      <c r="Q88" s="69"/>
      <c r="R88" s="69"/>
    </row>
    <row r="89" spans="1:18">
      <c r="A89" s="8">
        <v>46180</v>
      </c>
      <c r="B89" s="78" t="s">
        <v>5128</v>
      </c>
      <c r="C89" s="79"/>
      <c r="D89" s="80"/>
      <c r="E89" s="80"/>
      <c r="F89" s="81">
        <v>1</v>
      </c>
      <c r="G89" s="78" t="s">
        <v>64</v>
      </c>
      <c r="H89" s="78"/>
      <c r="I89" s="82"/>
      <c r="J89" s="78"/>
      <c r="K89" s="83"/>
      <c r="L89" s="84" t="s">
        <v>86</v>
      </c>
      <c r="M89" s="85" t="s">
        <v>96</v>
      </c>
      <c r="N89" s="68"/>
      <c r="O89" s="69"/>
      <c r="P89" s="69"/>
      <c r="Q89" s="69"/>
      <c r="R89" s="69"/>
    </row>
    <row r="90" spans="1:18">
      <c r="A90" s="6">
        <v>46180</v>
      </c>
      <c r="B90" s="59" t="s">
        <v>5142</v>
      </c>
      <c r="C90" s="60"/>
      <c r="D90" s="62"/>
      <c r="E90" s="62"/>
      <c r="F90" s="63">
        <v>1</v>
      </c>
      <c r="G90" s="59" t="s">
        <v>64</v>
      </c>
      <c r="H90" s="59"/>
      <c r="I90" s="64"/>
      <c r="J90" s="59"/>
      <c r="K90" s="65"/>
      <c r="L90" s="66" t="s">
        <v>82</v>
      </c>
      <c r="M90" s="67" t="s">
        <v>5143</v>
      </c>
      <c r="N90" s="68"/>
      <c r="O90" s="69"/>
      <c r="P90" s="69"/>
      <c r="Q90" s="69"/>
      <c r="R90" s="69"/>
    </row>
    <row r="91" spans="1:18">
      <c r="A91" s="6">
        <v>46180</v>
      </c>
      <c r="B91" s="59" t="s">
        <v>5144</v>
      </c>
      <c r="C91" s="60"/>
      <c r="D91" s="62">
        <v>500</v>
      </c>
      <c r="E91" s="62"/>
      <c r="F91" s="63">
        <v>1</v>
      </c>
      <c r="G91" s="59" t="s">
        <v>22</v>
      </c>
      <c r="H91" s="59" t="s">
        <v>21</v>
      </c>
      <c r="I91" s="64" t="s">
        <v>60</v>
      </c>
      <c r="J91" s="59" t="s">
        <v>61</v>
      </c>
      <c r="K91" s="65"/>
      <c r="L91" s="66" t="s">
        <v>82</v>
      </c>
      <c r="M91" s="67"/>
      <c r="N91" s="68"/>
      <c r="O91" s="69"/>
      <c r="P91" s="69"/>
      <c r="Q91" s="69"/>
      <c r="R91" s="69"/>
    </row>
    <row r="92" spans="1:18">
      <c r="A92" s="6">
        <v>46180</v>
      </c>
      <c r="B92" s="59" t="s">
        <v>5145</v>
      </c>
      <c r="C92" s="60"/>
      <c r="D92" s="62"/>
      <c r="E92" s="62"/>
      <c r="F92" s="63">
        <v>1</v>
      </c>
      <c r="G92" s="59" t="s">
        <v>64</v>
      </c>
      <c r="H92" s="59"/>
      <c r="I92" s="64"/>
      <c r="J92" s="59"/>
      <c r="K92" s="65"/>
      <c r="L92" s="66" t="s">
        <v>82</v>
      </c>
      <c r="M92" s="67" t="s">
        <v>5143</v>
      </c>
      <c r="N92" s="68"/>
      <c r="O92" s="69"/>
      <c r="P92" s="69"/>
      <c r="Q92" s="69"/>
      <c r="R92" s="69"/>
    </row>
    <row r="93" spans="1:18">
      <c r="A93" s="6">
        <v>46180</v>
      </c>
      <c r="B93" s="59" t="s">
        <v>5146</v>
      </c>
      <c r="C93" s="60"/>
      <c r="D93" s="62"/>
      <c r="E93" s="62"/>
      <c r="F93" s="63">
        <v>1</v>
      </c>
      <c r="G93" s="59" t="s">
        <v>64</v>
      </c>
      <c r="H93" s="59"/>
      <c r="I93" s="64"/>
      <c r="J93" s="59"/>
      <c r="K93" s="65"/>
      <c r="L93" s="66" t="s">
        <v>82</v>
      </c>
      <c r="M93" s="67" t="s">
        <v>756</v>
      </c>
      <c r="N93" s="68"/>
      <c r="O93" s="69"/>
      <c r="P93" s="69"/>
      <c r="Q93" s="69"/>
      <c r="R93" s="69"/>
    </row>
    <row r="94" spans="1:18">
      <c r="A94" s="6">
        <v>46180</v>
      </c>
      <c r="B94" s="59" t="s">
        <v>5147</v>
      </c>
      <c r="C94" s="60"/>
      <c r="D94" s="62"/>
      <c r="E94" s="62"/>
      <c r="F94" s="63">
        <v>1</v>
      </c>
      <c r="G94" s="59" t="s">
        <v>64</v>
      </c>
      <c r="H94" s="59"/>
      <c r="I94" s="64"/>
      <c r="J94" s="59"/>
      <c r="K94" s="65"/>
      <c r="L94" s="66" t="s">
        <v>86</v>
      </c>
      <c r="M94" s="67" t="s">
        <v>5148</v>
      </c>
      <c r="N94" s="68"/>
      <c r="O94" s="69"/>
      <c r="P94" s="69"/>
      <c r="Q94" s="69"/>
      <c r="R94" s="69"/>
    </row>
    <row r="95" spans="1:18">
      <c r="A95" s="6">
        <v>46180</v>
      </c>
      <c r="B95" s="59" t="s">
        <v>5149</v>
      </c>
      <c r="C95" s="60"/>
      <c r="D95" s="62">
        <v>500</v>
      </c>
      <c r="E95" s="62"/>
      <c r="F95" s="63">
        <v>1</v>
      </c>
      <c r="G95" s="59" t="s">
        <v>22</v>
      </c>
      <c r="H95" s="59" t="s">
        <v>21</v>
      </c>
      <c r="I95" s="64" t="s">
        <v>60</v>
      </c>
      <c r="J95" s="59" t="s">
        <v>61</v>
      </c>
      <c r="K95" s="65"/>
      <c r="L95" s="66" t="s">
        <v>86</v>
      </c>
      <c r="M95" s="67"/>
      <c r="N95" s="68"/>
      <c r="O95" s="69"/>
      <c r="P95" s="69"/>
      <c r="Q95" s="69"/>
      <c r="R95" s="69"/>
    </row>
    <row r="96" spans="1:18">
      <c r="A96" s="6">
        <v>46180</v>
      </c>
      <c r="B96" s="59" t="s">
        <v>5150</v>
      </c>
      <c r="C96" s="60"/>
      <c r="D96" s="62">
        <v>500</v>
      </c>
      <c r="E96" s="62"/>
      <c r="F96" s="63">
        <v>1</v>
      </c>
      <c r="G96" s="59" t="s">
        <v>22</v>
      </c>
      <c r="H96" s="59" t="s">
        <v>21</v>
      </c>
      <c r="I96" s="64" t="s">
        <v>60</v>
      </c>
      <c r="J96" s="59" t="s">
        <v>61</v>
      </c>
      <c r="K96" s="65"/>
      <c r="L96" s="66" t="s">
        <v>86</v>
      </c>
      <c r="M96" s="67"/>
      <c r="N96" s="68"/>
      <c r="O96" s="69"/>
      <c r="P96" s="69"/>
      <c r="Q96" s="69"/>
      <c r="R96" s="69"/>
    </row>
    <row r="97" spans="1:18">
      <c r="A97" s="6">
        <v>46180</v>
      </c>
      <c r="B97" s="59" t="s">
        <v>5151</v>
      </c>
      <c r="C97" s="60"/>
      <c r="D97" s="62"/>
      <c r="E97" s="62"/>
      <c r="F97" s="63">
        <v>1</v>
      </c>
      <c r="G97" s="59" t="s">
        <v>64</v>
      </c>
      <c r="H97" s="59"/>
      <c r="I97" s="70"/>
      <c r="J97" s="71"/>
      <c r="K97" s="72"/>
      <c r="L97" s="73" t="s">
        <v>86</v>
      </c>
      <c r="M97" s="74" t="s">
        <v>5158</v>
      </c>
      <c r="N97" s="68"/>
      <c r="O97" s="69"/>
      <c r="P97" s="69"/>
      <c r="Q97" s="69"/>
      <c r="R97" s="69"/>
    </row>
    <row r="98" spans="1:18">
      <c r="A98" s="6">
        <v>46180</v>
      </c>
      <c r="B98" s="59" t="s">
        <v>5159</v>
      </c>
      <c r="C98" s="60"/>
      <c r="D98" s="62">
        <v>500</v>
      </c>
      <c r="E98" s="62"/>
      <c r="F98" s="63">
        <v>1</v>
      </c>
      <c r="G98" s="59" t="s">
        <v>22</v>
      </c>
      <c r="H98" s="59" t="s">
        <v>21</v>
      </c>
      <c r="I98" s="64" t="s">
        <v>60</v>
      </c>
      <c r="J98" s="59" t="s">
        <v>61</v>
      </c>
      <c r="K98" s="65"/>
      <c r="L98" s="66" t="s">
        <v>86</v>
      </c>
      <c r="M98" s="67"/>
      <c r="N98" s="68"/>
      <c r="O98" s="69"/>
      <c r="P98" s="69"/>
      <c r="Q98" s="69"/>
      <c r="R98" s="69"/>
    </row>
    <row r="99" spans="1:18">
      <c r="A99" s="6">
        <v>46180</v>
      </c>
      <c r="B99" s="59" t="s">
        <v>63</v>
      </c>
      <c r="C99" s="60"/>
      <c r="D99" s="62">
        <v>43000</v>
      </c>
      <c r="E99" s="62"/>
      <c r="F99" s="63">
        <v>2</v>
      </c>
      <c r="G99" s="59" t="s">
        <v>70</v>
      </c>
      <c r="H99" s="59"/>
      <c r="I99" s="64" t="s">
        <v>71</v>
      </c>
      <c r="J99" s="59" t="s">
        <v>72</v>
      </c>
      <c r="K99" s="65" t="s">
        <v>5126</v>
      </c>
      <c r="L99" s="66" t="s">
        <v>62</v>
      </c>
      <c r="M99" s="67" t="s">
        <v>90</v>
      </c>
      <c r="N99" s="68"/>
      <c r="O99" s="69"/>
      <c r="P99" s="69"/>
      <c r="Q99" s="69"/>
      <c r="R99" s="69"/>
    </row>
    <row r="100" spans="1:18">
      <c r="A100" s="6">
        <v>46180</v>
      </c>
      <c r="B100" s="59" t="s">
        <v>63</v>
      </c>
      <c r="C100" s="60"/>
      <c r="D100" s="62">
        <v>16000</v>
      </c>
      <c r="E100" s="62"/>
      <c r="F100" s="63">
        <v>2</v>
      </c>
      <c r="G100" s="59" t="s">
        <v>70</v>
      </c>
      <c r="H100" s="59"/>
      <c r="I100" s="64" t="s">
        <v>71</v>
      </c>
      <c r="J100" s="59" t="s">
        <v>72</v>
      </c>
      <c r="K100" s="65" t="s">
        <v>5137</v>
      </c>
      <c r="L100" s="66" t="s">
        <v>62</v>
      </c>
      <c r="M100" s="67" t="s">
        <v>90</v>
      </c>
      <c r="N100" s="68"/>
      <c r="O100" s="69"/>
      <c r="P100" s="69"/>
      <c r="Q100" s="69"/>
      <c r="R100" s="69"/>
    </row>
    <row r="101" spans="1:18">
      <c r="A101" s="6">
        <v>46180</v>
      </c>
      <c r="B101" s="59" t="s">
        <v>63</v>
      </c>
      <c r="C101" s="60"/>
      <c r="D101" s="62">
        <v>19000</v>
      </c>
      <c r="E101" s="62"/>
      <c r="F101" s="63">
        <v>1</v>
      </c>
      <c r="G101" s="59" t="s">
        <v>70</v>
      </c>
      <c r="H101" s="59"/>
      <c r="I101" s="64" t="s">
        <v>71</v>
      </c>
      <c r="J101" s="59" t="s">
        <v>72</v>
      </c>
      <c r="K101" s="65" t="s">
        <v>5138</v>
      </c>
      <c r="L101" s="66" t="s">
        <v>62</v>
      </c>
      <c r="M101" s="67" t="s">
        <v>5139</v>
      </c>
      <c r="N101" s="68"/>
      <c r="O101" s="69"/>
      <c r="P101" s="69"/>
      <c r="Q101" s="69"/>
      <c r="R101" s="69"/>
    </row>
    <row r="102" spans="1:18">
      <c r="A102" s="6">
        <v>46180</v>
      </c>
      <c r="B102" s="59" t="s">
        <v>63</v>
      </c>
      <c r="C102" s="60"/>
      <c r="D102" s="61">
        <v>31000</v>
      </c>
      <c r="E102" s="62"/>
      <c r="F102" s="63">
        <v>1</v>
      </c>
      <c r="G102" s="59" t="s">
        <v>70</v>
      </c>
      <c r="H102" s="59"/>
      <c r="I102" s="64" t="s">
        <v>71</v>
      </c>
      <c r="J102" s="59" t="s">
        <v>535</v>
      </c>
      <c r="K102" s="65" t="s">
        <v>5140</v>
      </c>
      <c r="L102" s="66" t="s">
        <v>62</v>
      </c>
      <c r="M102" s="67" t="s">
        <v>5141</v>
      </c>
      <c r="N102" s="68"/>
      <c r="O102" s="69"/>
      <c r="P102" s="69"/>
      <c r="Q102" s="69"/>
      <c r="R102" s="69"/>
    </row>
    <row r="103" spans="1:18">
      <c r="A103" s="6">
        <v>46180</v>
      </c>
      <c r="B103" s="59" t="s">
        <v>63</v>
      </c>
      <c r="C103" s="60"/>
      <c r="D103" s="62">
        <v>14500</v>
      </c>
      <c r="E103" s="62"/>
      <c r="F103" s="63">
        <v>2</v>
      </c>
      <c r="G103" s="59" t="s">
        <v>70</v>
      </c>
      <c r="H103" s="59"/>
      <c r="I103" s="64" t="s">
        <v>71</v>
      </c>
      <c r="J103" s="59" t="s">
        <v>535</v>
      </c>
      <c r="K103" s="65" t="s">
        <v>5160</v>
      </c>
      <c r="L103" s="66" t="s">
        <v>62</v>
      </c>
      <c r="M103" s="67" t="s">
        <v>90</v>
      </c>
      <c r="N103" s="68"/>
      <c r="O103" s="69"/>
      <c r="P103" s="69"/>
      <c r="Q103" s="69"/>
      <c r="R103" s="69"/>
    </row>
    <row r="104" spans="1:18">
      <c r="A104" s="6">
        <v>46180</v>
      </c>
      <c r="B104" s="59" t="s">
        <v>80</v>
      </c>
      <c r="C104" s="60"/>
      <c r="D104" s="62"/>
      <c r="E104" s="62">
        <v>7923</v>
      </c>
      <c r="F104" s="63">
        <v>1</v>
      </c>
      <c r="G104" s="59" t="s">
        <v>74</v>
      </c>
      <c r="H104" s="59" t="s">
        <v>75</v>
      </c>
      <c r="I104" s="64" t="s">
        <v>60</v>
      </c>
      <c r="J104" s="59" t="s">
        <v>61</v>
      </c>
      <c r="K104" s="65" t="s">
        <v>5161</v>
      </c>
      <c r="L104" s="66" t="s">
        <v>87</v>
      </c>
      <c r="M104" s="67"/>
      <c r="N104" s="68"/>
      <c r="O104" s="69"/>
      <c r="P104" s="69"/>
      <c r="Q104" s="69"/>
      <c r="R104" s="69"/>
    </row>
    <row r="105" spans="1:18">
      <c r="A105" s="6">
        <v>46180</v>
      </c>
      <c r="B105" s="59" t="s">
        <v>80</v>
      </c>
      <c r="C105" s="60"/>
      <c r="D105" s="62"/>
      <c r="E105" s="62">
        <v>77</v>
      </c>
      <c r="F105" s="63">
        <v>1</v>
      </c>
      <c r="G105" s="59" t="s">
        <v>65</v>
      </c>
      <c r="H105" s="59" t="s">
        <v>66</v>
      </c>
      <c r="I105" s="64" t="s">
        <v>60</v>
      </c>
      <c r="J105" s="59" t="s">
        <v>61</v>
      </c>
      <c r="K105" s="65" t="s">
        <v>5161</v>
      </c>
      <c r="L105" s="66" t="s">
        <v>87</v>
      </c>
      <c r="M105" s="67"/>
      <c r="N105" s="68"/>
      <c r="O105" s="69"/>
      <c r="P105" s="69"/>
      <c r="Q105" s="69"/>
      <c r="R105" s="69"/>
    </row>
    <row r="106" spans="1:18">
      <c r="A106" s="6">
        <v>46180</v>
      </c>
      <c r="B106" s="59" t="s">
        <v>80</v>
      </c>
      <c r="C106" s="60"/>
      <c r="D106" s="62"/>
      <c r="E106" s="62">
        <v>20302</v>
      </c>
      <c r="F106" s="63">
        <v>1</v>
      </c>
      <c r="G106" s="59" t="s">
        <v>74</v>
      </c>
      <c r="H106" s="59" t="s">
        <v>75</v>
      </c>
      <c r="I106" s="64" t="s">
        <v>60</v>
      </c>
      <c r="J106" s="59" t="s">
        <v>61</v>
      </c>
      <c r="K106" s="65" t="s">
        <v>486</v>
      </c>
      <c r="L106" s="66" t="s">
        <v>87</v>
      </c>
      <c r="M106" s="67"/>
      <c r="N106" s="68"/>
      <c r="O106" s="69"/>
      <c r="P106" s="69"/>
      <c r="Q106" s="69"/>
      <c r="R106" s="69"/>
    </row>
    <row r="107" spans="1:18">
      <c r="A107" s="6">
        <v>46180</v>
      </c>
      <c r="B107" s="59" t="s">
        <v>80</v>
      </c>
      <c r="C107" s="60"/>
      <c r="D107" s="62"/>
      <c r="E107" s="62">
        <v>198</v>
      </c>
      <c r="F107" s="63">
        <v>1</v>
      </c>
      <c r="G107" s="59" t="s">
        <v>65</v>
      </c>
      <c r="H107" s="59" t="s">
        <v>66</v>
      </c>
      <c r="I107" s="64" t="s">
        <v>60</v>
      </c>
      <c r="J107" s="59" t="s">
        <v>61</v>
      </c>
      <c r="K107" s="65" t="s">
        <v>486</v>
      </c>
      <c r="L107" s="66" t="s">
        <v>87</v>
      </c>
      <c r="M107" s="67"/>
      <c r="N107" s="68"/>
      <c r="O107" s="69"/>
      <c r="P107" s="69"/>
      <c r="Q107" s="69"/>
      <c r="R107" s="69"/>
    </row>
    <row r="108" spans="1:18">
      <c r="A108" s="7">
        <v>46180</v>
      </c>
      <c r="B108" s="71" t="s">
        <v>80</v>
      </c>
      <c r="C108" s="75"/>
      <c r="D108" s="76"/>
      <c r="E108" s="76">
        <v>7923</v>
      </c>
      <c r="F108" s="77">
        <v>1</v>
      </c>
      <c r="G108" s="71" t="s">
        <v>74</v>
      </c>
      <c r="H108" s="71" t="s">
        <v>75</v>
      </c>
      <c r="I108" s="70" t="s">
        <v>60</v>
      </c>
      <c r="J108" s="71" t="s">
        <v>61</v>
      </c>
      <c r="K108" s="72" t="s">
        <v>108</v>
      </c>
      <c r="L108" s="73" t="s">
        <v>87</v>
      </c>
      <c r="M108" s="74"/>
      <c r="N108" s="68"/>
      <c r="O108" s="69"/>
      <c r="P108" s="69"/>
      <c r="Q108" s="69"/>
      <c r="R108" s="69"/>
    </row>
    <row r="109" spans="1:18">
      <c r="A109" s="6">
        <v>46180</v>
      </c>
      <c r="B109" s="59" t="s">
        <v>80</v>
      </c>
      <c r="C109" s="60"/>
      <c r="D109" s="62"/>
      <c r="E109" s="62">
        <v>77</v>
      </c>
      <c r="F109" s="63">
        <v>1</v>
      </c>
      <c r="G109" s="59" t="s">
        <v>65</v>
      </c>
      <c r="H109" s="59" t="s">
        <v>66</v>
      </c>
      <c r="I109" s="64" t="s">
        <v>60</v>
      </c>
      <c r="J109" s="59" t="s">
        <v>61</v>
      </c>
      <c r="K109" s="65" t="s">
        <v>108</v>
      </c>
      <c r="L109" s="66" t="s">
        <v>87</v>
      </c>
      <c r="M109" s="67"/>
      <c r="N109" s="68"/>
      <c r="O109" s="69"/>
      <c r="P109" s="69"/>
      <c r="Q109" s="69"/>
      <c r="R109" s="69"/>
    </row>
    <row r="110" spans="1:18">
      <c r="A110" s="6">
        <v>46180</v>
      </c>
      <c r="B110" s="59" t="s">
        <v>63</v>
      </c>
      <c r="C110" s="60"/>
      <c r="D110" s="62">
        <v>92500</v>
      </c>
      <c r="E110" s="62"/>
      <c r="F110" s="63"/>
      <c r="G110" s="59" t="s">
        <v>70</v>
      </c>
      <c r="H110" s="59"/>
      <c r="I110" s="64" t="s">
        <v>60</v>
      </c>
      <c r="J110" s="59" t="s">
        <v>61</v>
      </c>
      <c r="K110" s="65"/>
      <c r="L110" s="66" t="s">
        <v>62</v>
      </c>
      <c r="M110" s="67"/>
      <c r="N110" s="68"/>
      <c r="O110" s="69"/>
      <c r="P110" s="69"/>
      <c r="Q110" s="69"/>
      <c r="R110" s="69"/>
    </row>
    <row r="111" spans="1:18">
      <c r="A111" s="6">
        <v>46180</v>
      </c>
      <c r="B111" s="59" t="s">
        <v>63</v>
      </c>
      <c r="C111" s="60"/>
      <c r="D111" s="62"/>
      <c r="E111" s="62">
        <v>3500</v>
      </c>
      <c r="F111" s="63">
        <v>1</v>
      </c>
      <c r="G111" s="59" t="s">
        <v>65</v>
      </c>
      <c r="H111" s="59" t="s">
        <v>66</v>
      </c>
      <c r="I111" s="64" t="s">
        <v>60</v>
      </c>
      <c r="J111" s="59" t="s">
        <v>61</v>
      </c>
      <c r="K111" s="65"/>
      <c r="L111" s="66" t="s">
        <v>62</v>
      </c>
      <c r="M111" s="67" t="s">
        <v>91</v>
      </c>
      <c r="N111" s="68"/>
      <c r="O111" s="69"/>
      <c r="P111" s="69"/>
      <c r="Q111" s="69"/>
      <c r="R111" s="69"/>
    </row>
    <row r="112" spans="1:18">
      <c r="A112" s="6">
        <v>46181</v>
      </c>
      <c r="B112" s="59" t="s">
        <v>238</v>
      </c>
      <c r="C112" s="60" t="s">
        <v>5164</v>
      </c>
      <c r="D112" s="62"/>
      <c r="E112" s="62"/>
      <c r="F112" s="63">
        <v>26</v>
      </c>
      <c r="G112" s="59" t="s">
        <v>22</v>
      </c>
      <c r="H112" s="59" t="s">
        <v>21</v>
      </c>
      <c r="I112" s="64"/>
      <c r="J112" s="59"/>
      <c r="K112" s="65"/>
      <c r="L112" s="66" t="s">
        <v>95</v>
      </c>
      <c r="M112" s="67"/>
      <c r="N112" s="68"/>
      <c r="O112" s="69"/>
      <c r="P112" s="69"/>
      <c r="Q112" s="69"/>
      <c r="R112" s="69"/>
    </row>
    <row r="113" spans="1:18">
      <c r="A113" s="6">
        <v>46181</v>
      </c>
      <c r="B113" s="59" t="s">
        <v>5165</v>
      </c>
      <c r="C113" s="60"/>
      <c r="D113" s="62">
        <v>500</v>
      </c>
      <c r="E113" s="62"/>
      <c r="F113" s="63">
        <v>1</v>
      </c>
      <c r="G113" s="59" t="s">
        <v>22</v>
      </c>
      <c r="H113" s="59" t="s">
        <v>21</v>
      </c>
      <c r="I113" s="64" t="s">
        <v>60</v>
      </c>
      <c r="J113" s="59" t="s">
        <v>61</v>
      </c>
      <c r="K113" s="65"/>
      <c r="L113" s="66" t="s">
        <v>82</v>
      </c>
      <c r="M113" s="67"/>
      <c r="N113" s="68"/>
      <c r="O113" s="69"/>
      <c r="P113" s="69"/>
      <c r="Q113" s="69"/>
      <c r="R113" s="69"/>
    </row>
    <row r="114" spans="1:18">
      <c r="A114" s="7">
        <v>46181</v>
      </c>
      <c r="B114" s="71" t="s">
        <v>5166</v>
      </c>
      <c r="C114" s="75"/>
      <c r="D114" s="111">
        <v>500</v>
      </c>
      <c r="E114" s="76"/>
      <c r="F114" s="77">
        <v>1</v>
      </c>
      <c r="G114" s="71" t="s">
        <v>22</v>
      </c>
      <c r="H114" s="71" t="s">
        <v>21</v>
      </c>
      <c r="I114" s="70" t="s">
        <v>60</v>
      </c>
      <c r="J114" s="71" t="s">
        <v>61</v>
      </c>
      <c r="K114" s="72"/>
      <c r="L114" s="73" t="s">
        <v>82</v>
      </c>
      <c r="M114" s="74"/>
      <c r="N114" s="68"/>
      <c r="O114" s="69"/>
      <c r="P114" s="69"/>
      <c r="Q114" s="69"/>
      <c r="R114" s="69"/>
    </row>
    <row r="115" spans="1:18">
      <c r="A115" s="7">
        <v>46181</v>
      </c>
      <c r="B115" s="71" t="s">
        <v>5167</v>
      </c>
      <c r="C115" s="75"/>
      <c r="D115" s="76"/>
      <c r="E115" s="76"/>
      <c r="F115" s="77">
        <v>1</v>
      </c>
      <c r="G115" s="71" t="s">
        <v>79</v>
      </c>
      <c r="H115" s="71" t="s">
        <v>21</v>
      </c>
      <c r="I115" s="70"/>
      <c r="J115" s="71"/>
      <c r="K115" s="72"/>
      <c r="L115" s="73" t="s">
        <v>82</v>
      </c>
      <c r="M115" s="74"/>
      <c r="N115" s="68"/>
      <c r="O115" s="69"/>
      <c r="P115" s="69"/>
      <c r="Q115" s="69"/>
      <c r="R115" s="69"/>
    </row>
    <row r="116" spans="1:18">
      <c r="A116" s="6">
        <v>46181</v>
      </c>
      <c r="B116" s="59" t="s">
        <v>5168</v>
      </c>
      <c r="C116" s="60"/>
      <c r="D116" s="62">
        <v>500</v>
      </c>
      <c r="E116" s="62"/>
      <c r="F116" s="63">
        <v>1</v>
      </c>
      <c r="G116" s="59" t="s">
        <v>22</v>
      </c>
      <c r="H116" s="59" t="s">
        <v>21</v>
      </c>
      <c r="I116" s="64" t="s">
        <v>60</v>
      </c>
      <c r="J116" s="59" t="s">
        <v>61</v>
      </c>
      <c r="K116" s="65"/>
      <c r="L116" s="66" t="s">
        <v>82</v>
      </c>
      <c r="M116" s="67"/>
      <c r="N116" s="68"/>
      <c r="O116" s="69"/>
      <c r="P116" s="69"/>
      <c r="Q116" s="69"/>
      <c r="R116" s="69"/>
    </row>
    <row r="117" spans="1:18">
      <c r="A117" s="6">
        <v>46181</v>
      </c>
      <c r="B117" s="59" t="s">
        <v>5169</v>
      </c>
      <c r="C117" s="60"/>
      <c r="D117" s="62"/>
      <c r="E117" s="62"/>
      <c r="F117" s="63">
        <v>1</v>
      </c>
      <c r="G117" s="59" t="s">
        <v>79</v>
      </c>
      <c r="H117" s="59" t="s">
        <v>21</v>
      </c>
      <c r="I117" s="64"/>
      <c r="J117" s="59"/>
      <c r="K117" s="65"/>
      <c r="L117" s="66" t="s">
        <v>82</v>
      </c>
      <c r="M117" s="67"/>
      <c r="N117" s="68"/>
      <c r="O117" s="69"/>
      <c r="P117" s="69"/>
      <c r="Q117" s="69"/>
      <c r="R117" s="69"/>
    </row>
    <row r="118" spans="1:18">
      <c r="A118" s="6">
        <v>46181</v>
      </c>
      <c r="B118" s="59" t="s">
        <v>5170</v>
      </c>
      <c r="C118" s="60"/>
      <c r="D118" s="62"/>
      <c r="E118" s="62"/>
      <c r="F118" s="63">
        <v>1</v>
      </c>
      <c r="G118" s="59" t="s">
        <v>64</v>
      </c>
      <c r="H118" s="59"/>
      <c r="I118" s="70"/>
      <c r="J118" s="71"/>
      <c r="K118" s="72"/>
      <c r="L118" s="73" t="s">
        <v>82</v>
      </c>
      <c r="M118" s="74" t="s">
        <v>5171</v>
      </c>
      <c r="N118" s="68"/>
      <c r="O118" s="69"/>
      <c r="P118" s="69"/>
      <c r="Q118" s="69"/>
      <c r="R118" s="69"/>
    </row>
    <row r="119" spans="1:18">
      <c r="A119" s="6">
        <v>46181</v>
      </c>
      <c r="B119" s="59" t="s">
        <v>5172</v>
      </c>
      <c r="C119" s="60"/>
      <c r="D119" s="62"/>
      <c r="E119" s="62"/>
      <c r="F119" s="63">
        <v>1</v>
      </c>
      <c r="G119" s="59" t="s">
        <v>99</v>
      </c>
      <c r="H119" s="59" t="s">
        <v>21</v>
      </c>
      <c r="I119" s="70"/>
      <c r="J119" s="71"/>
      <c r="K119" s="72"/>
      <c r="L119" s="73" t="s">
        <v>82</v>
      </c>
      <c r="M119" s="74" t="s">
        <v>5194</v>
      </c>
      <c r="N119" s="68"/>
      <c r="O119" s="69"/>
      <c r="P119" s="69"/>
      <c r="Q119" s="69"/>
      <c r="R119" s="69"/>
    </row>
    <row r="120" spans="1:18">
      <c r="A120" s="6">
        <v>46181</v>
      </c>
      <c r="B120" s="59" t="s">
        <v>5173</v>
      </c>
      <c r="C120" s="60"/>
      <c r="D120" s="62"/>
      <c r="E120" s="62"/>
      <c r="F120" s="63">
        <v>1</v>
      </c>
      <c r="G120" s="59" t="s">
        <v>99</v>
      </c>
      <c r="H120" s="59" t="s">
        <v>21</v>
      </c>
      <c r="I120" s="64"/>
      <c r="J120" s="59"/>
      <c r="K120" s="65"/>
      <c r="L120" s="66" t="s">
        <v>82</v>
      </c>
      <c r="M120" s="67" t="s">
        <v>5194</v>
      </c>
      <c r="N120" s="68"/>
      <c r="O120" s="69"/>
      <c r="P120" s="69"/>
      <c r="Q120" s="69"/>
      <c r="R120" s="69"/>
    </row>
    <row r="121" spans="1:18">
      <c r="A121" s="6">
        <v>46181</v>
      </c>
      <c r="B121" s="59" t="s">
        <v>5174</v>
      </c>
      <c r="C121" s="60"/>
      <c r="D121" s="62"/>
      <c r="E121" s="62"/>
      <c r="F121" s="63">
        <v>1</v>
      </c>
      <c r="G121" s="59" t="s">
        <v>99</v>
      </c>
      <c r="H121" s="59" t="s">
        <v>21</v>
      </c>
      <c r="I121" s="64"/>
      <c r="J121" s="59"/>
      <c r="K121" s="65"/>
      <c r="L121" s="66" t="s">
        <v>82</v>
      </c>
      <c r="M121" s="67" t="s">
        <v>5194</v>
      </c>
      <c r="N121" s="68"/>
      <c r="O121" s="69"/>
      <c r="P121" s="69"/>
      <c r="Q121" s="69"/>
      <c r="R121" s="69"/>
    </row>
    <row r="122" spans="1:18">
      <c r="A122" s="7">
        <v>46181</v>
      </c>
      <c r="B122" s="71" t="s">
        <v>81</v>
      </c>
      <c r="C122" s="75"/>
      <c r="D122" s="76">
        <v>97000</v>
      </c>
      <c r="E122" s="76"/>
      <c r="F122" s="77">
        <v>1</v>
      </c>
      <c r="G122" s="71" t="s">
        <v>74</v>
      </c>
      <c r="H122" s="71" t="s">
        <v>75</v>
      </c>
      <c r="I122" s="70" t="s">
        <v>60</v>
      </c>
      <c r="J122" s="71" t="s">
        <v>61</v>
      </c>
      <c r="K122" s="72"/>
      <c r="L122" s="73" t="s">
        <v>88</v>
      </c>
      <c r="M122" s="74"/>
      <c r="N122" s="68"/>
      <c r="O122" s="69"/>
      <c r="P122" s="69"/>
      <c r="Q122" s="69"/>
      <c r="R122" s="69"/>
    </row>
    <row r="123" spans="1:18">
      <c r="A123" s="6">
        <v>46181</v>
      </c>
      <c r="B123" s="59" t="s">
        <v>63</v>
      </c>
      <c r="C123" s="60"/>
      <c r="D123" s="62">
        <v>25000</v>
      </c>
      <c r="E123" s="62"/>
      <c r="F123" s="63"/>
      <c r="G123" s="59" t="s">
        <v>70</v>
      </c>
      <c r="H123" s="59"/>
      <c r="I123" s="64" t="s">
        <v>60</v>
      </c>
      <c r="J123" s="59" t="s">
        <v>61</v>
      </c>
      <c r="K123" s="65"/>
      <c r="L123" s="66" t="s">
        <v>62</v>
      </c>
      <c r="M123" s="67"/>
      <c r="N123" s="68"/>
      <c r="O123" s="69"/>
      <c r="P123" s="69"/>
      <c r="Q123" s="69"/>
      <c r="R123" s="69"/>
    </row>
    <row r="124" spans="1:18">
      <c r="A124" s="6">
        <v>46181</v>
      </c>
      <c r="B124" s="59" t="s">
        <v>3093</v>
      </c>
      <c r="C124" s="60"/>
      <c r="D124" s="62"/>
      <c r="E124" s="62"/>
      <c r="F124" s="63">
        <v>1</v>
      </c>
      <c r="G124" s="59" t="s">
        <v>64</v>
      </c>
      <c r="H124" s="59"/>
      <c r="I124" s="64"/>
      <c r="J124" s="59"/>
      <c r="K124" s="65"/>
      <c r="L124" s="66" t="s">
        <v>82</v>
      </c>
      <c r="M124" s="67" t="s">
        <v>96</v>
      </c>
      <c r="N124" s="68"/>
      <c r="O124" s="69"/>
      <c r="P124" s="69"/>
      <c r="Q124" s="69"/>
      <c r="R124" s="69"/>
    </row>
    <row r="125" spans="1:18">
      <c r="A125" s="7">
        <v>46181</v>
      </c>
      <c r="B125" s="71" t="s">
        <v>5175</v>
      </c>
      <c r="C125" s="75"/>
      <c r="D125" s="76"/>
      <c r="E125" s="76"/>
      <c r="F125" s="77">
        <v>1</v>
      </c>
      <c r="G125" s="71" t="s">
        <v>64</v>
      </c>
      <c r="H125" s="71"/>
      <c r="I125" s="70"/>
      <c r="J125" s="71"/>
      <c r="K125" s="72"/>
      <c r="L125" s="73" t="s">
        <v>89</v>
      </c>
      <c r="M125" s="74" t="s">
        <v>5176</v>
      </c>
      <c r="N125" s="68"/>
      <c r="O125" s="69"/>
      <c r="P125" s="69"/>
      <c r="Q125" s="69"/>
      <c r="R125" s="69"/>
    </row>
    <row r="126" spans="1:18">
      <c r="A126" s="7">
        <v>46181</v>
      </c>
      <c r="B126" s="71" t="s">
        <v>5177</v>
      </c>
      <c r="C126" s="75"/>
      <c r="D126" s="76"/>
      <c r="E126" s="76"/>
      <c r="F126" s="77">
        <v>1</v>
      </c>
      <c r="G126" s="71" t="s">
        <v>79</v>
      </c>
      <c r="H126" s="71" t="s">
        <v>21</v>
      </c>
      <c r="I126" s="70"/>
      <c r="J126" s="71"/>
      <c r="K126" s="72"/>
      <c r="L126" s="73" t="s">
        <v>82</v>
      </c>
      <c r="M126" s="74"/>
      <c r="N126" s="68"/>
      <c r="O126" s="69"/>
      <c r="P126" s="69"/>
      <c r="Q126" s="69"/>
      <c r="R126" s="69"/>
    </row>
    <row r="127" spans="1:18">
      <c r="A127" s="6">
        <v>46181</v>
      </c>
      <c r="B127" s="59" t="s">
        <v>5178</v>
      </c>
      <c r="C127" s="60"/>
      <c r="D127" s="62"/>
      <c r="E127" s="62"/>
      <c r="F127" s="63">
        <v>1</v>
      </c>
      <c r="G127" s="59" t="s">
        <v>64</v>
      </c>
      <c r="H127" s="59"/>
      <c r="I127" s="70"/>
      <c r="J127" s="71"/>
      <c r="K127" s="72"/>
      <c r="L127" s="73" t="s">
        <v>89</v>
      </c>
      <c r="M127" s="74" t="s">
        <v>5176</v>
      </c>
      <c r="N127" s="68"/>
      <c r="O127" s="69"/>
      <c r="P127" s="69"/>
      <c r="Q127" s="69"/>
      <c r="R127" s="69"/>
    </row>
    <row r="128" spans="1:18">
      <c r="A128" s="6">
        <v>46181</v>
      </c>
      <c r="B128" s="59" t="s">
        <v>5179</v>
      </c>
      <c r="C128" s="60"/>
      <c r="D128" s="62">
        <v>500</v>
      </c>
      <c r="E128" s="62"/>
      <c r="F128" s="63">
        <v>0</v>
      </c>
      <c r="G128" s="59" t="s">
        <v>22</v>
      </c>
      <c r="H128" s="59" t="s">
        <v>21</v>
      </c>
      <c r="I128" s="64" t="s">
        <v>60</v>
      </c>
      <c r="J128" s="59" t="s">
        <v>61</v>
      </c>
      <c r="K128" s="65"/>
      <c r="L128" s="66" t="s">
        <v>89</v>
      </c>
      <c r="M128" s="67"/>
      <c r="N128" s="68"/>
      <c r="O128" s="69"/>
      <c r="P128" s="69"/>
      <c r="Q128" s="69"/>
      <c r="R128" s="69"/>
    </row>
    <row r="129" spans="1:18">
      <c r="A129" s="7">
        <v>46181</v>
      </c>
      <c r="B129" s="71" t="s">
        <v>5180</v>
      </c>
      <c r="C129" s="75"/>
      <c r="D129" s="76"/>
      <c r="E129" s="76"/>
      <c r="F129" s="77">
        <v>1</v>
      </c>
      <c r="G129" s="71" t="s">
        <v>64</v>
      </c>
      <c r="H129" s="71"/>
      <c r="I129" s="70"/>
      <c r="J129" s="71"/>
      <c r="K129" s="72"/>
      <c r="L129" s="73" t="s">
        <v>89</v>
      </c>
      <c r="M129" s="74" t="s">
        <v>5181</v>
      </c>
      <c r="N129" s="68"/>
      <c r="O129" s="69"/>
      <c r="P129" s="69"/>
      <c r="Q129" s="69"/>
      <c r="R129" s="69"/>
    </row>
    <row r="130" spans="1:18">
      <c r="A130" s="6">
        <v>46181</v>
      </c>
      <c r="B130" s="59" t="s">
        <v>76</v>
      </c>
      <c r="C130" s="60"/>
      <c r="D130" s="62">
        <v>4000</v>
      </c>
      <c r="E130" s="62"/>
      <c r="F130" s="63"/>
      <c r="G130" s="59" t="s">
        <v>77</v>
      </c>
      <c r="H130" s="59"/>
      <c r="I130" s="64" t="s">
        <v>60</v>
      </c>
      <c r="J130" s="59" t="s">
        <v>61</v>
      </c>
      <c r="K130" s="65"/>
      <c r="L130" s="66" t="s">
        <v>62</v>
      </c>
      <c r="M130" s="67"/>
      <c r="N130" s="68"/>
      <c r="O130" s="69"/>
      <c r="P130" s="69"/>
      <c r="Q130" s="69"/>
      <c r="R130" s="69"/>
    </row>
    <row r="131" spans="1:18">
      <c r="A131" s="6">
        <v>46181</v>
      </c>
      <c r="B131" s="59" t="s">
        <v>63</v>
      </c>
      <c r="C131" s="60"/>
      <c r="D131" s="62">
        <v>200</v>
      </c>
      <c r="E131" s="62"/>
      <c r="F131" s="63">
        <v>2</v>
      </c>
      <c r="G131" s="59" t="s">
        <v>22</v>
      </c>
      <c r="H131" s="59" t="s">
        <v>93</v>
      </c>
      <c r="I131" s="70" t="s">
        <v>60</v>
      </c>
      <c r="J131" s="71" t="s">
        <v>61</v>
      </c>
      <c r="K131" s="72"/>
      <c r="L131" s="73" t="s">
        <v>62</v>
      </c>
      <c r="M131" s="74"/>
      <c r="N131" s="68"/>
      <c r="O131" s="69"/>
      <c r="P131" s="69"/>
      <c r="Q131" s="69"/>
      <c r="R131" s="69"/>
    </row>
    <row r="132" spans="1:18">
      <c r="A132" s="6">
        <v>46181</v>
      </c>
      <c r="B132" s="59" t="s">
        <v>63</v>
      </c>
      <c r="C132" s="60"/>
      <c r="D132" s="62"/>
      <c r="E132" s="62">
        <v>200</v>
      </c>
      <c r="F132" s="63">
        <v>1</v>
      </c>
      <c r="G132" s="59" t="s">
        <v>65</v>
      </c>
      <c r="H132" s="59" t="s">
        <v>66</v>
      </c>
      <c r="I132" s="64" t="s">
        <v>60</v>
      </c>
      <c r="J132" s="59" t="s">
        <v>61</v>
      </c>
      <c r="K132" s="65"/>
      <c r="L132" s="66" t="s">
        <v>62</v>
      </c>
      <c r="M132" s="67"/>
      <c r="N132" s="68"/>
      <c r="O132" s="69"/>
      <c r="P132" s="69"/>
      <c r="Q132" s="69"/>
      <c r="R132" s="69"/>
    </row>
    <row r="133" spans="1:18">
      <c r="A133" s="6">
        <v>46181</v>
      </c>
      <c r="B133" s="59" t="s">
        <v>80</v>
      </c>
      <c r="C133" s="60"/>
      <c r="D133" s="62"/>
      <c r="E133" s="62">
        <v>12379</v>
      </c>
      <c r="F133" s="63">
        <v>1</v>
      </c>
      <c r="G133" s="59" t="s">
        <v>74</v>
      </c>
      <c r="H133" s="59" t="s">
        <v>75</v>
      </c>
      <c r="I133" s="64" t="s">
        <v>60</v>
      </c>
      <c r="J133" s="59" t="s">
        <v>61</v>
      </c>
      <c r="K133" s="65" t="s">
        <v>108</v>
      </c>
      <c r="L133" s="66" t="s">
        <v>87</v>
      </c>
      <c r="M133" s="67"/>
      <c r="N133" s="68"/>
      <c r="O133" s="69"/>
      <c r="P133" s="69"/>
      <c r="Q133" s="69"/>
      <c r="R133" s="69"/>
    </row>
    <row r="134" spans="1:18">
      <c r="A134" s="6">
        <v>46181</v>
      </c>
      <c r="B134" s="59" t="s">
        <v>80</v>
      </c>
      <c r="C134" s="60"/>
      <c r="D134" s="62"/>
      <c r="E134" s="62">
        <v>121</v>
      </c>
      <c r="F134" s="63">
        <v>1</v>
      </c>
      <c r="G134" s="59" t="s">
        <v>65</v>
      </c>
      <c r="H134" s="59" t="s">
        <v>66</v>
      </c>
      <c r="I134" s="64" t="s">
        <v>60</v>
      </c>
      <c r="J134" s="59" t="s">
        <v>61</v>
      </c>
      <c r="K134" s="65" t="s">
        <v>108</v>
      </c>
      <c r="L134" s="66" t="s">
        <v>87</v>
      </c>
      <c r="M134" s="67"/>
      <c r="N134" s="68"/>
      <c r="O134" s="69"/>
      <c r="P134" s="69"/>
      <c r="Q134" s="69"/>
      <c r="R134" s="69"/>
    </row>
    <row r="135" spans="1:18">
      <c r="A135" s="6">
        <v>46181</v>
      </c>
      <c r="B135" s="59" t="s">
        <v>63</v>
      </c>
      <c r="C135" s="60"/>
      <c r="D135" s="62"/>
      <c r="E135" s="62">
        <v>2000</v>
      </c>
      <c r="F135" s="63">
        <v>1</v>
      </c>
      <c r="G135" s="59" t="s">
        <v>65</v>
      </c>
      <c r="H135" s="59" t="s">
        <v>66</v>
      </c>
      <c r="I135" s="64" t="s">
        <v>60</v>
      </c>
      <c r="J135" s="59" t="s">
        <v>61</v>
      </c>
      <c r="K135" s="65"/>
      <c r="L135" s="66" t="s">
        <v>62</v>
      </c>
      <c r="M135" s="67" t="s">
        <v>91</v>
      </c>
      <c r="N135" s="68"/>
      <c r="O135" s="69"/>
      <c r="P135" s="69"/>
      <c r="Q135" s="69"/>
      <c r="R135" s="69"/>
    </row>
    <row r="136" spans="1:18">
      <c r="A136" s="6">
        <v>46182</v>
      </c>
      <c r="B136" s="59" t="s">
        <v>81</v>
      </c>
      <c r="C136" s="60"/>
      <c r="D136" s="62">
        <v>54000</v>
      </c>
      <c r="E136" s="62"/>
      <c r="F136" s="63">
        <v>1</v>
      </c>
      <c r="G136" s="59" t="s">
        <v>74</v>
      </c>
      <c r="H136" s="59" t="s">
        <v>75</v>
      </c>
      <c r="I136" s="64" t="s">
        <v>60</v>
      </c>
      <c r="J136" s="59" t="s">
        <v>61</v>
      </c>
      <c r="K136" s="65"/>
      <c r="L136" s="66" t="s">
        <v>88</v>
      </c>
      <c r="M136" s="67"/>
      <c r="N136" s="68"/>
      <c r="O136" s="69"/>
      <c r="P136" s="69"/>
      <c r="Q136" s="69"/>
      <c r="R136" s="69"/>
    </row>
    <row r="137" spans="1:18">
      <c r="A137" s="6">
        <v>46182</v>
      </c>
      <c r="B137" s="59" t="s">
        <v>774</v>
      </c>
      <c r="C137" s="60" t="s">
        <v>5185</v>
      </c>
      <c r="D137" s="62"/>
      <c r="E137" s="62">
        <v>30000</v>
      </c>
      <c r="F137" s="63">
        <v>1</v>
      </c>
      <c r="G137" s="59" t="s">
        <v>65</v>
      </c>
      <c r="H137" s="59" t="s">
        <v>265</v>
      </c>
      <c r="I137" s="64" t="s">
        <v>60</v>
      </c>
      <c r="J137" s="59" t="s">
        <v>61</v>
      </c>
      <c r="K137" s="65"/>
      <c r="L137" s="66" t="s">
        <v>62</v>
      </c>
      <c r="M137" s="67" t="s">
        <v>5186</v>
      </c>
      <c r="N137" s="68"/>
      <c r="O137" s="69"/>
      <c r="P137" s="69"/>
      <c r="Q137" s="69"/>
      <c r="R137" s="69"/>
    </row>
    <row r="138" spans="1:18">
      <c r="A138" s="7">
        <v>46182</v>
      </c>
      <c r="B138" s="71" t="s">
        <v>606</v>
      </c>
      <c r="C138" s="75"/>
      <c r="D138" s="76"/>
      <c r="E138" s="76">
        <v>70000</v>
      </c>
      <c r="F138" s="77">
        <v>1</v>
      </c>
      <c r="G138" s="71" t="s">
        <v>65</v>
      </c>
      <c r="H138" s="71" t="s">
        <v>348</v>
      </c>
      <c r="I138" s="70" t="s">
        <v>60</v>
      </c>
      <c r="J138" s="71" t="s">
        <v>61</v>
      </c>
      <c r="K138" s="72"/>
      <c r="L138" s="73" t="s">
        <v>62</v>
      </c>
      <c r="M138" s="74" t="s">
        <v>5187</v>
      </c>
      <c r="N138" s="68"/>
      <c r="O138" s="69"/>
      <c r="P138" s="69"/>
      <c r="Q138" s="69"/>
      <c r="R138" s="69"/>
    </row>
    <row r="139" spans="1:18">
      <c r="A139" s="6">
        <v>46182</v>
      </c>
      <c r="B139" s="59" t="s">
        <v>604</v>
      </c>
      <c r="C139" s="60"/>
      <c r="D139" s="62"/>
      <c r="E139" s="62">
        <v>70000</v>
      </c>
      <c r="F139" s="63">
        <v>1</v>
      </c>
      <c r="G139" s="59" t="s">
        <v>65</v>
      </c>
      <c r="H139" s="59" t="s">
        <v>348</v>
      </c>
      <c r="I139" s="64" t="s">
        <v>60</v>
      </c>
      <c r="J139" s="59" t="s">
        <v>61</v>
      </c>
      <c r="K139" s="65"/>
      <c r="L139" s="66" t="s">
        <v>62</v>
      </c>
      <c r="M139" s="67" t="s">
        <v>5187</v>
      </c>
      <c r="N139" s="68"/>
      <c r="O139" s="69"/>
      <c r="P139" s="69"/>
      <c r="Q139" s="69"/>
      <c r="R139" s="69"/>
    </row>
    <row r="140" spans="1:18">
      <c r="A140" s="6">
        <v>46182</v>
      </c>
      <c r="B140" s="59" t="s">
        <v>248</v>
      </c>
      <c r="C140" s="60"/>
      <c r="D140" s="62"/>
      <c r="E140" s="62">
        <v>70000</v>
      </c>
      <c r="F140" s="63">
        <v>1</v>
      </c>
      <c r="G140" s="59" t="s">
        <v>65</v>
      </c>
      <c r="H140" s="59" t="s">
        <v>348</v>
      </c>
      <c r="I140" s="64" t="s">
        <v>60</v>
      </c>
      <c r="J140" s="59" t="s">
        <v>61</v>
      </c>
      <c r="K140" s="65"/>
      <c r="L140" s="66" t="s">
        <v>62</v>
      </c>
      <c r="M140" s="67" t="s">
        <v>5187</v>
      </c>
      <c r="N140" s="68"/>
      <c r="O140" s="69"/>
      <c r="P140" s="69"/>
      <c r="Q140" s="69"/>
      <c r="R140" s="69"/>
    </row>
    <row r="141" spans="1:18">
      <c r="A141" s="6">
        <v>46182</v>
      </c>
      <c r="B141" s="59" t="s">
        <v>5188</v>
      </c>
      <c r="C141" s="60"/>
      <c r="D141" s="62">
        <v>500</v>
      </c>
      <c r="E141" s="62"/>
      <c r="F141" s="63">
        <v>1</v>
      </c>
      <c r="G141" s="59" t="s">
        <v>22</v>
      </c>
      <c r="H141" s="59" t="s">
        <v>21</v>
      </c>
      <c r="I141" s="64" t="s">
        <v>60</v>
      </c>
      <c r="J141" s="59" t="s">
        <v>61</v>
      </c>
      <c r="K141" s="65"/>
      <c r="L141" s="66" t="s">
        <v>82</v>
      </c>
      <c r="M141" s="67"/>
      <c r="N141" s="68"/>
      <c r="O141" s="69"/>
      <c r="P141" s="69"/>
      <c r="Q141" s="69"/>
      <c r="R141" s="69"/>
    </row>
    <row r="142" spans="1:18">
      <c r="A142" s="6">
        <v>46182</v>
      </c>
      <c r="B142" s="59" t="s">
        <v>5189</v>
      </c>
      <c r="C142" s="60"/>
      <c r="D142" s="62"/>
      <c r="E142" s="62"/>
      <c r="F142" s="63">
        <v>1</v>
      </c>
      <c r="G142" s="59" t="s">
        <v>64</v>
      </c>
      <c r="H142" s="59"/>
      <c r="I142" s="64"/>
      <c r="J142" s="59"/>
      <c r="K142" s="65"/>
      <c r="L142" s="66" t="s">
        <v>89</v>
      </c>
      <c r="M142" s="67" t="s">
        <v>92</v>
      </c>
      <c r="N142" s="68"/>
      <c r="O142" s="69"/>
      <c r="P142" s="69"/>
      <c r="Q142" s="69"/>
      <c r="R142" s="69"/>
    </row>
    <row r="143" spans="1:18">
      <c r="A143" s="8">
        <v>46182</v>
      </c>
      <c r="B143" s="78" t="s">
        <v>5195</v>
      </c>
      <c r="C143" s="79"/>
      <c r="D143" s="80">
        <v>500</v>
      </c>
      <c r="E143" s="80"/>
      <c r="F143" s="81">
        <v>1</v>
      </c>
      <c r="G143" s="78" t="s">
        <v>22</v>
      </c>
      <c r="H143" s="78" t="s">
        <v>21</v>
      </c>
      <c r="I143" s="82" t="s">
        <v>60</v>
      </c>
      <c r="J143" s="78" t="s">
        <v>61</v>
      </c>
      <c r="K143" s="83"/>
      <c r="L143" s="84" t="s">
        <v>82</v>
      </c>
      <c r="M143" s="85"/>
      <c r="N143" s="68"/>
      <c r="O143" s="69"/>
      <c r="P143" s="69"/>
      <c r="Q143" s="69"/>
      <c r="R143" s="69"/>
    </row>
    <row r="144" spans="1:18">
      <c r="A144" s="7">
        <v>46182</v>
      </c>
      <c r="B144" s="71" t="s">
        <v>5196</v>
      </c>
      <c r="C144" s="75"/>
      <c r="D144" s="76">
        <v>500</v>
      </c>
      <c r="E144" s="76"/>
      <c r="F144" s="77">
        <v>1</v>
      </c>
      <c r="G144" s="71" t="s">
        <v>22</v>
      </c>
      <c r="H144" s="71" t="s">
        <v>21</v>
      </c>
      <c r="I144" s="70" t="s">
        <v>60</v>
      </c>
      <c r="J144" s="71" t="s">
        <v>61</v>
      </c>
      <c r="K144" s="72"/>
      <c r="L144" s="73" t="s">
        <v>82</v>
      </c>
      <c r="M144" s="74"/>
      <c r="N144" s="68"/>
      <c r="O144" s="69"/>
      <c r="P144" s="69"/>
      <c r="Q144" s="69"/>
      <c r="R144" s="69"/>
    </row>
    <row r="145" spans="1:18">
      <c r="A145" s="8">
        <v>46182</v>
      </c>
      <c r="B145" s="78" t="s">
        <v>63</v>
      </c>
      <c r="C145" s="79"/>
      <c r="D145" s="80">
        <v>31500</v>
      </c>
      <c r="E145" s="80"/>
      <c r="F145" s="81">
        <v>2</v>
      </c>
      <c r="G145" s="78" t="s">
        <v>70</v>
      </c>
      <c r="H145" s="78"/>
      <c r="I145" s="82" t="s">
        <v>71</v>
      </c>
      <c r="J145" s="78" t="s">
        <v>72</v>
      </c>
      <c r="K145" s="83" t="s">
        <v>5197</v>
      </c>
      <c r="L145" s="84" t="s">
        <v>62</v>
      </c>
      <c r="M145" s="85"/>
      <c r="N145" s="68"/>
      <c r="O145" s="69"/>
      <c r="P145" s="69"/>
      <c r="Q145" s="69"/>
      <c r="R145" s="69"/>
    </row>
    <row r="146" spans="1:18">
      <c r="A146" s="6">
        <v>46182</v>
      </c>
      <c r="B146" s="59" t="s">
        <v>76</v>
      </c>
      <c r="C146" s="60"/>
      <c r="D146" s="62">
        <v>2000</v>
      </c>
      <c r="E146" s="62"/>
      <c r="F146" s="63"/>
      <c r="G146" s="59" t="s">
        <v>77</v>
      </c>
      <c r="H146" s="59"/>
      <c r="I146" s="64" t="s">
        <v>60</v>
      </c>
      <c r="J146" s="59" t="s">
        <v>61</v>
      </c>
      <c r="K146" s="65"/>
      <c r="L146" s="66" t="s">
        <v>62</v>
      </c>
      <c r="M146" s="67"/>
      <c r="N146" s="68"/>
      <c r="O146" s="69"/>
      <c r="P146" s="69"/>
      <c r="Q146" s="69"/>
      <c r="R146" s="69"/>
    </row>
    <row r="147" spans="1:18">
      <c r="A147" s="6">
        <v>46182</v>
      </c>
      <c r="B147" s="59" t="s">
        <v>63</v>
      </c>
      <c r="C147" s="60"/>
      <c r="D147" s="62"/>
      <c r="E147" s="62">
        <v>1500</v>
      </c>
      <c r="F147" s="63">
        <v>1</v>
      </c>
      <c r="G147" s="59" t="s">
        <v>65</v>
      </c>
      <c r="H147" s="59" t="s">
        <v>66</v>
      </c>
      <c r="I147" s="64" t="s">
        <v>60</v>
      </c>
      <c r="J147" s="59" t="s">
        <v>61</v>
      </c>
      <c r="K147" s="65"/>
      <c r="L147" s="66" t="s">
        <v>62</v>
      </c>
      <c r="M147" s="67" t="s">
        <v>91</v>
      </c>
      <c r="N147" s="68"/>
      <c r="O147" s="69"/>
      <c r="P147" s="69"/>
      <c r="Q147" s="69"/>
      <c r="R147" s="69"/>
    </row>
    <row r="148" spans="1:18">
      <c r="A148" s="6">
        <v>46183</v>
      </c>
      <c r="B148" s="59" t="s">
        <v>81</v>
      </c>
      <c r="C148" s="60"/>
      <c r="D148" s="62">
        <v>105000</v>
      </c>
      <c r="E148" s="62"/>
      <c r="F148" s="63">
        <v>1</v>
      </c>
      <c r="G148" s="59" t="s">
        <v>74</v>
      </c>
      <c r="H148" s="59" t="s">
        <v>75</v>
      </c>
      <c r="I148" s="64" t="s">
        <v>60</v>
      </c>
      <c r="J148" s="59" t="s">
        <v>61</v>
      </c>
      <c r="K148" s="65"/>
      <c r="L148" s="66" t="s">
        <v>88</v>
      </c>
      <c r="M148" s="67"/>
      <c r="N148" s="68"/>
      <c r="O148" s="69"/>
      <c r="P148" s="69"/>
      <c r="Q148" s="69"/>
      <c r="R148" s="69"/>
    </row>
    <row r="149" spans="1:18">
      <c r="A149" s="6">
        <v>46183</v>
      </c>
      <c r="B149" s="59" t="s">
        <v>5198</v>
      </c>
      <c r="C149" s="60"/>
      <c r="D149" s="62"/>
      <c r="E149" s="62"/>
      <c r="F149" s="63">
        <v>1</v>
      </c>
      <c r="G149" s="59" t="s">
        <v>64</v>
      </c>
      <c r="H149" s="59"/>
      <c r="I149" s="64"/>
      <c r="J149" s="59"/>
      <c r="K149" s="65"/>
      <c r="L149" s="66" t="s">
        <v>86</v>
      </c>
      <c r="M149" s="67" t="s">
        <v>96</v>
      </c>
      <c r="N149" s="68"/>
      <c r="O149" s="69"/>
      <c r="P149" s="69"/>
      <c r="Q149" s="69"/>
      <c r="R149" s="69"/>
    </row>
    <row r="150" spans="1:18">
      <c r="A150" s="6">
        <v>46183</v>
      </c>
      <c r="B150" s="59" t="s">
        <v>5199</v>
      </c>
      <c r="C150" s="60"/>
      <c r="D150" s="62"/>
      <c r="E150" s="62"/>
      <c r="F150" s="63">
        <v>1</v>
      </c>
      <c r="G150" s="59" t="s">
        <v>64</v>
      </c>
      <c r="H150" s="59"/>
      <c r="I150" s="64"/>
      <c r="J150" s="59"/>
      <c r="K150" s="65"/>
      <c r="L150" s="66" t="s">
        <v>86</v>
      </c>
      <c r="M150" s="67" t="s">
        <v>96</v>
      </c>
      <c r="N150" s="68"/>
      <c r="O150" s="69"/>
      <c r="P150" s="69"/>
      <c r="Q150" s="69"/>
      <c r="R150" s="69"/>
    </row>
    <row r="151" spans="1:18">
      <c r="A151" s="6">
        <v>46183</v>
      </c>
      <c r="B151" s="59" t="s">
        <v>5200</v>
      </c>
      <c r="C151" s="60"/>
      <c r="D151" s="62">
        <v>500</v>
      </c>
      <c r="E151" s="62"/>
      <c r="F151" s="63">
        <v>1</v>
      </c>
      <c r="G151" s="59" t="s">
        <v>22</v>
      </c>
      <c r="H151" s="59" t="s">
        <v>21</v>
      </c>
      <c r="I151" s="64" t="s">
        <v>60</v>
      </c>
      <c r="J151" s="59" t="s">
        <v>61</v>
      </c>
      <c r="K151" s="65"/>
      <c r="L151" s="66" t="s">
        <v>86</v>
      </c>
      <c r="M151" s="67"/>
      <c r="N151" s="68"/>
      <c r="O151" s="69"/>
      <c r="P151" s="69"/>
      <c r="Q151" s="69"/>
      <c r="R151" s="69"/>
    </row>
    <row r="152" spans="1:18">
      <c r="A152" s="7">
        <v>46183</v>
      </c>
      <c r="B152" s="71" t="s">
        <v>5201</v>
      </c>
      <c r="C152" s="75"/>
      <c r="D152" s="76">
        <v>500</v>
      </c>
      <c r="E152" s="76"/>
      <c r="F152" s="77">
        <v>1</v>
      </c>
      <c r="G152" s="71" t="s">
        <v>22</v>
      </c>
      <c r="H152" s="71" t="s">
        <v>21</v>
      </c>
      <c r="I152" s="70" t="s">
        <v>60</v>
      </c>
      <c r="J152" s="71" t="s">
        <v>61</v>
      </c>
      <c r="K152" s="72"/>
      <c r="L152" s="73" t="s">
        <v>82</v>
      </c>
      <c r="M152" s="74"/>
      <c r="N152" s="68"/>
      <c r="O152" s="69"/>
      <c r="P152" s="69"/>
      <c r="Q152" s="69"/>
      <c r="R152" s="69"/>
    </row>
    <row r="153" spans="1:18">
      <c r="A153" s="6">
        <v>46183</v>
      </c>
      <c r="B153" s="59" t="s">
        <v>5202</v>
      </c>
      <c r="C153" s="60"/>
      <c r="D153" s="62"/>
      <c r="E153" s="62"/>
      <c r="F153" s="63">
        <v>1</v>
      </c>
      <c r="G153" s="59" t="s">
        <v>99</v>
      </c>
      <c r="H153" s="59" t="s">
        <v>21</v>
      </c>
      <c r="I153" s="64"/>
      <c r="J153" s="59"/>
      <c r="K153" s="65"/>
      <c r="L153" s="66" t="s">
        <v>86</v>
      </c>
      <c r="M153" s="67" t="s">
        <v>5226</v>
      </c>
      <c r="N153" s="68"/>
      <c r="O153" s="69"/>
      <c r="P153" s="69"/>
      <c r="Q153" s="69"/>
      <c r="R153" s="69"/>
    </row>
    <row r="154" spans="1:18">
      <c r="A154" s="6">
        <v>46183</v>
      </c>
      <c r="B154" s="59" t="s">
        <v>5205</v>
      </c>
      <c r="C154" s="60"/>
      <c r="D154" s="62">
        <v>500</v>
      </c>
      <c r="E154" s="62"/>
      <c r="F154" s="63">
        <v>1</v>
      </c>
      <c r="G154" s="59" t="s">
        <v>22</v>
      </c>
      <c r="H154" s="59" t="s">
        <v>21</v>
      </c>
      <c r="I154" s="64" t="s">
        <v>60</v>
      </c>
      <c r="J154" s="59" t="s">
        <v>61</v>
      </c>
      <c r="K154" s="65"/>
      <c r="L154" s="66" t="s">
        <v>82</v>
      </c>
      <c r="M154" s="67"/>
      <c r="N154" s="68"/>
      <c r="O154" s="69"/>
      <c r="P154" s="69"/>
      <c r="Q154" s="69"/>
      <c r="R154" s="69"/>
    </row>
    <row r="155" spans="1:18">
      <c r="A155" s="6">
        <v>46183</v>
      </c>
      <c r="B155" s="59" t="s">
        <v>5206</v>
      </c>
      <c r="C155" s="60"/>
      <c r="D155" s="62">
        <v>500</v>
      </c>
      <c r="E155" s="62"/>
      <c r="F155" s="63">
        <v>1</v>
      </c>
      <c r="G155" s="59" t="s">
        <v>22</v>
      </c>
      <c r="H155" s="59" t="s">
        <v>21</v>
      </c>
      <c r="I155" s="64" t="s">
        <v>60</v>
      </c>
      <c r="J155" s="59" t="s">
        <v>61</v>
      </c>
      <c r="K155" s="65"/>
      <c r="L155" s="66" t="s">
        <v>82</v>
      </c>
      <c r="M155" s="67"/>
      <c r="N155" s="68"/>
      <c r="O155" s="69"/>
      <c r="P155" s="69"/>
      <c r="Q155" s="69"/>
      <c r="R155" s="69"/>
    </row>
    <row r="156" spans="1:18">
      <c r="A156" s="8">
        <v>46183</v>
      </c>
      <c r="B156" s="78" t="s">
        <v>76</v>
      </c>
      <c r="C156" s="79"/>
      <c r="D156" s="80">
        <v>4000</v>
      </c>
      <c r="E156" s="80"/>
      <c r="F156" s="81"/>
      <c r="G156" s="78" t="s">
        <v>77</v>
      </c>
      <c r="H156" s="78"/>
      <c r="I156" s="82" t="s">
        <v>60</v>
      </c>
      <c r="J156" s="78" t="s">
        <v>61</v>
      </c>
      <c r="K156" s="83"/>
      <c r="L156" s="84" t="s">
        <v>62</v>
      </c>
      <c r="M156" s="85"/>
      <c r="N156" s="68"/>
      <c r="O156" s="69"/>
      <c r="P156" s="69"/>
      <c r="Q156" s="69"/>
      <c r="R156" s="69"/>
    </row>
    <row r="157" spans="1:18">
      <c r="A157" s="10">
        <v>46183</v>
      </c>
      <c r="B157" s="94" t="s">
        <v>63</v>
      </c>
      <c r="C157" s="95"/>
      <c r="D157" s="96"/>
      <c r="E157" s="96">
        <v>2000</v>
      </c>
      <c r="F157" s="97">
        <v>1</v>
      </c>
      <c r="G157" s="94" t="s">
        <v>65</v>
      </c>
      <c r="H157" s="94" t="s">
        <v>66</v>
      </c>
      <c r="I157" s="98" t="s">
        <v>60</v>
      </c>
      <c r="J157" s="94" t="s">
        <v>61</v>
      </c>
      <c r="K157" s="99"/>
      <c r="L157" s="100" t="s">
        <v>62</v>
      </c>
      <c r="M157" s="101" t="s">
        <v>91</v>
      </c>
      <c r="N157" s="68"/>
      <c r="O157" s="69"/>
      <c r="P157" s="69"/>
      <c r="Q157" s="69"/>
      <c r="R157" s="69"/>
    </row>
    <row r="158" spans="1:18">
      <c r="A158" s="7">
        <v>46183</v>
      </c>
      <c r="B158" s="71" t="s">
        <v>5207</v>
      </c>
      <c r="C158" s="75"/>
      <c r="D158" s="76"/>
      <c r="E158" s="76"/>
      <c r="F158" s="77">
        <v>1</v>
      </c>
      <c r="G158" s="71" t="s">
        <v>0</v>
      </c>
      <c r="H158" s="71"/>
      <c r="I158" s="70"/>
      <c r="J158" s="71"/>
      <c r="K158" s="72"/>
      <c r="L158" s="73" t="s">
        <v>86</v>
      </c>
      <c r="M158" s="74"/>
      <c r="N158" s="68"/>
      <c r="O158" s="69"/>
      <c r="P158" s="69"/>
      <c r="Q158" s="69"/>
      <c r="R158" s="69"/>
    </row>
    <row r="159" spans="1:18">
      <c r="A159" s="6">
        <v>46184</v>
      </c>
      <c r="B159" s="59" t="s">
        <v>81</v>
      </c>
      <c r="C159" s="60"/>
      <c r="D159" s="62">
        <v>10000</v>
      </c>
      <c r="E159" s="62"/>
      <c r="F159" s="63">
        <v>1</v>
      </c>
      <c r="G159" s="59" t="s">
        <v>74</v>
      </c>
      <c r="H159" s="59" t="s">
        <v>75</v>
      </c>
      <c r="I159" s="64" t="s">
        <v>60</v>
      </c>
      <c r="J159" s="59" t="s">
        <v>61</v>
      </c>
      <c r="K159" s="65"/>
      <c r="L159" s="66" t="s">
        <v>88</v>
      </c>
      <c r="M159" s="67"/>
      <c r="N159" s="68"/>
      <c r="O159" s="69"/>
      <c r="P159" s="69"/>
      <c r="Q159" s="69"/>
      <c r="R159" s="69"/>
    </row>
    <row r="160" spans="1:18">
      <c r="A160" s="7">
        <v>46184</v>
      </c>
      <c r="B160" s="71" t="s">
        <v>76</v>
      </c>
      <c r="C160" s="75"/>
      <c r="D160" s="76">
        <v>13500</v>
      </c>
      <c r="E160" s="76"/>
      <c r="F160" s="77"/>
      <c r="G160" s="71" t="s">
        <v>77</v>
      </c>
      <c r="H160" s="71"/>
      <c r="I160" s="70" t="s">
        <v>60</v>
      </c>
      <c r="J160" s="71" t="s">
        <v>61</v>
      </c>
      <c r="K160" s="72"/>
      <c r="L160" s="73" t="s">
        <v>62</v>
      </c>
      <c r="M160" s="74"/>
      <c r="N160" s="68"/>
      <c r="O160" s="69"/>
      <c r="P160" s="69"/>
      <c r="Q160" s="69"/>
      <c r="R160" s="69"/>
    </row>
    <row r="161" spans="1:18">
      <c r="A161" s="6">
        <v>46184</v>
      </c>
      <c r="B161" s="59" t="s">
        <v>63</v>
      </c>
      <c r="C161" s="60"/>
      <c r="D161" s="62">
        <v>200</v>
      </c>
      <c r="E161" s="62"/>
      <c r="F161" s="63">
        <v>2</v>
      </c>
      <c r="G161" s="59" t="s">
        <v>22</v>
      </c>
      <c r="H161" s="59" t="s">
        <v>93</v>
      </c>
      <c r="I161" s="64" t="s">
        <v>60</v>
      </c>
      <c r="J161" s="59" t="s">
        <v>61</v>
      </c>
      <c r="K161" s="65"/>
      <c r="L161" s="66" t="s">
        <v>62</v>
      </c>
      <c r="M161" s="67"/>
      <c r="N161" s="68"/>
      <c r="O161" s="69"/>
      <c r="P161" s="69"/>
      <c r="Q161" s="69"/>
      <c r="R161" s="69"/>
    </row>
    <row r="162" spans="1:18">
      <c r="A162" s="6">
        <v>46184</v>
      </c>
      <c r="B162" s="59" t="s">
        <v>5208</v>
      </c>
      <c r="C162" s="60"/>
      <c r="D162" s="62">
        <v>500</v>
      </c>
      <c r="E162" s="62"/>
      <c r="F162" s="63">
        <v>1</v>
      </c>
      <c r="G162" s="59" t="s">
        <v>22</v>
      </c>
      <c r="H162" s="59" t="s">
        <v>21</v>
      </c>
      <c r="I162" s="64" t="s">
        <v>60</v>
      </c>
      <c r="J162" s="59" t="s">
        <v>61</v>
      </c>
      <c r="K162" s="65"/>
      <c r="L162" s="66" t="s">
        <v>86</v>
      </c>
      <c r="M162" s="67"/>
      <c r="N162" s="68"/>
      <c r="O162" s="69"/>
      <c r="P162" s="69"/>
      <c r="Q162" s="69"/>
      <c r="R162" s="69"/>
    </row>
    <row r="163" spans="1:18">
      <c r="A163" s="7">
        <v>46184</v>
      </c>
      <c r="B163" s="71" t="s">
        <v>5209</v>
      </c>
      <c r="C163" s="75"/>
      <c r="D163" s="76"/>
      <c r="E163" s="76"/>
      <c r="F163" s="77">
        <v>1</v>
      </c>
      <c r="G163" s="71" t="s">
        <v>64</v>
      </c>
      <c r="H163" s="71"/>
      <c r="I163" s="70"/>
      <c r="J163" s="71"/>
      <c r="K163" s="72"/>
      <c r="L163" s="73" t="s">
        <v>86</v>
      </c>
      <c r="M163" s="74" t="s">
        <v>96</v>
      </c>
      <c r="N163" s="68"/>
      <c r="O163" s="69"/>
      <c r="P163" s="69"/>
      <c r="Q163" s="69"/>
      <c r="R163" s="69"/>
    </row>
    <row r="164" spans="1:18">
      <c r="A164" s="6">
        <v>46184</v>
      </c>
      <c r="B164" s="59" t="s">
        <v>63</v>
      </c>
      <c r="C164" s="60"/>
      <c r="D164" s="62"/>
      <c r="E164" s="62">
        <v>200</v>
      </c>
      <c r="F164" s="63">
        <v>1</v>
      </c>
      <c r="G164" s="59" t="s">
        <v>65</v>
      </c>
      <c r="H164" s="59" t="s">
        <v>66</v>
      </c>
      <c r="I164" s="64" t="s">
        <v>60</v>
      </c>
      <c r="J164" s="59" t="s">
        <v>61</v>
      </c>
      <c r="K164" s="65"/>
      <c r="L164" s="66" t="s">
        <v>62</v>
      </c>
      <c r="M164" s="67" t="s">
        <v>93</v>
      </c>
      <c r="N164" s="68"/>
      <c r="O164" s="69"/>
      <c r="P164" s="69"/>
      <c r="Q164" s="69"/>
      <c r="R164" s="69"/>
    </row>
    <row r="165" spans="1:18">
      <c r="A165" s="6">
        <v>46184</v>
      </c>
      <c r="B165" s="59" t="s">
        <v>63</v>
      </c>
      <c r="C165" s="60"/>
      <c r="D165" s="62"/>
      <c r="E165" s="62">
        <v>500</v>
      </c>
      <c r="F165" s="63">
        <v>1</v>
      </c>
      <c r="G165" s="59" t="s">
        <v>65</v>
      </c>
      <c r="H165" s="59" t="s">
        <v>66</v>
      </c>
      <c r="I165" s="64" t="s">
        <v>60</v>
      </c>
      <c r="J165" s="59" t="s">
        <v>61</v>
      </c>
      <c r="K165" s="65"/>
      <c r="L165" s="66" t="s">
        <v>62</v>
      </c>
      <c r="M165" s="67" t="s">
        <v>91</v>
      </c>
      <c r="N165" s="68"/>
      <c r="O165" s="69"/>
      <c r="P165" s="69"/>
      <c r="Q165" s="69"/>
      <c r="R165" s="69"/>
    </row>
    <row r="166" spans="1:18">
      <c r="A166" s="7">
        <v>46185</v>
      </c>
      <c r="B166" s="71" t="s">
        <v>5210</v>
      </c>
      <c r="C166" s="75"/>
      <c r="D166" s="76"/>
      <c r="E166" s="76"/>
      <c r="F166" s="77">
        <v>1</v>
      </c>
      <c r="G166" s="71" t="s">
        <v>79</v>
      </c>
      <c r="H166" s="71" t="s">
        <v>21</v>
      </c>
      <c r="I166" s="70"/>
      <c r="J166" s="71"/>
      <c r="K166" s="72"/>
      <c r="L166" s="73" t="s">
        <v>82</v>
      </c>
      <c r="M166" s="74"/>
      <c r="N166" s="68"/>
      <c r="O166" s="69"/>
      <c r="P166" s="69"/>
      <c r="Q166" s="69"/>
      <c r="R166" s="69"/>
    </row>
    <row r="167" spans="1:18">
      <c r="A167" s="6">
        <v>46185</v>
      </c>
      <c r="B167" s="59" t="s">
        <v>196</v>
      </c>
      <c r="C167" s="60"/>
      <c r="D167" s="62"/>
      <c r="E167" s="62">
        <v>8000</v>
      </c>
      <c r="F167" s="63">
        <v>1</v>
      </c>
      <c r="G167" s="59" t="s">
        <v>65</v>
      </c>
      <c r="H167" s="59" t="s">
        <v>265</v>
      </c>
      <c r="I167" s="64" t="s">
        <v>60</v>
      </c>
      <c r="J167" s="59" t="s">
        <v>61</v>
      </c>
      <c r="K167" s="65"/>
      <c r="L167" s="66" t="s">
        <v>62</v>
      </c>
      <c r="M167" s="67"/>
      <c r="N167" s="68"/>
      <c r="O167" s="69"/>
      <c r="P167" s="69"/>
      <c r="Q167" s="69"/>
      <c r="R167" s="69"/>
    </row>
    <row r="168" spans="1:18">
      <c r="A168" s="7">
        <v>46185</v>
      </c>
      <c r="B168" s="71" t="s">
        <v>5211</v>
      </c>
      <c r="C168" s="75"/>
      <c r="D168" s="76"/>
      <c r="E168" s="76"/>
      <c r="F168" s="77">
        <v>1</v>
      </c>
      <c r="G168" s="71" t="s">
        <v>64</v>
      </c>
      <c r="H168" s="71"/>
      <c r="I168" s="70"/>
      <c r="J168" s="71"/>
      <c r="K168" s="72"/>
      <c r="L168" s="73" t="s">
        <v>82</v>
      </c>
      <c r="M168" s="74" t="s">
        <v>96</v>
      </c>
      <c r="N168" s="68"/>
      <c r="O168" s="69"/>
      <c r="P168" s="69"/>
      <c r="Q168" s="69"/>
      <c r="R168" s="69"/>
    </row>
    <row r="169" spans="1:18">
      <c r="A169" s="7">
        <v>46185</v>
      </c>
      <c r="B169" s="71" t="s">
        <v>5212</v>
      </c>
      <c r="C169" s="75"/>
      <c r="D169" s="76"/>
      <c r="E169" s="76"/>
      <c r="F169" s="77">
        <v>1</v>
      </c>
      <c r="G169" s="71" t="s">
        <v>79</v>
      </c>
      <c r="H169" s="71" t="s">
        <v>21</v>
      </c>
      <c r="I169" s="70"/>
      <c r="J169" s="71"/>
      <c r="K169" s="72"/>
      <c r="L169" s="73" t="s">
        <v>82</v>
      </c>
      <c r="M169" s="74"/>
      <c r="N169" s="68"/>
      <c r="O169" s="69"/>
      <c r="P169" s="69"/>
      <c r="Q169" s="69"/>
      <c r="R169" s="69"/>
    </row>
    <row r="170" spans="1:18">
      <c r="A170" s="6">
        <v>46185</v>
      </c>
      <c r="B170" s="59" t="s">
        <v>5213</v>
      </c>
      <c r="C170" s="60"/>
      <c r="D170" s="62">
        <v>500</v>
      </c>
      <c r="E170" s="62"/>
      <c r="F170" s="63">
        <v>1</v>
      </c>
      <c r="G170" s="59" t="s">
        <v>22</v>
      </c>
      <c r="H170" s="59" t="s">
        <v>21</v>
      </c>
      <c r="I170" s="64" t="s">
        <v>60</v>
      </c>
      <c r="J170" s="59" t="s">
        <v>61</v>
      </c>
      <c r="K170" s="65"/>
      <c r="L170" s="66" t="s">
        <v>89</v>
      </c>
      <c r="M170" s="67"/>
      <c r="N170" s="68"/>
      <c r="O170" s="69"/>
      <c r="P170" s="69"/>
      <c r="Q170" s="69"/>
      <c r="R170" s="69"/>
    </row>
    <row r="171" spans="1:18">
      <c r="A171" s="7">
        <v>46185</v>
      </c>
      <c r="B171" s="71" t="s">
        <v>5214</v>
      </c>
      <c r="C171" s="75"/>
      <c r="D171" s="76"/>
      <c r="E171" s="76"/>
      <c r="F171" s="77">
        <v>1</v>
      </c>
      <c r="G171" s="71" t="s">
        <v>79</v>
      </c>
      <c r="H171" s="71" t="s">
        <v>21</v>
      </c>
      <c r="I171" s="70"/>
      <c r="J171" s="71"/>
      <c r="K171" s="72"/>
      <c r="L171" s="73" t="s">
        <v>82</v>
      </c>
      <c r="M171" s="74"/>
      <c r="N171" s="68"/>
      <c r="O171" s="69"/>
      <c r="P171" s="69"/>
      <c r="Q171" s="69"/>
      <c r="R171" s="69"/>
    </row>
    <row r="172" spans="1:18">
      <c r="A172" s="6">
        <v>46185</v>
      </c>
      <c r="B172" s="59" t="s">
        <v>5215</v>
      </c>
      <c r="C172" s="60"/>
      <c r="D172" s="62"/>
      <c r="E172" s="62"/>
      <c r="F172" s="63">
        <v>1</v>
      </c>
      <c r="G172" s="59" t="s">
        <v>79</v>
      </c>
      <c r="H172" s="59" t="s">
        <v>21</v>
      </c>
      <c r="I172" s="64"/>
      <c r="J172" s="59"/>
      <c r="K172" s="65"/>
      <c r="L172" s="66" t="s">
        <v>89</v>
      </c>
      <c r="M172" s="67"/>
      <c r="N172" s="68"/>
      <c r="O172" s="69"/>
      <c r="P172" s="69"/>
      <c r="Q172" s="69"/>
      <c r="R172" s="69"/>
    </row>
    <row r="173" spans="1:18">
      <c r="A173" s="7">
        <v>46185</v>
      </c>
      <c r="B173" s="71" t="s">
        <v>63</v>
      </c>
      <c r="C173" s="75"/>
      <c r="D173" s="76">
        <v>63000</v>
      </c>
      <c r="E173" s="76"/>
      <c r="F173" s="77"/>
      <c r="G173" s="71" t="s">
        <v>70</v>
      </c>
      <c r="H173" s="71"/>
      <c r="I173" s="70" t="s">
        <v>60</v>
      </c>
      <c r="J173" s="71" t="s">
        <v>61</v>
      </c>
      <c r="K173" s="72"/>
      <c r="L173" s="73" t="s">
        <v>62</v>
      </c>
      <c r="M173" s="74"/>
      <c r="N173" s="68"/>
      <c r="O173" s="69"/>
      <c r="P173" s="69"/>
      <c r="Q173" s="69"/>
      <c r="R173" s="69"/>
    </row>
    <row r="174" spans="1:18">
      <c r="A174" s="10">
        <v>46185</v>
      </c>
      <c r="B174" s="94" t="s">
        <v>80</v>
      </c>
      <c r="C174" s="95"/>
      <c r="D174" s="96"/>
      <c r="E174" s="96">
        <v>25253</v>
      </c>
      <c r="F174" s="97">
        <v>1</v>
      </c>
      <c r="G174" s="94" t="s">
        <v>74</v>
      </c>
      <c r="H174" s="94" t="s">
        <v>75</v>
      </c>
      <c r="I174" s="98" t="s">
        <v>60</v>
      </c>
      <c r="J174" s="94" t="s">
        <v>61</v>
      </c>
      <c r="K174" s="99"/>
      <c r="L174" s="100" t="s">
        <v>87</v>
      </c>
      <c r="M174" s="101"/>
      <c r="N174" s="68"/>
      <c r="O174" s="69"/>
      <c r="P174" s="69"/>
      <c r="Q174" s="69"/>
      <c r="R174" s="69"/>
    </row>
    <row r="175" spans="1:18">
      <c r="A175" s="7">
        <v>46185</v>
      </c>
      <c r="B175" s="71" t="s">
        <v>80</v>
      </c>
      <c r="C175" s="75"/>
      <c r="D175" s="76"/>
      <c r="E175" s="76">
        <v>247</v>
      </c>
      <c r="F175" s="77">
        <v>1</v>
      </c>
      <c r="G175" s="71" t="s">
        <v>65</v>
      </c>
      <c r="H175" s="71" t="s">
        <v>66</v>
      </c>
      <c r="I175" s="70" t="s">
        <v>60</v>
      </c>
      <c r="J175" s="71" t="s">
        <v>61</v>
      </c>
      <c r="K175" s="72"/>
      <c r="L175" s="73" t="s">
        <v>87</v>
      </c>
      <c r="M175" s="74"/>
      <c r="N175" s="68"/>
      <c r="O175" s="69"/>
      <c r="P175" s="69"/>
      <c r="Q175" s="69"/>
      <c r="R175" s="69"/>
    </row>
    <row r="176" spans="1:18">
      <c r="A176" s="6">
        <v>46185</v>
      </c>
      <c r="B176" s="59" t="s">
        <v>5216</v>
      </c>
      <c r="C176" s="60"/>
      <c r="D176" s="62"/>
      <c r="E176" s="62"/>
      <c r="F176" s="63">
        <v>1</v>
      </c>
      <c r="G176" s="59" t="s">
        <v>64</v>
      </c>
      <c r="H176" s="59"/>
      <c r="I176" s="64"/>
      <c r="J176" s="59"/>
      <c r="K176" s="65"/>
      <c r="L176" s="66" t="s">
        <v>82</v>
      </c>
      <c r="M176" s="67"/>
      <c r="N176" s="68"/>
      <c r="O176" s="69"/>
      <c r="P176" s="69"/>
      <c r="Q176" s="69"/>
      <c r="R176" s="69"/>
    </row>
    <row r="177" spans="1:18">
      <c r="A177" s="6">
        <v>46185</v>
      </c>
      <c r="B177" s="59" t="s">
        <v>5217</v>
      </c>
      <c r="C177" s="60"/>
      <c r="D177" s="62"/>
      <c r="E177" s="62"/>
      <c r="F177" s="63">
        <v>1</v>
      </c>
      <c r="G177" s="59" t="s">
        <v>107</v>
      </c>
      <c r="H177" s="59" t="s">
        <v>21</v>
      </c>
      <c r="I177" s="64"/>
      <c r="J177" s="59"/>
      <c r="K177" s="65"/>
      <c r="L177" s="66" t="s">
        <v>89</v>
      </c>
      <c r="M177" s="67" t="s">
        <v>5476</v>
      </c>
      <c r="N177" s="68"/>
      <c r="O177" s="69"/>
      <c r="P177" s="69"/>
      <c r="Q177" s="69"/>
      <c r="R177" s="69"/>
    </row>
    <row r="178" spans="1:18">
      <c r="A178" s="6">
        <v>46185</v>
      </c>
      <c r="B178" s="59" t="s">
        <v>5218</v>
      </c>
      <c r="C178" s="60"/>
      <c r="D178" s="62"/>
      <c r="E178" s="62"/>
      <c r="F178" s="63">
        <v>1</v>
      </c>
      <c r="G178" s="59" t="s">
        <v>107</v>
      </c>
      <c r="H178" s="59" t="s">
        <v>21</v>
      </c>
      <c r="I178" s="64"/>
      <c r="J178" s="59"/>
      <c r="K178" s="65"/>
      <c r="L178" s="66" t="s">
        <v>89</v>
      </c>
      <c r="M178" s="67" t="s">
        <v>5476</v>
      </c>
      <c r="N178" s="68"/>
      <c r="O178" s="69"/>
      <c r="P178" s="69"/>
      <c r="Q178" s="69"/>
      <c r="R178" s="69"/>
    </row>
    <row r="179" spans="1:18">
      <c r="A179" s="6">
        <v>46185</v>
      </c>
      <c r="B179" s="59" t="s">
        <v>5219</v>
      </c>
      <c r="C179" s="60"/>
      <c r="D179" s="62"/>
      <c r="E179" s="62"/>
      <c r="F179" s="63">
        <v>1</v>
      </c>
      <c r="G179" s="59" t="s">
        <v>107</v>
      </c>
      <c r="H179" s="59" t="s">
        <v>21</v>
      </c>
      <c r="I179" s="64"/>
      <c r="J179" s="59"/>
      <c r="K179" s="65"/>
      <c r="L179" s="66" t="s">
        <v>89</v>
      </c>
      <c r="M179" s="67" t="s">
        <v>5476</v>
      </c>
      <c r="N179" s="68"/>
      <c r="O179" s="69"/>
      <c r="P179" s="69"/>
      <c r="Q179" s="69"/>
      <c r="R179" s="69"/>
    </row>
    <row r="180" spans="1:18">
      <c r="A180" s="6">
        <v>46185</v>
      </c>
      <c r="B180" s="59" t="s">
        <v>2959</v>
      </c>
      <c r="C180" s="60"/>
      <c r="D180" s="62">
        <v>500</v>
      </c>
      <c r="E180" s="62"/>
      <c r="F180" s="63">
        <v>1</v>
      </c>
      <c r="G180" s="59" t="s">
        <v>22</v>
      </c>
      <c r="H180" s="59" t="s">
        <v>21</v>
      </c>
      <c r="I180" s="64" t="s">
        <v>60</v>
      </c>
      <c r="J180" s="59" t="s">
        <v>61</v>
      </c>
      <c r="K180" s="65"/>
      <c r="L180" s="66" t="s">
        <v>89</v>
      </c>
      <c r="M180" s="67"/>
      <c r="N180" s="68"/>
      <c r="O180" s="69"/>
      <c r="P180" s="69"/>
      <c r="Q180" s="69"/>
      <c r="R180" s="69"/>
    </row>
    <row r="181" spans="1:18">
      <c r="A181" s="6">
        <v>46185</v>
      </c>
      <c r="B181" s="59" t="s">
        <v>5220</v>
      </c>
      <c r="C181" s="60"/>
      <c r="D181" s="62">
        <v>500</v>
      </c>
      <c r="E181" s="62"/>
      <c r="F181" s="63">
        <v>1</v>
      </c>
      <c r="G181" s="59" t="s">
        <v>22</v>
      </c>
      <c r="H181" s="59" t="s">
        <v>21</v>
      </c>
      <c r="I181" s="64" t="s">
        <v>60</v>
      </c>
      <c r="J181" s="59" t="s">
        <v>61</v>
      </c>
      <c r="K181" s="65"/>
      <c r="L181" s="66" t="s">
        <v>89</v>
      </c>
      <c r="M181" s="67"/>
      <c r="N181" s="68"/>
      <c r="O181" s="69"/>
      <c r="P181" s="69"/>
      <c r="Q181" s="69"/>
      <c r="R181" s="69"/>
    </row>
    <row r="182" spans="1:18">
      <c r="A182" s="6">
        <v>46185</v>
      </c>
      <c r="B182" s="59" t="s">
        <v>5221</v>
      </c>
      <c r="C182" s="60"/>
      <c r="D182" s="62"/>
      <c r="E182" s="62"/>
      <c r="F182" s="63">
        <v>1</v>
      </c>
      <c r="G182" s="59" t="s">
        <v>64</v>
      </c>
      <c r="H182" s="59"/>
      <c r="I182" s="64"/>
      <c r="J182" s="59"/>
      <c r="K182" s="65"/>
      <c r="L182" s="66" t="s">
        <v>89</v>
      </c>
      <c r="M182" s="67" t="s">
        <v>368</v>
      </c>
      <c r="N182" s="68"/>
      <c r="O182" s="69"/>
      <c r="P182" s="69"/>
      <c r="Q182" s="69"/>
      <c r="R182" s="69"/>
    </row>
    <row r="183" spans="1:18">
      <c r="A183" s="6">
        <v>46185</v>
      </c>
      <c r="B183" s="59" t="s">
        <v>63</v>
      </c>
      <c r="C183" s="60"/>
      <c r="D183" s="62">
        <v>100</v>
      </c>
      <c r="E183" s="62"/>
      <c r="F183" s="63">
        <v>1</v>
      </c>
      <c r="G183" s="59" t="s">
        <v>22</v>
      </c>
      <c r="H183" s="59" t="s">
        <v>93</v>
      </c>
      <c r="I183" s="64" t="s">
        <v>60</v>
      </c>
      <c r="J183" s="59" t="s">
        <v>61</v>
      </c>
      <c r="K183" s="65"/>
      <c r="L183" s="66" t="s">
        <v>62</v>
      </c>
      <c r="M183" s="67"/>
      <c r="N183" s="68"/>
      <c r="O183" s="69"/>
      <c r="P183" s="69"/>
      <c r="Q183" s="69"/>
      <c r="R183" s="69"/>
    </row>
    <row r="184" spans="1:18">
      <c r="A184" s="6">
        <v>46185</v>
      </c>
      <c r="B184" s="59" t="s">
        <v>5222</v>
      </c>
      <c r="C184" s="60"/>
      <c r="D184" s="62">
        <v>500</v>
      </c>
      <c r="E184" s="62"/>
      <c r="F184" s="63">
        <v>1</v>
      </c>
      <c r="G184" s="59" t="s">
        <v>22</v>
      </c>
      <c r="H184" s="59" t="s">
        <v>21</v>
      </c>
      <c r="I184" s="64" t="s">
        <v>60</v>
      </c>
      <c r="J184" s="59" t="s">
        <v>61</v>
      </c>
      <c r="K184" s="65"/>
      <c r="L184" s="66" t="s">
        <v>89</v>
      </c>
      <c r="M184" s="67"/>
      <c r="N184" s="68"/>
      <c r="O184" s="69"/>
      <c r="P184" s="69"/>
      <c r="Q184" s="69"/>
      <c r="R184" s="69"/>
    </row>
    <row r="185" spans="1:18">
      <c r="A185" s="6">
        <v>46185</v>
      </c>
      <c r="B185" s="59" t="s">
        <v>5223</v>
      </c>
      <c r="C185" s="60"/>
      <c r="D185" s="62"/>
      <c r="E185" s="62"/>
      <c r="F185" s="63">
        <v>1</v>
      </c>
      <c r="G185" s="59" t="s">
        <v>0</v>
      </c>
      <c r="H185" s="59"/>
      <c r="I185" s="64"/>
      <c r="J185" s="59"/>
      <c r="K185" s="65"/>
      <c r="L185" s="66" t="s">
        <v>82</v>
      </c>
      <c r="M185" s="67"/>
      <c r="N185" s="68"/>
      <c r="O185" s="69"/>
      <c r="P185" s="69"/>
      <c r="Q185" s="69"/>
      <c r="R185" s="69"/>
    </row>
    <row r="186" spans="1:18">
      <c r="A186" s="6">
        <v>46185</v>
      </c>
      <c r="B186" s="59" t="s">
        <v>5227</v>
      </c>
      <c r="C186" s="60"/>
      <c r="D186" s="62"/>
      <c r="E186" s="62"/>
      <c r="F186" s="63">
        <v>1</v>
      </c>
      <c r="G186" s="59" t="s">
        <v>0</v>
      </c>
      <c r="H186" s="59"/>
      <c r="I186" s="64"/>
      <c r="J186" s="59"/>
      <c r="K186" s="65"/>
      <c r="L186" s="66" t="s">
        <v>89</v>
      </c>
      <c r="M186" s="67"/>
      <c r="N186" s="68"/>
      <c r="O186" s="69"/>
      <c r="P186" s="69"/>
      <c r="Q186" s="69"/>
      <c r="R186" s="69"/>
    </row>
    <row r="187" spans="1:18">
      <c r="A187" s="7">
        <v>46185</v>
      </c>
      <c r="B187" s="71" t="s">
        <v>63</v>
      </c>
      <c r="C187" s="75"/>
      <c r="D187" s="76"/>
      <c r="E187" s="76">
        <v>100</v>
      </c>
      <c r="F187" s="77">
        <v>1</v>
      </c>
      <c r="G187" s="71" t="s">
        <v>65</v>
      </c>
      <c r="H187" s="71" t="s">
        <v>66</v>
      </c>
      <c r="I187" s="70" t="s">
        <v>60</v>
      </c>
      <c r="J187" s="71" t="s">
        <v>61</v>
      </c>
      <c r="K187" s="72"/>
      <c r="L187" s="73" t="s">
        <v>62</v>
      </c>
      <c r="M187" s="74" t="s">
        <v>94</v>
      </c>
      <c r="N187" s="68"/>
      <c r="O187" s="69"/>
      <c r="P187" s="69"/>
      <c r="Q187" s="69"/>
      <c r="R187" s="69"/>
    </row>
    <row r="188" spans="1:18">
      <c r="A188" s="6">
        <v>46185</v>
      </c>
      <c r="B188" s="59" t="s">
        <v>63</v>
      </c>
      <c r="C188" s="60"/>
      <c r="D188" s="62"/>
      <c r="E188" s="62">
        <v>2000</v>
      </c>
      <c r="F188" s="63">
        <v>1</v>
      </c>
      <c r="G188" s="59" t="s">
        <v>65</v>
      </c>
      <c r="H188" s="59" t="s">
        <v>66</v>
      </c>
      <c r="I188" s="64" t="s">
        <v>60</v>
      </c>
      <c r="J188" s="59" t="s">
        <v>61</v>
      </c>
      <c r="K188" s="65"/>
      <c r="L188" s="66" t="s">
        <v>62</v>
      </c>
      <c r="M188" s="67" t="s">
        <v>91</v>
      </c>
      <c r="N188" s="68"/>
      <c r="O188" s="69"/>
      <c r="P188" s="69"/>
      <c r="Q188" s="69"/>
      <c r="R188" s="69"/>
    </row>
    <row r="189" spans="1:18">
      <c r="A189" s="6">
        <v>46186</v>
      </c>
      <c r="B189" s="59" t="s">
        <v>5228</v>
      </c>
      <c r="C189" s="60"/>
      <c r="D189" s="62">
        <v>500</v>
      </c>
      <c r="E189" s="62"/>
      <c r="F189" s="63">
        <v>1</v>
      </c>
      <c r="G189" s="59" t="s">
        <v>22</v>
      </c>
      <c r="H189" s="59" t="s">
        <v>21</v>
      </c>
      <c r="I189" s="64" t="s">
        <v>60</v>
      </c>
      <c r="J189" s="59" t="s">
        <v>61</v>
      </c>
      <c r="K189" s="65"/>
      <c r="L189" s="66" t="s">
        <v>82</v>
      </c>
      <c r="M189" s="67"/>
      <c r="N189" s="68"/>
      <c r="O189" s="69"/>
      <c r="P189" s="69"/>
      <c r="Q189" s="69"/>
      <c r="R189" s="69"/>
    </row>
    <row r="190" spans="1:18">
      <c r="A190" s="6">
        <v>46186</v>
      </c>
      <c r="B190" s="59" t="s">
        <v>5229</v>
      </c>
      <c r="C190" s="60"/>
      <c r="D190" s="62">
        <v>500</v>
      </c>
      <c r="E190" s="62"/>
      <c r="F190" s="63">
        <v>1</v>
      </c>
      <c r="G190" s="59" t="s">
        <v>22</v>
      </c>
      <c r="H190" s="59" t="s">
        <v>21</v>
      </c>
      <c r="I190" s="64" t="s">
        <v>60</v>
      </c>
      <c r="J190" s="59" t="s">
        <v>61</v>
      </c>
      <c r="K190" s="65"/>
      <c r="L190" s="66" t="s">
        <v>82</v>
      </c>
      <c r="M190" s="67"/>
      <c r="N190" s="68"/>
      <c r="O190" s="69"/>
      <c r="P190" s="69"/>
      <c r="Q190" s="69"/>
      <c r="R190" s="69"/>
    </row>
    <row r="191" spans="1:18">
      <c r="A191" s="6">
        <v>46186</v>
      </c>
      <c r="B191" s="59" t="s">
        <v>5230</v>
      </c>
      <c r="C191" s="60"/>
      <c r="D191" s="62"/>
      <c r="E191" s="62"/>
      <c r="F191" s="63">
        <v>1</v>
      </c>
      <c r="G191" s="59" t="s">
        <v>64</v>
      </c>
      <c r="H191" s="59"/>
      <c r="I191" s="64"/>
      <c r="J191" s="59"/>
      <c r="K191" s="65"/>
      <c r="L191" s="66" t="s">
        <v>82</v>
      </c>
      <c r="M191" s="67" t="s">
        <v>96</v>
      </c>
      <c r="N191" s="68"/>
      <c r="O191" s="69"/>
      <c r="P191" s="69"/>
      <c r="Q191" s="69"/>
      <c r="R191" s="69"/>
    </row>
    <row r="192" spans="1:18">
      <c r="A192" s="6">
        <v>46186</v>
      </c>
      <c r="B192" s="59" t="s">
        <v>5231</v>
      </c>
      <c r="C192" s="60"/>
      <c r="D192" s="62">
        <v>500</v>
      </c>
      <c r="E192" s="62"/>
      <c r="F192" s="63">
        <v>1</v>
      </c>
      <c r="G192" s="59" t="s">
        <v>22</v>
      </c>
      <c r="H192" s="59" t="s">
        <v>21</v>
      </c>
      <c r="I192" s="64" t="s">
        <v>60</v>
      </c>
      <c r="J192" s="59" t="s">
        <v>61</v>
      </c>
      <c r="K192" s="65"/>
      <c r="L192" s="66" t="s">
        <v>82</v>
      </c>
      <c r="M192" s="67"/>
      <c r="N192" s="68"/>
      <c r="O192" s="69"/>
      <c r="P192" s="69"/>
      <c r="Q192" s="69"/>
      <c r="R192" s="69"/>
    </row>
    <row r="193" spans="1:18">
      <c r="A193" s="6">
        <v>46186</v>
      </c>
      <c r="B193" s="59" t="s">
        <v>5232</v>
      </c>
      <c r="C193" s="60"/>
      <c r="D193" s="62"/>
      <c r="E193" s="62"/>
      <c r="F193" s="63">
        <v>1</v>
      </c>
      <c r="G193" s="59" t="s">
        <v>79</v>
      </c>
      <c r="H193" s="59" t="s">
        <v>21</v>
      </c>
      <c r="I193" s="64"/>
      <c r="J193" s="59"/>
      <c r="K193" s="65"/>
      <c r="L193" s="66" t="s">
        <v>82</v>
      </c>
      <c r="M193" s="67"/>
      <c r="N193" s="68"/>
      <c r="O193" s="69"/>
      <c r="P193" s="69"/>
      <c r="Q193" s="69"/>
      <c r="R193" s="69"/>
    </row>
    <row r="194" spans="1:18">
      <c r="A194" s="6">
        <v>46186</v>
      </c>
      <c r="B194" s="59" t="s">
        <v>5233</v>
      </c>
      <c r="C194" s="60"/>
      <c r="D194" s="62"/>
      <c r="E194" s="62"/>
      <c r="F194" s="63">
        <v>1</v>
      </c>
      <c r="G194" s="59" t="s">
        <v>64</v>
      </c>
      <c r="H194" s="59"/>
      <c r="I194" s="64"/>
      <c r="J194" s="59"/>
      <c r="K194" s="65"/>
      <c r="L194" s="66" t="s">
        <v>82</v>
      </c>
      <c r="M194" s="67" t="s">
        <v>5148</v>
      </c>
      <c r="N194" s="68"/>
      <c r="O194" s="69"/>
      <c r="P194" s="69"/>
      <c r="Q194" s="69"/>
      <c r="R194" s="69"/>
    </row>
    <row r="195" spans="1:18">
      <c r="A195" s="6">
        <v>46186</v>
      </c>
      <c r="B195" s="59" t="s">
        <v>5234</v>
      </c>
      <c r="C195" s="60"/>
      <c r="D195" s="62"/>
      <c r="E195" s="62"/>
      <c r="F195" s="63">
        <v>1</v>
      </c>
      <c r="G195" s="59" t="s">
        <v>99</v>
      </c>
      <c r="H195" s="59" t="s">
        <v>21</v>
      </c>
      <c r="I195" s="64"/>
      <c r="J195" s="59"/>
      <c r="K195" s="65"/>
      <c r="L195" s="66" t="s">
        <v>82</v>
      </c>
      <c r="M195" s="67" t="s">
        <v>5476</v>
      </c>
      <c r="N195" s="68"/>
      <c r="O195" s="69"/>
      <c r="P195" s="69"/>
      <c r="Q195" s="69"/>
      <c r="R195" s="69"/>
    </row>
    <row r="196" spans="1:18">
      <c r="A196" s="6">
        <v>46186</v>
      </c>
      <c r="B196" s="59" t="s">
        <v>5235</v>
      </c>
      <c r="C196" s="60"/>
      <c r="D196" s="62"/>
      <c r="E196" s="62"/>
      <c r="F196" s="63">
        <v>1</v>
      </c>
      <c r="G196" s="59" t="s">
        <v>64</v>
      </c>
      <c r="H196" s="59"/>
      <c r="I196" s="64"/>
      <c r="J196" s="59"/>
      <c r="K196" s="65"/>
      <c r="L196" s="66" t="s">
        <v>82</v>
      </c>
      <c r="M196" s="67" t="s">
        <v>96</v>
      </c>
      <c r="N196" s="68"/>
      <c r="O196" s="69"/>
      <c r="P196" s="69"/>
      <c r="Q196" s="69"/>
      <c r="R196" s="69"/>
    </row>
    <row r="197" spans="1:18">
      <c r="A197" s="6">
        <v>46186</v>
      </c>
      <c r="B197" s="59" t="s">
        <v>63</v>
      </c>
      <c r="C197" s="60"/>
      <c r="D197" s="62">
        <v>33000</v>
      </c>
      <c r="E197" s="62"/>
      <c r="F197" s="63"/>
      <c r="G197" s="59" t="s">
        <v>70</v>
      </c>
      <c r="H197" s="59"/>
      <c r="I197" s="64" t="s">
        <v>60</v>
      </c>
      <c r="J197" s="59" t="s">
        <v>61</v>
      </c>
      <c r="K197" s="65"/>
      <c r="L197" s="66" t="s">
        <v>62</v>
      </c>
      <c r="M197" s="67"/>
      <c r="N197" s="68"/>
      <c r="O197" s="69"/>
      <c r="P197" s="69"/>
      <c r="Q197" s="69"/>
      <c r="R197" s="69"/>
    </row>
    <row r="198" spans="1:18">
      <c r="A198" s="6">
        <v>46186</v>
      </c>
      <c r="B198" s="59" t="s">
        <v>80</v>
      </c>
      <c r="C198" s="60"/>
      <c r="D198" s="61"/>
      <c r="E198" s="62">
        <v>7923</v>
      </c>
      <c r="F198" s="63">
        <v>1</v>
      </c>
      <c r="G198" s="59" t="s">
        <v>74</v>
      </c>
      <c r="H198" s="59" t="s">
        <v>75</v>
      </c>
      <c r="I198" s="64" t="s">
        <v>60</v>
      </c>
      <c r="J198" s="59" t="s">
        <v>61</v>
      </c>
      <c r="K198" s="65"/>
      <c r="L198" s="66" t="s">
        <v>87</v>
      </c>
      <c r="M198" s="67"/>
      <c r="N198" s="68"/>
      <c r="O198" s="69"/>
      <c r="P198" s="69"/>
      <c r="Q198" s="69"/>
      <c r="R198" s="69"/>
    </row>
    <row r="199" spans="1:18">
      <c r="A199" s="6">
        <v>46186</v>
      </c>
      <c r="B199" s="59" t="s">
        <v>80</v>
      </c>
      <c r="C199" s="60"/>
      <c r="D199" s="62"/>
      <c r="E199" s="62">
        <v>77</v>
      </c>
      <c r="F199" s="63">
        <v>1</v>
      </c>
      <c r="G199" s="59" t="s">
        <v>65</v>
      </c>
      <c r="H199" s="59" t="s">
        <v>66</v>
      </c>
      <c r="I199" s="64" t="s">
        <v>60</v>
      </c>
      <c r="J199" s="59" t="s">
        <v>61</v>
      </c>
      <c r="K199" s="65"/>
      <c r="L199" s="66" t="s">
        <v>87</v>
      </c>
      <c r="M199" s="67"/>
      <c r="N199" s="68"/>
      <c r="O199" s="69"/>
      <c r="P199" s="69"/>
      <c r="Q199" s="69"/>
      <c r="R199" s="69"/>
    </row>
    <row r="200" spans="1:18">
      <c r="A200" s="6">
        <v>46186</v>
      </c>
      <c r="B200" s="59" t="s">
        <v>63</v>
      </c>
      <c r="C200" s="60"/>
      <c r="D200" s="62">
        <v>8000</v>
      </c>
      <c r="E200" s="62"/>
      <c r="F200" s="63">
        <v>1</v>
      </c>
      <c r="G200" s="59" t="s">
        <v>70</v>
      </c>
      <c r="H200" s="59"/>
      <c r="I200" s="70" t="s">
        <v>71</v>
      </c>
      <c r="J200" s="71" t="s">
        <v>1975</v>
      </c>
      <c r="K200" s="72" t="s">
        <v>5236</v>
      </c>
      <c r="L200" s="73" t="s">
        <v>62</v>
      </c>
      <c r="M200" s="74" t="s">
        <v>3437</v>
      </c>
      <c r="N200" s="68"/>
      <c r="O200" s="69"/>
      <c r="P200" s="69"/>
      <c r="Q200" s="69"/>
      <c r="R200" s="69"/>
    </row>
    <row r="201" spans="1:18">
      <c r="A201" s="6">
        <v>46186</v>
      </c>
      <c r="B201" s="59" t="s">
        <v>76</v>
      </c>
      <c r="C201" s="60"/>
      <c r="D201" s="62">
        <v>50000</v>
      </c>
      <c r="E201" s="62"/>
      <c r="F201" s="63"/>
      <c r="G201" s="59" t="s">
        <v>77</v>
      </c>
      <c r="H201" s="59"/>
      <c r="I201" s="64" t="s">
        <v>60</v>
      </c>
      <c r="J201" s="59" t="s">
        <v>61</v>
      </c>
      <c r="K201" s="65"/>
      <c r="L201" s="66" t="s">
        <v>62</v>
      </c>
      <c r="M201" s="67"/>
      <c r="N201" s="68"/>
      <c r="O201" s="69"/>
      <c r="P201" s="69"/>
      <c r="Q201" s="69"/>
      <c r="R201" s="69"/>
    </row>
    <row r="202" spans="1:18">
      <c r="A202" s="8">
        <v>46186</v>
      </c>
      <c r="B202" s="78" t="s">
        <v>63</v>
      </c>
      <c r="C202" s="79"/>
      <c r="D202" s="80">
        <v>400</v>
      </c>
      <c r="E202" s="80"/>
      <c r="F202" s="81">
        <v>4</v>
      </c>
      <c r="G202" s="78" t="s">
        <v>22</v>
      </c>
      <c r="H202" s="78" t="s">
        <v>93</v>
      </c>
      <c r="I202" s="82" t="s">
        <v>60</v>
      </c>
      <c r="J202" s="78" t="s">
        <v>61</v>
      </c>
      <c r="K202" s="83"/>
      <c r="L202" s="84" t="s">
        <v>62</v>
      </c>
      <c r="M202" s="85"/>
      <c r="N202" s="68"/>
      <c r="O202" s="69"/>
      <c r="P202" s="69"/>
      <c r="Q202" s="69"/>
      <c r="R202" s="69"/>
    </row>
    <row r="203" spans="1:18">
      <c r="A203" s="6">
        <v>46186</v>
      </c>
      <c r="B203" s="59" t="s">
        <v>84</v>
      </c>
      <c r="C203" s="60"/>
      <c r="D203" s="62">
        <v>-31200</v>
      </c>
      <c r="E203" s="62"/>
      <c r="F203" s="63"/>
      <c r="G203" s="59" t="s">
        <v>77</v>
      </c>
      <c r="H203" s="59"/>
      <c r="I203" s="64" t="s">
        <v>60</v>
      </c>
      <c r="J203" s="59" t="s">
        <v>61</v>
      </c>
      <c r="K203" s="65"/>
      <c r="L203" s="66" t="s">
        <v>62</v>
      </c>
      <c r="M203" s="67"/>
      <c r="N203" s="68"/>
      <c r="O203" s="69"/>
      <c r="P203" s="69"/>
      <c r="Q203" s="69"/>
      <c r="R203" s="69"/>
    </row>
    <row r="204" spans="1:18">
      <c r="A204" s="6">
        <v>46186</v>
      </c>
      <c r="B204" s="59" t="s">
        <v>84</v>
      </c>
      <c r="C204" s="60"/>
      <c r="D204" s="62"/>
      <c r="E204" s="62">
        <v>-1650</v>
      </c>
      <c r="F204" s="63"/>
      <c r="G204" s="59" t="s">
        <v>65</v>
      </c>
      <c r="H204" s="59" t="s">
        <v>85</v>
      </c>
      <c r="I204" s="64" t="s">
        <v>60</v>
      </c>
      <c r="J204" s="59" t="s">
        <v>61</v>
      </c>
      <c r="K204" s="65"/>
      <c r="L204" s="66" t="s">
        <v>62</v>
      </c>
      <c r="M204" s="67"/>
      <c r="N204" s="68"/>
      <c r="O204" s="69"/>
      <c r="P204" s="69"/>
      <c r="Q204" s="69"/>
      <c r="R204" s="69"/>
    </row>
    <row r="205" spans="1:18">
      <c r="A205" s="6">
        <v>46186</v>
      </c>
      <c r="B205" s="59" t="s">
        <v>84</v>
      </c>
      <c r="C205" s="60"/>
      <c r="D205" s="62"/>
      <c r="E205" s="62">
        <v>450</v>
      </c>
      <c r="F205" s="63">
        <v>1</v>
      </c>
      <c r="G205" s="59" t="s">
        <v>65</v>
      </c>
      <c r="H205" s="59" t="s">
        <v>66</v>
      </c>
      <c r="I205" s="64" t="s">
        <v>60</v>
      </c>
      <c r="J205" s="59" t="s">
        <v>61</v>
      </c>
      <c r="K205" s="65"/>
      <c r="L205" s="66" t="s">
        <v>62</v>
      </c>
      <c r="M205" s="67"/>
      <c r="N205" s="68"/>
      <c r="O205" s="69"/>
      <c r="P205" s="69"/>
      <c r="Q205" s="69"/>
      <c r="R205" s="69"/>
    </row>
    <row r="206" spans="1:18">
      <c r="A206" s="6">
        <v>46186</v>
      </c>
      <c r="B206" s="59" t="s">
        <v>5409</v>
      </c>
      <c r="C206" s="60"/>
      <c r="D206" s="62"/>
      <c r="E206" s="62"/>
      <c r="F206" s="63">
        <v>1</v>
      </c>
      <c r="G206" s="59" t="s">
        <v>79</v>
      </c>
      <c r="H206" s="59" t="s">
        <v>21</v>
      </c>
      <c r="I206" s="70"/>
      <c r="J206" s="71"/>
      <c r="K206" s="72"/>
      <c r="L206" s="73" t="s">
        <v>86</v>
      </c>
      <c r="M206" s="74"/>
      <c r="N206" s="68"/>
      <c r="O206" s="69"/>
      <c r="P206" s="69"/>
      <c r="Q206" s="69"/>
      <c r="R206" s="69"/>
    </row>
    <row r="207" spans="1:18">
      <c r="A207" s="6">
        <v>46186</v>
      </c>
      <c r="B207" s="59" t="s">
        <v>63</v>
      </c>
      <c r="C207" s="60"/>
      <c r="D207" s="62"/>
      <c r="E207" s="62">
        <v>400</v>
      </c>
      <c r="F207" s="63">
        <v>1</v>
      </c>
      <c r="G207" s="59" t="s">
        <v>65</v>
      </c>
      <c r="H207" s="59" t="s">
        <v>66</v>
      </c>
      <c r="I207" s="70" t="s">
        <v>60</v>
      </c>
      <c r="J207" s="71" t="s">
        <v>61</v>
      </c>
      <c r="K207" s="72"/>
      <c r="L207" s="73" t="s">
        <v>62</v>
      </c>
      <c r="M207" s="74" t="s">
        <v>94</v>
      </c>
      <c r="N207" s="68"/>
      <c r="O207" s="69"/>
      <c r="P207" s="69"/>
      <c r="Q207" s="69"/>
      <c r="R207" s="69"/>
    </row>
    <row r="208" spans="1:18">
      <c r="A208" s="6">
        <v>46186</v>
      </c>
      <c r="B208" s="59" t="s">
        <v>63</v>
      </c>
      <c r="C208" s="60"/>
      <c r="D208" s="62"/>
      <c r="E208" s="62">
        <v>1500</v>
      </c>
      <c r="F208" s="63">
        <v>1</v>
      </c>
      <c r="G208" s="59" t="s">
        <v>65</v>
      </c>
      <c r="H208" s="59" t="s">
        <v>66</v>
      </c>
      <c r="I208" s="64" t="s">
        <v>60</v>
      </c>
      <c r="J208" s="59" t="s">
        <v>61</v>
      </c>
      <c r="K208" s="65"/>
      <c r="L208" s="66" t="s">
        <v>62</v>
      </c>
      <c r="M208" s="67" t="s">
        <v>91</v>
      </c>
      <c r="N208" s="68"/>
      <c r="O208" s="69"/>
      <c r="P208" s="69"/>
      <c r="Q208" s="69"/>
      <c r="R208" s="69"/>
    </row>
    <row r="209" spans="1:18">
      <c r="A209" s="6">
        <v>46186</v>
      </c>
      <c r="B209" s="59" t="s">
        <v>5422</v>
      </c>
      <c r="C209" s="60"/>
      <c r="D209" s="62"/>
      <c r="E209" s="62"/>
      <c r="F209" s="63">
        <v>1</v>
      </c>
      <c r="G209" s="59" t="s">
        <v>0</v>
      </c>
      <c r="H209" s="59"/>
      <c r="I209" s="70"/>
      <c r="J209" s="71"/>
      <c r="K209" s="72"/>
      <c r="L209" s="73" t="s">
        <v>89</v>
      </c>
      <c r="M209" s="74"/>
      <c r="N209" s="68"/>
      <c r="O209" s="69"/>
      <c r="P209" s="69"/>
      <c r="Q209" s="69"/>
      <c r="R209" s="69"/>
    </row>
    <row r="210" spans="1:18">
      <c r="A210" s="7">
        <v>46187</v>
      </c>
      <c r="B210" s="71" t="s">
        <v>5410</v>
      </c>
      <c r="C210" s="75"/>
      <c r="D210" s="76">
        <v>500</v>
      </c>
      <c r="E210" s="76"/>
      <c r="F210" s="77">
        <v>1</v>
      </c>
      <c r="G210" s="71" t="s">
        <v>22</v>
      </c>
      <c r="H210" s="71" t="s">
        <v>21</v>
      </c>
      <c r="I210" s="70" t="s">
        <v>60</v>
      </c>
      <c r="J210" s="71" t="s">
        <v>61</v>
      </c>
      <c r="K210" s="72"/>
      <c r="L210" s="73" t="s">
        <v>89</v>
      </c>
      <c r="M210" s="74"/>
      <c r="N210" s="68"/>
      <c r="O210" s="69"/>
      <c r="P210" s="69"/>
      <c r="Q210" s="69"/>
      <c r="R210" s="69"/>
    </row>
    <row r="211" spans="1:18">
      <c r="A211" s="7">
        <v>46187</v>
      </c>
      <c r="B211" s="71" t="s">
        <v>5411</v>
      </c>
      <c r="C211" s="75"/>
      <c r="D211" s="76">
        <v>500</v>
      </c>
      <c r="E211" s="76"/>
      <c r="F211" s="77">
        <v>1</v>
      </c>
      <c r="G211" s="71" t="s">
        <v>22</v>
      </c>
      <c r="H211" s="71" t="s">
        <v>21</v>
      </c>
      <c r="I211" s="70" t="s">
        <v>60</v>
      </c>
      <c r="J211" s="71" t="s">
        <v>61</v>
      </c>
      <c r="K211" s="72"/>
      <c r="L211" s="73" t="s">
        <v>89</v>
      </c>
      <c r="M211" s="74"/>
      <c r="N211" s="68"/>
      <c r="O211" s="69"/>
      <c r="P211" s="69"/>
      <c r="Q211" s="69"/>
      <c r="R211" s="69"/>
    </row>
    <row r="212" spans="1:18">
      <c r="A212" s="6">
        <v>46187</v>
      </c>
      <c r="B212" s="59" t="s">
        <v>5412</v>
      </c>
      <c r="C212" s="60"/>
      <c r="D212" s="62"/>
      <c r="E212" s="62"/>
      <c r="F212" s="63">
        <v>1</v>
      </c>
      <c r="G212" s="59" t="s">
        <v>64</v>
      </c>
      <c r="H212" s="59"/>
      <c r="I212" s="64"/>
      <c r="J212" s="59"/>
      <c r="K212" s="65"/>
      <c r="L212" s="66" t="s">
        <v>89</v>
      </c>
      <c r="M212" s="67" t="s">
        <v>5111</v>
      </c>
      <c r="N212" s="68"/>
      <c r="O212" s="69"/>
      <c r="P212" s="69"/>
      <c r="Q212" s="69"/>
      <c r="R212" s="69"/>
    </row>
    <row r="213" spans="1:18">
      <c r="A213" s="6">
        <v>46187</v>
      </c>
      <c r="B213" s="59" t="s">
        <v>5413</v>
      </c>
      <c r="C213" s="60"/>
      <c r="D213" s="62">
        <v>500</v>
      </c>
      <c r="E213" s="62"/>
      <c r="F213" s="63">
        <v>1</v>
      </c>
      <c r="G213" s="59" t="s">
        <v>22</v>
      </c>
      <c r="H213" s="59" t="s">
        <v>21</v>
      </c>
      <c r="I213" s="64" t="s">
        <v>60</v>
      </c>
      <c r="J213" s="59" t="s">
        <v>61</v>
      </c>
      <c r="K213" s="65"/>
      <c r="L213" s="66" t="s">
        <v>89</v>
      </c>
      <c r="M213" s="67"/>
      <c r="N213" s="68"/>
      <c r="O213" s="69"/>
      <c r="P213" s="69"/>
      <c r="Q213" s="69"/>
      <c r="R213" s="69"/>
    </row>
    <row r="214" spans="1:18">
      <c r="A214" s="6">
        <v>46187</v>
      </c>
      <c r="B214" s="59" t="s">
        <v>5414</v>
      </c>
      <c r="C214" s="60"/>
      <c r="D214" s="62"/>
      <c r="E214" s="62"/>
      <c r="F214" s="63">
        <v>1</v>
      </c>
      <c r="G214" s="59" t="s">
        <v>64</v>
      </c>
      <c r="H214" s="59"/>
      <c r="I214" s="64"/>
      <c r="J214" s="59"/>
      <c r="K214" s="65"/>
      <c r="L214" s="66" t="s">
        <v>89</v>
      </c>
      <c r="M214" s="67" t="s">
        <v>756</v>
      </c>
      <c r="N214" s="68"/>
      <c r="O214" s="69"/>
      <c r="P214" s="69"/>
      <c r="Q214" s="69"/>
      <c r="R214" s="69"/>
    </row>
    <row r="215" spans="1:18">
      <c r="A215" s="6">
        <v>46187</v>
      </c>
      <c r="B215" s="59" t="s">
        <v>5415</v>
      </c>
      <c r="C215" s="60"/>
      <c r="D215" s="62"/>
      <c r="E215" s="62"/>
      <c r="F215" s="63">
        <v>1</v>
      </c>
      <c r="G215" s="59" t="s">
        <v>64</v>
      </c>
      <c r="H215" s="59"/>
      <c r="I215" s="64"/>
      <c r="J215" s="59"/>
      <c r="K215" s="65"/>
      <c r="L215" s="66" t="s">
        <v>86</v>
      </c>
      <c r="M215" s="67" t="s">
        <v>96</v>
      </c>
      <c r="N215" s="68"/>
      <c r="O215" s="69"/>
      <c r="P215" s="69"/>
      <c r="Q215" s="69"/>
      <c r="R215" s="69"/>
    </row>
    <row r="216" spans="1:18">
      <c r="A216" s="7">
        <v>46187</v>
      </c>
      <c r="B216" s="71" t="s">
        <v>5416</v>
      </c>
      <c r="C216" s="75"/>
      <c r="D216" s="76"/>
      <c r="E216" s="76"/>
      <c r="F216" s="77">
        <v>1</v>
      </c>
      <c r="G216" s="71" t="s">
        <v>64</v>
      </c>
      <c r="H216" s="71"/>
      <c r="I216" s="70"/>
      <c r="J216" s="71"/>
      <c r="K216" s="72"/>
      <c r="L216" s="73" t="s">
        <v>86</v>
      </c>
      <c r="M216" s="74" t="s">
        <v>96</v>
      </c>
      <c r="N216" s="68"/>
      <c r="O216" s="69"/>
      <c r="P216" s="69"/>
      <c r="Q216" s="69"/>
      <c r="R216" s="69"/>
    </row>
    <row r="217" spans="1:18">
      <c r="A217" s="6">
        <v>46187</v>
      </c>
      <c r="B217" s="59" t="s">
        <v>5417</v>
      </c>
      <c r="C217" s="60"/>
      <c r="D217" s="62">
        <v>500</v>
      </c>
      <c r="E217" s="62"/>
      <c r="F217" s="63">
        <v>1</v>
      </c>
      <c r="G217" s="59" t="s">
        <v>22</v>
      </c>
      <c r="H217" s="59" t="s">
        <v>21</v>
      </c>
      <c r="I217" s="64" t="s">
        <v>60</v>
      </c>
      <c r="J217" s="59" t="s">
        <v>61</v>
      </c>
      <c r="K217" s="65"/>
      <c r="L217" s="66" t="s">
        <v>89</v>
      </c>
      <c r="M217" s="67"/>
      <c r="N217" s="68"/>
      <c r="O217" s="69"/>
      <c r="P217" s="69"/>
      <c r="Q217" s="69"/>
      <c r="R217" s="69"/>
    </row>
    <row r="218" spans="1:18">
      <c r="A218" s="6">
        <v>46187</v>
      </c>
      <c r="B218" s="59" t="s">
        <v>63</v>
      </c>
      <c r="C218" s="60"/>
      <c r="D218" s="62">
        <v>62500</v>
      </c>
      <c r="E218" s="62"/>
      <c r="F218" s="63"/>
      <c r="G218" s="59" t="s">
        <v>70</v>
      </c>
      <c r="H218" s="59"/>
      <c r="I218" s="70" t="s">
        <v>60</v>
      </c>
      <c r="J218" s="71" t="s">
        <v>61</v>
      </c>
      <c r="K218" s="72"/>
      <c r="L218" s="73" t="s">
        <v>62</v>
      </c>
      <c r="M218" s="74"/>
      <c r="N218" s="68"/>
      <c r="O218" s="69"/>
      <c r="P218" s="69"/>
      <c r="Q218" s="69"/>
      <c r="R218" s="69"/>
    </row>
    <row r="219" spans="1:18">
      <c r="A219" s="6">
        <v>46187</v>
      </c>
      <c r="B219" s="59" t="s">
        <v>80</v>
      </c>
      <c r="C219" s="60"/>
      <c r="D219" s="62"/>
      <c r="E219" s="62">
        <v>18816</v>
      </c>
      <c r="F219" s="63">
        <v>1</v>
      </c>
      <c r="G219" s="59" t="s">
        <v>74</v>
      </c>
      <c r="H219" s="59" t="s">
        <v>75</v>
      </c>
      <c r="I219" s="64" t="s">
        <v>60</v>
      </c>
      <c r="J219" s="59" t="s">
        <v>61</v>
      </c>
      <c r="K219" s="65"/>
      <c r="L219" s="66" t="s">
        <v>87</v>
      </c>
      <c r="M219" s="67"/>
      <c r="N219" s="68"/>
      <c r="O219" s="69"/>
      <c r="P219" s="69"/>
      <c r="Q219" s="69"/>
      <c r="R219" s="69"/>
    </row>
    <row r="220" spans="1:18">
      <c r="A220" s="6">
        <v>46187</v>
      </c>
      <c r="B220" s="59" t="s">
        <v>80</v>
      </c>
      <c r="C220" s="60"/>
      <c r="D220" s="62"/>
      <c r="E220" s="62">
        <v>184</v>
      </c>
      <c r="F220" s="63">
        <v>1</v>
      </c>
      <c r="G220" s="59" t="s">
        <v>65</v>
      </c>
      <c r="H220" s="59" t="s">
        <v>66</v>
      </c>
      <c r="I220" s="64" t="s">
        <v>60</v>
      </c>
      <c r="J220" s="59" t="s">
        <v>61</v>
      </c>
      <c r="K220" s="65"/>
      <c r="L220" s="66" t="s">
        <v>87</v>
      </c>
      <c r="M220" s="67"/>
      <c r="N220" s="68"/>
      <c r="O220" s="69"/>
      <c r="P220" s="69"/>
      <c r="Q220" s="69"/>
      <c r="R220" s="69"/>
    </row>
    <row r="221" spans="1:18">
      <c r="A221" s="7">
        <v>46187</v>
      </c>
      <c r="B221" s="71" t="s">
        <v>80</v>
      </c>
      <c r="C221" s="75"/>
      <c r="D221" s="76"/>
      <c r="E221" s="76">
        <v>18321</v>
      </c>
      <c r="F221" s="77">
        <v>1</v>
      </c>
      <c r="G221" s="71" t="s">
        <v>74</v>
      </c>
      <c r="H221" s="71" t="s">
        <v>75</v>
      </c>
      <c r="I221" s="70" t="s">
        <v>60</v>
      </c>
      <c r="J221" s="71" t="s">
        <v>61</v>
      </c>
      <c r="K221" s="72"/>
      <c r="L221" s="73" t="s">
        <v>87</v>
      </c>
      <c r="M221" s="74"/>
      <c r="N221" s="68"/>
      <c r="O221" s="69"/>
      <c r="P221" s="69"/>
      <c r="Q221" s="69"/>
      <c r="R221" s="69"/>
    </row>
    <row r="222" spans="1:18">
      <c r="A222" s="7">
        <v>46187</v>
      </c>
      <c r="B222" s="71" t="s">
        <v>80</v>
      </c>
      <c r="C222" s="75"/>
      <c r="D222" s="76"/>
      <c r="E222" s="76">
        <v>179</v>
      </c>
      <c r="F222" s="77">
        <v>1</v>
      </c>
      <c r="G222" s="71" t="s">
        <v>65</v>
      </c>
      <c r="H222" s="71" t="s">
        <v>66</v>
      </c>
      <c r="I222" s="70" t="s">
        <v>60</v>
      </c>
      <c r="J222" s="71" t="s">
        <v>61</v>
      </c>
      <c r="K222" s="72"/>
      <c r="L222" s="73" t="s">
        <v>87</v>
      </c>
      <c r="M222" s="74"/>
      <c r="N222" s="68"/>
      <c r="O222" s="69"/>
      <c r="P222" s="69"/>
      <c r="Q222" s="69"/>
      <c r="R222" s="69"/>
    </row>
    <row r="223" spans="1:18">
      <c r="A223" s="6">
        <v>46187</v>
      </c>
      <c r="B223" s="59" t="s">
        <v>5418</v>
      </c>
      <c r="C223" s="60"/>
      <c r="D223" s="62"/>
      <c r="E223" s="62"/>
      <c r="F223" s="63">
        <v>1</v>
      </c>
      <c r="G223" s="59" t="s">
        <v>64</v>
      </c>
      <c r="H223" s="59"/>
      <c r="I223" s="64"/>
      <c r="J223" s="59"/>
      <c r="K223" s="65"/>
      <c r="L223" s="66" t="s">
        <v>86</v>
      </c>
      <c r="M223" s="67" t="s">
        <v>96</v>
      </c>
      <c r="N223" s="68"/>
      <c r="O223" s="69"/>
      <c r="P223" s="69"/>
      <c r="Q223" s="69"/>
      <c r="R223" s="69"/>
    </row>
    <row r="224" spans="1:18">
      <c r="A224" s="7">
        <v>46187</v>
      </c>
      <c r="B224" s="71" t="s">
        <v>76</v>
      </c>
      <c r="C224" s="75"/>
      <c r="D224" s="76">
        <v>10400</v>
      </c>
      <c r="E224" s="76"/>
      <c r="F224" s="77"/>
      <c r="G224" s="71" t="s">
        <v>77</v>
      </c>
      <c r="H224" s="71"/>
      <c r="I224" s="70" t="s">
        <v>60</v>
      </c>
      <c r="J224" s="71" t="s">
        <v>61</v>
      </c>
      <c r="K224" s="72"/>
      <c r="L224" s="73" t="s">
        <v>62</v>
      </c>
      <c r="M224" s="74"/>
      <c r="N224" s="68"/>
      <c r="O224" s="69"/>
      <c r="P224" s="69"/>
      <c r="Q224" s="69"/>
      <c r="R224" s="69"/>
    </row>
    <row r="225" spans="1:18">
      <c r="A225" s="7">
        <v>46187</v>
      </c>
      <c r="B225" s="71" t="s">
        <v>4964</v>
      </c>
      <c r="C225" s="75"/>
      <c r="D225" s="76">
        <v>500</v>
      </c>
      <c r="E225" s="76"/>
      <c r="F225" s="77">
        <v>1</v>
      </c>
      <c r="G225" s="71" t="s">
        <v>22</v>
      </c>
      <c r="H225" s="71" t="s">
        <v>21</v>
      </c>
      <c r="I225" s="70" t="s">
        <v>60</v>
      </c>
      <c r="J225" s="71" t="s">
        <v>61</v>
      </c>
      <c r="K225" s="72"/>
      <c r="L225" s="73" t="s">
        <v>86</v>
      </c>
      <c r="M225" s="74"/>
      <c r="N225" s="68"/>
      <c r="O225" s="69"/>
      <c r="P225" s="69"/>
      <c r="Q225" s="69"/>
      <c r="R225" s="69"/>
    </row>
    <row r="226" spans="1:18">
      <c r="A226" s="6">
        <v>46187</v>
      </c>
      <c r="B226" s="59" t="s">
        <v>5419</v>
      </c>
      <c r="C226" s="60"/>
      <c r="D226" s="62"/>
      <c r="E226" s="62"/>
      <c r="F226" s="63">
        <v>1</v>
      </c>
      <c r="G226" s="59" t="s">
        <v>64</v>
      </c>
      <c r="H226" s="59"/>
      <c r="I226" s="64"/>
      <c r="J226" s="59"/>
      <c r="K226" s="65"/>
      <c r="L226" s="66" t="s">
        <v>86</v>
      </c>
      <c r="M226" s="67" t="s">
        <v>5148</v>
      </c>
      <c r="N226" s="68"/>
      <c r="O226" s="69"/>
      <c r="P226" s="69"/>
      <c r="Q226" s="69"/>
      <c r="R226" s="69"/>
    </row>
    <row r="227" spans="1:18">
      <c r="A227" s="6">
        <v>46187</v>
      </c>
      <c r="B227" s="59" t="s">
        <v>63</v>
      </c>
      <c r="C227" s="60"/>
      <c r="D227" s="62"/>
      <c r="E227" s="62">
        <v>2500</v>
      </c>
      <c r="F227" s="63">
        <v>1</v>
      </c>
      <c r="G227" s="59" t="s">
        <v>65</v>
      </c>
      <c r="H227" s="59" t="s">
        <v>66</v>
      </c>
      <c r="I227" s="64" t="s">
        <v>60</v>
      </c>
      <c r="J227" s="59" t="s">
        <v>61</v>
      </c>
      <c r="K227" s="65"/>
      <c r="L227" s="66" t="s">
        <v>62</v>
      </c>
      <c r="M227" s="67" t="s">
        <v>91</v>
      </c>
      <c r="N227" s="68"/>
      <c r="O227" s="69"/>
      <c r="P227" s="69"/>
      <c r="Q227" s="69"/>
      <c r="R227" s="69"/>
    </row>
    <row r="228" spans="1:18">
      <c r="A228" s="6">
        <v>46188</v>
      </c>
      <c r="B228" s="59" t="s">
        <v>5423</v>
      </c>
      <c r="C228" s="60"/>
      <c r="D228" s="62"/>
      <c r="E228" s="62"/>
      <c r="F228" s="63">
        <v>1</v>
      </c>
      <c r="G228" s="59" t="s">
        <v>79</v>
      </c>
      <c r="H228" s="59" t="s">
        <v>21</v>
      </c>
      <c r="I228" s="64"/>
      <c r="J228" s="59"/>
      <c r="K228" s="65"/>
      <c r="L228" s="66" t="s">
        <v>89</v>
      </c>
      <c r="M228" s="67"/>
      <c r="N228" s="68"/>
      <c r="O228" s="69"/>
      <c r="P228" s="69"/>
      <c r="Q228" s="69"/>
      <c r="R228" s="69"/>
    </row>
    <row r="229" spans="1:18">
      <c r="A229" s="6">
        <v>46188</v>
      </c>
      <c r="B229" s="59" t="s">
        <v>5424</v>
      </c>
      <c r="C229" s="60"/>
      <c r="D229" s="62">
        <v>500</v>
      </c>
      <c r="E229" s="62"/>
      <c r="F229" s="63">
        <v>1</v>
      </c>
      <c r="G229" s="59" t="s">
        <v>22</v>
      </c>
      <c r="H229" s="59" t="s">
        <v>21</v>
      </c>
      <c r="I229" s="64" t="s">
        <v>60</v>
      </c>
      <c r="J229" s="59" t="s">
        <v>61</v>
      </c>
      <c r="K229" s="65"/>
      <c r="L229" s="66" t="s">
        <v>89</v>
      </c>
      <c r="M229" s="67"/>
      <c r="N229" s="68"/>
      <c r="O229" s="69"/>
      <c r="P229" s="69"/>
      <c r="Q229" s="69"/>
      <c r="R229" s="69"/>
    </row>
    <row r="230" spans="1:18">
      <c r="A230" s="7">
        <v>46188</v>
      </c>
      <c r="B230" s="71" t="s">
        <v>5425</v>
      </c>
      <c r="C230" s="75"/>
      <c r="D230" s="76"/>
      <c r="E230" s="76"/>
      <c r="F230" s="77">
        <v>1</v>
      </c>
      <c r="G230" s="71" t="s">
        <v>64</v>
      </c>
      <c r="H230" s="71"/>
      <c r="I230" s="70"/>
      <c r="J230" s="71"/>
      <c r="K230" s="72"/>
      <c r="L230" s="73" t="s">
        <v>89</v>
      </c>
      <c r="M230" s="74" t="s">
        <v>5426</v>
      </c>
      <c r="N230" s="68"/>
      <c r="O230" s="69"/>
      <c r="P230" s="69"/>
      <c r="Q230" s="69"/>
      <c r="R230" s="69"/>
    </row>
    <row r="231" spans="1:18">
      <c r="A231" s="6">
        <v>46188</v>
      </c>
      <c r="B231" s="59" t="s">
        <v>5427</v>
      </c>
      <c r="C231" s="60"/>
      <c r="D231" s="62"/>
      <c r="E231" s="62"/>
      <c r="F231" s="63">
        <v>1</v>
      </c>
      <c r="G231" s="59" t="s">
        <v>79</v>
      </c>
      <c r="H231" s="59" t="s">
        <v>21</v>
      </c>
      <c r="I231" s="64"/>
      <c r="J231" s="59"/>
      <c r="K231" s="65"/>
      <c r="L231" s="66" t="s">
        <v>89</v>
      </c>
      <c r="M231" s="67"/>
      <c r="N231" s="68"/>
      <c r="O231" s="69"/>
      <c r="P231" s="69"/>
      <c r="Q231" s="69"/>
      <c r="R231" s="69"/>
    </row>
    <row r="232" spans="1:18">
      <c r="A232" s="6">
        <v>46188</v>
      </c>
      <c r="B232" s="59" t="s">
        <v>5428</v>
      </c>
      <c r="C232" s="60"/>
      <c r="D232" s="62"/>
      <c r="E232" s="62"/>
      <c r="F232" s="63">
        <v>1</v>
      </c>
      <c r="G232" s="59" t="s">
        <v>79</v>
      </c>
      <c r="H232" s="59" t="s">
        <v>21</v>
      </c>
      <c r="I232" s="64"/>
      <c r="J232" s="59"/>
      <c r="K232" s="65"/>
      <c r="L232" s="66" t="s">
        <v>89</v>
      </c>
      <c r="M232" s="67"/>
      <c r="N232" s="68"/>
      <c r="O232" s="69"/>
      <c r="P232" s="69"/>
      <c r="Q232" s="69"/>
      <c r="R232" s="69"/>
    </row>
    <row r="233" spans="1:18">
      <c r="A233" s="6">
        <v>46188</v>
      </c>
      <c r="B233" s="59" t="s">
        <v>5429</v>
      </c>
      <c r="C233" s="60"/>
      <c r="D233" s="62"/>
      <c r="E233" s="62"/>
      <c r="F233" s="63">
        <v>1</v>
      </c>
      <c r="G233" s="59" t="s">
        <v>79</v>
      </c>
      <c r="H233" s="59" t="s">
        <v>21</v>
      </c>
      <c r="I233" s="64"/>
      <c r="J233" s="59"/>
      <c r="K233" s="65"/>
      <c r="L233" s="66" t="s">
        <v>89</v>
      </c>
      <c r="M233" s="67"/>
      <c r="N233" s="68"/>
      <c r="O233" s="69"/>
      <c r="P233" s="69"/>
      <c r="Q233" s="69"/>
      <c r="R233" s="69"/>
    </row>
    <row r="234" spans="1:18">
      <c r="A234" s="7">
        <v>46188</v>
      </c>
      <c r="B234" s="71" t="s">
        <v>162</v>
      </c>
      <c r="C234" s="75"/>
      <c r="D234" s="76">
        <v>500</v>
      </c>
      <c r="E234" s="76"/>
      <c r="F234" s="77">
        <v>1</v>
      </c>
      <c r="G234" s="71" t="s">
        <v>22</v>
      </c>
      <c r="H234" s="71" t="s">
        <v>21</v>
      </c>
      <c r="I234" s="70" t="s">
        <v>60</v>
      </c>
      <c r="J234" s="71" t="s">
        <v>61</v>
      </c>
      <c r="K234" s="72"/>
      <c r="L234" s="73" t="s">
        <v>89</v>
      </c>
      <c r="M234" s="74"/>
      <c r="N234" s="68"/>
      <c r="O234" s="69"/>
      <c r="P234" s="69"/>
      <c r="Q234" s="69"/>
      <c r="R234" s="69"/>
    </row>
    <row r="235" spans="1:18">
      <c r="A235" s="6">
        <v>46188</v>
      </c>
      <c r="B235" s="59" t="s">
        <v>4074</v>
      </c>
      <c r="C235" s="60"/>
      <c r="D235" s="62">
        <v>500</v>
      </c>
      <c r="E235" s="62"/>
      <c r="F235" s="63">
        <v>1</v>
      </c>
      <c r="G235" s="59" t="s">
        <v>22</v>
      </c>
      <c r="H235" s="59" t="s">
        <v>21</v>
      </c>
      <c r="I235" s="64" t="s">
        <v>60</v>
      </c>
      <c r="J235" s="59" t="s">
        <v>61</v>
      </c>
      <c r="K235" s="65"/>
      <c r="L235" s="66" t="s">
        <v>89</v>
      </c>
      <c r="M235" s="67"/>
      <c r="N235" s="68"/>
      <c r="O235" s="69"/>
      <c r="P235" s="69"/>
      <c r="Q235" s="69"/>
      <c r="R235" s="69"/>
    </row>
    <row r="236" spans="1:18">
      <c r="A236" s="6">
        <v>46188</v>
      </c>
      <c r="B236" s="59" t="s">
        <v>5430</v>
      </c>
      <c r="C236" s="60"/>
      <c r="D236" s="62"/>
      <c r="E236" s="62"/>
      <c r="F236" s="63">
        <v>1</v>
      </c>
      <c r="G236" s="59" t="s">
        <v>64</v>
      </c>
      <c r="H236" s="59"/>
      <c r="I236" s="64"/>
      <c r="J236" s="59"/>
      <c r="K236" s="65"/>
      <c r="L236" s="66" t="s">
        <v>82</v>
      </c>
      <c r="M236" s="67" t="s">
        <v>96</v>
      </c>
      <c r="N236" s="68"/>
      <c r="O236" s="69"/>
      <c r="P236" s="69"/>
      <c r="Q236" s="69"/>
      <c r="R236" s="112"/>
    </row>
    <row r="237" spans="1:18">
      <c r="A237" s="6">
        <v>46188</v>
      </c>
      <c r="B237" s="59" t="s">
        <v>5431</v>
      </c>
      <c r="C237" s="60"/>
      <c r="D237" s="62">
        <v>500</v>
      </c>
      <c r="E237" s="62"/>
      <c r="F237" s="63">
        <v>1</v>
      </c>
      <c r="G237" s="59" t="s">
        <v>22</v>
      </c>
      <c r="H237" s="59" t="s">
        <v>21</v>
      </c>
      <c r="I237" s="64" t="s">
        <v>60</v>
      </c>
      <c r="J237" s="59" t="s">
        <v>61</v>
      </c>
      <c r="K237" s="65"/>
      <c r="L237" s="66" t="s">
        <v>82</v>
      </c>
      <c r="M237" s="67"/>
      <c r="N237" s="68"/>
      <c r="O237" s="69"/>
      <c r="P237" s="69"/>
      <c r="Q237" s="69"/>
      <c r="R237" s="69"/>
    </row>
    <row r="238" spans="1:18">
      <c r="A238" s="6">
        <v>46188</v>
      </c>
      <c r="B238" s="59" t="s">
        <v>5432</v>
      </c>
      <c r="C238" s="60"/>
      <c r="D238" s="62"/>
      <c r="E238" s="62"/>
      <c r="F238" s="63">
        <v>1</v>
      </c>
      <c r="G238" s="59" t="s">
        <v>64</v>
      </c>
      <c r="H238" s="59"/>
      <c r="I238" s="64"/>
      <c r="J238" s="59"/>
      <c r="K238" s="65"/>
      <c r="L238" s="66" t="s">
        <v>89</v>
      </c>
      <c r="M238" s="67" t="s">
        <v>96</v>
      </c>
      <c r="N238" s="68"/>
      <c r="O238" s="69"/>
      <c r="P238" s="69"/>
      <c r="Q238" s="69"/>
      <c r="R238" s="69"/>
    </row>
    <row r="239" spans="1:18">
      <c r="A239" s="6">
        <v>46188</v>
      </c>
      <c r="B239" s="59" t="s">
        <v>5434</v>
      </c>
      <c r="C239" s="60"/>
      <c r="D239" s="62">
        <v>500</v>
      </c>
      <c r="E239" s="62"/>
      <c r="F239" s="63">
        <v>1</v>
      </c>
      <c r="G239" s="59" t="s">
        <v>22</v>
      </c>
      <c r="H239" s="59" t="s">
        <v>21</v>
      </c>
      <c r="I239" s="64" t="s">
        <v>60</v>
      </c>
      <c r="J239" s="59" t="s">
        <v>61</v>
      </c>
      <c r="K239" s="65"/>
      <c r="L239" s="66" t="s">
        <v>89</v>
      </c>
      <c r="M239" s="67"/>
      <c r="N239" s="68"/>
      <c r="O239" s="69"/>
      <c r="P239" s="69"/>
      <c r="Q239" s="69"/>
      <c r="R239" s="69"/>
    </row>
    <row r="240" spans="1:18">
      <c r="A240" s="6">
        <v>46188</v>
      </c>
      <c r="B240" s="59" t="s">
        <v>5435</v>
      </c>
      <c r="C240" s="60"/>
      <c r="D240" s="62">
        <v>500</v>
      </c>
      <c r="E240" s="62"/>
      <c r="F240" s="63">
        <v>1</v>
      </c>
      <c r="G240" s="59" t="s">
        <v>22</v>
      </c>
      <c r="H240" s="59" t="s">
        <v>21</v>
      </c>
      <c r="I240" s="64" t="s">
        <v>60</v>
      </c>
      <c r="J240" s="59" t="s">
        <v>61</v>
      </c>
      <c r="K240" s="65"/>
      <c r="L240" s="66" t="s">
        <v>89</v>
      </c>
      <c r="M240" s="67"/>
      <c r="N240" s="68"/>
      <c r="O240" s="69"/>
      <c r="P240" s="69"/>
      <c r="Q240" s="69"/>
      <c r="R240" s="69"/>
    </row>
    <row r="241" spans="1:18">
      <c r="A241" s="7">
        <v>46188</v>
      </c>
      <c r="B241" s="71" t="s">
        <v>5436</v>
      </c>
      <c r="C241" s="75"/>
      <c r="D241" s="76"/>
      <c r="E241" s="76"/>
      <c r="F241" s="77">
        <v>1</v>
      </c>
      <c r="G241" s="71" t="s">
        <v>64</v>
      </c>
      <c r="H241" s="71"/>
      <c r="I241" s="70"/>
      <c r="J241" s="71"/>
      <c r="K241" s="72"/>
      <c r="L241" s="73" t="s">
        <v>89</v>
      </c>
      <c r="M241" s="74" t="s">
        <v>96</v>
      </c>
      <c r="N241" s="68"/>
      <c r="O241" s="69"/>
      <c r="P241" s="69"/>
      <c r="Q241" s="69"/>
      <c r="R241" s="69"/>
    </row>
    <row r="242" spans="1:18">
      <c r="A242" s="7">
        <v>46188</v>
      </c>
      <c r="B242" s="71" t="s">
        <v>5437</v>
      </c>
      <c r="C242" s="75"/>
      <c r="D242" s="76"/>
      <c r="E242" s="76"/>
      <c r="F242" s="77">
        <v>1</v>
      </c>
      <c r="G242" s="71" t="s">
        <v>79</v>
      </c>
      <c r="H242" s="71" t="s">
        <v>21</v>
      </c>
      <c r="I242" s="70"/>
      <c r="J242" s="71"/>
      <c r="K242" s="72"/>
      <c r="L242" s="73" t="s">
        <v>82</v>
      </c>
      <c r="M242" s="74"/>
      <c r="N242" s="68"/>
      <c r="O242" s="69"/>
      <c r="P242" s="69"/>
      <c r="Q242" s="69"/>
      <c r="R242" s="69"/>
    </row>
    <row r="243" spans="1:18">
      <c r="A243" s="6">
        <v>46188</v>
      </c>
      <c r="B243" s="59" t="s">
        <v>5438</v>
      </c>
      <c r="C243" s="60"/>
      <c r="D243" s="62">
        <v>500</v>
      </c>
      <c r="E243" s="62"/>
      <c r="F243" s="63">
        <v>1</v>
      </c>
      <c r="G243" s="59" t="s">
        <v>22</v>
      </c>
      <c r="H243" s="59" t="s">
        <v>21</v>
      </c>
      <c r="I243" s="64" t="s">
        <v>60</v>
      </c>
      <c r="J243" s="59" t="s">
        <v>61</v>
      </c>
      <c r="K243" s="65"/>
      <c r="L243" s="66" t="s">
        <v>82</v>
      </c>
      <c r="M243" s="67"/>
      <c r="N243" s="68"/>
      <c r="O243" s="69"/>
      <c r="P243" s="69"/>
      <c r="Q243" s="69"/>
      <c r="R243" s="69"/>
    </row>
    <row r="244" spans="1:18">
      <c r="A244" s="8">
        <v>46188</v>
      </c>
      <c r="B244" s="78" t="s">
        <v>5439</v>
      </c>
      <c r="C244" s="79"/>
      <c r="D244" s="80"/>
      <c r="E244" s="80"/>
      <c r="F244" s="81">
        <v>1</v>
      </c>
      <c r="G244" s="78" t="s">
        <v>64</v>
      </c>
      <c r="H244" s="78"/>
      <c r="I244" s="82"/>
      <c r="J244" s="78"/>
      <c r="K244" s="83"/>
      <c r="L244" s="84" t="s">
        <v>82</v>
      </c>
      <c r="M244" s="85" t="s">
        <v>96</v>
      </c>
      <c r="N244" s="68"/>
      <c r="O244" s="69"/>
      <c r="P244" s="69"/>
      <c r="Q244" s="69"/>
      <c r="R244" s="69"/>
    </row>
    <row r="245" spans="1:18">
      <c r="A245" s="6">
        <v>46188</v>
      </c>
      <c r="B245" s="59" t="s">
        <v>5440</v>
      </c>
      <c r="C245" s="60"/>
      <c r="D245" s="62"/>
      <c r="E245" s="62"/>
      <c r="F245" s="63">
        <v>1</v>
      </c>
      <c r="G245" s="59" t="s">
        <v>79</v>
      </c>
      <c r="H245" s="59" t="s">
        <v>21</v>
      </c>
      <c r="I245" s="64"/>
      <c r="J245" s="59"/>
      <c r="K245" s="65"/>
      <c r="L245" s="66" t="s">
        <v>82</v>
      </c>
      <c r="M245" s="67"/>
      <c r="N245" s="68"/>
      <c r="O245" s="69"/>
      <c r="P245" s="69"/>
      <c r="Q245" s="69"/>
      <c r="R245" s="69"/>
    </row>
    <row r="246" spans="1:18">
      <c r="A246" s="6">
        <v>46188</v>
      </c>
      <c r="B246" s="59" t="s">
        <v>5440</v>
      </c>
      <c r="C246" s="60"/>
      <c r="D246" s="62"/>
      <c r="E246" s="62"/>
      <c r="F246" s="63">
        <v>1</v>
      </c>
      <c r="G246" s="59" t="s">
        <v>64</v>
      </c>
      <c r="H246" s="59"/>
      <c r="I246" s="64"/>
      <c r="J246" s="59"/>
      <c r="K246" s="65"/>
      <c r="L246" s="66" t="s">
        <v>82</v>
      </c>
      <c r="M246" s="67" t="s">
        <v>96</v>
      </c>
      <c r="N246" s="68"/>
      <c r="O246" s="69"/>
      <c r="P246" s="69"/>
      <c r="Q246" s="69"/>
      <c r="R246" s="69"/>
    </row>
    <row r="247" spans="1:18">
      <c r="A247" s="6">
        <v>46188</v>
      </c>
      <c r="B247" s="59" t="s">
        <v>5441</v>
      </c>
      <c r="C247" s="60"/>
      <c r="D247" s="62">
        <v>500</v>
      </c>
      <c r="E247" s="62"/>
      <c r="F247" s="63">
        <v>1</v>
      </c>
      <c r="G247" s="59" t="s">
        <v>22</v>
      </c>
      <c r="H247" s="59" t="s">
        <v>21</v>
      </c>
      <c r="I247" s="64" t="s">
        <v>60</v>
      </c>
      <c r="J247" s="59" t="s">
        <v>61</v>
      </c>
      <c r="K247" s="65"/>
      <c r="L247" s="66" t="s">
        <v>82</v>
      </c>
      <c r="M247" s="67"/>
      <c r="N247" s="68"/>
      <c r="O247" s="69"/>
      <c r="P247" s="69"/>
      <c r="Q247" s="69"/>
      <c r="R247" s="69"/>
    </row>
    <row r="248" spans="1:18">
      <c r="A248" s="7">
        <v>46188</v>
      </c>
      <c r="B248" s="71" t="s">
        <v>63</v>
      </c>
      <c r="C248" s="75"/>
      <c r="D248" s="76">
        <v>79000</v>
      </c>
      <c r="E248" s="76"/>
      <c r="F248" s="77"/>
      <c r="G248" s="71" t="s">
        <v>70</v>
      </c>
      <c r="H248" s="71"/>
      <c r="I248" s="70" t="s">
        <v>60</v>
      </c>
      <c r="J248" s="71" t="s">
        <v>61</v>
      </c>
      <c r="K248" s="72"/>
      <c r="L248" s="73" t="s">
        <v>62</v>
      </c>
      <c r="M248" s="74"/>
      <c r="N248" s="68"/>
      <c r="O248" s="69"/>
      <c r="P248" s="69"/>
      <c r="Q248" s="69"/>
      <c r="R248" s="69"/>
    </row>
    <row r="249" spans="1:18">
      <c r="A249" s="7">
        <v>46188</v>
      </c>
      <c r="B249" s="71" t="s">
        <v>63</v>
      </c>
      <c r="C249" s="75"/>
      <c r="D249" s="76">
        <v>12500</v>
      </c>
      <c r="E249" s="76"/>
      <c r="F249" s="77">
        <v>1</v>
      </c>
      <c r="G249" s="71" t="s">
        <v>70</v>
      </c>
      <c r="H249" s="71"/>
      <c r="I249" s="70" t="s">
        <v>71</v>
      </c>
      <c r="J249" s="71" t="s">
        <v>72</v>
      </c>
      <c r="K249" s="72" t="s">
        <v>5433</v>
      </c>
      <c r="L249" s="73" t="s">
        <v>62</v>
      </c>
      <c r="M249" s="74" t="s">
        <v>272</v>
      </c>
      <c r="N249" s="68"/>
      <c r="O249" s="69"/>
      <c r="P249" s="69"/>
      <c r="Q249" s="69"/>
      <c r="R249" s="69"/>
    </row>
    <row r="250" spans="1:18">
      <c r="A250" s="6">
        <v>46188</v>
      </c>
      <c r="B250" s="59" t="s">
        <v>63</v>
      </c>
      <c r="C250" s="60"/>
      <c r="D250" s="62">
        <v>8000</v>
      </c>
      <c r="E250" s="62"/>
      <c r="F250" s="63">
        <v>1</v>
      </c>
      <c r="G250" s="59" t="s">
        <v>70</v>
      </c>
      <c r="H250" s="59"/>
      <c r="I250" s="64" t="s">
        <v>71</v>
      </c>
      <c r="J250" s="59" t="s">
        <v>72</v>
      </c>
      <c r="K250" s="65" t="s">
        <v>5442</v>
      </c>
      <c r="L250" s="66" t="s">
        <v>62</v>
      </c>
      <c r="M250" s="67" t="s">
        <v>90</v>
      </c>
      <c r="N250" s="68"/>
      <c r="O250" s="69"/>
      <c r="P250" s="69"/>
      <c r="Q250" s="69"/>
      <c r="R250" s="69"/>
    </row>
    <row r="251" spans="1:18">
      <c r="A251" s="7">
        <v>46188</v>
      </c>
      <c r="B251" s="71" t="s">
        <v>63</v>
      </c>
      <c r="C251" s="75"/>
      <c r="D251" s="76">
        <v>24000</v>
      </c>
      <c r="E251" s="76"/>
      <c r="F251" s="77">
        <v>1</v>
      </c>
      <c r="G251" s="71" t="s">
        <v>70</v>
      </c>
      <c r="H251" s="71"/>
      <c r="I251" s="70" t="s">
        <v>71</v>
      </c>
      <c r="J251" s="71" t="s">
        <v>72</v>
      </c>
      <c r="K251" s="72" t="s">
        <v>5443</v>
      </c>
      <c r="L251" s="73" t="s">
        <v>62</v>
      </c>
      <c r="M251" s="74" t="s">
        <v>90</v>
      </c>
      <c r="N251" s="68"/>
      <c r="O251" s="69"/>
      <c r="P251" s="69"/>
      <c r="Q251" s="69"/>
      <c r="R251" s="69"/>
    </row>
    <row r="252" spans="1:18">
      <c r="A252" s="6">
        <v>46188</v>
      </c>
      <c r="B252" s="59" t="s">
        <v>80</v>
      </c>
      <c r="C252" s="60"/>
      <c r="D252" s="62"/>
      <c r="E252" s="62">
        <v>21787</v>
      </c>
      <c r="F252" s="63">
        <v>1</v>
      </c>
      <c r="G252" s="59" t="s">
        <v>74</v>
      </c>
      <c r="H252" s="59" t="s">
        <v>75</v>
      </c>
      <c r="I252" s="64" t="s">
        <v>60</v>
      </c>
      <c r="J252" s="59" t="s">
        <v>61</v>
      </c>
      <c r="K252" s="65" t="s">
        <v>211</v>
      </c>
      <c r="L252" s="66" t="s">
        <v>87</v>
      </c>
      <c r="M252" s="67"/>
      <c r="N252" s="68"/>
      <c r="O252" s="69"/>
      <c r="P252" s="69"/>
      <c r="Q252" s="69"/>
      <c r="R252" s="69"/>
    </row>
    <row r="253" spans="1:18">
      <c r="A253" s="6">
        <v>46188</v>
      </c>
      <c r="B253" s="59" t="s">
        <v>80</v>
      </c>
      <c r="C253" s="60"/>
      <c r="D253" s="62"/>
      <c r="E253" s="62">
        <v>213</v>
      </c>
      <c r="F253" s="63">
        <v>1</v>
      </c>
      <c r="G253" s="59" t="s">
        <v>65</v>
      </c>
      <c r="H253" s="59" t="s">
        <v>66</v>
      </c>
      <c r="I253" s="70" t="s">
        <v>60</v>
      </c>
      <c r="J253" s="71" t="s">
        <v>61</v>
      </c>
      <c r="K253" s="72" t="s">
        <v>211</v>
      </c>
      <c r="L253" s="73" t="s">
        <v>87</v>
      </c>
      <c r="M253" s="74"/>
      <c r="N253" s="68"/>
      <c r="O253" s="69"/>
      <c r="P253" s="69"/>
      <c r="Q253" s="69"/>
      <c r="R253" s="69"/>
    </row>
    <row r="254" spans="1:18">
      <c r="A254" s="7">
        <v>46188</v>
      </c>
      <c r="B254" s="71" t="s">
        <v>63</v>
      </c>
      <c r="C254" s="75"/>
      <c r="D254" s="76">
        <v>47500</v>
      </c>
      <c r="E254" s="76"/>
      <c r="F254" s="77">
        <v>1</v>
      </c>
      <c r="G254" s="71" t="s">
        <v>70</v>
      </c>
      <c r="H254" s="71"/>
      <c r="I254" s="70" t="s">
        <v>71</v>
      </c>
      <c r="J254" s="71" t="s">
        <v>72</v>
      </c>
      <c r="K254" s="72" t="s">
        <v>5445</v>
      </c>
      <c r="L254" s="73" t="s">
        <v>62</v>
      </c>
      <c r="M254" s="74" t="s">
        <v>90</v>
      </c>
      <c r="N254" s="68"/>
      <c r="O254" s="69"/>
      <c r="P254" s="69"/>
      <c r="Q254" s="69"/>
      <c r="R254" s="69"/>
    </row>
    <row r="255" spans="1:18">
      <c r="A255" s="6">
        <v>46188</v>
      </c>
      <c r="B255" s="59" t="s">
        <v>80</v>
      </c>
      <c r="C255" s="60"/>
      <c r="D255" s="62"/>
      <c r="E255" s="62">
        <v>8913</v>
      </c>
      <c r="F255" s="63">
        <v>1</v>
      </c>
      <c r="G255" s="59" t="s">
        <v>74</v>
      </c>
      <c r="H255" s="59" t="s">
        <v>75</v>
      </c>
      <c r="I255" s="64" t="s">
        <v>60</v>
      </c>
      <c r="J255" s="59" t="s">
        <v>61</v>
      </c>
      <c r="K255" s="65" t="s">
        <v>5444</v>
      </c>
      <c r="L255" s="66" t="s">
        <v>87</v>
      </c>
      <c r="M255" s="67"/>
      <c r="N255" s="68"/>
      <c r="O255" s="69"/>
      <c r="P255" s="69"/>
      <c r="Q255" s="69"/>
      <c r="R255" s="69"/>
    </row>
    <row r="256" spans="1:18">
      <c r="A256" s="6">
        <v>46188</v>
      </c>
      <c r="B256" s="59" t="s">
        <v>80</v>
      </c>
      <c r="C256" s="60"/>
      <c r="D256" s="62"/>
      <c r="E256" s="62">
        <v>87</v>
      </c>
      <c r="F256" s="63">
        <v>1</v>
      </c>
      <c r="G256" s="59" t="s">
        <v>65</v>
      </c>
      <c r="H256" s="59" t="s">
        <v>66</v>
      </c>
      <c r="I256" s="64" t="s">
        <v>60</v>
      </c>
      <c r="J256" s="59" t="s">
        <v>61</v>
      </c>
      <c r="K256" s="65" t="s">
        <v>5444</v>
      </c>
      <c r="L256" s="66" t="s">
        <v>87</v>
      </c>
      <c r="M256" s="67"/>
      <c r="N256" s="68"/>
      <c r="O256" s="69"/>
      <c r="P256" s="69"/>
      <c r="Q256" s="69"/>
      <c r="R256" s="110"/>
    </row>
    <row r="257" spans="1:18">
      <c r="A257" s="6">
        <v>46188</v>
      </c>
      <c r="B257" s="59" t="s">
        <v>63</v>
      </c>
      <c r="C257" s="60"/>
      <c r="D257" s="62"/>
      <c r="E257" s="62">
        <v>4000</v>
      </c>
      <c r="F257" s="63">
        <v>1</v>
      </c>
      <c r="G257" s="59" t="s">
        <v>65</v>
      </c>
      <c r="H257" s="59" t="s">
        <v>66</v>
      </c>
      <c r="I257" s="64" t="s">
        <v>60</v>
      </c>
      <c r="J257" s="59" t="s">
        <v>61</v>
      </c>
      <c r="K257" s="65"/>
      <c r="L257" s="66" t="s">
        <v>62</v>
      </c>
      <c r="M257" s="67" t="s">
        <v>91</v>
      </c>
      <c r="N257" s="68"/>
      <c r="O257" s="69"/>
      <c r="P257" s="69"/>
      <c r="Q257" s="69"/>
      <c r="R257" s="69"/>
    </row>
    <row r="258" spans="1:18">
      <c r="A258" s="6">
        <v>46189</v>
      </c>
      <c r="B258" s="59" t="s">
        <v>238</v>
      </c>
      <c r="C258" s="60" t="s">
        <v>5455</v>
      </c>
      <c r="D258" s="62"/>
      <c r="E258" s="62"/>
      <c r="F258" s="63">
        <v>37</v>
      </c>
      <c r="G258" s="59" t="s">
        <v>22</v>
      </c>
      <c r="H258" s="59" t="s">
        <v>21</v>
      </c>
      <c r="I258" s="64"/>
      <c r="J258" s="59"/>
      <c r="K258" s="65"/>
      <c r="L258" s="66" t="s">
        <v>95</v>
      </c>
      <c r="M258" s="67"/>
      <c r="N258" s="68"/>
      <c r="O258" s="69"/>
      <c r="P258" s="69"/>
      <c r="Q258" s="69"/>
      <c r="R258" s="69"/>
    </row>
    <row r="259" spans="1:18">
      <c r="A259" s="6">
        <v>46189</v>
      </c>
      <c r="B259" s="59" t="s">
        <v>81</v>
      </c>
      <c r="C259" s="60"/>
      <c r="D259" s="62">
        <v>165000</v>
      </c>
      <c r="E259" s="62"/>
      <c r="F259" s="63">
        <v>1</v>
      </c>
      <c r="G259" s="59" t="s">
        <v>74</v>
      </c>
      <c r="H259" s="59" t="s">
        <v>75</v>
      </c>
      <c r="I259" s="70" t="s">
        <v>60</v>
      </c>
      <c r="J259" s="71" t="s">
        <v>61</v>
      </c>
      <c r="K259" s="72"/>
      <c r="L259" s="73" t="s">
        <v>88</v>
      </c>
      <c r="M259" s="74"/>
      <c r="N259" s="68"/>
      <c r="O259" s="69"/>
      <c r="P259" s="69"/>
      <c r="Q259" s="69"/>
      <c r="R259" s="69"/>
    </row>
    <row r="260" spans="1:18">
      <c r="A260" s="6">
        <v>46189</v>
      </c>
      <c r="B260" s="59" t="s">
        <v>5452</v>
      </c>
      <c r="C260" s="60"/>
      <c r="D260" s="61">
        <v>500</v>
      </c>
      <c r="E260" s="62"/>
      <c r="F260" s="63">
        <v>1</v>
      </c>
      <c r="G260" s="59" t="s">
        <v>22</v>
      </c>
      <c r="H260" s="59" t="s">
        <v>21</v>
      </c>
      <c r="I260" s="64" t="s">
        <v>60</v>
      </c>
      <c r="J260" s="59" t="s">
        <v>61</v>
      </c>
      <c r="K260" s="65"/>
      <c r="L260" s="66" t="s">
        <v>82</v>
      </c>
      <c r="M260" s="67"/>
      <c r="N260" s="68"/>
      <c r="O260" s="69"/>
      <c r="P260" s="69"/>
      <c r="Q260" s="69"/>
      <c r="R260" s="69"/>
    </row>
    <row r="261" spans="1:18">
      <c r="A261" s="6">
        <v>46189</v>
      </c>
      <c r="B261" s="59" t="s">
        <v>722</v>
      </c>
      <c r="C261" s="60"/>
      <c r="D261" s="62">
        <v>500</v>
      </c>
      <c r="E261" s="62"/>
      <c r="F261" s="63">
        <v>1</v>
      </c>
      <c r="G261" s="59" t="s">
        <v>22</v>
      </c>
      <c r="H261" s="59" t="s">
        <v>21</v>
      </c>
      <c r="I261" s="64" t="s">
        <v>60</v>
      </c>
      <c r="J261" s="59" t="s">
        <v>61</v>
      </c>
      <c r="K261" s="65"/>
      <c r="L261" s="66" t="s">
        <v>82</v>
      </c>
      <c r="M261" s="67" t="s">
        <v>5453</v>
      </c>
      <c r="N261" s="68"/>
      <c r="O261" s="69"/>
      <c r="P261" s="69"/>
      <c r="Q261" s="69"/>
      <c r="R261" s="69"/>
    </row>
    <row r="262" spans="1:18">
      <c r="A262" s="6">
        <v>46189</v>
      </c>
      <c r="B262" s="59" t="s">
        <v>5454</v>
      </c>
      <c r="C262" s="30"/>
      <c r="D262" s="113"/>
      <c r="E262" s="30"/>
      <c r="F262" s="30">
        <v>1</v>
      </c>
      <c r="G262" s="30" t="s">
        <v>603</v>
      </c>
      <c r="H262" s="30" t="s">
        <v>21</v>
      </c>
      <c r="I262" s="30"/>
      <c r="J262" s="30"/>
      <c r="K262" s="30"/>
      <c r="L262" s="66" t="s">
        <v>82</v>
      </c>
      <c r="M262" s="67" t="s">
        <v>5476</v>
      </c>
      <c r="N262" s="68"/>
      <c r="O262" s="69"/>
      <c r="P262" s="69"/>
      <c r="Q262" s="69"/>
      <c r="R262" s="69"/>
    </row>
    <row r="263" spans="1:18">
      <c r="A263" s="6">
        <v>46189</v>
      </c>
      <c r="B263" s="59" t="s">
        <v>84</v>
      </c>
      <c r="C263" s="60"/>
      <c r="D263" s="62">
        <v>-41600</v>
      </c>
      <c r="E263" s="62"/>
      <c r="F263" s="63"/>
      <c r="G263" s="59" t="s">
        <v>77</v>
      </c>
      <c r="H263" s="59"/>
      <c r="I263" s="64" t="s">
        <v>60</v>
      </c>
      <c r="J263" s="59" t="s">
        <v>61</v>
      </c>
      <c r="K263" s="65"/>
      <c r="L263" s="66" t="s">
        <v>62</v>
      </c>
      <c r="M263" s="67"/>
      <c r="N263" s="68"/>
      <c r="O263" s="69"/>
      <c r="P263" s="69"/>
      <c r="Q263" s="69"/>
      <c r="R263" s="69"/>
    </row>
    <row r="264" spans="1:18">
      <c r="A264" s="6">
        <v>46189</v>
      </c>
      <c r="B264" s="59" t="s">
        <v>84</v>
      </c>
      <c r="C264" s="60"/>
      <c r="D264" s="62"/>
      <c r="E264" s="62">
        <v>-2200</v>
      </c>
      <c r="F264" s="63"/>
      <c r="G264" s="59" t="s">
        <v>65</v>
      </c>
      <c r="H264" s="59" t="s">
        <v>85</v>
      </c>
      <c r="I264" s="64" t="s">
        <v>60</v>
      </c>
      <c r="J264" s="59" t="s">
        <v>61</v>
      </c>
      <c r="K264" s="65"/>
      <c r="L264" s="66" t="s">
        <v>62</v>
      </c>
      <c r="M264" s="67"/>
      <c r="N264" s="68"/>
      <c r="O264" s="69"/>
      <c r="P264" s="69"/>
      <c r="Q264" s="69"/>
      <c r="R264" s="69"/>
    </row>
    <row r="265" spans="1:18">
      <c r="A265" s="12">
        <v>46189</v>
      </c>
      <c r="B265" s="114" t="s">
        <v>84</v>
      </c>
      <c r="C265" s="115"/>
      <c r="D265" s="116"/>
      <c r="E265" s="116">
        <v>600</v>
      </c>
      <c r="F265" s="117">
        <v>1</v>
      </c>
      <c r="G265" s="114" t="s">
        <v>65</v>
      </c>
      <c r="H265" s="114" t="s">
        <v>66</v>
      </c>
      <c r="I265" s="115" t="s">
        <v>60</v>
      </c>
      <c r="J265" s="114" t="s">
        <v>61</v>
      </c>
      <c r="K265" s="118"/>
      <c r="L265" s="114" t="s">
        <v>62</v>
      </c>
      <c r="M265" s="119"/>
      <c r="N265" s="68"/>
      <c r="O265" s="69"/>
      <c r="P265" s="69"/>
      <c r="Q265" s="69"/>
      <c r="R265" s="69"/>
    </row>
    <row r="266" spans="1:18">
      <c r="A266" s="6">
        <v>46189</v>
      </c>
      <c r="B266" s="59" t="s">
        <v>4828</v>
      </c>
      <c r="C266" s="30"/>
      <c r="D266" s="113"/>
      <c r="E266" s="30"/>
      <c r="F266" s="30">
        <v>1</v>
      </c>
      <c r="G266" s="30" t="s">
        <v>64</v>
      </c>
      <c r="H266" s="30"/>
      <c r="I266" s="30"/>
      <c r="J266" s="30"/>
      <c r="K266" s="30"/>
      <c r="L266" s="66" t="s">
        <v>82</v>
      </c>
      <c r="M266" s="67" t="s">
        <v>470</v>
      </c>
      <c r="N266" s="68"/>
      <c r="O266" s="69"/>
      <c r="P266" s="69"/>
      <c r="Q266" s="69"/>
      <c r="R266" s="69"/>
    </row>
    <row r="267" spans="1:18">
      <c r="A267" s="6">
        <v>46189</v>
      </c>
      <c r="B267" s="59" t="s">
        <v>76</v>
      </c>
      <c r="C267" s="30"/>
      <c r="D267" s="113">
        <v>13500</v>
      </c>
      <c r="E267" s="30"/>
      <c r="F267" s="30"/>
      <c r="G267" s="30" t="s">
        <v>77</v>
      </c>
      <c r="H267" s="30"/>
      <c r="I267" s="30" t="s">
        <v>60</v>
      </c>
      <c r="J267" s="30" t="s">
        <v>61</v>
      </c>
      <c r="K267" s="30"/>
      <c r="L267" s="66" t="s">
        <v>1343</v>
      </c>
      <c r="M267" s="67"/>
      <c r="N267" s="68"/>
      <c r="O267" s="69"/>
      <c r="P267" s="69"/>
      <c r="Q267" s="69"/>
      <c r="R267" s="69"/>
    </row>
    <row r="268" spans="1:18">
      <c r="A268" s="6">
        <v>46189</v>
      </c>
      <c r="B268" s="59" t="s">
        <v>63</v>
      </c>
      <c r="C268" s="60"/>
      <c r="D268" s="62">
        <v>14500</v>
      </c>
      <c r="E268" s="62"/>
      <c r="F268" s="63"/>
      <c r="G268" s="59" t="s">
        <v>70</v>
      </c>
      <c r="H268" s="59"/>
      <c r="I268" s="64" t="s">
        <v>60</v>
      </c>
      <c r="J268" s="59" t="s">
        <v>61</v>
      </c>
      <c r="K268" s="65"/>
      <c r="L268" s="66" t="s">
        <v>62</v>
      </c>
      <c r="M268" s="67"/>
      <c r="N268" s="68"/>
      <c r="O268" s="69"/>
      <c r="P268" s="69"/>
      <c r="Q268" s="69"/>
      <c r="R268" s="69"/>
    </row>
    <row r="269" spans="1:18">
      <c r="A269" s="6">
        <v>46189</v>
      </c>
      <c r="B269" s="59" t="s">
        <v>63</v>
      </c>
      <c r="C269" s="30"/>
      <c r="D269" s="113">
        <v>28000</v>
      </c>
      <c r="E269" s="30"/>
      <c r="F269" s="30">
        <v>1</v>
      </c>
      <c r="G269" s="30" t="s">
        <v>70</v>
      </c>
      <c r="H269" s="30"/>
      <c r="I269" s="30" t="s">
        <v>71</v>
      </c>
      <c r="J269" s="30" t="s">
        <v>72</v>
      </c>
      <c r="K269" s="30" t="s">
        <v>5456</v>
      </c>
      <c r="L269" s="66" t="s">
        <v>62</v>
      </c>
      <c r="M269" s="67" t="s">
        <v>90</v>
      </c>
      <c r="N269" s="68"/>
      <c r="O269" s="69"/>
      <c r="P269" s="69"/>
      <c r="Q269" s="69"/>
      <c r="R269" s="69"/>
    </row>
    <row r="270" spans="1:18">
      <c r="A270" s="6">
        <v>46189</v>
      </c>
      <c r="B270" s="59" t="s">
        <v>5457</v>
      </c>
      <c r="C270" s="60"/>
      <c r="D270" s="62">
        <v>500</v>
      </c>
      <c r="E270" s="62"/>
      <c r="F270" s="63">
        <v>1</v>
      </c>
      <c r="G270" s="59" t="s">
        <v>22</v>
      </c>
      <c r="H270" s="59" t="s">
        <v>21</v>
      </c>
      <c r="I270" s="64" t="s">
        <v>60</v>
      </c>
      <c r="J270" s="59" t="s">
        <v>61</v>
      </c>
      <c r="K270" s="65"/>
      <c r="L270" s="66" t="s">
        <v>86</v>
      </c>
      <c r="M270" s="67"/>
      <c r="N270" s="68"/>
      <c r="O270" s="69"/>
      <c r="P270" s="69"/>
      <c r="Q270" s="69"/>
      <c r="R270" s="69"/>
    </row>
    <row r="271" spans="1:18">
      <c r="A271" s="6">
        <v>46189</v>
      </c>
      <c r="B271" s="59" t="s">
        <v>5458</v>
      </c>
      <c r="C271" s="60"/>
      <c r="D271" s="62">
        <v>500</v>
      </c>
      <c r="E271" s="62"/>
      <c r="F271" s="63">
        <v>1</v>
      </c>
      <c r="G271" s="59" t="s">
        <v>22</v>
      </c>
      <c r="H271" s="59" t="s">
        <v>21</v>
      </c>
      <c r="I271" s="64" t="s">
        <v>60</v>
      </c>
      <c r="J271" s="59" t="s">
        <v>61</v>
      </c>
      <c r="K271" s="30"/>
      <c r="L271" s="66" t="s">
        <v>86</v>
      </c>
      <c r="M271" s="67"/>
      <c r="N271" s="68"/>
      <c r="O271" s="69"/>
      <c r="P271" s="69"/>
      <c r="Q271" s="69"/>
      <c r="R271" s="69"/>
    </row>
    <row r="272" spans="1:18">
      <c r="A272" s="6">
        <v>46189</v>
      </c>
      <c r="B272" s="59" t="s">
        <v>63</v>
      </c>
      <c r="C272" s="30"/>
      <c r="D272" s="113"/>
      <c r="E272" s="30">
        <v>2000</v>
      </c>
      <c r="F272" s="30">
        <v>1</v>
      </c>
      <c r="G272" s="30" t="s">
        <v>65</v>
      </c>
      <c r="H272" s="30" t="s">
        <v>66</v>
      </c>
      <c r="I272" s="30" t="s">
        <v>60</v>
      </c>
      <c r="J272" s="30" t="s">
        <v>61</v>
      </c>
      <c r="K272" s="30"/>
      <c r="L272" s="66" t="s">
        <v>62</v>
      </c>
      <c r="M272" s="67" t="s">
        <v>91</v>
      </c>
      <c r="N272" s="68"/>
      <c r="O272" s="69"/>
      <c r="P272" s="69"/>
      <c r="Q272" s="69"/>
      <c r="R272" s="69"/>
    </row>
    <row r="273" spans="1:18">
      <c r="A273" s="6">
        <v>46190</v>
      </c>
      <c r="B273" s="59" t="s">
        <v>81</v>
      </c>
      <c r="C273" s="60"/>
      <c r="D273" s="62">
        <v>20000</v>
      </c>
      <c r="E273" s="62"/>
      <c r="F273" s="63">
        <v>1</v>
      </c>
      <c r="G273" s="59" t="s">
        <v>74</v>
      </c>
      <c r="H273" s="59" t="s">
        <v>75</v>
      </c>
      <c r="I273" s="64" t="s">
        <v>60</v>
      </c>
      <c r="J273" s="59" t="s">
        <v>61</v>
      </c>
      <c r="K273" s="65"/>
      <c r="L273" s="66" t="s">
        <v>88</v>
      </c>
      <c r="M273" s="67"/>
      <c r="N273" s="68"/>
      <c r="O273" s="69"/>
      <c r="P273" s="69"/>
      <c r="Q273" s="69"/>
      <c r="R273" s="69"/>
    </row>
    <row r="274" spans="1:18">
      <c r="A274" s="13">
        <v>46190</v>
      </c>
      <c r="B274" s="30" t="s">
        <v>63</v>
      </c>
      <c r="C274" s="30"/>
      <c r="D274" s="113">
        <v>46125</v>
      </c>
      <c r="E274" s="30"/>
      <c r="F274" s="30"/>
      <c r="G274" s="30" t="s">
        <v>70</v>
      </c>
      <c r="H274" s="30"/>
      <c r="I274" s="30" t="s">
        <v>60</v>
      </c>
      <c r="J274" s="30" t="s">
        <v>61</v>
      </c>
      <c r="K274" s="30"/>
      <c r="L274" s="30" t="s">
        <v>62</v>
      </c>
      <c r="M274" s="67"/>
      <c r="N274" s="68"/>
      <c r="O274" s="69"/>
      <c r="P274" s="69"/>
      <c r="Q274" s="69"/>
      <c r="R274" s="69"/>
    </row>
    <row r="275" spans="1:18">
      <c r="A275" s="6">
        <v>46190</v>
      </c>
      <c r="B275" s="59" t="s">
        <v>5459</v>
      </c>
      <c r="C275" s="60"/>
      <c r="D275" s="62"/>
      <c r="E275" s="62"/>
      <c r="F275" s="63">
        <v>1</v>
      </c>
      <c r="G275" s="59" t="s">
        <v>64</v>
      </c>
      <c r="H275" s="59"/>
      <c r="I275" s="64"/>
      <c r="J275" s="59"/>
      <c r="K275" s="65"/>
      <c r="L275" s="66" t="s">
        <v>86</v>
      </c>
      <c r="M275" s="67" t="s">
        <v>5068</v>
      </c>
      <c r="N275" s="68"/>
      <c r="O275" s="69"/>
      <c r="P275" s="69"/>
      <c r="Q275" s="69"/>
      <c r="R275" s="69"/>
    </row>
    <row r="276" spans="1:18">
      <c r="A276" s="6">
        <v>46190</v>
      </c>
      <c r="B276" s="59" t="s">
        <v>80</v>
      </c>
      <c r="C276" s="60"/>
      <c r="D276" s="62"/>
      <c r="E276" s="62">
        <v>18816</v>
      </c>
      <c r="F276" s="63">
        <v>1</v>
      </c>
      <c r="G276" s="59" t="s">
        <v>74</v>
      </c>
      <c r="H276" s="59" t="s">
        <v>75</v>
      </c>
      <c r="I276" s="64" t="s">
        <v>60</v>
      </c>
      <c r="J276" s="59" t="s">
        <v>61</v>
      </c>
      <c r="K276" s="65"/>
      <c r="L276" s="66" t="s">
        <v>305</v>
      </c>
      <c r="M276" s="67"/>
      <c r="N276" s="68"/>
      <c r="O276" s="69"/>
      <c r="P276" s="69"/>
      <c r="Q276" s="69"/>
      <c r="R276" s="69"/>
    </row>
    <row r="277" spans="1:18">
      <c r="A277" s="6">
        <v>46190</v>
      </c>
      <c r="B277" s="59" t="s">
        <v>80</v>
      </c>
      <c r="C277" s="60"/>
      <c r="D277" s="62"/>
      <c r="E277" s="62">
        <v>184</v>
      </c>
      <c r="F277" s="63">
        <v>1</v>
      </c>
      <c r="G277" s="59" t="s">
        <v>65</v>
      </c>
      <c r="H277" s="59" t="s">
        <v>66</v>
      </c>
      <c r="I277" s="64" t="s">
        <v>60</v>
      </c>
      <c r="J277" s="59" t="s">
        <v>61</v>
      </c>
      <c r="K277" s="65"/>
      <c r="L277" s="66" t="s">
        <v>305</v>
      </c>
      <c r="M277" s="67"/>
      <c r="N277" s="68"/>
      <c r="O277" s="69"/>
      <c r="P277" s="69"/>
      <c r="Q277" s="69"/>
      <c r="R277" s="69"/>
    </row>
    <row r="278" spans="1:18">
      <c r="A278" s="6">
        <v>46190</v>
      </c>
      <c r="B278" s="59" t="s">
        <v>5460</v>
      </c>
      <c r="C278" s="60"/>
      <c r="D278" s="62"/>
      <c r="E278" s="62"/>
      <c r="F278" s="63">
        <v>1</v>
      </c>
      <c r="G278" s="59" t="s">
        <v>79</v>
      </c>
      <c r="H278" s="59" t="s">
        <v>21</v>
      </c>
      <c r="I278" s="64"/>
      <c r="J278" s="59"/>
      <c r="K278" s="65"/>
      <c r="L278" s="66" t="s">
        <v>89</v>
      </c>
      <c r="M278" s="67"/>
      <c r="N278" s="68"/>
      <c r="O278" s="69"/>
      <c r="P278" s="69"/>
      <c r="Q278" s="69"/>
      <c r="R278" s="69"/>
    </row>
    <row r="279" spans="1:18">
      <c r="A279" s="6">
        <v>46190</v>
      </c>
      <c r="B279" s="59" t="s">
        <v>5466</v>
      </c>
      <c r="C279" s="60"/>
      <c r="D279" s="62">
        <v>380000</v>
      </c>
      <c r="E279" s="62"/>
      <c r="F279" s="63">
        <v>1</v>
      </c>
      <c r="G279" s="59" t="s">
        <v>74</v>
      </c>
      <c r="H279" s="59" t="s">
        <v>75</v>
      </c>
      <c r="I279" s="64" t="s">
        <v>60</v>
      </c>
      <c r="J279" s="59" t="s">
        <v>61</v>
      </c>
      <c r="K279" s="65"/>
      <c r="L279" s="66" t="s">
        <v>623</v>
      </c>
      <c r="M279" s="67"/>
      <c r="N279" s="68"/>
      <c r="O279" s="69"/>
      <c r="P279" s="69"/>
      <c r="Q279" s="69"/>
      <c r="R279" s="69"/>
    </row>
    <row r="280" spans="1:18">
      <c r="A280" s="6">
        <v>46191</v>
      </c>
      <c r="B280" s="59" t="s">
        <v>105</v>
      </c>
      <c r="C280" s="60"/>
      <c r="D280" s="62"/>
      <c r="E280" s="62">
        <v>981831</v>
      </c>
      <c r="F280" s="63">
        <v>1</v>
      </c>
      <c r="G280" s="59" t="s">
        <v>74</v>
      </c>
      <c r="H280" s="59" t="s">
        <v>75</v>
      </c>
      <c r="I280" s="64" t="s">
        <v>60</v>
      </c>
      <c r="J280" s="59" t="s">
        <v>61</v>
      </c>
      <c r="K280" s="65"/>
      <c r="L280" s="66" t="s">
        <v>104</v>
      </c>
      <c r="M280" s="67"/>
      <c r="N280" s="68"/>
      <c r="O280" s="69"/>
      <c r="P280" s="69"/>
      <c r="Q280" s="69"/>
      <c r="R280" s="69"/>
    </row>
    <row r="281" spans="1:18">
      <c r="A281" s="6">
        <v>46191</v>
      </c>
      <c r="B281" s="59" t="s">
        <v>5467</v>
      </c>
      <c r="C281" s="60"/>
      <c r="D281" s="62"/>
      <c r="E281" s="62"/>
      <c r="F281" s="63">
        <v>1</v>
      </c>
      <c r="G281" s="59" t="s">
        <v>79</v>
      </c>
      <c r="H281" s="59" t="s">
        <v>21</v>
      </c>
      <c r="I281" s="64"/>
      <c r="J281" s="59"/>
      <c r="K281" s="65"/>
      <c r="L281" s="66" t="s">
        <v>89</v>
      </c>
      <c r="M281" s="67"/>
      <c r="N281" s="68"/>
      <c r="O281" s="69"/>
      <c r="P281" s="69"/>
      <c r="Q281" s="69"/>
      <c r="R281" s="69"/>
    </row>
    <row r="282" spans="1:18">
      <c r="A282" s="6">
        <v>46191</v>
      </c>
      <c r="B282" s="59" t="s">
        <v>5468</v>
      </c>
      <c r="C282" s="60"/>
      <c r="D282" s="62">
        <v>500</v>
      </c>
      <c r="E282" s="62"/>
      <c r="F282" s="63">
        <v>1</v>
      </c>
      <c r="G282" s="59" t="s">
        <v>22</v>
      </c>
      <c r="H282" s="59" t="s">
        <v>21</v>
      </c>
      <c r="I282" s="64" t="s">
        <v>60</v>
      </c>
      <c r="J282" s="59" t="s">
        <v>61</v>
      </c>
      <c r="K282" s="65"/>
      <c r="L282" s="66" t="s">
        <v>89</v>
      </c>
      <c r="M282" s="67"/>
      <c r="N282" s="68"/>
      <c r="O282" s="69"/>
      <c r="P282" s="69"/>
      <c r="Q282" s="69"/>
      <c r="R282" s="69"/>
    </row>
    <row r="283" spans="1:18">
      <c r="A283" s="6">
        <v>46191</v>
      </c>
      <c r="B283" s="59" t="s">
        <v>5469</v>
      </c>
      <c r="C283" s="60"/>
      <c r="D283" s="62">
        <v>500</v>
      </c>
      <c r="E283" s="62"/>
      <c r="F283" s="63">
        <v>1</v>
      </c>
      <c r="G283" s="59" t="s">
        <v>22</v>
      </c>
      <c r="H283" s="59" t="s">
        <v>21</v>
      </c>
      <c r="I283" s="64" t="s">
        <v>60</v>
      </c>
      <c r="J283" s="59" t="s">
        <v>61</v>
      </c>
      <c r="K283" s="65"/>
      <c r="L283" s="66" t="s">
        <v>89</v>
      </c>
      <c r="M283" s="67"/>
      <c r="N283" s="68"/>
      <c r="O283" s="69"/>
      <c r="P283" s="69"/>
      <c r="Q283" s="69"/>
      <c r="R283" s="69"/>
    </row>
    <row r="284" spans="1:18">
      <c r="A284" s="6">
        <v>46191</v>
      </c>
      <c r="B284" s="59" t="s">
        <v>5470</v>
      </c>
      <c r="C284" s="60"/>
      <c r="D284" s="62">
        <v>500</v>
      </c>
      <c r="E284" s="62"/>
      <c r="F284" s="63">
        <v>1</v>
      </c>
      <c r="G284" s="59" t="s">
        <v>22</v>
      </c>
      <c r="H284" s="59" t="s">
        <v>21</v>
      </c>
      <c r="I284" s="64" t="s">
        <v>60</v>
      </c>
      <c r="J284" s="59" t="s">
        <v>61</v>
      </c>
      <c r="K284" s="65"/>
      <c r="L284" s="66" t="s">
        <v>89</v>
      </c>
      <c r="M284" s="67"/>
      <c r="N284" s="68"/>
      <c r="O284" s="69"/>
      <c r="P284" s="69"/>
      <c r="Q284" s="69"/>
      <c r="R284" s="69"/>
    </row>
    <row r="285" spans="1:18">
      <c r="A285" s="6">
        <v>46191</v>
      </c>
      <c r="B285" s="59" t="s">
        <v>5471</v>
      </c>
      <c r="C285" s="60"/>
      <c r="D285" s="62">
        <v>500</v>
      </c>
      <c r="E285" s="62"/>
      <c r="F285" s="63">
        <v>1</v>
      </c>
      <c r="G285" s="59" t="s">
        <v>22</v>
      </c>
      <c r="H285" s="59" t="s">
        <v>21</v>
      </c>
      <c r="I285" s="64" t="s">
        <v>60</v>
      </c>
      <c r="J285" s="59" t="s">
        <v>61</v>
      </c>
      <c r="K285" s="65"/>
      <c r="L285" s="66" t="s">
        <v>89</v>
      </c>
      <c r="M285" s="67"/>
      <c r="N285" s="68"/>
      <c r="O285" s="69"/>
      <c r="P285" s="69"/>
      <c r="Q285" s="69"/>
      <c r="R285" s="69"/>
    </row>
    <row r="286" spans="1:18">
      <c r="A286" s="6">
        <v>46191</v>
      </c>
      <c r="B286" s="59" t="s">
        <v>63</v>
      </c>
      <c r="C286" s="60"/>
      <c r="D286" s="62">
        <v>28000</v>
      </c>
      <c r="E286" s="62"/>
      <c r="F286" s="63"/>
      <c r="G286" s="59" t="s">
        <v>70</v>
      </c>
      <c r="H286" s="59"/>
      <c r="I286" s="64" t="s">
        <v>60</v>
      </c>
      <c r="J286" s="59" t="s">
        <v>61</v>
      </c>
      <c r="K286" s="65"/>
      <c r="L286" s="66" t="s">
        <v>62</v>
      </c>
      <c r="M286" s="67"/>
      <c r="N286" s="68"/>
      <c r="O286" s="69"/>
      <c r="P286" s="69"/>
      <c r="Q286" s="69"/>
      <c r="R286" s="69"/>
    </row>
    <row r="287" spans="1:18">
      <c r="A287" s="6">
        <v>46191</v>
      </c>
      <c r="B287" s="59" t="s">
        <v>5472</v>
      </c>
      <c r="C287" s="60"/>
      <c r="D287" s="62"/>
      <c r="E287" s="62"/>
      <c r="F287" s="63">
        <v>1</v>
      </c>
      <c r="G287" s="59" t="s">
        <v>64</v>
      </c>
      <c r="H287" s="59"/>
      <c r="I287" s="64"/>
      <c r="J287" s="59"/>
      <c r="K287" s="65"/>
      <c r="L287" s="66" t="s">
        <v>86</v>
      </c>
      <c r="M287" s="67" t="s">
        <v>96</v>
      </c>
      <c r="N287" s="68"/>
      <c r="O287" s="69"/>
      <c r="P287" s="69"/>
      <c r="Q287" s="69"/>
      <c r="R287" s="69"/>
    </row>
    <row r="288" spans="1:18">
      <c r="A288" s="6">
        <v>46191</v>
      </c>
      <c r="B288" s="59" t="s">
        <v>5473</v>
      </c>
      <c r="C288" s="60"/>
      <c r="D288" s="62"/>
      <c r="E288" s="62"/>
      <c r="F288" s="63">
        <v>1</v>
      </c>
      <c r="G288" s="59" t="s">
        <v>79</v>
      </c>
      <c r="H288" s="59" t="s">
        <v>21</v>
      </c>
      <c r="I288" s="64" t="s">
        <v>60</v>
      </c>
      <c r="J288" s="59" t="s">
        <v>61</v>
      </c>
      <c r="K288" s="65"/>
      <c r="L288" s="66" t="s">
        <v>86</v>
      </c>
      <c r="M288" s="67"/>
      <c r="N288" s="68"/>
      <c r="O288" s="69"/>
      <c r="P288" s="69"/>
      <c r="Q288" s="69"/>
      <c r="R288" s="69"/>
    </row>
    <row r="289" spans="1:18">
      <c r="A289" s="6">
        <v>46191</v>
      </c>
      <c r="B289" s="59" t="s">
        <v>5473</v>
      </c>
      <c r="C289" s="60"/>
      <c r="D289" s="62">
        <v>500</v>
      </c>
      <c r="E289" s="62"/>
      <c r="F289" s="63">
        <v>0</v>
      </c>
      <c r="G289" s="59" t="s">
        <v>22</v>
      </c>
      <c r="H289" s="59" t="s">
        <v>21</v>
      </c>
      <c r="I289" s="64" t="s">
        <v>60</v>
      </c>
      <c r="J289" s="59" t="s">
        <v>61</v>
      </c>
      <c r="K289" s="65"/>
      <c r="L289" s="66" t="s">
        <v>86</v>
      </c>
      <c r="M289" s="67" t="s">
        <v>83</v>
      </c>
      <c r="N289" s="68"/>
      <c r="O289" s="69"/>
      <c r="P289" s="69"/>
      <c r="Q289" s="69"/>
      <c r="R289" s="69"/>
    </row>
    <row r="290" spans="1:18">
      <c r="A290" s="6">
        <v>46191</v>
      </c>
      <c r="B290" s="59" t="s">
        <v>63</v>
      </c>
      <c r="C290" s="60"/>
      <c r="D290" s="62"/>
      <c r="E290" s="62">
        <v>2500</v>
      </c>
      <c r="F290" s="63">
        <v>1</v>
      </c>
      <c r="G290" s="59" t="s">
        <v>65</v>
      </c>
      <c r="H290" s="59" t="s">
        <v>66</v>
      </c>
      <c r="I290" s="64" t="s">
        <v>60</v>
      </c>
      <c r="J290" s="59" t="s">
        <v>61</v>
      </c>
      <c r="K290" s="65"/>
      <c r="L290" s="66" t="s">
        <v>62</v>
      </c>
      <c r="M290" s="67" t="s">
        <v>91</v>
      </c>
      <c r="N290" s="68"/>
      <c r="O290" s="69"/>
      <c r="P290" s="69"/>
      <c r="Q290" s="69"/>
      <c r="R290" s="69"/>
    </row>
    <row r="291" spans="1:18">
      <c r="A291" s="6">
        <v>46192</v>
      </c>
      <c r="B291" s="59" t="s">
        <v>196</v>
      </c>
      <c r="C291" s="60"/>
      <c r="D291" s="62"/>
      <c r="E291" s="62">
        <v>8000</v>
      </c>
      <c r="F291" s="63">
        <v>1</v>
      </c>
      <c r="G291" s="59" t="s">
        <v>65</v>
      </c>
      <c r="H291" s="59" t="s">
        <v>66</v>
      </c>
      <c r="I291" s="64" t="s">
        <v>60</v>
      </c>
      <c r="J291" s="59" t="s">
        <v>61</v>
      </c>
      <c r="K291" s="65"/>
      <c r="L291" s="66" t="s">
        <v>62</v>
      </c>
      <c r="M291" s="67"/>
      <c r="N291" s="68"/>
      <c r="O291" s="69"/>
      <c r="P291" s="69"/>
      <c r="Q291" s="69"/>
      <c r="R291" s="69"/>
    </row>
    <row r="292" spans="1:18">
      <c r="A292" s="6">
        <v>46192</v>
      </c>
      <c r="B292" s="59" t="s">
        <v>5477</v>
      </c>
      <c r="C292" s="60"/>
      <c r="D292" s="62">
        <v>500</v>
      </c>
      <c r="E292" s="62"/>
      <c r="F292" s="63">
        <v>1</v>
      </c>
      <c r="G292" s="59" t="s">
        <v>22</v>
      </c>
      <c r="H292" s="59" t="s">
        <v>21</v>
      </c>
      <c r="I292" s="64" t="s">
        <v>60</v>
      </c>
      <c r="J292" s="59" t="s">
        <v>61</v>
      </c>
      <c r="K292" s="65"/>
      <c r="L292" s="66" t="s">
        <v>82</v>
      </c>
      <c r="M292" s="67"/>
      <c r="N292" s="68"/>
      <c r="O292" s="69"/>
      <c r="P292" s="69"/>
      <c r="Q292" s="69"/>
      <c r="R292" s="69"/>
    </row>
    <row r="293" spans="1:18">
      <c r="A293" s="6">
        <v>46192</v>
      </c>
      <c r="B293" s="59" t="s">
        <v>5478</v>
      </c>
      <c r="C293" s="60"/>
      <c r="D293" s="62">
        <v>500</v>
      </c>
      <c r="E293" s="62"/>
      <c r="F293" s="63">
        <v>1</v>
      </c>
      <c r="G293" s="59" t="s">
        <v>22</v>
      </c>
      <c r="H293" s="59" t="s">
        <v>21</v>
      </c>
      <c r="I293" s="64" t="s">
        <v>60</v>
      </c>
      <c r="J293" s="59" t="s">
        <v>61</v>
      </c>
      <c r="K293" s="65"/>
      <c r="L293" s="66" t="s">
        <v>89</v>
      </c>
      <c r="M293" s="67"/>
      <c r="N293" s="68"/>
      <c r="O293" s="69"/>
      <c r="P293" s="69"/>
      <c r="Q293" s="69"/>
      <c r="R293" s="69"/>
    </row>
    <row r="294" spans="1:18">
      <c r="A294" s="6">
        <v>46192</v>
      </c>
      <c r="B294" s="59" t="s">
        <v>5479</v>
      </c>
      <c r="C294" s="60"/>
      <c r="D294" s="62"/>
      <c r="E294" s="62"/>
      <c r="F294" s="63">
        <v>1</v>
      </c>
      <c r="G294" s="59" t="s">
        <v>319</v>
      </c>
      <c r="H294" s="59" t="s">
        <v>21</v>
      </c>
      <c r="I294" s="64"/>
      <c r="J294" s="59"/>
      <c r="K294" s="65"/>
      <c r="L294" s="66" t="s">
        <v>89</v>
      </c>
      <c r="M294" s="67"/>
      <c r="N294" s="68"/>
      <c r="O294" s="69"/>
      <c r="P294" s="69"/>
      <c r="Q294" s="69"/>
      <c r="R294" s="69"/>
    </row>
    <row r="295" spans="1:18">
      <c r="A295" s="6">
        <v>46192</v>
      </c>
      <c r="B295" s="59" t="s">
        <v>3494</v>
      </c>
      <c r="C295" s="60"/>
      <c r="D295" s="62">
        <v>500</v>
      </c>
      <c r="E295" s="62"/>
      <c r="F295" s="63">
        <v>0</v>
      </c>
      <c r="G295" s="59" t="s">
        <v>22</v>
      </c>
      <c r="H295" s="59" t="s">
        <v>21</v>
      </c>
      <c r="I295" s="64" t="s">
        <v>60</v>
      </c>
      <c r="J295" s="59" t="s">
        <v>61</v>
      </c>
      <c r="K295" s="65"/>
      <c r="L295" s="66" t="s">
        <v>89</v>
      </c>
      <c r="M295" s="67"/>
      <c r="N295" s="68"/>
      <c r="O295" s="69"/>
      <c r="P295" s="69"/>
      <c r="Q295" s="69"/>
      <c r="R295" s="69"/>
    </row>
    <row r="296" spans="1:18">
      <c r="A296" s="6">
        <v>46192</v>
      </c>
      <c r="B296" s="59" t="s">
        <v>5480</v>
      </c>
      <c r="C296" s="60"/>
      <c r="D296" s="62"/>
      <c r="E296" s="62"/>
      <c r="F296" s="63">
        <v>1</v>
      </c>
      <c r="G296" s="59" t="s">
        <v>79</v>
      </c>
      <c r="H296" s="59" t="s">
        <v>21</v>
      </c>
      <c r="I296" s="64"/>
      <c r="J296" s="59"/>
      <c r="K296" s="65"/>
      <c r="L296" s="66" t="s">
        <v>89</v>
      </c>
      <c r="M296" s="67"/>
      <c r="N296" s="68"/>
      <c r="O296" s="69"/>
      <c r="P296" s="69"/>
      <c r="Q296" s="69"/>
      <c r="R296" s="69"/>
    </row>
    <row r="297" spans="1:18">
      <c r="A297" s="6">
        <v>46192</v>
      </c>
      <c r="B297" s="59" t="s">
        <v>5481</v>
      </c>
      <c r="C297" s="60"/>
      <c r="D297" s="62"/>
      <c r="E297" s="62"/>
      <c r="F297" s="63">
        <v>1</v>
      </c>
      <c r="G297" s="59" t="s">
        <v>564</v>
      </c>
      <c r="H297" s="59" t="s">
        <v>21</v>
      </c>
      <c r="I297" s="64"/>
      <c r="J297" s="59"/>
      <c r="K297" s="65"/>
      <c r="L297" s="66" t="s">
        <v>89</v>
      </c>
      <c r="M297" s="67"/>
      <c r="N297" s="68"/>
      <c r="O297" s="69"/>
      <c r="P297" s="69"/>
      <c r="Q297" s="69"/>
      <c r="R297" s="69"/>
    </row>
    <row r="298" spans="1:18">
      <c r="A298" s="6">
        <v>46192</v>
      </c>
      <c r="B298" s="59" t="s">
        <v>5482</v>
      </c>
      <c r="C298" s="60"/>
      <c r="D298" s="62"/>
      <c r="E298" s="62"/>
      <c r="F298" s="63">
        <v>1</v>
      </c>
      <c r="G298" s="59" t="s">
        <v>64</v>
      </c>
      <c r="H298" s="59"/>
      <c r="I298" s="64"/>
      <c r="J298" s="59"/>
      <c r="K298" s="65"/>
      <c r="L298" s="66" t="s">
        <v>82</v>
      </c>
      <c r="M298" s="67" t="s">
        <v>96</v>
      </c>
      <c r="N298" s="68"/>
      <c r="O298" s="69"/>
      <c r="P298" s="69"/>
      <c r="Q298" s="69"/>
      <c r="R298" s="69"/>
    </row>
    <row r="299" spans="1:18">
      <c r="A299" s="6">
        <v>46192</v>
      </c>
      <c r="B299" s="59" t="s">
        <v>5483</v>
      </c>
      <c r="C299" s="60"/>
      <c r="D299" s="62"/>
      <c r="E299" s="62"/>
      <c r="F299" s="63">
        <v>1</v>
      </c>
      <c r="G299" s="59" t="s">
        <v>64</v>
      </c>
      <c r="H299" s="59"/>
      <c r="I299" s="64"/>
      <c r="J299" s="59"/>
      <c r="K299" s="65"/>
      <c r="L299" s="66" t="s">
        <v>82</v>
      </c>
      <c r="M299" s="67" t="s">
        <v>5484</v>
      </c>
      <c r="N299" s="68"/>
      <c r="O299" s="69"/>
      <c r="P299" s="69"/>
      <c r="Q299" s="69"/>
      <c r="R299" s="69"/>
    </row>
    <row r="300" spans="1:18">
      <c r="A300" s="6">
        <v>46192</v>
      </c>
      <c r="B300" s="59" t="s">
        <v>63</v>
      </c>
      <c r="C300" s="60"/>
      <c r="D300" s="62">
        <v>54000</v>
      </c>
      <c r="E300" s="62"/>
      <c r="F300" s="63"/>
      <c r="G300" s="59" t="s">
        <v>70</v>
      </c>
      <c r="H300" s="59"/>
      <c r="I300" s="64" t="s">
        <v>60</v>
      </c>
      <c r="J300" s="59" t="s">
        <v>61</v>
      </c>
      <c r="K300" s="65"/>
      <c r="L300" s="66" t="s">
        <v>62</v>
      </c>
      <c r="M300" s="67"/>
      <c r="N300" s="68"/>
      <c r="O300" s="69"/>
      <c r="P300" s="69"/>
      <c r="Q300" s="69"/>
      <c r="R300" s="69"/>
    </row>
    <row r="301" spans="1:18">
      <c r="A301" s="6">
        <v>46192</v>
      </c>
      <c r="B301" s="59" t="s">
        <v>80</v>
      </c>
      <c r="C301" s="60"/>
      <c r="D301" s="62"/>
      <c r="E301" s="62">
        <v>16000</v>
      </c>
      <c r="F301" s="63">
        <v>1</v>
      </c>
      <c r="G301" s="59" t="s">
        <v>74</v>
      </c>
      <c r="H301" s="59" t="s">
        <v>75</v>
      </c>
      <c r="I301" s="64" t="s">
        <v>60</v>
      </c>
      <c r="J301" s="59" t="s">
        <v>61</v>
      </c>
      <c r="K301" s="65"/>
      <c r="L301" s="66" t="s">
        <v>305</v>
      </c>
      <c r="M301" s="67"/>
      <c r="N301" s="68"/>
      <c r="O301" s="69"/>
      <c r="P301" s="69"/>
      <c r="Q301" s="69"/>
      <c r="R301" s="69"/>
    </row>
    <row r="302" spans="1:18">
      <c r="A302" s="6">
        <v>46192</v>
      </c>
      <c r="B302" s="59" t="s">
        <v>80</v>
      </c>
      <c r="C302" s="60"/>
      <c r="D302" s="62"/>
      <c r="E302" s="62">
        <v>0</v>
      </c>
      <c r="F302" s="63">
        <v>1</v>
      </c>
      <c r="G302" s="59" t="s">
        <v>65</v>
      </c>
      <c r="H302" s="59" t="s">
        <v>66</v>
      </c>
      <c r="I302" s="64" t="s">
        <v>60</v>
      </c>
      <c r="J302" s="59" t="s">
        <v>61</v>
      </c>
      <c r="K302" s="65"/>
      <c r="L302" s="66" t="s">
        <v>305</v>
      </c>
      <c r="M302" s="67"/>
      <c r="N302" s="68"/>
      <c r="O302" s="69"/>
      <c r="P302" s="69"/>
      <c r="Q302" s="69"/>
      <c r="R302" s="69"/>
    </row>
    <row r="303" spans="1:18">
      <c r="A303" s="6">
        <v>46192</v>
      </c>
      <c r="B303" s="59" t="s">
        <v>63</v>
      </c>
      <c r="C303" s="60"/>
      <c r="D303" s="62">
        <v>19000</v>
      </c>
      <c r="E303" s="62"/>
      <c r="F303" s="63">
        <v>1</v>
      </c>
      <c r="G303" s="59" t="s">
        <v>70</v>
      </c>
      <c r="H303" s="59" t="s">
        <v>75</v>
      </c>
      <c r="I303" s="64" t="s">
        <v>71</v>
      </c>
      <c r="J303" s="59" t="s">
        <v>72</v>
      </c>
      <c r="K303" s="65"/>
      <c r="L303" s="66" t="s">
        <v>62</v>
      </c>
      <c r="M303" s="67"/>
      <c r="N303" s="68"/>
      <c r="O303" s="69"/>
      <c r="P303" s="69"/>
      <c r="Q303" s="69"/>
      <c r="R303" s="69"/>
    </row>
    <row r="304" spans="1:18">
      <c r="A304" s="6">
        <v>46192</v>
      </c>
      <c r="B304" s="59" t="s">
        <v>5489</v>
      </c>
      <c r="C304" s="60"/>
      <c r="D304" s="62">
        <v>500</v>
      </c>
      <c r="E304" s="62"/>
      <c r="F304" s="63">
        <v>1</v>
      </c>
      <c r="G304" s="59" t="s">
        <v>22</v>
      </c>
      <c r="H304" s="59" t="s">
        <v>21</v>
      </c>
      <c r="I304" s="64" t="s">
        <v>60</v>
      </c>
      <c r="J304" s="59" t="s">
        <v>61</v>
      </c>
      <c r="K304" s="65"/>
      <c r="L304" s="66" t="s">
        <v>89</v>
      </c>
      <c r="M304" s="67"/>
      <c r="N304" s="68"/>
      <c r="O304" s="69"/>
      <c r="P304" s="69"/>
      <c r="Q304" s="69"/>
      <c r="R304" s="69"/>
    </row>
    <row r="305" spans="1:18">
      <c r="A305" s="6">
        <v>46192</v>
      </c>
      <c r="B305" s="59" t="s">
        <v>5490</v>
      </c>
      <c r="C305" s="60"/>
      <c r="D305" s="62">
        <v>500</v>
      </c>
      <c r="E305" s="62"/>
      <c r="F305" s="63">
        <v>0</v>
      </c>
      <c r="G305" s="59" t="s">
        <v>22</v>
      </c>
      <c r="H305" s="59" t="s">
        <v>21</v>
      </c>
      <c r="I305" s="64" t="s">
        <v>60</v>
      </c>
      <c r="J305" s="59" t="s">
        <v>61</v>
      </c>
      <c r="K305" s="65"/>
      <c r="L305" s="66" t="s">
        <v>89</v>
      </c>
      <c r="M305" s="67"/>
      <c r="N305" s="68"/>
      <c r="O305" s="69"/>
      <c r="P305" s="69"/>
      <c r="Q305" s="69"/>
      <c r="R305" s="69"/>
    </row>
    <row r="306" spans="1:18">
      <c r="A306" s="6">
        <v>46192</v>
      </c>
      <c r="B306" s="59" t="s">
        <v>5491</v>
      </c>
      <c r="C306" s="60"/>
      <c r="D306" s="62">
        <v>500</v>
      </c>
      <c r="E306" s="62"/>
      <c r="F306" s="63">
        <v>0</v>
      </c>
      <c r="G306" s="59" t="s">
        <v>22</v>
      </c>
      <c r="H306" s="59" t="s">
        <v>21</v>
      </c>
      <c r="I306" s="64" t="s">
        <v>60</v>
      </c>
      <c r="J306" s="59" t="s">
        <v>61</v>
      </c>
      <c r="K306" s="65"/>
      <c r="L306" s="66" t="s">
        <v>89</v>
      </c>
      <c r="M306" s="67"/>
      <c r="N306" s="68"/>
      <c r="O306" s="69"/>
      <c r="P306" s="69"/>
      <c r="Q306" s="69"/>
      <c r="R306" s="69"/>
    </row>
    <row r="307" spans="1:18">
      <c r="A307" s="6">
        <v>46192</v>
      </c>
      <c r="B307" s="59" t="s">
        <v>63</v>
      </c>
      <c r="C307" s="60"/>
      <c r="D307" s="62"/>
      <c r="E307" s="62">
        <v>3000</v>
      </c>
      <c r="F307" s="63">
        <v>1</v>
      </c>
      <c r="G307" s="59" t="s">
        <v>65</v>
      </c>
      <c r="H307" s="59" t="s">
        <v>66</v>
      </c>
      <c r="I307" s="64" t="s">
        <v>60</v>
      </c>
      <c r="J307" s="59" t="s">
        <v>61</v>
      </c>
      <c r="K307" s="65"/>
      <c r="L307" s="66" t="s">
        <v>62</v>
      </c>
      <c r="M307" s="67" t="s">
        <v>91</v>
      </c>
      <c r="N307" s="68"/>
      <c r="O307" s="69"/>
      <c r="P307" s="69"/>
      <c r="Q307" s="69"/>
      <c r="R307" s="69"/>
    </row>
    <row r="308" spans="1:18">
      <c r="A308" s="6">
        <v>46193</v>
      </c>
      <c r="B308" s="59" t="s">
        <v>5492</v>
      </c>
      <c r="C308" s="60"/>
      <c r="D308" s="62">
        <v>500</v>
      </c>
      <c r="E308" s="62"/>
      <c r="F308" s="63">
        <v>1</v>
      </c>
      <c r="G308" s="59" t="s">
        <v>22</v>
      </c>
      <c r="H308" s="59" t="s">
        <v>21</v>
      </c>
      <c r="I308" s="64" t="s">
        <v>60</v>
      </c>
      <c r="J308" s="59" t="s">
        <v>61</v>
      </c>
      <c r="K308" s="65"/>
      <c r="L308" s="66" t="s">
        <v>89</v>
      </c>
      <c r="M308" s="67"/>
      <c r="N308" s="68"/>
      <c r="O308" s="69"/>
      <c r="P308" s="69"/>
      <c r="Q308" s="69"/>
      <c r="R308" s="69"/>
    </row>
    <row r="309" spans="1:18">
      <c r="A309" s="6">
        <v>46193</v>
      </c>
      <c r="B309" s="59" t="s">
        <v>5493</v>
      </c>
      <c r="C309" s="60"/>
      <c r="D309" s="62">
        <v>500</v>
      </c>
      <c r="E309" s="62"/>
      <c r="F309" s="63">
        <v>1</v>
      </c>
      <c r="G309" s="59" t="s">
        <v>22</v>
      </c>
      <c r="H309" s="59" t="s">
        <v>21</v>
      </c>
      <c r="I309" s="64" t="s">
        <v>60</v>
      </c>
      <c r="J309" s="59" t="s">
        <v>61</v>
      </c>
      <c r="K309" s="65"/>
      <c r="L309" s="66" t="s">
        <v>89</v>
      </c>
      <c r="M309" s="67"/>
      <c r="N309" s="68"/>
      <c r="O309" s="69"/>
      <c r="P309" s="69"/>
      <c r="Q309" s="69"/>
      <c r="R309" s="69"/>
    </row>
    <row r="310" spans="1:18">
      <c r="A310" s="6">
        <v>46193</v>
      </c>
      <c r="B310" s="59" t="s">
        <v>5494</v>
      </c>
      <c r="C310" s="60"/>
      <c r="D310" s="62"/>
      <c r="E310" s="62"/>
      <c r="F310" s="63">
        <v>1</v>
      </c>
      <c r="G310" s="59" t="s">
        <v>99</v>
      </c>
      <c r="H310" s="59" t="s">
        <v>21</v>
      </c>
      <c r="I310" s="64"/>
      <c r="J310" s="59"/>
      <c r="K310" s="65"/>
      <c r="L310" s="66" t="s">
        <v>89</v>
      </c>
      <c r="M310" s="67"/>
      <c r="N310" s="68"/>
      <c r="O310" s="69"/>
      <c r="P310" s="69"/>
      <c r="Q310" s="69"/>
      <c r="R310" s="69"/>
    </row>
    <row r="311" spans="1:18">
      <c r="A311" s="6">
        <v>46193</v>
      </c>
      <c r="B311" s="59" t="s">
        <v>5495</v>
      </c>
      <c r="C311" s="60"/>
      <c r="D311" s="62"/>
      <c r="E311" s="62"/>
      <c r="F311" s="63">
        <v>1</v>
      </c>
      <c r="G311" s="59" t="s">
        <v>64</v>
      </c>
      <c r="H311" s="59"/>
      <c r="I311" s="64"/>
      <c r="J311" s="59"/>
      <c r="K311" s="65"/>
      <c r="L311" s="66" t="s">
        <v>82</v>
      </c>
      <c r="M311" s="67" t="s">
        <v>96</v>
      </c>
      <c r="N311" s="68"/>
      <c r="O311" s="69"/>
      <c r="P311" s="69"/>
      <c r="Q311" s="69"/>
      <c r="R311" s="69"/>
    </row>
    <row r="312" spans="1:18">
      <c r="A312" s="6">
        <v>46193</v>
      </c>
      <c r="B312" s="59" t="s">
        <v>63</v>
      </c>
      <c r="C312" s="60"/>
      <c r="D312" s="62">
        <v>184000</v>
      </c>
      <c r="E312" s="62"/>
      <c r="F312" s="63"/>
      <c r="G312" s="59" t="s">
        <v>70</v>
      </c>
      <c r="H312" s="59"/>
      <c r="I312" s="64" t="s">
        <v>60</v>
      </c>
      <c r="J312" s="59" t="s">
        <v>61</v>
      </c>
      <c r="K312" s="65"/>
      <c r="L312" s="66" t="s">
        <v>62</v>
      </c>
      <c r="M312" s="67"/>
      <c r="N312" s="68"/>
      <c r="O312" s="69"/>
      <c r="P312" s="69"/>
      <c r="Q312" s="69"/>
      <c r="R312" s="69"/>
    </row>
    <row r="313" spans="1:18">
      <c r="A313" s="6">
        <v>46193</v>
      </c>
      <c r="B313" s="59" t="s">
        <v>5500</v>
      </c>
      <c r="C313" s="60"/>
      <c r="D313" s="62">
        <v>500</v>
      </c>
      <c r="E313" s="62"/>
      <c r="F313" s="63">
        <v>1</v>
      </c>
      <c r="G313" s="59" t="s">
        <v>22</v>
      </c>
      <c r="H313" s="59" t="s">
        <v>21</v>
      </c>
      <c r="I313" s="64" t="s">
        <v>60</v>
      </c>
      <c r="J313" s="59" t="s">
        <v>61</v>
      </c>
      <c r="K313" s="65"/>
      <c r="L313" s="66" t="s">
        <v>82</v>
      </c>
      <c r="M313" s="67"/>
      <c r="N313" s="68"/>
      <c r="O313" s="69"/>
      <c r="P313" s="69"/>
      <c r="Q313" s="69"/>
      <c r="R313" s="69"/>
    </row>
    <row r="314" spans="1:18">
      <c r="A314" s="6">
        <v>46193</v>
      </c>
      <c r="B314" s="59" t="s">
        <v>5501</v>
      </c>
      <c r="C314" s="60"/>
      <c r="D314" s="62"/>
      <c r="E314" s="62"/>
      <c r="F314" s="63">
        <v>1</v>
      </c>
      <c r="G314" s="59" t="s">
        <v>64</v>
      </c>
      <c r="H314" s="59"/>
      <c r="I314" s="64"/>
      <c r="J314" s="59"/>
      <c r="K314" s="65"/>
      <c r="L314" s="66" t="s">
        <v>82</v>
      </c>
      <c r="M314" s="67" t="s">
        <v>5148</v>
      </c>
      <c r="N314" s="68"/>
      <c r="O314" s="69"/>
      <c r="P314" s="69"/>
      <c r="Q314" s="69"/>
      <c r="R314" s="69"/>
    </row>
    <row r="315" spans="1:18">
      <c r="A315" s="6">
        <v>46193</v>
      </c>
      <c r="B315" s="59" t="s">
        <v>80</v>
      </c>
      <c r="C315" s="60"/>
      <c r="D315" s="62"/>
      <c r="E315" s="62">
        <v>19000</v>
      </c>
      <c r="F315" s="63">
        <v>1</v>
      </c>
      <c r="G315" s="59" t="s">
        <v>74</v>
      </c>
      <c r="H315" s="59" t="s">
        <v>75</v>
      </c>
      <c r="I315" s="64" t="s">
        <v>60</v>
      </c>
      <c r="J315" s="59" t="s">
        <v>61</v>
      </c>
      <c r="K315" s="65" t="s">
        <v>5503</v>
      </c>
      <c r="L315" s="66" t="s">
        <v>305</v>
      </c>
      <c r="M315" s="67"/>
      <c r="N315" s="68"/>
      <c r="O315" s="69"/>
      <c r="P315" s="69"/>
      <c r="Q315" s="69"/>
      <c r="R315" s="69"/>
    </row>
    <row r="316" spans="1:18">
      <c r="A316" s="6">
        <v>46193</v>
      </c>
      <c r="B316" s="59" t="s">
        <v>80</v>
      </c>
      <c r="C316" s="60"/>
      <c r="D316" s="62"/>
      <c r="E316" s="62">
        <v>0</v>
      </c>
      <c r="F316" s="63">
        <v>1</v>
      </c>
      <c r="G316" s="59" t="s">
        <v>65</v>
      </c>
      <c r="H316" s="59" t="s">
        <v>66</v>
      </c>
      <c r="I316" s="64" t="s">
        <v>60</v>
      </c>
      <c r="J316" s="59" t="s">
        <v>61</v>
      </c>
      <c r="K316" s="65" t="s">
        <v>5503</v>
      </c>
      <c r="L316" s="66" t="s">
        <v>305</v>
      </c>
      <c r="M316" s="67"/>
      <c r="N316" s="68"/>
      <c r="O316" s="69"/>
      <c r="P316" s="69"/>
      <c r="Q316" s="69"/>
      <c r="R316" s="69"/>
    </row>
    <row r="317" spans="1:18">
      <c r="A317" s="6">
        <v>46193</v>
      </c>
      <c r="B317" s="59" t="s">
        <v>76</v>
      </c>
      <c r="C317" s="60"/>
      <c r="D317" s="62">
        <v>8000</v>
      </c>
      <c r="E317" s="62"/>
      <c r="F317" s="63"/>
      <c r="G317" s="59" t="s">
        <v>77</v>
      </c>
      <c r="H317" s="59"/>
      <c r="I317" s="64" t="s">
        <v>60</v>
      </c>
      <c r="J317" s="59" t="s">
        <v>61</v>
      </c>
      <c r="K317" s="65"/>
      <c r="L317" s="66" t="s">
        <v>62</v>
      </c>
      <c r="M317" s="67"/>
      <c r="N317" s="68"/>
      <c r="O317" s="69"/>
      <c r="P317" s="69"/>
      <c r="Q317" s="69"/>
      <c r="R317" s="69"/>
    </row>
    <row r="318" spans="1:18">
      <c r="A318" s="6">
        <v>46193</v>
      </c>
      <c r="B318" s="59" t="s">
        <v>63</v>
      </c>
      <c r="C318" s="60"/>
      <c r="D318" s="62">
        <v>35000</v>
      </c>
      <c r="E318" s="62"/>
      <c r="F318" s="63">
        <v>1</v>
      </c>
      <c r="G318" s="59" t="s">
        <v>70</v>
      </c>
      <c r="H318" s="59"/>
      <c r="I318" s="64" t="s">
        <v>71</v>
      </c>
      <c r="J318" s="59" t="s">
        <v>72</v>
      </c>
      <c r="K318" s="65" t="s">
        <v>5502</v>
      </c>
      <c r="L318" s="66" t="s">
        <v>62</v>
      </c>
      <c r="M318" s="67" t="s">
        <v>90</v>
      </c>
      <c r="N318" s="68"/>
      <c r="O318" s="69"/>
      <c r="P318" s="69"/>
      <c r="Q318" s="69"/>
      <c r="R318" s="69"/>
    </row>
    <row r="319" spans="1:18">
      <c r="A319" s="6">
        <v>46193</v>
      </c>
      <c r="B319" s="59" t="s">
        <v>80</v>
      </c>
      <c r="C319" s="60"/>
      <c r="D319" s="62"/>
      <c r="E319" s="62">
        <v>47500</v>
      </c>
      <c r="F319" s="63">
        <v>1</v>
      </c>
      <c r="G319" s="59" t="s">
        <v>74</v>
      </c>
      <c r="H319" s="59" t="s">
        <v>75</v>
      </c>
      <c r="I319" s="64" t="s">
        <v>60</v>
      </c>
      <c r="J319" s="59" t="s">
        <v>61</v>
      </c>
      <c r="K319" s="65" t="s">
        <v>5503</v>
      </c>
      <c r="L319" s="66" t="s">
        <v>305</v>
      </c>
      <c r="M319" s="67"/>
      <c r="N319" s="68"/>
      <c r="O319" s="69"/>
      <c r="P319" s="69"/>
      <c r="Q319" s="69"/>
      <c r="R319" s="69"/>
    </row>
    <row r="320" spans="1:18">
      <c r="A320" s="6">
        <v>46193</v>
      </c>
      <c r="B320" s="59" t="s">
        <v>80</v>
      </c>
      <c r="C320" s="60"/>
      <c r="D320" s="62"/>
      <c r="E320" s="62">
        <v>0</v>
      </c>
      <c r="F320" s="63">
        <v>1</v>
      </c>
      <c r="G320" s="59" t="s">
        <v>65</v>
      </c>
      <c r="H320" s="59" t="s">
        <v>66</v>
      </c>
      <c r="I320" s="64" t="s">
        <v>60</v>
      </c>
      <c r="J320" s="59" t="s">
        <v>61</v>
      </c>
      <c r="K320" s="65" t="s">
        <v>5503</v>
      </c>
      <c r="L320" s="66" t="s">
        <v>305</v>
      </c>
      <c r="M320" s="67"/>
      <c r="N320" s="68"/>
      <c r="O320" s="69"/>
      <c r="P320" s="69"/>
      <c r="Q320" s="69"/>
      <c r="R320" s="69"/>
    </row>
    <row r="321" spans="1:18">
      <c r="A321" s="6">
        <v>46193</v>
      </c>
      <c r="B321" s="59" t="s">
        <v>63</v>
      </c>
      <c r="C321" s="60"/>
      <c r="D321" s="62">
        <v>100</v>
      </c>
      <c r="E321" s="62"/>
      <c r="F321" s="63">
        <v>1</v>
      </c>
      <c r="G321" s="59" t="s">
        <v>22</v>
      </c>
      <c r="H321" s="59" t="s">
        <v>93</v>
      </c>
      <c r="I321" s="64" t="s">
        <v>60</v>
      </c>
      <c r="J321" s="59" t="s">
        <v>61</v>
      </c>
      <c r="K321" s="65"/>
      <c r="L321" s="66" t="s">
        <v>62</v>
      </c>
      <c r="M321" s="67"/>
      <c r="N321" s="68"/>
      <c r="O321" s="69"/>
      <c r="P321" s="69"/>
      <c r="Q321" s="69"/>
      <c r="R321" s="69"/>
    </row>
    <row r="322" spans="1:18">
      <c r="A322" s="6">
        <v>46193</v>
      </c>
      <c r="B322" s="59" t="s">
        <v>5506</v>
      </c>
      <c r="C322" s="60"/>
      <c r="D322" s="62"/>
      <c r="E322" s="62"/>
      <c r="F322" s="63">
        <v>1</v>
      </c>
      <c r="G322" s="59" t="s">
        <v>64</v>
      </c>
      <c r="H322" s="59"/>
      <c r="I322" s="64"/>
      <c r="J322" s="59"/>
      <c r="K322" s="65"/>
      <c r="L322" s="66" t="s">
        <v>89</v>
      </c>
      <c r="M322" s="67" t="s">
        <v>5507</v>
      </c>
      <c r="N322" s="68"/>
      <c r="O322" s="69"/>
      <c r="P322" s="69"/>
      <c r="Q322" s="69"/>
      <c r="R322" s="69"/>
    </row>
    <row r="323" spans="1:18">
      <c r="A323" s="6">
        <v>46193</v>
      </c>
      <c r="B323" s="59" t="s">
        <v>63</v>
      </c>
      <c r="C323" s="60"/>
      <c r="D323" s="62">
        <v>9500</v>
      </c>
      <c r="E323" s="62"/>
      <c r="F323" s="63">
        <v>1</v>
      </c>
      <c r="G323" s="59" t="s">
        <v>70</v>
      </c>
      <c r="H323" s="59"/>
      <c r="I323" s="64" t="s">
        <v>71</v>
      </c>
      <c r="J323" s="59" t="s">
        <v>72</v>
      </c>
      <c r="K323" s="65" t="s">
        <v>5516</v>
      </c>
      <c r="L323" s="66" t="s">
        <v>62</v>
      </c>
      <c r="M323" s="67" t="s">
        <v>90</v>
      </c>
      <c r="N323" s="68"/>
      <c r="O323" s="69"/>
      <c r="P323" s="69"/>
      <c r="Q323" s="69"/>
      <c r="R323" s="69"/>
    </row>
    <row r="324" spans="1:18">
      <c r="A324" s="6">
        <v>46193</v>
      </c>
      <c r="B324" s="59" t="s">
        <v>5508</v>
      </c>
      <c r="C324" s="60"/>
      <c r="D324" s="62"/>
      <c r="E324" s="62"/>
      <c r="F324" s="63">
        <v>1</v>
      </c>
      <c r="G324" s="59" t="s">
        <v>64</v>
      </c>
      <c r="H324" s="59"/>
      <c r="I324" s="64"/>
      <c r="J324" s="59"/>
      <c r="K324" s="65"/>
      <c r="L324" s="66" t="s">
        <v>89</v>
      </c>
      <c r="M324" s="67" t="s">
        <v>5509</v>
      </c>
      <c r="N324" s="68"/>
      <c r="O324" s="69"/>
      <c r="P324" s="69"/>
      <c r="Q324" s="69"/>
      <c r="R324" s="69"/>
    </row>
    <row r="325" spans="1:18">
      <c r="A325" s="6">
        <v>46193</v>
      </c>
      <c r="B325" s="59" t="s">
        <v>80</v>
      </c>
      <c r="C325" s="60"/>
      <c r="D325" s="62"/>
      <c r="E325" s="62">
        <v>57000</v>
      </c>
      <c r="F325" s="63">
        <v>1</v>
      </c>
      <c r="G325" s="59" t="s">
        <v>74</v>
      </c>
      <c r="H325" s="59" t="s">
        <v>75</v>
      </c>
      <c r="I325" s="64" t="s">
        <v>60</v>
      </c>
      <c r="J325" s="59" t="s">
        <v>61</v>
      </c>
      <c r="K325" s="65" t="s">
        <v>5517</v>
      </c>
      <c r="L325" s="66" t="s">
        <v>305</v>
      </c>
      <c r="M325" s="67"/>
      <c r="N325" s="68"/>
      <c r="O325" s="69"/>
      <c r="P325" s="69"/>
      <c r="Q325" s="69"/>
      <c r="R325" s="69"/>
    </row>
    <row r="326" spans="1:18">
      <c r="A326" s="6">
        <v>46193</v>
      </c>
      <c r="B326" s="59" t="s">
        <v>80</v>
      </c>
      <c r="C326" s="60"/>
      <c r="D326" s="62"/>
      <c r="E326" s="62">
        <v>0</v>
      </c>
      <c r="F326" s="63">
        <v>1</v>
      </c>
      <c r="G326" s="59" t="s">
        <v>65</v>
      </c>
      <c r="H326" s="59" t="s">
        <v>66</v>
      </c>
      <c r="I326" s="64" t="s">
        <v>60</v>
      </c>
      <c r="J326" s="59" t="s">
        <v>61</v>
      </c>
      <c r="K326" s="65" t="s">
        <v>5517</v>
      </c>
      <c r="L326" s="66" t="s">
        <v>305</v>
      </c>
      <c r="M326" s="67"/>
      <c r="N326" s="68"/>
      <c r="O326" s="69"/>
      <c r="P326" s="69"/>
      <c r="Q326" s="69"/>
      <c r="R326" s="69"/>
    </row>
    <row r="327" spans="1:18">
      <c r="A327" s="6">
        <v>46193</v>
      </c>
      <c r="B327" s="59" t="s">
        <v>1681</v>
      </c>
      <c r="C327" s="60"/>
      <c r="D327" s="62"/>
      <c r="E327" s="62"/>
      <c r="F327" s="63">
        <v>1</v>
      </c>
      <c r="G327" s="59" t="s">
        <v>64</v>
      </c>
      <c r="H327" s="59"/>
      <c r="I327" s="64"/>
      <c r="J327" s="59"/>
      <c r="K327" s="65"/>
      <c r="L327" s="66" t="s">
        <v>82</v>
      </c>
      <c r="M327" s="67" t="s">
        <v>756</v>
      </c>
      <c r="N327" s="68"/>
      <c r="O327" s="69"/>
      <c r="P327" s="69"/>
      <c r="Q327" s="69"/>
      <c r="R327" s="69"/>
    </row>
    <row r="328" spans="1:18">
      <c r="A328" s="6">
        <v>46193</v>
      </c>
      <c r="B328" s="59" t="s">
        <v>63</v>
      </c>
      <c r="C328" s="60"/>
      <c r="D328" s="62">
        <v>19000</v>
      </c>
      <c r="E328" s="62"/>
      <c r="F328" s="63">
        <v>1</v>
      </c>
      <c r="G328" s="59" t="s">
        <v>70</v>
      </c>
      <c r="H328" s="59"/>
      <c r="I328" s="64" t="s">
        <v>71</v>
      </c>
      <c r="J328" s="59" t="s">
        <v>72</v>
      </c>
      <c r="K328" s="65"/>
      <c r="L328" s="66" t="s">
        <v>82</v>
      </c>
      <c r="M328" s="67" t="s">
        <v>5139</v>
      </c>
      <c r="N328" s="68"/>
      <c r="O328" s="69"/>
      <c r="P328" s="69"/>
      <c r="Q328" s="69"/>
      <c r="R328" s="69"/>
    </row>
    <row r="329" spans="1:18">
      <c r="A329" s="6">
        <v>46193</v>
      </c>
      <c r="B329" s="59" t="s">
        <v>80</v>
      </c>
      <c r="C329" s="60"/>
      <c r="D329" s="62"/>
      <c r="E329" s="62">
        <v>28500</v>
      </c>
      <c r="F329" s="63">
        <v>1</v>
      </c>
      <c r="G329" s="59" t="s">
        <v>74</v>
      </c>
      <c r="H329" s="59" t="s">
        <v>75</v>
      </c>
      <c r="I329" s="64" t="s">
        <v>60</v>
      </c>
      <c r="J329" s="59" t="s">
        <v>61</v>
      </c>
      <c r="K329" s="65" t="s">
        <v>5518</v>
      </c>
      <c r="L329" s="66" t="s">
        <v>305</v>
      </c>
      <c r="M329" s="67"/>
      <c r="N329" s="68"/>
      <c r="O329" s="69"/>
      <c r="P329" s="69"/>
      <c r="Q329" s="69"/>
      <c r="R329" s="69"/>
    </row>
    <row r="330" spans="1:18">
      <c r="A330" s="6">
        <v>46193</v>
      </c>
      <c r="B330" s="59" t="s">
        <v>80</v>
      </c>
      <c r="C330" s="60"/>
      <c r="D330" s="62"/>
      <c r="E330" s="62">
        <v>0</v>
      </c>
      <c r="F330" s="63">
        <v>1</v>
      </c>
      <c r="G330" s="59" t="s">
        <v>65</v>
      </c>
      <c r="H330" s="59" t="s">
        <v>66</v>
      </c>
      <c r="I330" s="64" t="s">
        <v>60</v>
      </c>
      <c r="J330" s="59" t="s">
        <v>61</v>
      </c>
      <c r="K330" s="65" t="s">
        <v>5518</v>
      </c>
      <c r="L330" s="66" t="s">
        <v>305</v>
      </c>
      <c r="M330" s="67"/>
      <c r="N330" s="68"/>
      <c r="O330" s="69"/>
      <c r="P330" s="69"/>
      <c r="Q330" s="69"/>
      <c r="R330" s="69"/>
    </row>
    <row r="331" spans="1:18">
      <c r="A331" s="6">
        <v>46193</v>
      </c>
      <c r="B331" s="59" t="s">
        <v>5515</v>
      </c>
      <c r="C331" s="60"/>
      <c r="D331" s="62"/>
      <c r="E331" s="62"/>
      <c r="F331" s="63">
        <v>1</v>
      </c>
      <c r="G331" s="59" t="s">
        <v>79</v>
      </c>
      <c r="H331" s="59" t="s">
        <v>21</v>
      </c>
      <c r="I331" s="64"/>
      <c r="J331" s="59"/>
      <c r="K331" s="65"/>
      <c r="L331" s="66" t="s">
        <v>82</v>
      </c>
      <c r="M331" s="67"/>
      <c r="N331" s="68"/>
      <c r="O331" s="69"/>
      <c r="P331" s="69"/>
      <c r="Q331" s="69"/>
      <c r="R331" s="69"/>
    </row>
    <row r="332" spans="1:18">
      <c r="A332" s="6">
        <v>46193</v>
      </c>
      <c r="B332" s="59" t="s">
        <v>5519</v>
      </c>
      <c r="C332" s="60"/>
      <c r="D332" s="62">
        <v>500</v>
      </c>
      <c r="E332" s="62"/>
      <c r="F332" s="63">
        <v>1</v>
      </c>
      <c r="G332" s="59" t="s">
        <v>22</v>
      </c>
      <c r="H332" s="59" t="s">
        <v>21</v>
      </c>
      <c r="I332" s="64" t="s">
        <v>60</v>
      </c>
      <c r="J332" s="59" t="s">
        <v>61</v>
      </c>
      <c r="K332" s="65"/>
      <c r="L332" s="66" t="s">
        <v>82</v>
      </c>
      <c r="M332" s="67"/>
      <c r="N332" s="68"/>
      <c r="O332" s="69"/>
      <c r="P332" s="69"/>
      <c r="Q332" s="69"/>
      <c r="R332" s="69"/>
    </row>
    <row r="333" spans="1:18">
      <c r="A333" s="6">
        <v>46193</v>
      </c>
      <c r="B333" s="59" t="s">
        <v>5520</v>
      </c>
      <c r="C333" s="60"/>
      <c r="D333" s="62"/>
      <c r="E333" s="62"/>
      <c r="F333" s="63">
        <v>1</v>
      </c>
      <c r="G333" s="59" t="s">
        <v>99</v>
      </c>
      <c r="H333" s="59" t="s">
        <v>21</v>
      </c>
      <c r="I333" s="64"/>
      <c r="J333" s="59"/>
      <c r="K333" s="65"/>
      <c r="L333" s="66" t="s">
        <v>82</v>
      </c>
      <c r="M333" s="67"/>
      <c r="N333" s="68"/>
      <c r="O333" s="69"/>
      <c r="P333" s="69"/>
      <c r="Q333" s="69"/>
      <c r="R333" s="69"/>
    </row>
    <row r="334" spans="1:18">
      <c r="A334" s="6">
        <v>46193</v>
      </c>
      <c r="B334" s="59" t="s">
        <v>63</v>
      </c>
      <c r="C334" s="60"/>
      <c r="D334" s="62"/>
      <c r="E334" s="62">
        <v>2000</v>
      </c>
      <c r="F334" s="63">
        <v>1</v>
      </c>
      <c r="G334" s="59" t="s">
        <v>65</v>
      </c>
      <c r="H334" s="59" t="s">
        <v>66</v>
      </c>
      <c r="I334" s="64" t="s">
        <v>60</v>
      </c>
      <c r="J334" s="59" t="s">
        <v>61</v>
      </c>
      <c r="K334" s="65"/>
      <c r="L334" s="66" t="s">
        <v>62</v>
      </c>
      <c r="M334" s="67" t="s">
        <v>91</v>
      </c>
      <c r="N334" s="68"/>
      <c r="O334" s="69"/>
      <c r="P334" s="69"/>
      <c r="Q334" s="69"/>
      <c r="R334" s="69"/>
    </row>
    <row r="335" spans="1:18">
      <c r="A335" s="6">
        <v>46193</v>
      </c>
      <c r="B335" s="59" t="s">
        <v>63</v>
      </c>
      <c r="C335" s="60"/>
      <c r="D335" s="62"/>
      <c r="E335" s="62">
        <v>100</v>
      </c>
      <c r="F335" s="63">
        <v>1</v>
      </c>
      <c r="G335" s="59" t="s">
        <v>65</v>
      </c>
      <c r="H335" s="59" t="s">
        <v>66</v>
      </c>
      <c r="I335" s="64" t="s">
        <v>60</v>
      </c>
      <c r="J335" s="59" t="s">
        <v>61</v>
      </c>
      <c r="K335" s="65"/>
      <c r="L335" s="66" t="s">
        <v>62</v>
      </c>
      <c r="M335" s="67" t="s">
        <v>94</v>
      </c>
      <c r="N335" s="68"/>
      <c r="O335" s="69"/>
      <c r="P335" s="69"/>
      <c r="Q335" s="69"/>
      <c r="R335" s="69"/>
    </row>
    <row r="336" spans="1:18">
      <c r="A336" s="6">
        <v>46194</v>
      </c>
      <c r="B336" s="59" t="s">
        <v>1806</v>
      </c>
      <c r="C336" s="60"/>
      <c r="D336" s="62"/>
      <c r="E336" s="62"/>
      <c r="F336" s="63">
        <v>1</v>
      </c>
      <c r="G336" s="59" t="s">
        <v>64</v>
      </c>
      <c r="H336" s="59"/>
      <c r="I336" s="64"/>
      <c r="J336" s="59"/>
      <c r="K336" s="65"/>
      <c r="L336" s="66" t="s">
        <v>82</v>
      </c>
      <c r="M336" s="67" t="s">
        <v>5171</v>
      </c>
      <c r="N336" s="68"/>
      <c r="O336" s="69"/>
      <c r="P336" s="69"/>
      <c r="Q336" s="69"/>
      <c r="R336" s="69"/>
    </row>
    <row r="337" spans="1:18">
      <c r="A337" s="6">
        <v>46194</v>
      </c>
      <c r="B337" s="59"/>
      <c r="C337" s="60"/>
      <c r="D337" s="62"/>
      <c r="E337" s="62"/>
      <c r="F337" s="63"/>
      <c r="G337" s="59"/>
      <c r="H337" s="59"/>
      <c r="I337" s="64"/>
      <c r="J337" s="59"/>
      <c r="K337" s="65"/>
      <c r="L337" s="66"/>
      <c r="M337" s="67"/>
      <c r="N337" s="68"/>
      <c r="O337" s="69"/>
      <c r="P337" s="69"/>
      <c r="Q337" s="69"/>
      <c r="R337" s="69"/>
    </row>
    <row r="338" spans="1:18">
      <c r="A338" s="6">
        <v>46194</v>
      </c>
      <c r="B338" s="59"/>
      <c r="C338" s="60"/>
      <c r="D338" s="62"/>
      <c r="E338" s="62"/>
      <c r="F338" s="63"/>
      <c r="G338" s="59"/>
      <c r="H338" s="59"/>
      <c r="I338" s="64"/>
      <c r="J338" s="59"/>
      <c r="K338" s="65"/>
      <c r="L338" s="66"/>
      <c r="M338" s="67"/>
      <c r="N338" s="68"/>
      <c r="O338" s="69"/>
      <c r="P338" s="69"/>
      <c r="Q338" s="69"/>
      <c r="R338" s="69"/>
    </row>
    <row r="339" spans="1:18">
      <c r="A339" s="6">
        <v>46194</v>
      </c>
      <c r="B339" s="59"/>
      <c r="C339" s="60"/>
      <c r="D339" s="62"/>
      <c r="E339" s="62"/>
      <c r="F339" s="63"/>
      <c r="G339" s="59"/>
      <c r="H339" s="59"/>
      <c r="I339" s="64"/>
      <c r="J339" s="59"/>
      <c r="K339" s="65"/>
      <c r="L339" s="66"/>
      <c r="M339" s="67"/>
      <c r="N339" s="68"/>
      <c r="O339" s="69"/>
      <c r="P339" s="69"/>
      <c r="Q339" s="69"/>
      <c r="R339" s="69"/>
    </row>
    <row r="340" spans="1:18">
      <c r="A340" s="6">
        <v>46194</v>
      </c>
      <c r="B340" s="59"/>
      <c r="C340" s="60"/>
      <c r="D340" s="62"/>
      <c r="E340" s="62"/>
      <c r="F340" s="63"/>
      <c r="G340" s="59"/>
      <c r="H340" s="59"/>
      <c r="I340" s="64"/>
      <c r="J340" s="59"/>
      <c r="K340" s="65"/>
      <c r="L340" s="66"/>
      <c r="M340" s="67"/>
      <c r="N340" s="68"/>
      <c r="O340" s="69"/>
      <c r="P340" s="69"/>
      <c r="Q340" s="69"/>
      <c r="R340" s="69"/>
    </row>
    <row r="341" spans="1:18">
      <c r="A341" s="6">
        <v>46194</v>
      </c>
      <c r="B341" s="59"/>
      <c r="C341" s="60"/>
      <c r="D341" s="62"/>
      <c r="E341" s="62"/>
      <c r="F341" s="63"/>
      <c r="G341" s="59"/>
      <c r="H341" s="59"/>
      <c r="I341" s="64"/>
      <c r="J341" s="59"/>
      <c r="K341" s="65"/>
      <c r="L341" s="66"/>
      <c r="M341" s="67"/>
      <c r="N341" s="68"/>
      <c r="O341" s="69"/>
      <c r="P341" s="69"/>
      <c r="Q341" s="69"/>
      <c r="R341" s="69"/>
    </row>
    <row r="342" spans="1:18">
      <c r="A342" s="6">
        <v>46194</v>
      </c>
      <c r="B342" s="59"/>
      <c r="C342" s="60"/>
      <c r="D342" s="62"/>
      <c r="E342" s="62"/>
      <c r="F342" s="63"/>
      <c r="G342" s="59"/>
      <c r="H342" s="59"/>
      <c r="I342" s="64"/>
      <c r="J342" s="59"/>
      <c r="K342" s="65"/>
      <c r="L342" s="66"/>
      <c r="M342" s="67"/>
      <c r="N342" s="68"/>
      <c r="O342" s="69"/>
      <c r="P342" s="69"/>
      <c r="Q342" s="69"/>
      <c r="R342" s="69"/>
    </row>
    <row r="343" spans="1:18">
      <c r="A343" s="6">
        <v>46194</v>
      </c>
      <c r="B343" s="59"/>
      <c r="C343" s="60"/>
      <c r="D343" s="62"/>
      <c r="E343" s="62"/>
      <c r="F343" s="63"/>
      <c r="G343" s="59"/>
      <c r="H343" s="59"/>
      <c r="I343" s="64"/>
      <c r="J343" s="59"/>
      <c r="K343" s="65"/>
      <c r="L343" s="66"/>
      <c r="M343" s="67"/>
      <c r="N343" s="68"/>
      <c r="O343" s="69"/>
      <c r="P343" s="69"/>
      <c r="Q343" s="69"/>
      <c r="R343" s="69"/>
    </row>
    <row r="344" spans="1:18">
      <c r="A344" s="6">
        <v>46194</v>
      </c>
      <c r="B344" s="59"/>
      <c r="C344" s="60"/>
      <c r="D344" s="62"/>
      <c r="E344" s="62"/>
      <c r="F344" s="63"/>
      <c r="G344" s="59"/>
      <c r="H344" s="59"/>
      <c r="I344" s="64"/>
      <c r="J344" s="59"/>
      <c r="K344" s="65"/>
      <c r="L344" s="66"/>
      <c r="M344" s="67"/>
      <c r="N344" s="68"/>
      <c r="O344" s="69"/>
      <c r="P344" s="69"/>
      <c r="Q344" s="69"/>
      <c r="R344" s="69"/>
    </row>
    <row r="345" spans="1:18">
      <c r="A345" s="6">
        <v>46194</v>
      </c>
      <c r="B345" s="59"/>
      <c r="C345" s="60"/>
      <c r="D345" s="62"/>
      <c r="E345" s="62"/>
      <c r="F345" s="63"/>
      <c r="G345" s="59"/>
      <c r="H345" s="59"/>
      <c r="I345" s="64"/>
      <c r="J345" s="59"/>
      <c r="K345" s="65"/>
      <c r="L345" s="66"/>
      <c r="M345" s="67"/>
      <c r="N345" s="68"/>
      <c r="O345" s="69"/>
      <c r="P345" s="69"/>
      <c r="Q345" s="69"/>
      <c r="R345" s="69"/>
    </row>
    <row r="346" spans="1:18">
      <c r="A346" s="6">
        <v>46194</v>
      </c>
      <c r="B346" s="59"/>
      <c r="C346" s="60"/>
      <c r="D346" s="62"/>
      <c r="E346" s="62"/>
      <c r="F346" s="63"/>
      <c r="G346" s="59"/>
      <c r="H346" s="59"/>
      <c r="I346" s="64"/>
      <c r="J346" s="59"/>
      <c r="K346" s="65"/>
      <c r="L346" s="66"/>
      <c r="M346" s="67"/>
      <c r="N346" s="68"/>
      <c r="O346" s="69"/>
      <c r="P346" s="69"/>
      <c r="Q346" s="69"/>
      <c r="R346" s="69"/>
    </row>
    <row r="347" spans="1:18">
      <c r="A347" s="6">
        <v>46194</v>
      </c>
      <c r="B347" s="59"/>
      <c r="C347" s="60"/>
      <c r="D347" s="62"/>
      <c r="E347" s="62"/>
      <c r="F347" s="63"/>
      <c r="G347" s="59"/>
      <c r="H347" s="59"/>
      <c r="I347" s="64"/>
      <c r="J347" s="59"/>
      <c r="K347" s="65"/>
      <c r="L347" s="66"/>
      <c r="M347" s="67"/>
      <c r="N347" s="68"/>
      <c r="O347" s="69"/>
      <c r="P347" s="69"/>
      <c r="Q347" s="69"/>
      <c r="R347" s="69"/>
    </row>
    <row r="348" spans="1:18">
      <c r="A348" s="6">
        <v>46194</v>
      </c>
      <c r="B348" s="59"/>
      <c r="C348" s="60"/>
      <c r="D348" s="62"/>
      <c r="E348" s="62"/>
      <c r="F348" s="63"/>
      <c r="G348" s="59"/>
      <c r="H348" s="59"/>
      <c r="I348" s="64"/>
      <c r="J348" s="59"/>
      <c r="K348" s="65"/>
      <c r="L348" s="66"/>
      <c r="M348" s="67"/>
      <c r="N348" s="68"/>
      <c r="O348" s="69"/>
      <c r="P348" s="69"/>
      <c r="Q348" s="69"/>
      <c r="R348" s="69"/>
    </row>
    <row r="349" spans="1:18">
      <c r="A349" s="6">
        <v>46194</v>
      </c>
      <c r="B349" s="59"/>
      <c r="C349" s="60"/>
      <c r="D349" s="62"/>
      <c r="E349" s="62"/>
      <c r="F349" s="63"/>
      <c r="G349" s="59"/>
      <c r="H349" s="59"/>
      <c r="I349" s="64"/>
      <c r="J349" s="59"/>
      <c r="K349" s="65"/>
      <c r="L349" s="66"/>
      <c r="M349" s="67"/>
      <c r="N349" s="68"/>
      <c r="O349" s="69"/>
      <c r="P349" s="69"/>
      <c r="Q349" s="69"/>
      <c r="R349" s="69"/>
    </row>
    <row r="350" spans="1:18">
      <c r="A350" s="6">
        <v>46194</v>
      </c>
      <c r="B350" s="59"/>
      <c r="C350" s="60"/>
      <c r="D350" s="62"/>
      <c r="E350" s="62"/>
      <c r="F350" s="63"/>
      <c r="G350" s="59"/>
      <c r="H350" s="59"/>
      <c r="I350" s="64"/>
      <c r="J350" s="59"/>
      <c r="K350" s="65"/>
      <c r="L350" s="66"/>
      <c r="M350" s="67"/>
      <c r="N350" s="68"/>
      <c r="O350" s="69"/>
      <c r="P350" s="69"/>
      <c r="Q350" s="69"/>
      <c r="R350" s="69"/>
    </row>
    <row r="351" spans="1:18">
      <c r="A351" s="6">
        <v>46194</v>
      </c>
      <c r="B351" s="59"/>
      <c r="C351" s="60"/>
      <c r="D351" s="62"/>
      <c r="E351" s="62"/>
      <c r="F351" s="63"/>
      <c r="G351" s="59"/>
      <c r="H351" s="59"/>
      <c r="I351" s="64"/>
      <c r="J351" s="59"/>
      <c r="K351" s="65"/>
      <c r="L351" s="66"/>
      <c r="M351" s="67"/>
      <c r="N351" s="68"/>
      <c r="O351" s="69"/>
      <c r="P351" s="69"/>
      <c r="Q351" s="69"/>
      <c r="R351" s="69"/>
    </row>
    <row r="352" spans="1:18">
      <c r="A352" s="6">
        <v>46194</v>
      </c>
      <c r="B352" s="59"/>
      <c r="C352" s="60"/>
      <c r="D352" s="62"/>
      <c r="E352" s="62"/>
      <c r="F352" s="63"/>
      <c r="G352" s="59"/>
      <c r="H352" s="59"/>
      <c r="I352" s="64"/>
      <c r="J352" s="59"/>
      <c r="K352" s="65"/>
      <c r="L352" s="66"/>
      <c r="M352" s="67"/>
      <c r="N352" s="68"/>
      <c r="O352" s="69"/>
      <c r="P352" s="69"/>
      <c r="Q352" s="69"/>
      <c r="R352" s="69"/>
    </row>
    <row r="353" spans="1:18">
      <c r="A353" s="6">
        <v>46194</v>
      </c>
      <c r="B353" s="59"/>
      <c r="C353" s="60"/>
      <c r="D353" s="62"/>
      <c r="E353" s="62"/>
      <c r="F353" s="63"/>
      <c r="G353" s="59"/>
      <c r="H353" s="59"/>
      <c r="I353" s="64"/>
      <c r="J353" s="59"/>
      <c r="K353" s="65"/>
      <c r="L353" s="66"/>
      <c r="M353" s="67"/>
      <c r="N353" s="68"/>
      <c r="O353" s="69"/>
      <c r="P353" s="69"/>
      <c r="Q353" s="69"/>
      <c r="R353" s="69"/>
    </row>
    <row r="354" spans="1:18">
      <c r="A354" s="6">
        <v>46194</v>
      </c>
      <c r="B354" s="59"/>
      <c r="C354" s="60"/>
      <c r="D354" s="62"/>
      <c r="E354" s="62"/>
      <c r="F354" s="63"/>
      <c r="G354" s="59"/>
      <c r="H354" s="59"/>
      <c r="I354" s="64"/>
      <c r="J354" s="59"/>
      <c r="K354" s="65"/>
      <c r="L354" s="66"/>
      <c r="M354" s="67"/>
      <c r="N354" s="68"/>
      <c r="O354" s="69"/>
      <c r="P354" s="69"/>
      <c r="Q354" s="69"/>
      <c r="R354" s="69"/>
    </row>
    <row r="355" spans="1:18">
      <c r="A355" s="6">
        <v>46194</v>
      </c>
      <c r="B355" s="59"/>
      <c r="C355" s="60"/>
      <c r="D355" s="62"/>
      <c r="E355" s="62"/>
      <c r="F355" s="63"/>
      <c r="G355" s="59"/>
      <c r="H355" s="59"/>
      <c r="I355" s="64"/>
      <c r="J355" s="59"/>
      <c r="K355" s="65"/>
      <c r="L355" s="66"/>
      <c r="M355" s="67"/>
      <c r="N355" s="68"/>
      <c r="O355" s="69"/>
      <c r="P355" s="69"/>
      <c r="Q355" s="69"/>
      <c r="R355" s="69"/>
    </row>
    <row r="356" spans="1:18">
      <c r="A356" s="6">
        <v>46194</v>
      </c>
      <c r="B356" s="59"/>
      <c r="C356" s="60"/>
      <c r="D356" s="62"/>
      <c r="E356" s="62"/>
      <c r="F356" s="63"/>
      <c r="G356" s="59"/>
      <c r="H356" s="59"/>
      <c r="I356" s="64"/>
      <c r="J356" s="59"/>
      <c r="K356" s="65"/>
      <c r="L356" s="66"/>
      <c r="M356" s="67"/>
      <c r="N356" s="68"/>
      <c r="O356" s="69"/>
      <c r="P356" s="69"/>
      <c r="Q356" s="69"/>
      <c r="R356" s="69"/>
    </row>
    <row r="357" spans="1:18">
      <c r="A357" s="6">
        <v>46194</v>
      </c>
      <c r="B357" s="59" t="s">
        <v>63</v>
      </c>
      <c r="C357" s="60"/>
      <c r="D357" s="62"/>
      <c r="E357" s="62">
        <v>2000</v>
      </c>
      <c r="F357" s="63">
        <v>1</v>
      </c>
      <c r="G357" s="59" t="s">
        <v>65</v>
      </c>
      <c r="H357" s="59" t="s">
        <v>66</v>
      </c>
      <c r="I357" s="64" t="s">
        <v>60</v>
      </c>
      <c r="J357" s="59" t="s">
        <v>61</v>
      </c>
      <c r="K357" s="65"/>
      <c r="L357" s="66" t="s">
        <v>62</v>
      </c>
      <c r="M357" s="67" t="s">
        <v>91</v>
      </c>
      <c r="N357" s="68"/>
      <c r="O357" s="69"/>
      <c r="P357" s="69"/>
      <c r="Q357" s="69"/>
      <c r="R357" s="69"/>
    </row>
    <row r="358" spans="1:18">
      <c r="A358" s="6"/>
      <c r="B358" s="59"/>
      <c r="C358" s="60"/>
      <c r="D358" s="62"/>
      <c r="E358" s="62"/>
      <c r="F358" s="63"/>
      <c r="G358" s="59"/>
      <c r="H358" s="59"/>
      <c r="I358" s="64"/>
      <c r="J358" s="59"/>
      <c r="K358" s="65"/>
      <c r="L358" s="66"/>
      <c r="M358" s="67"/>
      <c r="N358" s="68"/>
      <c r="O358" s="69"/>
      <c r="P358" s="69"/>
      <c r="Q358" s="69"/>
      <c r="R358" s="69"/>
    </row>
    <row r="359" spans="1:18">
      <c r="A359" s="6"/>
      <c r="B359" s="59"/>
      <c r="C359" s="60"/>
      <c r="D359" s="62"/>
      <c r="E359" s="62"/>
      <c r="F359" s="63"/>
      <c r="G359" s="59"/>
      <c r="H359" s="59"/>
      <c r="I359" s="64"/>
      <c r="J359" s="59"/>
      <c r="K359" s="65"/>
      <c r="L359" s="66"/>
      <c r="M359" s="67"/>
      <c r="N359" s="68"/>
      <c r="O359" s="69"/>
      <c r="P359" s="69"/>
      <c r="Q359" s="69"/>
      <c r="R359" s="69"/>
    </row>
    <row r="360" spans="1:18">
      <c r="A360" s="6"/>
      <c r="B360" s="59"/>
      <c r="C360" s="60"/>
      <c r="D360" s="62"/>
      <c r="E360" s="62"/>
      <c r="F360" s="63"/>
      <c r="G360" s="59"/>
      <c r="H360" s="59"/>
      <c r="I360" s="64"/>
      <c r="J360" s="59"/>
      <c r="K360" s="65"/>
      <c r="L360" s="66"/>
      <c r="M360" s="66"/>
      <c r="N360" s="68"/>
      <c r="O360" s="69"/>
      <c r="P360" s="69"/>
      <c r="Q360" s="69"/>
      <c r="R360" s="69"/>
    </row>
    <row r="361" spans="1:18">
      <c r="A361" s="6"/>
      <c r="B361" s="59"/>
      <c r="C361" s="60"/>
      <c r="D361" s="62"/>
      <c r="E361" s="62"/>
      <c r="F361" s="63"/>
      <c r="G361" s="59"/>
      <c r="H361" s="59"/>
      <c r="I361" s="64"/>
      <c r="J361" s="59"/>
      <c r="K361" s="65"/>
      <c r="L361" s="66"/>
      <c r="M361" s="67"/>
      <c r="N361" s="68"/>
      <c r="O361" s="69"/>
      <c r="P361" s="69"/>
      <c r="Q361" s="69"/>
      <c r="R361" s="69"/>
    </row>
    <row r="362" spans="1:18">
      <c r="A362" s="6"/>
      <c r="B362" s="59"/>
      <c r="C362" s="60"/>
      <c r="D362" s="62"/>
      <c r="E362" s="62"/>
      <c r="F362" s="63"/>
      <c r="G362" s="59"/>
      <c r="H362" s="59"/>
      <c r="I362" s="64"/>
      <c r="J362" s="59"/>
      <c r="K362" s="65"/>
      <c r="L362" s="66"/>
      <c r="M362" s="67"/>
      <c r="N362" s="68"/>
      <c r="O362" s="69"/>
      <c r="P362" s="69"/>
      <c r="Q362" s="69"/>
      <c r="R362" s="69"/>
    </row>
    <row r="363" spans="1:18">
      <c r="A363" s="6"/>
      <c r="B363" s="59"/>
      <c r="C363" s="60"/>
      <c r="D363" s="62"/>
      <c r="E363" s="62"/>
      <c r="F363" s="63"/>
      <c r="G363" s="59"/>
      <c r="H363" s="59"/>
      <c r="I363" s="64"/>
      <c r="J363" s="59"/>
      <c r="K363" s="65"/>
      <c r="L363" s="66"/>
      <c r="M363" s="67"/>
      <c r="N363" s="68"/>
      <c r="O363" s="69"/>
      <c r="P363" s="69"/>
      <c r="Q363" s="69"/>
      <c r="R363" s="69"/>
    </row>
    <row r="364" spans="1:18">
      <c r="A364" s="6"/>
      <c r="B364" s="59"/>
      <c r="C364" s="60"/>
      <c r="D364" s="62"/>
      <c r="E364" s="62"/>
      <c r="F364" s="63"/>
      <c r="G364" s="59"/>
      <c r="H364" s="59"/>
      <c r="I364" s="64"/>
      <c r="J364" s="59"/>
      <c r="K364" s="65"/>
      <c r="L364" s="66"/>
      <c r="M364" s="67"/>
      <c r="N364" s="68"/>
      <c r="O364" s="69"/>
      <c r="P364" s="69"/>
      <c r="Q364" s="69"/>
      <c r="R364" s="69"/>
    </row>
    <row r="365" spans="1:18">
      <c r="A365" s="6"/>
      <c r="B365" s="59"/>
      <c r="C365" s="60"/>
      <c r="D365" s="62"/>
      <c r="E365" s="62"/>
      <c r="F365" s="63"/>
      <c r="G365" s="59"/>
      <c r="H365" s="59"/>
      <c r="I365" s="64"/>
      <c r="J365" s="59"/>
      <c r="K365" s="65"/>
      <c r="L365" s="66"/>
      <c r="M365" s="67"/>
      <c r="N365" s="68"/>
      <c r="O365" s="69"/>
      <c r="P365" s="69"/>
      <c r="Q365" s="69"/>
      <c r="R365" s="69"/>
    </row>
    <row r="366" spans="1:18">
      <c r="A366" s="6"/>
      <c r="B366" s="59"/>
      <c r="C366" s="60"/>
      <c r="D366" s="62"/>
      <c r="E366" s="62"/>
      <c r="F366" s="63"/>
      <c r="G366" s="59"/>
      <c r="H366" s="59"/>
      <c r="I366" s="64"/>
      <c r="J366" s="59"/>
      <c r="K366" s="65"/>
      <c r="L366" s="66"/>
      <c r="M366" s="67"/>
      <c r="N366" s="68"/>
      <c r="O366" s="69"/>
      <c r="P366" s="69"/>
      <c r="Q366" s="69"/>
      <c r="R366" s="69"/>
    </row>
    <row r="367" spans="1:18">
      <c r="A367" s="6"/>
      <c r="B367" s="59"/>
      <c r="C367" s="60"/>
      <c r="D367" s="62"/>
      <c r="E367" s="62"/>
      <c r="F367" s="63"/>
      <c r="G367" s="59"/>
      <c r="H367" s="59"/>
      <c r="I367" s="64"/>
      <c r="J367" s="59"/>
      <c r="K367" s="65"/>
      <c r="L367" s="66"/>
      <c r="M367" s="67"/>
      <c r="N367" s="68"/>
      <c r="O367" s="69"/>
      <c r="P367" s="69"/>
      <c r="Q367" s="69"/>
      <c r="R367" s="69"/>
    </row>
    <row r="368" spans="1:18">
      <c r="A368" s="6"/>
      <c r="B368" s="59"/>
      <c r="C368" s="60"/>
      <c r="D368" s="62"/>
      <c r="E368" s="62"/>
      <c r="F368" s="63"/>
      <c r="G368" s="59"/>
      <c r="H368" s="59"/>
      <c r="I368" s="64"/>
      <c r="J368" s="59"/>
      <c r="K368" s="65"/>
      <c r="L368" s="66"/>
      <c r="M368" s="67"/>
      <c r="N368" s="68"/>
      <c r="O368" s="69"/>
      <c r="P368" s="69"/>
      <c r="Q368" s="69"/>
      <c r="R368" s="69"/>
    </row>
    <row r="369" spans="1:18">
      <c r="A369" s="6"/>
      <c r="B369" s="59"/>
      <c r="C369" s="60"/>
      <c r="D369" s="62"/>
      <c r="E369" s="62"/>
      <c r="F369" s="63"/>
      <c r="G369" s="59"/>
      <c r="H369" s="59"/>
      <c r="I369" s="64"/>
      <c r="J369" s="59"/>
      <c r="K369" s="65"/>
      <c r="L369" s="66"/>
      <c r="M369" s="67"/>
      <c r="N369" s="68"/>
      <c r="O369" s="69"/>
      <c r="P369" s="69"/>
      <c r="Q369" s="69"/>
      <c r="R369" s="69"/>
    </row>
    <row r="370" spans="1:18">
      <c r="A370" s="6"/>
      <c r="B370" s="59"/>
      <c r="C370" s="60"/>
      <c r="D370" s="62"/>
      <c r="E370" s="62"/>
      <c r="F370" s="63"/>
      <c r="G370" s="59"/>
      <c r="H370" s="59"/>
      <c r="I370" s="64"/>
      <c r="J370" s="59"/>
      <c r="K370" s="65"/>
      <c r="L370" s="66"/>
      <c r="M370" s="67"/>
      <c r="N370" s="68"/>
      <c r="O370" s="69"/>
      <c r="P370" s="69"/>
      <c r="Q370" s="69"/>
      <c r="R370" s="69"/>
    </row>
    <row r="371" spans="1:18">
      <c r="A371" s="6"/>
      <c r="B371" s="59"/>
      <c r="C371" s="60"/>
      <c r="D371" s="62"/>
      <c r="E371" s="62"/>
      <c r="F371" s="63"/>
      <c r="G371" s="59"/>
      <c r="H371" s="59"/>
      <c r="I371" s="64"/>
      <c r="J371" s="59"/>
      <c r="K371" s="65"/>
      <c r="L371" s="66"/>
      <c r="M371" s="67"/>
      <c r="N371" s="68"/>
      <c r="O371" s="69"/>
      <c r="P371" s="69"/>
      <c r="Q371" s="69"/>
      <c r="R371" s="69"/>
    </row>
    <row r="372" spans="1:18">
      <c r="A372" s="6"/>
      <c r="B372" s="59"/>
      <c r="C372" s="60"/>
      <c r="D372" s="62"/>
      <c r="E372" s="62"/>
      <c r="F372" s="63"/>
      <c r="G372" s="59"/>
      <c r="H372" s="59"/>
      <c r="I372" s="64"/>
      <c r="J372" s="59"/>
      <c r="K372" s="65"/>
      <c r="L372" s="66"/>
      <c r="M372" s="67"/>
      <c r="N372" s="68"/>
      <c r="O372" s="69"/>
      <c r="P372" s="69"/>
      <c r="Q372" s="69"/>
      <c r="R372" s="69"/>
    </row>
    <row r="373" spans="1:18">
      <c r="A373" s="6"/>
      <c r="B373" s="59"/>
      <c r="C373" s="60"/>
      <c r="D373" s="62"/>
      <c r="E373" s="62"/>
      <c r="F373" s="63"/>
      <c r="G373" s="59"/>
      <c r="H373" s="59"/>
      <c r="I373" s="64"/>
      <c r="J373" s="59"/>
      <c r="K373" s="65"/>
      <c r="L373" s="66"/>
      <c r="M373" s="67"/>
      <c r="N373" s="68"/>
      <c r="O373" s="69"/>
      <c r="P373" s="69"/>
      <c r="Q373" s="69"/>
      <c r="R373" s="69"/>
    </row>
    <row r="374" spans="1:18">
      <c r="A374" s="6"/>
      <c r="B374" s="59"/>
      <c r="C374" s="60"/>
      <c r="D374" s="62"/>
      <c r="E374" s="62"/>
      <c r="F374" s="63"/>
      <c r="G374" s="59"/>
      <c r="H374" s="59"/>
      <c r="I374" s="64"/>
      <c r="J374" s="59"/>
      <c r="K374" s="65"/>
      <c r="L374" s="66"/>
      <c r="M374" s="67"/>
      <c r="N374" s="68"/>
      <c r="O374" s="69"/>
      <c r="P374" s="69"/>
      <c r="Q374" s="69"/>
      <c r="R374" s="69"/>
    </row>
    <row r="375" spans="1:18">
      <c r="A375" s="6"/>
      <c r="B375" s="59"/>
      <c r="C375" s="60"/>
      <c r="D375" s="62"/>
      <c r="E375" s="62"/>
      <c r="F375" s="63"/>
      <c r="G375" s="59"/>
      <c r="H375" s="59"/>
      <c r="I375" s="64"/>
      <c r="J375" s="59"/>
      <c r="K375" s="65"/>
      <c r="L375" s="66"/>
      <c r="M375" s="67"/>
      <c r="N375" s="68"/>
      <c r="O375" s="69"/>
      <c r="P375" s="69"/>
      <c r="Q375" s="69"/>
      <c r="R375" s="69"/>
    </row>
    <row r="376" spans="1:18">
      <c r="A376" s="6"/>
      <c r="B376" s="59"/>
      <c r="C376" s="60"/>
      <c r="D376" s="62"/>
      <c r="E376" s="62"/>
      <c r="F376" s="63"/>
      <c r="G376" s="59"/>
      <c r="H376" s="59"/>
      <c r="I376" s="64"/>
      <c r="J376" s="59"/>
      <c r="K376" s="65"/>
      <c r="L376" s="66"/>
      <c r="M376" s="67"/>
      <c r="N376" s="68"/>
      <c r="O376" s="69"/>
      <c r="P376" s="69"/>
      <c r="Q376" s="69"/>
      <c r="R376" s="69"/>
    </row>
    <row r="377" spans="1:18">
      <c r="A377" s="6"/>
      <c r="B377" s="59"/>
      <c r="C377" s="60"/>
      <c r="D377" s="62"/>
      <c r="E377" s="62"/>
      <c r="F377" s="63"/>
      <c r="G377" s="59"/>
      <c r="H377" s="59"/>
      <c r="I377" s="64"/>
      <c r="J377" s="59"/>
      <c r="K377" s="65"/>
      <c r="L377" s="66"/>
      <c r="M377" s="67"/>
      <c r="N377" s="68"/>
      <c r="O377" s="69"/>
      <c r="P377" s="69"/>
      <c r="Q377" s="69"/>
      <c r="R377" s="69"/>
    </row>
    <row r="378" spans="1:18">
      <c r="A378" s="6"/>
      <c r="B378" s="59"/>
      <c r="C378" s="60"/>
      <c r="D378" s="62"/>
      <c r="E378" s="62"/>
      <c r="F378" s="63"/>
      <c r="G378" s="59"/>
      <c r="H378" s="59"/>
      <c r="I378" s="64"/>
      <c r="J378" s="59"/>
      <c r="K378" s="65"/>
      <c r="L378" s="66"/>
      <c r="M378" s="67"/>
      <c r="N378" s="68"/>
      <c r="O378" s="69"/>
      <c r="P378" s="69"/>
      <c r="Q378" s="69"/>
      <c r="R378" s="69"/>
    </row>
    <row r="379" spans="1:18">
      <c r="A379" s="6"/>
      <c r="B379" s="59"/>
      <c r="C379" s="60"/>
      <c r="D379" s="62"/>
      <c r="E379" s="62"/>
      <c r="F379" s="63"/>
      <c r="G379" s="59"/>
      <c r="H379" s="59"/>
      <c r="I379" s="64"/>
      <c r="J379" s="59"/>
      <c r="K379" s="65"/>
      <c r="L379" s="66"/>
      <c r="M379" s="67"/>
      <c r="N379" s="68"/>
      <c r="O379" s="69"/>
      <c r="P379" s="69"/>
      <c r="Q379" s="69"/>
      <c r="R379" s="69"/>
    </row>
    <row r="380" spans="1:18">
      <c r="A380" s="6"/>
      <c r="B380" s="59"/>
      <c r="C380" s="60"/>
      <c r="D380" s="62"/>
      <c r="E380" s="62"/>
      <c r="F380" s="63"/>
      <c r="G380" s="59"/>
      <c r="H380" s="59"/>
      <c r="I380" s="64"/>
      <c r="J380" s="59"/>
      <c r="K380" s="65"/>
      <c r="L380" s="66"/>
      <c r="M380" s="67"/>
      <c r="N380" s="68"/>
      <c r="O380" s="69"/>
      <c r="P380" s="69"/>
      <c r="Q380" s="69"/>
      <c r="R380" s="69"/>
    </row>
    <row r="381" spans="1:18">
      <c r="A381" s="6"/>
      <c r="B381" s="59"/>
      <c r="C381" s="60"/>
      <c r="D381" s="62"/>
      <c r="E381" s="62"/>
      <c r="F381" s="63"/>
      <c r="G381" s="59"/>
      <c r="H381" s="59"/>
      <c r="I381" s="64"/>
      <c r="J381" s="59"/>
      <c r="K381" s="65"/>
      <c r="L381" s="66"/>
      <c r="M381" s="67"/>
      <c r="N381" s="68"/>
      <c r="O381" s="69"/>
      <c r="P381" s="69"/>
      <c r="Q381" s="69"/>
      <c r="R381" s="69"/>
    </row>
    <row r="382" spans="1:18">
      <c r="A382" s="6"/>
      <c r="B382" s="59"/>
      <c r="C382" s="60"/>
      <c r="D382" s="62"/>
      <c r="E382" s="62"/>
      <c r="F382" s="63"/>
      <c r="G382" s="59"/>
      <c r="H382" s="59"/>
      <c r="I382" s="64"/>
      <c r="J382" s="59"/>
      <c r="K382" s="65"/>
      <c r="L382" s="66"/>
      <c r="M382" s="67"/>
      <c r="N382" s="68"/>
      <c r="O382" s="69"/>
      <c r="P382" s="69"/>
      <c r="Q382" s="69"/>
      <c r="R382" s="69"/>
    </row>
    <row r="383" spans="1:18">
      <c r="A383" s="6"/>
      <c r="B383" s="59"/>
      <c r="C383" s="60"/>
      <c r="D383" s="62"/>
      <c r="E383" s="62"/>
      <c r="F383" s="63"/>
      <c r="G383" s="59"/>
      <c r="H383" s="59"/>
      <c r="I383" s="64"/>
      <c r="J383" s="59"/>
      <c r="K383" s="65"/>
      <c r="L383" s="66"/>
      <c r="M383" s="67"/>
      <c r="N383" s="68"/>
      <c r="O383" s="69"/>
      <c r="P383" s="69"/>
      <c r="Q383" s="69"/>
      <c r="R383" s="69"/>
    </row>
    <row r="384" spans="1:18">
      <c r="A384" s="6"/>
      <c r="B384" s="59"/>
      <c r="C384" s="60"/>
      <c r="D384" s="62"/>
      <c r="E384" s="62"/>
      <c r="F384" s="63"/>
      <c r="G384" s="59"/>
      <c r="H384" s="59"/>
      <c r="I384" s="64"/>
      <c r="J384" s="59"/>
      <c r="K384" s="65"/>
      <c r="L384" s="66"/>
      <c r="M384" s="67"/>
      <c r="N384" s="68"/>
      <c r="O384" s="69"/>
      <c r="P384" s="69"/>
      <c r="Q384" s="69"/>
      <c r="R384" s="69"/>
    </row>
    <row r="385" spans="1:18">
      <c r="A385" s="6"/>
      <c r="B385" s="59"/>
      <c r="C385" s="60"/>
      <c r="D385" s="62"/>
      <c r="E385" s="62"/>
      <c r="F385" s="63"/>
      <c r="G385" s="59"/>
      <c r="H385" s="59"/>
      <c r="I385" s="64"/>
      <c r="J385" s="59"/>
      <c r="K385" s="65"/>
      <c r="L385" s="66"/>
      <c r="M385" s="67"/>
      <c r="N385" s="68"/>
      <c r="O385" s="69"/>
      <c r="P385" s="69"/>
      <c r="Q385" s="69"/>
      <c r="R385" s="69"/>
    </row>
    <row r="386" spans="1:18">
      <c r="A386" s="6"/>
      <c r="B386" s="59"/>
      <c r="C386" s="60"/>
      <c r="D386" s="62"/>
      <c r="E386" s="62"/>
      <c r="F386" s="63"/>
      <c r="G386" s="59"/>
      <c r="H386" s="59"/>
      <c r="I386" s="64"/>
      <c r="J386" s="59"/>
      <c r="K386" s="65"/>
      <c r="L386" s="66"/>
      <c r="M386" s="67"/>
      <c r="N386" s="68"/>
      <c r="O386" s="69"/>
      <c r="P386" s="69"/>
      <c r="Q386" s="69"/>
      <c r="R386" s="69"/>
    </row>
    <row r="387" spans="1:18">
      <c r="A387" s="6"/>
      <c r="B387" s="59"/>
      <c r="C387" s="60"/>
      <c r="D387" s="62"/>
      <c r="E387" s="62"/>
      <c r="F387" s="63"/>
      <c r="G387" s="59"/>
      <c r="H387" s="59"/>
      <c r="I387" s="64"/>
      <c r="J387" s="59"/>
      <c r="K387" s="65"/>
      <c r="L387" s="66"/>
      <c r="M387" s="67"/>
      <c r="N387" s="68"/>
      <c r="O387" s="69"/>
      <c r="P387" s="69"/>
      <c r="Q387" s="69"/>
      <c r="R387" s="69"/>
    </row>
    <row r="388" spans="1:18">
      <c r="A388" s="6"/>
      <c r="B388" s="59"/>
      <c r="C388" s="60"/>
      <c r="D388" s="62"/>
      <c r="E388" s="62"/>
      <c r="F388" s="63"/>
      <c r="G388" s="59"/>
      <c r="H388" s="59"/>
      <c r="I388" s="64"/>
      <c r="J388" s="59"/>
      <c r="K388" s="65"/>
      <c r="L388" s="66"/>
      <c r="M388" s="67"/>
      <c r="N388" s="68"/>
      <c r="O388" s="69"/>
      <c r="P388" s="69"/>
      <c r="Q388" s="69"/>
      <c r="R388" s="69"/>
    </row>
    <row r="389" spans="1:18">
      <c r="A389" s="6"/>
      <c r="B389" s="59"/>
      <c r="C389" s="60"/>
      <c r="D389" s="62"/>
      <c r="E389" s="62"/>
      <c r="F389" s="63"/>
      <c r="G389" s="59"/>
      <c r="H389" s="59"/>
      <c r="I389" s="64"/>
      <c r="J389" s="59"/>
      <c r="K389" s="65"/>
      <c r="L389" s="66"/>
      <c r="M389" s="67"/>
      <c r="N389" s="68"/>
      <c r="O389" s="69"/>
      <c r="P389" s="69"/>
      <c r="Q389" s="69"/>
      <c r="R389" s="69"/>
    </row>
    <row r="390" spans="1:18">
      <c r="A390" s="6"/>
      <c r="B390" s="59"/>
      <c r="C390" s="60"/>
      <c r="D390" s="62"/>
      <c r="E390" s="62"/>
      <c r="F390" s="63"/>
      <c r="G390" s="59"/>
      <c r="H390" s="59"/>
      <c r="I390" s="64"/>
      <c r="J390" s="59"/>
      <c r="K390" s="65"/>
      <c r="L390" s="66"/>
      <c r="M390" s="67"/>
      <c r="N390" s="68"/>
      <c r="O390" s="69"/>
      <c r="P390" s="69"/>
      <c r="Q390" s="69"/>
      <c r="R390" s="69"/>
    </row>
    <row r="391" spans="1:18">
      <c r="A391" s="6"/>
      <c r="B391" s="59"/>
      <c r="C391" s="60"/>
      <c r="D391" s="62"/>
      <c r="E391" s="62"/>
      <c r="F391" s="63"/>
      <c r="G391" s="59"/>
      <c r="H391" s="59"/>
      <c r="I391" s="64"/>
      <c r="J391" s="59"/>
      <c r="K391" s="65"/>
      <c r="L391" s="66"/>
      <c r="M391" s="67"/>
      <c r="N391" s="68"/>
      <c r="O391" s="69"/>
      <c r="P391" s="69"/>
      <c r="Q391" s="69"/>
      <c r="R391" s="69"/>
    </row>
    <row r="392" spans="1:18">
      <c r="A392" s="6"/>
      <c r="B392" s="59"/>
      <c r="C392" s="60"/>
      <c r="D392" s="62"/>
      <c r="E392" s="62"/>
      <c r="F392" s="63"/>
      <c r="G392" s="59"/>
      <c r="H392" s="59"/>
      <c r="I392" s="64"/>
      <c r="J392" s="59"/>
      <c r="K392" s="65"/>
      <c r="L392" s="66"/>
      <c r="M392" s="67"/>
      <c r="N392" s="68"/>
      <c r="O392" s="69"/>
      <c r="P392" s="69"/>
      <c r="Q392" s="69"/>
      <c r="R392" s="69"/>
    </row>
    <row r="393" spans="1:18">
      <c r="A393" s="6"/>
      <c r="B393" s="59"/>
      <c r="C393" s="60"/>
      <c r="D393" s="62"/>
      <c r="E393" s="62"/>
      <c r="F393" s="63"/>
      <c r="G393" s="59"/>
      <c r="H393" s="59"/>
      <c r="I393" s="64"/>
      <c r="J393" s="59"/>
      <c r="K393" s="65"/>
      <c r="L393" s="66"/>
      <c r="M393" s="67"/>
      <c r="N393" s="68"/>
      <c r="O393" s="69"/>
      <c r="P393" s="69"/>
      <c r="Q393" s="69"/>
      <c r="R393" s="69"/>
    </row>
    <row r="394" spans="1:18">
      <c r="A394" s="6"/>
      <c r="B394" s="59"/>
      <c r="C394" s="60"/>
      <c r="D394" s="62"/>
      <c r="E394" s="62"/>
      <c r="F394" s="63"/>
      <c r="G394" s="59"/>
      <c r="H394" s="59"/>
      <c r="I394" s="64"/>
      <c r="J394" s="59"/>
      <c r="K394" s="65"/>
      <c r="L394" s="66"/>
      <c r="M394" s="67"/>
      <c r="N394" s="68"/>
      <c r="O394" s="69"/>
      <c r="P394" s="69"/>
      <c r="Q394" s="69"/>
      <c r="R394" s="69"/>
    </row>
    <row r="395" spans="1:18">
      <c r="A395" s="6"/>
      <c r="B395" s="59"/>
      <c r="C395" s="60"/>
      <c r="D395" s="62"/>
      <c r="E395" s="62"/>
      <c r="F395" s="63"/>
      <c r="G395" s="59"/>
      <c r="H395" s="59"/>
      <c r="I395" s="64"/>
      <c r="J395" s="59"/>
      <c r="K395" s="65"/>
      <c r="L395" s="66"/>
      <c r="M395" s="67"/>
      <c r="N395" s="68"/>
      <c r="O395" s="69"/>
      <c r="P395" s="69"/>
      <c r="Q395" s="69"/>
      <c r="R395" s="69"/>
    </row>
    <row r="396" spans="1:18">
      <c r="A396" s="6"/>
      <c r="B396" s="59"/>
      <c r="C396" s="60"/>
      <c r="D396" s="62"/>
      <c r="E396" s="62"/>
      <c r="F396" s="63"/>
      <c r="G396" s="59"/>
      <c r="H396" s="59"/>
      <c r="I396" s="64"/>
      <c r="J396" s="59"/>
      <c r="K396" s="65"/>
      <c r="L396" s="66"/>
      <c r="M396" s="67"/>
      <c r="N396" s="68"/>
      <c r="O396" s="69"/>
      <c r="P396" s="69"/>
      <c r="Q396" s="69"/>
      <c r="R396" s="69"/>
    </row>
    <row r="397" spans="1:18">
      <c r="A397" s="6"/>
      <c r="B397" s="59"/>
      <c r="C397" s="60"/>
      <c r="D397" s="62"/>
      <c r="E397" s="62"/>
      <c r="F397" s="63"/>
      <c r="G397" s="59"/>
      <c r="H397" s="59"/>
      <c r="I397" s="64"/>
      <c r="J397" s="59"/>
      <c r="K397" s="65"/>
      <c r="L397" s="66"/>
      <c r="M397" s="67"/>
      <c r="N397" s="68"/>
      <c r="O397" s="69"/>
      <c r="P397" s="69"/>
      <c r="Q397" s="69"/>
      <c r="R397" s="69"/>
    </row>
    <row r="398" spans="1:18">
      <c r="A398" s="6"/>
      <c r="B398" s="59"/>
      <c r="C398" s="60"/>
      <c r="D398" s="62"/>
      <c r="E398" s="62"/>
      <c r="F398" s="63"/>
      <c r="G398" s="59"/>
      <c r="H398" s="59"/>
      <c r="I398" s="64"/>
      <c r="J398" s="59"/>
      <c r="K398" s="65"/>
      <c r="L398" s="66"/>
      <c r="M398" s="67"/>
      <c r="N398" s="68"/>
      <c r="O398" s="69"/>
      <c r="P398" s="69"/>
      <c r="Q398" s="69"/>
      <c r="R398" s="69"/>
    </row>
    <row r="399" spans="1:18">
      <c r="A399" s="6"/>
      <c r="B399" s="59"/>
      <c r="C399" s="60"/>
      <c r="D399" s="62"/>
      <c r="E399" s="62"/>
      <c r="F399" s="63"/>
      <c r="G399" s="59"/>
      <c r="H399" s="59"/>
      <c r="I399" s="64"/>
      <c r="J399" s="59"/>
      <c r="K399" s="65"/>
      <c r="L399" s="66"/>
      <c r="M399" s="67"/>
      <c r="N399" s="68"/>
      <c r="O399" s="69"/>
      <c r="P399" s="69"/>
      <c r="Q399" s="69"/>
      <c r="R399" s="69"/>
    </row>
    <row r="400" spans="1:18">
      <c r="A400" s="6"/>
      <c r="B400" s="59"/>
      <c r="C400" s="60"/>
      <c r="D400" s="62"/>
      <c r="E400" s="62"/>
      <c r="F400" s="63"/>
      <c r="G400" s="59"/>
      <c r="H400" s="59"/>
      <c r="I400" s="64"/>
      <c r="J400" s="59"/>
      <c r="K400" s="65"/>
      <c r="L400" s="66"/>
      <c r="M400" s="67"/>
      <c r="N400" s="68"/>
      <c r="O400" s="69"/>
      <c r="P400" s="69"/>
      <c r="Q400" s="69"/>
      <c r="R400" s="69"/>
    </row>
    <row r="401" spans="1:18">
      <c r="A401" s="6"/>
      <c r="B401" s="59"/>
      <c r="C401" s="60"/>
      <c r="D401" s="62"/>
      <c r="E401" s="62"/>
      <c r="F401" s="63"/>
      <c r="G401" s="59"/>
      <c r="H401" s="59"/>
      <c r="I401" s="64"/>
      <c r="J401" s="59"/>
      <c r="K401" s="65"/>
      <c r="L401" s="66"/>
      <c r="M401" s="67"/>
      <c r="N401" s="68"/>
      <c r="O401" s="69"/>
      <c r="P401" s="69"/>
      <c r="Q401" s="69"/>
      <c r="R401" s="69"/>
    </row>
    <row r="402" spans="1:18">
      <c r="A402" s="6"/>
      <c r="B402" s="59"/>
      <c r="C402" s="60"/>
      <c r="D402" s="62"/>
      <c r="E402" s="62"/>
      <c r="F402" s="63"/>
      <c r="G402" s="59"/>
      <c r="H402" s="59"/>
      <c r="I402" s="64"/>
      <c r="J402" s="59"/>
      <c r="K402" s="65"/>
      <c r="L402" s="66"/>
      <c r="M402" s="67"/>
      <c r="N402" s="68"/>
      <c r="O402" s="69"/>
      <c r="P402" s="69"/>
      <c r="Q402" s="69"/>
      <c r="R402" s="69"/>
    </row>
    <row r="403" spans="1:18">
      <c r="A403" s="6"/>
      <c r="B403" s="59"/>
      <c r="C403" s="60"/>
      <c r="D403" s="62"/>
      <c r="E403" s="62"/>
      <c r="F403" s="63"/>
      <c r="G403" s="59"/>
      <c r="H403" s="59"/>
      <c r="I403" s="64"/>
      <c r="J403" s="59"/>
      <c r="K403" s="65"/>
      <c r="L403" s="66"/>
      <c r="M403" s="67"/>
      <c r="N403" s="68"/>
      <c r="O403" s="69"/>
      <c r="P403" s="69"/>
      <c r="Q403" s="69"/>
      <c r="R403" s="69"/>
    </row>
    <row r="404" spans="1:18">
      <c r="A404" s="6"/>
      <c r="B404" s="59"/>
      <c r="C404" s="60"/>
      <c r="D404" s="62"/>
      <c r="E404" s="62"/>
      <c r="F404" s="63"/>
      <c r="G404" s="59"/>
      <c r="H404" s="59"/>
      <c r="I404" s="64"/>
      <c r="J404" s="59"/>
      <c r="K404" s="65"/>
      <c r="L404" s="66"/>
      <c r="M404" s="67"/>
      <c r="N404" s="68"/>
      <c r="O404" s="69"/>
      <c r="P404" s="69"/>
      <c r="Q404" s="69"/>
      <c r="R404" s="69"/>
    </row>
    <row r="405" spans="1:18">
      <c r="A405" s="6"/>
      <c r="B405" s="59"/>
      <c r="C405" s="60"/>
      <c r="D405" s="62"/>
      <c r="E405" s="62"/>
      <c r="F405" s="63"/>
      <c r="G405" s="59"/>
      <c r="H405" s="59"/>
      <c r="I405" s="64"/>
      <c r="J405" s="59"/>
      <c r="K405" s="65"/>
      <c r="L405" s="66"/>
      <c r="M405" s="67"/>
      <c r="N405" s="68"/>
      <c r="O405" s="69"/>
      <c r="P405" s="69"/>
      <c r="Q405" s="69"/>
      <c r="R405" s="69"/>
    </row>
    <row r="406" spans="1:18">
      <c r="A406" s="6"/>
      <c r="B406" s="59"/>
      <c r="C406" s="60"/>
      <c r="D406" s="62"/>
      <c r="E406" s="62"/>
      <c r="F406" s="63"/>
      <c r="G406" s="59"/>
      <c r="H406" s="59"/>
      <c r="I406" s="64"/>
      <c r="J406" s="59"/>
      <c r="K406" s="65"/>
      <c r="L406" s="66"/>
      <c r="M406" s="67"/>
      <c r="N406" s="68"/>
      <c r="O406" s="69"/>
      <c r="P406" s="69"/>
      <c r="Q406" s="69"/>
      <c r="R406" s="69"/>
    </row>
    <row r="407" spans="1:18">
      <c r="A407" s="6"/>
      <c r="B407" s="59"/>
      <c r="C407" s="60"/>
      <c r="D407" s="62"/>
      <c r="E407" s="62"/>
      <c r="F407" s="63"/>
      <c r="G407" s="59"/>
      <c r="H407" s="59"/>
      <c r="I407" s="64"/>
      <c r="J407" s="59"/>
      <c r="K407" s="65"/>
      <c r="L407" s="66"/>
      <c r="M407" s="67"/>
      <c r="N407" s="68"/>
      <c r="O407" s="69"/>
      <c r="P407" s="69"/>
      <c r="Q407" s="69"/>
      <c r="R407" s="69"/>
    </row>
    <row r="408" spans="1:18">
      <c r="A408" s="6"/>
      <c r="B408" s="59"/>
      <c r="C408" s="60"/>
      <c r="D408" s="62"/>
      <c r="E408" s="62"/>
      <c r="F408" s="63"/>
      <c r="G408" s="59"/>
      <c r="H408" s="59"/>
      <c r="I408" s="64"/>
      <c r="J408" s="59"/>
      <c r="K408" s="65"/>
      <c r="L408" s="66"/>
      <c r="M408" s="67"/>
      <c r="N408" s="68"/>
      <c r="O408" s="69"/>
      <c r="P408" s="69"/>
      <c r="Q408" s="69"/>
      <c r="R408" s="69"/>
    </row>
    <row r="409" spans="1:18">
      <c r="A409" s="6"/>
      <c r="B409" s="59"/>
      <c r="C409" s="60"/>
      <c r="D409" s="62"/>
      <c r="E409" s="62"/>
      <c r="F409" s="63"/>
      <c r="G409" s="59"/>
      <c r="H409" s="59"/>
      <c r="I409" s="64"/>
      <c r="J409" s="59"/>
      <c r="K409" s="65"/>
      <c r="L409" s="66"/>
      <c r="M409" s="67"/>
      <c r="N409" s="68"/>
      <c r="O409" s="69"/>
      <c r="P409" s="69"/>
      <c r="Q409" s="69"/>
      <c r="R409" s="69"/>
    </row>
    <row r="410" spans="1:18">
      <c r="A410" s="6"/>
      <c r="B410" s="59"/>
      <c r="C410" s="60"/>
      <c r="D410" s="62"/>
      <c r="E410" s="62"/>
      <c r="F410" s="63"/>
      <c r="G410" s="59"/>
      <c r="H410" s="59"/>
      <c r="I410" s="64"/>
      <c r="J410" s="59"/>
      <c r="K410" s="65"/>
      <c r="L410" s="66"/>
      <c r="M410" s="67"/>
      <c r="N410" s="68"/>
      <c r="O410" s="69"/>
      <c r="P410" s="69"/>
      <c r="Q410" s="69"/>
      <c r="R410" s="69"/>
    </row>
    <row r="411" spans="1:18">
      <c r="A411" s="6"/>
      <c r="B411" s="59"/>
      <c r="C411" s="60"/>
      <c r="D411" s="62"/>
      <c r="E411" s="62"/>
      <c r="F411" s="63"/>
      <c r="G411" s="59"/>
      <c r="H411" s="59"/>
      <c r="I411" s="64"/>
      <c r="J411" s="59"/>
      <c r="K411" s="65"/>
      <c r="L411" s="66"/>
      <c r="M411" s="67"/>
      <c r="N411" s="68"/>
      <c r="O411" s="69"/>
      <c r="P411" s="69"/>
      <c r="Q411" s="69"/>
      <c r="R411" s="69"/>
    </row>
    <row r="412" spans="1:18">
      <c r="A412" s="6"/>
      <c r="B412" s="59"/>
      <c r="C412" s="60"/>
      <c r="D412" s="62"/>
      <c r="E412" s="62"/>
      <c r="F412" s="63"/>
      <c r="G412" s="59"/>
      <c r="H412" s="59"/>
      <c r="I412" s="64"/>
      <c r="J412" s="59"/>
      <c r="K412" s="65"/>
      <c r="L412" s="66"/>
      <c r="M412" s="67"/>
      <c r="N412" s="68"/>
      <c r="O412" s="69"/>
      <c r="P412" s="69"/>
      <c r="Q412" s="69"/>
      <c r="R412" s="69"/>
    </row>
    <row r="413" spans="1:18">
      <c r="A413" s="6"/>
      <c r="B413" s="59"/>
      <c r="C413" s="60"/>
      <c r="D413" s="62"/>
      <c r="E413" s="62"/>
      <c r="F413" s="63"/>
      <c r="G413" s="59"/>
      <c r="H413" s="59"/>
      <c r="I413" s="64"/>
      <c r="J413" s="59"/>
      <c r="K413" s="65"/>
      <c r="L413" s="66"/>
      <c r="M413" s="67"/>
      <c r="N413" s="68"/>
      <c r="O413" s="69"/>
      <c r="P413" s="69"/>
      <c r="Q413" s="69"/>
      <c r="R413" s="69"/>
    </row>
    <row r="414" spans="1:18">
      <c r="A414" s="6"/>
      <c r="B414" s="59"/>
      <c r="C414" s="60"/>
      <c r="D414" s="62"/>
      <c r="E414" s="62"/>
      <c r="F414" s="63"/>
      <c r="G414" s="59"/>
      <c r="H414" s="59"/>
      <c r="I414" s="64"/>
      <c r="J414" s="59"/>
      <c r="K414" s="65"/>
      <c r="L414" s="66"/>
      <c r="M414" s="67"/>
      <c r="N414" s="68"/>
      <c r="O414" s="69"/>
      <c r="P414" s="69"/>
      <c r="Q414" s="69"/>
      <c r="R414" s="69"/>
    </row>
    <row r="415" spans="1:18">
      <c r="A415" s="6"/>
      <c r="B415" s="59"/>
      <c r="C415" s="60"/>
      <c r="D415" s="62"/>
      <c r="E415" s="62"/>
      <c r="F415" s="63"/>
      <c r="G415" s="59"/>
      <c r="H415" s="59"/>
      <c r="I415" s="64"/>
      <c r="J415" s="59"/>
      <c r="K415" s="65"/>
      <c r="L415" s="66"/>
      <c r="M415" s="67"/>
      <c r="N415" s="68"/>
      <c r="O415" s="69"/>
      <c r="P415" s="69"/>
      <c r="Q415" s="69"/>
      <c r="R415" s="69"/>
    </row>
    <row r="416" spans="1:18">
      <c r="A416" s="6"/>
      <c r="B416" s="59"/>
      <c r="C416" s="60"/>
      <c r="D416" s="62"/>
      <c r="E416" s="62"/>
      <c r="F416" s="63"/>
      <c r="G416" s="59"/>
      <c r="H416" s="59"/>
      <c r="I416" s="64"/>
      <c r="J416" s="59"/>
      <c r="K416" s="65"/>
      <c r="L416" s="66"/>
      <c r="M416" s="67"/>
      <c r="N416" s="68"/>
      <c r="O416" s="69"/>
      <c r="P416" s="69"/>
      <c r="Q416" s="69"/>
      <c r="R416" s="69"/>
    </row>
    <row r="417" spans="1:18">
      <c r="A417" s="6"/>
      <c r="B417" s="59"/>
      <c r="C417" s="60"/>
      <c r="D417" s="62"/>
      <c r="E417" s="62"/>
      <c r="F417" s="63"/>
      <c r="G417" s="59"/>
      <c r="H417" s="59"/>
      <c r="I417" s="64"/>
      <c r="J417" s="59"/>
      <c r="K417" s="65"/>
      <c r="L417" s="66"/>
      <c r="M417" s="67"/>
      <c r="N417" s="68"/>
      <c r="O417" s="69"/>
      <c r="P417" s="69"/>
      <c r="Q417" s="69"/>
      <c r="R417" s="69"/>
    </row>
    <row r="418" spans="1:18">
      <c r="A418" s="6"/>
      <c r="B418" s="59"/>
      <c r="C418" s="60"/>
      <c r="D418" s="62"/>
      <c r="E418" s="62"/>
      <c r="F418" s="63"/>
      <c r="G418" s="59"/>
      <c r="H418" s="59"/>
      <c r="I418" s="64"/>
      <c r="J418" s="59"/>
      <c r="K418" s="65"/>
      <c r="L418" s="66"/>
      <c r="M418" s="67"/>
      <c r="N418" s="68"/>
      <c r="O418" s="69"/>
      <c r="P418" s="69"/>
      <c r="Q418" s="69"/>
      <c r="R418" s="69"/>
    </row>
    <row r="419" spans="1:18">
      <c r="A419" s="6"/>
      <c r="B419" s="59"/>
      <c r="C419" s="60"/>
      <c r="D419" s="62"/>
      <c r="E419" s="62"/>
      <c r="F419" s="63"/>
      <c r="G419" s="59"/>
      <c r="H419" s="59"/>
      <c r="I419" s="64"/>
      <c r="J419" s="59"/>
      <c r="K419" s="65"/>
      <c r="L419" s="66"/>
      <c r="M419" s="67"/>
      <c r="N419" s="68"/>
      <c r="O419" s="69"/>
      <c r="P419" s="69"/>
      <c r="Q419" s="69"/>
      <c r="R419" s="69"/>
    </row>
    <row r="420" spans="1:18">
      <c r="A420" s="6"/>
      <c r="B420" s="59"/>
      <c r="C420" s="60"/>
      <c r="D420" s="62"/>
      <c r="E420" s="62"/>
      <c r="F420" s="63"/>
      <c r="G420" s="59"/>
      <c r="H420" s="59"/>
      <c r="I420" s="64"/>
      <c r="J420" s="59"/>
      <c r="K420" s="65"/>
      <c r="L420" s="66"/>
      <c r="M420" s="67"/>
      <c r="N420" s="68"/>
      <c r="O420" s="69"/>
      <c r="P420" s="69"/>
      <c r="Q420" s="69"/>
      <c r="R420" s="69"/>
    </row>
    <row r="421" spans="1:18">
      <c r="A421" s="6"/>
      <c r="B421" s="59"/>
      <c r="C421" s="60"/>
      <c r="D421" s="62"/>
      <c r="E421" s="62"/>
      <c r="F421" s="63"/>
      <c r="G421" s="59"/>
      <c r="H421" s="59"/>
      <c r="I421" s="64"/>
      <c r="J421" s="59"/>
      <c r="K421" s="65"/>
      <c r="L421" s="66"/>
      <c r="M421" s="67"/>
      <c r="N421" s="68"/>
      <c r="O421" s="69"/>
      <c r="P421" s="69"/>
      <c r="Q421" s="69"/>
      <c r="R421" s="69"/>
    </row>
    <row r="422" spans="1:18">
      <c r="A422" s="6"/>
      <c r="B422" s="59"/>
      <c r="C422" s="60"/>
      <c r="D422" s="62"/>
      <c r="E422" s="62"/>
      <c r="F422" s="63"/>
      <c r="G422" s="59"/>
      <c r="H422" s="59"/>
      <c r="I422" s="64"/>
      <c r="J422" s="59"/>
      <c r="K422" s="65"/>
      <c r="L422" s="66"/>
      <c r="M422" s="67"/>
      <c r="N422" s="68"/>
      <c r="O422" s="69"/>
      <c r="P422" s="69"/>
      <c r="Q422" s="69"/>
      <c r="R422" s="69"/>
    </row>
    <row r="423" spans="1:18">
      <c r="A423" s="6"/>
      <c r="B423" s="59"/>
      <c r="C423" s="60"/>
      <c r="D423" s="62"/>
      <c r="E423" s="62"/>
      <c r="F423" s="63"/>
      <c r="G423" s="59"/>
      <c r="H423" s="59"/>
      <c r="I423" s="64"/>
      <c r="J423" s="59"/>
      <c r="K423" s="65"/>
      <c r="L423" s="66"/>
      <c r="M423" s="67"/>
      <c r="N423" s="68"/>
      <c r="O423" s="69"/>
      <c r="P423" s="69"/>
      <c r="Q423" s="69"/>
      <c r="R423" s="69"/>
    </row>
    <row r="424" spans="1:18">
      <c r="A424" s="6"/>
      <c r="B424" s="59"/>
      <c r="C424" s="60"/>
      <c r="D424" s="62"/>
      <c r="E424" s="62"/>
      <c r="F424" s="63"/>
      <c r="G424" s="59"/>
      <c r="H424" s="59"/>
      <c r="I424" s="64"/>
      <c r="J424" s="59"/>
      <c r="K424" s="65"/>
      <c r="L424" s="66"/>
      <c r="M424" s="67"/>
      <c r="N424" s="68"/>
      <c r="O424" s="69"/>
      <c r="P424" s="69"/>
      <c r="Q424" s="69"/>
      <c r="R424" s="69"/>
    </row>
    <row r="425" spans="1:18">
      <c r="A425" s="6"/>
      <c r="B425" s="59"/>
      <c r="C425" s="60"/>
      <c r="D425" s="62"/>
      <c r="E425" s="62"/>
      <c r="F425" s="63"/>
      <c r="G425" s="59"/>
      <c r="H425" s="59"/>
      <c r="I425" s="64"/>
      <c r="J425" s="59"/>
      <c r="K425" s="65"/>
      <c r="L425" s="66"/>
      <c r="M425" s="67"/>
      <c r="N425" s="68"/>
      <c r="O425" s="69"/>
      <c r="P425" s="69"/>
      <c r="Q425" s="69"/>
      <c r="R425" s="69"/>
    </row>
    <row r="426" spans="1:18">
      <c r="A426" s="6"/>
      <c r="B426" s="59"/>
      <c r="C426" s="60"/>
      <c r="D426" s="62"/>
      <c r="E426" s="62"/>
      <c r="F426" s="63"/>
      <c r="G426" s="59"/>
      <c r="H426" s="59"/>
      <c r="I426" s="64"/>
      <c r="J426" s="59"/>
      <c r="K426" s="65"/>
      <c r="L426" s="66"/>
      <c r="M426" s="67"/>
      <c r="N426" s="68"/>
      <c r="O426" s="69"/>
      <c r="P426" s="69"/>
      <c r="Q426" s="69"/>
      <c r="R426" s="69"/>
    </row>
    <row r="427" spans="1:18">
      <c r="A427" s="6"/>
      <c r="B427" s="59"/>
      <c r="C427" s="60"/>
      <c r="D427" s="62"/>
      <c r="E427" s="62"/>
      <c r="F427" s="63"/>
      <c r="G427" s="59"/>
      <c r="H427" s="59"/>
      <c r="I427" s="64"/>
      <c r="J427" s="59"/>
      <c r="K427" s="65"/>
      <c r="L427" s="66"/>
      <c r="M427" s="67"/>
      <c r="N427" s="68"/>
      <c r="O427" s="69"/>
      <c r="P427" s="69"/>
      <c r="Q427" s="69"/>
      <c r="R427" s="69"/>
    </row>
    <row r="428" spans="1:18">
      <c r="A428" s="6"/>
      <c r="B428" s="59"/>
      <c r="C428" s="60"/>
      <c r="D428" s="62"/>
      <c r="E428" s="62"/>
      <c r="F428" s="63"/>
      <c r="G428" s="59"/>
      <c r="H428" s="59"/>
      <c r="I428" s="64"/>
      <c r="J428" s="59"/>
      <c r="K428" s="65"/>
      <c r="L428" s="66"/>
      <c r="M428" s="67"/>
      <c r="N428" s="68"/>
      <c r="O428" s="69"/>
      <c r="P428" s="69"/>
      <c r="Q428" s="69"/>
      <c r="R428" s="69"/>
    </row>
    <row r="429" spans="1:18">
      <c r="A429" s="6"/>
      <c r="B429" s="59"/>
      <c r="C429" s="60"/>
      <c r="D429" s="62"/>
      <c r="E429" s="62"/>
      <c r="F429" s="63"/>
      <c r="G429" s="59"/>
      <c r="H429" s="59"/>
      <c r="I429" s="64"/>
      <c r="J429" s="59"/>
      <c r="K429" s="65"/>
      <c r="L429" s="66"/>
      <c r="M429" s="67"/>
      <c r="N429" s="68"/>
      <c r="O429" s="69"/>
      <c r="P429" s="69"/>
      <c r="Q429" s="69"/>
      <c r="R429" s="69"/>
    </row>
    <row r="430" spans="1:18">
      <c r="A430" s="6"/>
      <c r="B430" s="59"/>
      <c r="C430" s="60"/>
      <c r="D430" s="62"/>
      <c r="E430" s="62"/>
      <c r="F430" s="63"/>
      <c r="G430" s="59"/>
      <c r="H430" s="59"/>
      <c r="I430" s="64"/>
      <c r="J430" s="59"/>
      <c r="K430" s="65"/>
      <c r="L430" s="66"/>
      <c r="M430" s="67"/>
      <c r="N430" s="68"/>
      <c r="O430" s="69"/>
      <c r="P430" s="69"/>
      <c r="Q430" s="69"/>
      <c r="R430" s="69"/>
    </row>
    <row r="431" spans="1:18">
      <c r="A431" s="6"/>
      <c r="B431" s="59"/>
      <c r="C431" s="60"/>
      <c r="D431" s="62"/>
      <c r="E431" s="62"/>
      <c r="F431" s="63"/>
      <c r="G431" s="59"/>
      <c r="H431" s="59"/>
      <c r="I431" s="64"/>
      <c r="J431" s="59"/>
      <c r="K431" s="65"/>
      <c r="L431" s="66"/>
      <c r="M431" s="67"/>
      <c r="N431" s="68"/>
      <c r="O431" s="69"/>
      <c r="P431" s="69"/>
      <c r="Q431" s="69"/>
      <c r="R431" s="69"/>
    </row>
    <row r="432" spans="1:18">
      <c r="A432" s="6"/>
      <c r="B432" s="59"/>
      <c r="C432" s="60"/>
      <c r="D432" s="62"/>
      <c r="E432" s="62"/>
      <c r="F432" s="63"/>
      <c r="G432" s="59"/>
      <c r="H432" s="59"/>
      <c r="I432" s="64"/>
      <c r="J432" s="59"/>
      <c r="K432" s="65"/>
      <c r="L432" s="66"/>
      <c r="M432" s="67"/>
      <c r="N432" s="68"/>
      <c r="O432" s="69"/>
      <c r="P432" s="69"/>
      <c r="Q432" s="69"/>
      <c r="R432" s="69"/>
    </row>
    <row r="433" spans="1:18">
      <c r="A433" s="6"/>
      <c r="B433" s="59"/>
      <c r="C433" s="60"/>
      <c r="D433" s="62"/>
      <c r="E433" s="62"/>
      <c r="F433" s="63"/>
      <c r="G433" s="59"/>
      <c r="H433" s="59"/>
      <c r="I433" s="64"/>
      <c r="J433" s="59"/>
      <c r="K433" s="65"/>
      <c r="L433" s="66"/>
      <c r="M433" s="67"/>
      <c r="N433" s="68"/>
      <c r="O433" s="69"/>
      <c r="P433" s="69"/>
      <c r="Q433" s="69"/>
      <c r="R433" s="69"/>
    </row>
    <row r="434" spans="1:18">
      <c r="A434" s="6"/>
      <c r="B434" s="59"/>
      <c r="C434" s="60"/>
      <c r="D434" s="62"/>
      <c r="E434" s="62"/>
      <c r="F434" s="63"/>
      <c r="G434" s="59"/>
      <c r="H434" s="59"/>
      <c r="I434" s="64"/>
      <c r="J434" s="59"/>
      <c r="K434" s="65"/>
      <c r="L434" s="66"/>
      <c r="M434" s="67"/>
      <c r="N434" s="68"/>
      <c r="O434" s="69"/>
      <c r="P434" s="69"/>
      <c r="Q434" s="69"/>
      <c r="R434" s="69"/>
    </row>
    <row r="435" spans="1:18">
      <c r="A435" s="6"/>
      <c r="B435" s="59"/>
      <c r="C435" s="60"/>
      <c r="D435" s="62"/>
      <c r="E435" s="62"/>
      <c r="F435" s="63"/>
      <c r="G435" s="59"/>
      <c r="H435" s="59"/>
      <c r="I435" s="64"/>
      <c r="J435" s="59"/>
      <c r="K435" s="65"/>
      <c r="L435" s="66"/>
      <c r="M435" s="67"/>
      <c r="N435" s="68"/>
      <c r="O435" s="69"/>
      <c r="P435" s="69"/>
      <c r="Q435" s="69"/>
      <c r="R435" s="69"/>
    </row>
    <row r="436" spans="1:18">
      <c r="A436" s="6"/>
      <c r="B436" s="59"/>
      <c r="C436" s="60"/>
      <c r="D436" s="62"/>
      <c r="E436" s="62"/>
      <c r="F436" s="63"/>
      <c r="G436" s="59"/>
      <c r="H436" s="59"/>
      <c r="I436" s="64"/>
      <c r="J436" s="59"/>
      <c r="K436" s="65"/>
      <c r="L436" s="66"/>
      <c r="M436" s="67"/>
      <c r="N436" s="68"/>
      <c r="O436" s="69"/>
      <c r="P436" s="69"/>
      <c r="Q436" s="69"/>
      <c r="R436" s="69"/>
    </row>
    <row r="437" spans="1:18">
      <c r="A437" s="6"/>
      <c r="B437" s="59"/>
      <c r="C437" s="60"/>
      <c r="D437" s="62"/>
      <c r="E437" s="62"/>
      <c r="F437" s="63"/>
      <c r="G437" s="59"/>
      <c r="H437" s="59"/>
      <c r="I437" s="64"/>
      <c r="J437" s="59"/>
      <c r="K437" s="65"/>
      <c r="L437" s="66"/>
      <c r="M437" s="67"/>
      <c r="N437" s="68"/>
      <c r="O437" s="69"/>
      <c r="P437" s="69"/>
      <c r="Q437" s="69"/>
      <c r="R437" s="69"/>
    </row>
    <row r="438" spans="1:18">
      <c r="A438" s="6"/>
      <c r="B438" s="59"/>
      <c r="C438" s="60"/>
      <c r="D438" s="62"/>
      <c r="E438" s="62"/>
      <c r="F438" s="63"/>
      <c r="G438" s="59"/>
      <c r="H438" s="59"/>
      <c r="I438" s="64"/>
      <c r="J438" s="59"/>
      <c r="K438" s="65"/>
      <c r="L438" s="66"/>
      <c r="M438" s="67"/>
      <c r="N438" s="68"/>
      <c r="O438" s="69"/>
      <c r="P438" s="69"/>
      <c r="Q438" s="69"/>
      <c r="R438" s="69"/>
    </row>
    <row r="439" spans="1:18">
      <c r="A439" s="6"/>
      <c r="B439" s="59"/>
      <c r="C439" s="60"/>
      <c r="D439" s="62"/>
      <c r="E439" s="62"/>
      <c r="F439" s="63"/>
      <c r="G439" s="59"/>
      <c r="H439" s="59"/>
      <c r="I439" s="64"/>
      <c r="J439" s="59"/>
      <c r="K439" s="65"/>
      <c r="L439" s="66"/>
      <c r="M439" s="67"/>
      <c r="N439" s="68"/>
      <c r="O439" s="69"/>
      <c r="P439" s="69"/>
      <c r="Q439" s="69"/>
      <c r="R439" s="69"/>
    </row>
    <row r="440" spans="1:18">
      <c r="A440" s="6"/>
      <c r="B440" s="59"/>
      <c r="C440" s="60"/>
      <c r="D440" s="62"/>
      <c r="E440" s="62"/>
      <c r="F440" s="63"/>
      <c r="G440" s="59"/>
      <c r="H440" s="59"/>
      <c r="I440" s="64"/>
      <c r="J440" s="59"/>
      <c r="K440" s="65"/>
      <c r="L440" s="66"/>
      <c r="M440" s="67"/>
      <c r="N440" s="68"/>
      <c r="O440" s="69"/>
      <c r="P440" s="69"/>
      <c r="Q440" s="69"/>
      <c r="R440" s="69"/>
    </row>
    <row r="441" spans="1:18">
      <c r="A441" s="6"/>
      <c r="B441" s="59"/>
      <c r="C441" s="60"/>
      <c r="D441" s="62"/>
      <c r="E441" s="62"/>
      <c r="F441" s="63"/>
      <c r="G441" s="59"/>
      <c r="H441" s="59"/>
      <c r="I441" s="64"/>
      <c r="J441" s="59"/>
      <c r="K441" s="65"/>
      <c r="L441" s="66"/>
      <c r="M441" s="67"/>
      <c r="N441" s="68"/>
      <c r="O441" s="69"/>
      <c r="P441" s="69"/>
      <c r="Q441" s="69"/>
      <c r="R441" s="69"/>
    </row>
    <row r="442" spans="1:18">
      <c r="A442" s="6"/>
      <c r="B442" s="59"/>
      <c r="C442" s="60"/>
      <c r="D442" s="62"/>
      <c r="E442" s="62"/>
      <c r="F442" s="63"/>
      <c r="G442" s="59"/>
      <c r="H442" s="59"/>
      <c r="I442" s="64"/>
      <c r="J442" s="59"/>
      <c r="K442" s="65"/>
      <c r="L442" s="66"/>
      <c r="M442" s="67"/>
      <c r="N442" s="68"/>
      <c r="O442" s="69"/>
      <c r="P442" s="69"/>
      <c r="Q442" s="69"/>
      <c r="R442" s="69"/>
    </row>
    <row r="443" spans="1:18">
      <c r="A443" s="6"/>
      <c r="B443" s="59"/>
      <c r="C443" s="60"/>
      <c r="D443" s="62"/>
      <c r="E443" s="62"/>
      <c r="F443" s="63"/>
      <c r="G443" s="59"/>
      <c r="H443" s="59"/>
      <c r="I443" s="64"/>
      <c r="J443" s="59"/>
      <c r="K443" s="65"/>
      <c r="L443" s="66"/>
      <c r="M443" s="67"/>
      <c r="N443" s="68"/>
      <c r="O443" s="69"/>
      <c r="P443" s="69"/>
      <c r="Q443" s="69"/>
      <c r="R443" s="69"/>
    </row>
    <row r="444" spans="1:18">
      <c r="A444" s="6"/>
      <c r="B444" s="59"/>
      <c r="C444" s="60"/>
      <c r="D444" s="62"/>
      <c r="E444" s="62"/>
      <c r="F444" s="63"/>
      <c r="G444" s="59"/>
      <c r="H444" s="59"/>
      <c r="I444" s="64"/>
      <c r="J444" s="59"/>
      <c r="K444" s="65"/>
      <c r="L444" s="66"/>
      <c r="M444" s="67"/>
      <c r="N444" s="68"/>
      <c r="O444" s="69"/>
      <c r="P444" s="69"/>
      <c r="Q444" s="69"/>
      <c r="R444" s="69"/>
    </row>
    <row r="445" spans="1:18">
      <c r="A445" s="6"/>
      <c r="B445" s="59"/>
      <c r="C445" s="60"/>
      <c r="D445" s="62"/>
      <c r="E445" s="62"/>
      <c r="F445" s="63"/>
      <c r="G445" s="59"/>
      <c r="H445" s="59"/>
      <c r="I445" s="64"/>
      <c r="J445" s="59"/>
      <c r="K445" s="65"/>
      <c r="L445" s="66"/>
      <c r="M445" s="67"/>
      <c r="N445" s="68"/>
      <c r="O445" s="69"/>
      <c r="P445" s="69"/>
      <c r="Q445" s="69"/>
      <c r="R445" s="69"/>
    </row>
    <row r="446" spans="1:18">
      <c r="A446" s="6"/>
      <c r="B446" s="59"/>
      <c r="C446" s="60"/>
      <c r="D446" s="62"/>
      <c r="E446" s="62"/>
      <c r="F446" s="63"/>
      <c r="G446" s="59"/>
      <c r="H446" s="59"/>
      <c r="I446" s="64"/>
      <c r="J446" s="59"/>
      <c r="K446" s="65"/>
      <c r="L446" s="66"/>
      <c r="M446" s="67"/>
      <c r="N446" s="68"/>
      <c r="O446" s="69"/>
      <c r="P446" s="69"/>
      <c r="Q446" s="69"/>
      <c r="R446" s="69"/>
    </row>
    <row r="447" spans="1:18">
      <c r="A447" s="6"/>
      <c r="B447" s="59"/>
      <c r="C447" s="60"/>
      <c r="D447" s="62"/>
      <c r="E447" s="62"/>
      <c r="F447" s="63"/>
      <c r="G447" s="59"/>
      <c r="H447" s="59"/>
      <c r="I447" s="64"/>
      <c r="J447" s="59"/>
      <c r="K447" s="65"/>
      <c r="L447" s="66"/>
      <c r="M447" s="67"/>
      <c r="N447" s="68"/>
      <c r="O447" s="69"/>
      <c r="P447" s="69"/>
      <c r="Q447" s="69"/>
      <c r="R447" s="69"/>
    </row>
    <row r="448" spans="1:18">
      <c r="A448" s="6"/>
      <c r="B448" s="59"/>
      <c r="C448" s="60"/>
      <c r="D448" s="62"/>
      <c r="E448" s="62"/>
      <c r="F448" s="63"/>
      <c r="G448" s="59"/>
      <c r="H448" s="59"/>
      <c r="I448" s="64"/>
      <c r="J448" s="59"/>
      <c r="K448" s="65"/>
      <c r="L448" s="66"/>
      <c r="M448" s="67"/>
      <c r="N448" s="68"/>
      <c r="O448" s="69"/>
      <c r="P448" s="69"/>
      <c r="Q448" s="69"/>
      <c r="R448" s="69"/>
    </row>
    <row r="449" spans="1:18">
      <c r="A449" s="6"/>
      <c r="B449" s="59"/>
      <c r="C449" s="60"/>
      <c r="D449" s="62"/>
      <c r="E449" s="62"/>
      <c r="F449" s="63"/>
      <c r="G449" s="59"/>
      <c r="H449" s="59"/>
      <c r="I449" s="64"/>
      <c r="J449" s="59"/>
      <c r="K449" s="65"/>
      <c r="L449" s="66"/>
      <c r="M449" s="67"/>
      <c r="N449" s="68"/>
      <c r="O449" s="69"/>
      <c r="P449" s="69"/>
      <c r="Q449" s="69"/>
      <c r="R449" s="69"/>
    </row>
    <row r="450" spans="1:18">
      <c r="A450" s="6"/>
      <c r="B450" s="59"/>
      <c r="C450" s="60"/>
      <c r="D450" s="62"/>
      <c r="E450" s="62"/>
      <c r="F450" s="63"/>
      <c r="G450" s="59"/>
      <c r="H450" s="59"/>
      <c r="I450" s="64"/>
      <c r="J450" s="59"/>
      <c r="K450" s="65"/>
      <c r="L450" s="66"/>
      <c r="M450" s="67"/>
      <c r="N450" s="68"/>
      <c r="O450" s="69"/>
      <c r="P450" s="69"/>
      <c r="Q450" s="69"/>
      <c r="R450" s="69"/>
    </row>
    <row r="451" spans="1:18">
      <c r="A451" s="6"/>
      <c r="B451" s="59"/>
      <c r="C451" s="60"/>
      <c r="D451" s="62"/>
      <c r="E451" s="62"/>
      <c r="F451" s="63"/>
      <c r="G451" s="59"/>
      <c r="H451" s="59"/>
      <c r="I451" s="64"/>
      <c r="J451" s="59"/>
      <c r="K451" s="65"/>
      <c r="L451" s="66"/>
      <c r="M451" s="67"/>
      <c r="N451" s="68"/>
      <c r="O451" s="69"/>
      <c r="P451" s="69"/>
      <c r="Q451" s="69"/>
      <c r="R451" s="69"/>
    </row>
    <row r="452" spans="1:18">
      <c r="A452" s="6"/>
      <c r="B452" s="59"/>
      <c r="C452" s="60"/>
      <c r="D452" s="62"/>
      <c r="E452" s="62"/>
      <c r="F452" s="63"/>
      <c r="G452" s="59"/>
      <c r="H452" s="59"/>
      <c r="I452" s="64"/>
      <c r="J452" s="59"/>
      <c r="K452" s="65"/>
      <c r="L452" s="66"/>
      <c r="M452" s="67"/>
      <c r="N452" s="68"/>
      <c r="O452" s="69"/>
      <c r="P452" s="69"/>
      <c r="Q452" s="69"/>
      <c r="R452" s="69"/>
    </row>
    <row r="453" spans="1:18">
      <c r="A453" s="6"/>
      <c r="B453" s="59"/>
      <c r="C453" s="60"/>
      <c r="D453" s="62"/>
      <c r="E453" s="62"/>
      <c r="F453" s="63"/>
      <c r="G453" s="59"/>
      <c r="H453" s="59"/>
      <c r="I453" s="64"/>
      <c r="J453" s="59"/>
      <c r="K453" s="65"/>
      <c r="L453" s="66"/>
      <c r="M453" s="67"/>
      <c r="N453" s="68"/>
      <c r="O453" s="69"/>
      <c r="P453" s="69"/>
      <c r="Q453" s="69"/>
      <c r="R453" s="69"/>
    </row>
    <row r="454" spans="1:18">
      <c r="A454" s="6"/>
      <c r="B454" s="59"/>
      <c r="C454" s="60"/>
      <c r="D454" s="62"/>
      <c r="E454" s="62"/>
      <c r="F454" s="63"/>
      <c r="G454" s="59"/>
      <c r="H454" s="59"/>
      <c r="I454" s="64"/>
      <c r="J454" s="59"/>
      <c r="K454" s="65"/>
      <c r="L454" s="66"/>
      <c r="M454" s="67"/>
      <c r="N454" s="68"/>
      <c r="O454" s="69"/>
      <c r="P454" s="69"/>
      <c r="Q454" s="69"/>
      <c r="R454" s="69"/>
    </row>
    <row r="455" spans="1:18">
      <c r="A455" s="6"/>
      <c r="B455" s="59"/>
      <c r="C455" s="60"/>
      <c r="D455" s="62"/>
      <c r="E455" s="62"/>
      <c r="F455" s="63"/>
      <c r="G455" s="59"/>
      <c r="H455" s="59"/>
      <c r="I455" s="64"/>
      <c r="J455" s="59"/>
      <c r="K455" s="65"/>
      <c r="L455" s="66"/>
      <c r="M455" s="67"/>
      <c r="N455" s="68"/>
      <c r="O455" s="69"/>
      <c r="P455" s="69"/>
      <c r="Q455" s="69"/>
      <c r="R455" s="69"/>
    </row>
    <row r="456" spans="1:18">
      <c r="A456" s="6"/>
      <c r="B456" s="59"/>
      <c r="C456" s="60"/>
      <c r="D456" s="62"/>
      <c r="E456" s="62"/>
      <c r="F456" s="63"/>
      <c r="G456" s="59"/>
      <c r="H456" s="59"/>
      <c r="I456" s="64"/>
      <c r="J456" s="59"/>
      <c r="K456" s="65"/>
      <c r="L456" s="66"/>
      <c r="M456" s="67"/>
      <c r="N456" s="68"/>
      <c r="O456" s="69"/>
      <c r="P456" s="69"/>
      <c r="Q456" s="69"/>
      <c r="R456" s="69"/>
    </row>
    <row r="457" spans="1:18">
      <c r="A457" s="6"/>
      <c r="B457" s="59"/>
      <c r="C457" s="60"/>
      <c r="D457" s="62"/>
      <c r="E457" s="62"/>
      <c r="F457" s="63"/>
      <c r="G457" s="59"/>
      <c r="H457" s="59"/>
      <c r="I457" s="64"/>
      <c r="J457" s="59"/>
      <c r="K457" s="65"/>
      <c r="L457" s="66"/>
      <c r="M457" s="67"/>
      <c r="N457" s="68"/>
      <c r="O457" s="69"/>
      <c r="P457" s="69"/>
      <c r="Q457" s="69"/>
      <c r="R457" s="69"/>
    </row>
    <row r="458" spans="1:18">
      <c r="A458" s="6"/>
      <c r="B458" s="59"/>
      <c r="C458" s="60"/>
      <c r="D458" s="62"/>
      <c r="E458" s="62"/>
      <c r="F458" s="63"/>
      <c r="G458" s="59"/>
      <c r="H458" s="59"/>
      <c r="I458" s="64"/>
      <c r="J458" s="59"/>
      <c r="K458" s="65"/>
      <c r="L458" s="66"/>
      <c r="M458" s="67"/>
      <c r="N458" s="68"/>
      <c r="O458" s="69"/>
      <c r="P458" s="69"/>
      <c r="Q458" s="69"/>
      <c r="R458" s="69"/>
    </row>
    <row r="459" spans="1:18">
      <c r="A459" s="6"/>
      <c r="B459" s="59"/>
      <c r="C459" s="60"/>
      <c r="D459" s="62"/>
      <c r="E459" s="62"/>
      <c r="F459" s="63"/>
      <c r="G459" s="59"/>
      <c r="H459" s="59"/>
      <c r="I459" s="64"/>
      <c r="J459" s="59"/>
      <c r="K459" s="65"/>
      <c r="L459" s="66"/>
      <c r="M459" s="67"/>
      <c r="N459" s="68"/>
      <c r="O459" s="69"/>
      <c r="P459" s="69"/>
      <c r="Q459" s="69"/>
      <c r="R459" s="69"/>
    </row>
    <row r="460" spans="1:18">
      <c r="A460" s="6"/>
      <c r="B460" s="59"/>
      <c r="C460" s="60"/>
      <c r="D460" s="62"/>
      <c r="E460" s="62"/>
      <c r="F460" s="63"/>
      <c r="G460" s="59"/>
      <c r="H460" s="59"/>
      <c r="I460" s="64"/>
      <c r="J460" s="59"/>
      <c r="K460" s="65"/>
      <c r="L460" s="66"/>
      <c r="M460" s="67"/>
      <c r="N460" s="68"/>
      <c r="O460" s="69"/>
      <c r="P460" s="69"/>
      <c r="Q460" s="69"/>
      <c r="R460" s="69"/>
    </row>
    <row r="461" spans="1:18">
      <c r="A461" s="6"/>
      <c r="B461" s="59"/>
      <c r="C461" s="60"/>
      <c r="D461" s="62"/>
      <c r="E461" s="62"/>
      <c r="F461" s="63"/>
      <c r="G461" s="59"/>
      <c r="H461" s="59"/>
      <c r="I461" s="64"/>
      <c r="J461" s="59"/>
      <c r="K461" s="65"/>
      <c r="L461" s="66"/>
      <c r="M461" s="67"/>
      <c r="N461" s="68"/>
      <c r="O461" s="69"/>
      <c r="P461" s="69"/>
      <c r="Q461" s="69"/>
      <c r="R461" s="69"/>
    </row>
    <row r="462" spans="1:18">
      <c r="A462" s="6"/>
      <c r="B462" s="59"/>
      <c r="C462" s="60"/>
      <c r="D462" s="62"/>
      <c r="E462" s="62"/>
      <c r="F462" s="63"/>
      <c r="G462" s="59"/>
      <c r="H462" s="59"/>
      <c r="I462" s="64"/>
      <c r="J462" s="59"/>
      <c r="K462" s="65"/>
      <c r="L462" s="66"/>
      <c r="M462" s="67"/>
      <c r="N462" s="68"/>
      <c r="O462" s="69"/>
      <c r="P462" s="69"/>
      <c r="Q462" s="69"/>
      <c r="R462" s="69"/>
    </row>
    <row r="463" spans="1:18">
      <c r="A463" s="6"/>
      <c r="B463" s="59"/>
      <c r="C463" s="60"/>
      <c r="D463" s="62"/>
      <c r="E463" s="62"/>
      <c r="F463" s="63"/>
      <c r="G463" s="59"/>
      <c r="H463" s="59"/>
      <c r="I463" s="64"/>
      <c r="J463" s="59"/>
      <c r="K463" s="65"/>
      <c r="L463" s="66"/>
      <c r="M463" s="67"/>
      <c r="N463" s="68"/>
      <c r="O463" s="69"/>
      <c r="P463" s="69"/>
      <c r="Q463" s="69"/>
      <c r="R463" s="69"/>
    </row>
    <row r="464" spans="1:18">
      <c r="A464" s="6"/>
      <c r="B464" s="59"/>
      <c r="C464" s="60"/>
      <c r="D464" s="62"/>
      <c r="E464" s="62"/>
      <c r="F464" s="63"/>
      <c r="G464" s="59"/>
      <c r="H464" s="59"/>
      <c r="I464" s="64"/>
      <c r="J464" s="59"/>
      <c r="K464" s="65"/>
      <c r="L464" s="66"/>
      <c r="M464" s="67"/>
      <c r="N464" s="68"/>
      <c r="O464" s="69"/>
      <c r="P464" s="69"/>
      <c r="Q464" s="69"/>
      <c r="R464" s="69"/>
    </row>
    <row r="465" spans="1:18">
      <c r="A465" s="6"/>
      <c r="B465" s="59"/>
      <c r="C465" s="60"/>
      <c r="D465" s="62"/>
      <c r="E465" s="62"/>
      <c r="F465" s="63"/>
      <c r="G465" s="59"/>
      <c r="H465" s="59"/>
      <c r="I465" s="64"/>
      <c r="J465" s="59"/>
      <c r="K465" s="65"/>
      <c r="L465" s="66"/>
      <c r="M465" s="67"/>
      <c r="N465" s="68"/>
      <c r="O465" s="69"/>
      <c r="P465" s="69"/>
      <c r="Q465" s="69"/>
      <c r="R465" s="69"/>
    </row>
    <row r="466" spans="1:18">
      <c r="A466" s="6"/>
      <c r="B466" s="59"/>
      <c r="C466" s="60"/>
      <c r="D466" s="62"/>
      <c r="E466" s="62"/>
      <c r="F466" s="63"/>
      <c r="G466" s="59"/>
      <c r="H466" s="59"/>
      <c r="I466" s="64"/>
      <c r="J466" s="59"/>
      <c r="K466" s="65"/>
      <c r="L466" s="66"/>
      <c r="M466" s="67"/>
      <c r="N466" s="68"/>
      <c r="O466" s="69"/>
      <c r="P466" s="69"/>
      <c r="Q466" s="69"/>
      <c r="R466" s="69"/>
    </row>
    <row r="467" spans="1:18">
      <c r="A467" s="6"/>
      <c r="B467" s="59"/>
      <c r="C467" s="60"/>
      <c r="D467" s="62"/>
      <c r="E467" s="62"/>
      <c r="F467" s="63"/>
      <c r="G467" s="59"/>
      <c r="H467" s="59"/>
      <c r="I467" s="64"/>
      <c r="J467" s="59"/>
      <c r="K467" s="65"/>
      <c r="L467" s="66"/>
      <c r="M467" s="67"/>
      <c r="N467" s="68"/>
      <c r="O467" s="69"/>
      <c r="P467" s="69"/>
      <c r="Q467" s="69"/>
      <c r="R467" s="69"/>
    </row>
    <row r="468" spans="1:18">
      <c r="A468" s="6"/>
      <c r="B468" s="59"/>
      <c r="C468" s="60"/>
      <c r="D468" s="62"/>
      <c r="E468" s="62"/>
      <c r="F468" s="63"/>
      <c r="G468" s="59"/>
      <c r="H468" s="59"/>
      <c r="I468" s="64"/>
      <c r="J468" s="59"/>
      <c r="K468" s="65"/>
      <c r="L468" s="66"/>
      <c r="M468" s="67"/>
      <c r="N468" s="68"/>
      <c r="O468" s="69"/>
      <c r="P468" s="69"/>
      <c r="Q468" s="69"/>
      <c r="R468" s="69"/>
    </row>
    <row r="469" spans="1:18">
      <c r="A469" s="6"/>
      <c r="B469" s="59"/>
      <c r="C469" s="60"/>
      <c r="D469" s="62"/>
      <c r="E469" s="62"/>
      <c r="F469" s="63"/>
      <c r="G469" s="59"/>
      <c r="H469" s="59"/>
      <c r="I469" s="64"/>
      <c r="J469" s="59"/>
      <c r="K469" s="65"/>
      <c r="L469" s="66"/>
      <c r="M469" s="67"/>
      <c r="N469" s="68"/>
      <c r="O469" s="69"/>
      <c r="P469" s="69"/>
      <c r="Q469" s="69"/>
      <c r="R469" s="69"/>
    </row>
    <row r="470" spans="1:18">
      <c r="A470" s="6"/>
      <c r="B470" s="59"/>
      <c r="C470" s="60"/>
      <c r="D470" s="62"/>
      <c r="E470" s="62"/>
      <c r="F470" s="63"/>
      <c r="G470" s="59"/>
      <c r="H470" s="59"/>
      <c r="I470" s="64"/>
      <c r="J470" s="59"/>
      <c r="K470" s="65"/>
      <c r="L470" s="66"/>
      <c r="M470" s="67"/>
      <c r="N470" s="68"/>
      <c r="O470" s="69"/>
      <c r="P470" s="69"/>
      <c r="Q470" s="69"/>
      <c r="R470" s="69"/>
    </row>
    <row r="471" spans="1:18">
      <c r="A471" s="6"/>
      <c r="B471" s="59"/>
      <c r="C471" s="60"/>
      <c r="D471" s="62"/>
      <c r="E471" s="62"/>
      <c r="F471" s="63"/>
      <c r="G471" s="59"/>
      <c r="H471" s="59"/>
      <c r="I471" s="64"/>
      <c r="J471" s="59"/>
      <c r="K471" s="65"/>
      <c r="L471" s="66"/>
      <c r="M471" s="67"/>
      <c r="N471" s="68"/>
      <c r="O471" s="69"/>
      <c r="P471" s="69"/>
      <c r="Q471" s="69"/>
      <c r="R471" s="69"/>
    </row>
    <row r="472" spans="1:18">
      <c r="A472" s="6"/>
      <c r="B472" s="59"/>
      <c r="C472" s="60"/>
      <c r="D472" s="62"/>
      <c r="E472" s="62"/>
      <c r="F472" s="63"/>
      <c r="G472" s="59"/>
      <c r="H472" s="59"/>
      <c r="I472" s="64"/>
      <c r="J472" s="59"/>
      <c r="K472" s="65"/>
      <c r="L472" s="66"/>
      <c r="M472" s="67"/>
      <c r="N472" s="68"/>
      <c r="O472" s="69"/>
      <c r="P472" s="69"/>
      <c r="Q472" s="69"/>
      <c r="R472" s="69"/>
    </row>
    <row r="473" spans="1:18">
      <c r="A473" s="6"/>
      <c r="B473" s="59"/>
      <c r="C473" s="60"/>
      <c r="D473" s="62"/>
      <c r="E473" s="62"/>
      <c r="F473" s="63"/>
      <c r="G473" s="59"/>
      <c r="H473" s="59"/>
      <c r="I473" s="64"/>
      <c r="J473" s="59"/>
      <c r="K473" s="65"/>
      <c r="L473" s="66"/>
      <c r="M473" s="67"/>
      <c r="N473" s="68"/>
      <c r="O473" s="69"/>
      <c r="P473" s="69"/>
      <c r="Q473" s="69"/>
      <c r="R473" s="69"/>
    </row>
    <row r="474" spans="1:18">
      <c r="A474" s="6"/>
      <c r="B474" s="59"/>
      <c r="C474" s="60"/>
      <c r="D474" s="62"/>
      <c r="E474" s="62"/>
      <c r="F474" s="63"/>
      <c r="G474" s="59"/>
      <c r="H474" s="59"/>
      <c r="I474" s="64"/>
      <c r="J474" s="59"/>
      <c r="K474" s="65"/>
      <c r="L474" s="66"/>
      <c r="M474" s="67"/>
      <c r="N474" s="68"/>
      <c r="O474" s="69"/>
      <c r="P474" s="69"/>
      <c r="Q474" s="69"/>
      <c r="R474" s="69"/>
    </row>
    <row r="475" spans="1:18">
      <c r="A475" s="6"/>
      <c r="B475" s="59"/>
      <c r="C475" s="60"/>
      <c r="D475" s="62"/>
      <c r="E475" s="62"/>
      <c r="F475" s="63"/>
      <c r="G475" s="59"/>
      <c r="H475" s="59"/>
      <c r="I475" s="64"/>
      <c r="J475" s="59"/>
      <c r="K475" s="65"/>
      <c r="L475" s="66"/>
      <c r="M475" s="67"/>
      <c r="N475" s="68"/>
      <c r="O475" s="69"/>
      <c r="P475" s="69"/>
      <c r="Q475" s="69"/>
      <c r="R475" s="69"/>
    </row>
    <row r="476" spans="1:18">
      <c r="A476" s="6"/>
      <c r="B476" s="59"/>
      <c r="C476" s="60"/>
      <c r="D476" s="62"/>
      <c r="E476" s="62"/>
      <c r="F476" s="63"/>
      <c r="G476" s="59"/>
      <c r="H476" s="59"/>
      <c r="I476" s="64"/>
      <c r="J476" s="59"/>
      <c r="K476" s="65"/>
      <c r="L476" s="66"/>
      <c r="M476" s="67"/>
      <c r="N476" s="68"/>
      <c r="O476" s="69"/>
      <c r="P476" s="69"/>
      <c r="Q476" s="69"/>
      <c r="R476" s="69"/>
    </row>
    <row r="477" spans="1:18">
      <c r="A477" s="6"/>
      <c r="B477" s="59"/>
      <c r="C477" s="60"/>
      <c r="D477" s="62"/>
      <c r="E477" s="62"/>
      <c r="F477" s="63"/>
      <c r="G477" s="59"/>
      <c r="H477" s="59"/>
      <c r="I477" s="64"/>
      <c r="J477" s="59"/>
      <c r="K477" s="65"/>
      <c r="L477" s="66"/>
      <c r="M477" s="67"/>
      <c r="N477" s="68"/>
      <c r="O477" s="69"/>
      <c r="P477" s="69"/>
      <c r="Q477" s="69"/>
      <c r="R477" s="69"/>
    </row>
    <row r="478" spans="1:18">
      <c r="A478" s="6"/>
      <c r="B478" s="59"/>
      <c r="C478" s="60"/>
      <c r="D478" s="62"/>
      <c r="E478" s="62"/>
      <c r="F478" s="63"/>
      <c r="G478" s="59"/>
      <c r="H478" s="59"/>
      <c r="I478" s="64"/>
      <c r="J478" s="59"/>
      <c r="K478" s="65"/>
      <c r="L478" s="66"/>
      <c r="M478" s="67"/>
      <c r="N478" s="68"/>
      <c r="O478" s="69"/>
      <c r="P478" s="69"/>
      <c r="Q478" s="69"/>
      <c r="R478" s="69"/>
    </row>
    <row r="479" spans="1:18">
      <c r="A479" s="6"/>
      <c r="B479" s="59"/>
      <c r="C479" s="60"/>
      <c r="D479" s="62"/>
      <c r="E479" s="62"/>
      <c r="F479" s="63"/>
      <c r="G479" s="59"/>
      <c r="H479" s="59"/>
      <c r="I479" s="64"/>
      <c r="J479" s="59"/>
      <c r="K479" s="65"/>
      <c r="L479" s="66"/>
      <c r="M479" s="67"/>
      <c r="N479" s="68"/>
      <c r="O479" s="69"/>
      <c r="P479" s="69"/>
      <c r="Q479" s="69"/>
      <c r="R479" s="69"/>
    </row>
    <row r="480" spans="1:18">
      <c r="A480" s="6"/>
      <c r="B480" s="59"/>
      <c r="C480" s="60"/>
      <c r="D480" s="62"/>
      <c r="E480" s="62"/>
      <c r="F480" s="63"/>
      <c r="G480" s="59"/>
      <c r="H480" s="59"/>
      <c r="I480" s="64"/>
      <c r="J480" s="59"/>
      <c r="K480" s="65"/>
      <c r="L480" s="66"/>
      <c r="M480" s="67"/>
      <c r="N480" s="68"/>
      <c r="O480" s="69"/>
      <c r="P480" s="69"/>
      <c r="Q480" s="69"/>
      <c r="R480" s="69"/>
    </row>
    <row r="481" spans="1:18">
      <c r="A481" s="6"/>
      <c r="B481" s="59"/>
      <c r="C481" s="60"/>
      <c r="D481" s="62"/>
      <c r="E481" s="62"/>
      <c r="F481" s="63"/>
      <c r="G481" s="59"/>
      <c r="H481" s="59"/>
      <c r="I481" s="64"/>
      <c r="J481" s="59"/>
      <c r="K481" s="65"/>
      <c r="L481" s="66"/>
      <c r="M481" s="67"/>
      <c r="N481" s="68"/>
      <c r="O481" s="69"/>
      <c r="P481" s="69"/>
      <c r="Q481" s="69"/>
      <c r="R481" s="69"/>
    </row>
    <row r="482" spans="1:18">
      <c r="A482" s="6"/>
      <c r="B482" s="59"/>
      <c r="C482" s="60"/>
      <c r="D482" s="62"/>
      <c r="E482" s="62"/>
      <c r="F482" s="63"/>
      <c r="G482" s="59"/>
      <c r="H482" s="59"/>
      <c r="I482" s="64"/>
      <c r="J482" s="59"/>
      <c r="K482" s="65"/>
      <c r="L482" s="66"/>
      <c r="M482" s="67"/>
      <c r="N482" s="68"/>
      <c r="O482" s="69"/>
      <c r="P482" s="69"/>
      <c r="Q482" s="69"/>
      <c r="R482" s="69"/>
    </row>
    <row r="483" spans="1:18">
      <c r="A483" s="6"/>
      <c r="B483" s="59"/>
      <c r="C483" s="60"/>
      <c r="D483" s="62"/>
      <c r="E483" s="62"/>
      <c r="F483" s="63"/>
      <c r="G483" s="59"/>
      <c r="H483" s="59"/>
      <c r="I483" s="64"/>
      <c r="J483" s="59"/>
      <c r="K483" s="65"/>
      <c r="L483" s="66"/>
      <c r="M483" s="67"/>
      <c r="N483" s="68"/>
      <c r="O483" s="69"/>
      <c r="P483" s="69"/>
      <c r="Q483" s="69"/>
      <c r="R483" s="69"/>
    </row>
    <row r="484" spans="1:18">
      <c r="A484" s="6"/>
      <c r="B484" s="59"/>
      <c r="C484" s="60"/>
      <c r="D484" s="62"/>
      <c r="E484" s="62"/>
      <c r="F484" s="63"/>
      <c r="G484" s="59"/>
      <c r="H484" s="59"/>
      <c r="I484" s="64"/>
      <c r="J484" s="59"/>
      <c r="K484" s="65"/>
      <c r="L484" s="66"/>
      <c r="M484" s="67"/>
      <c r="N484" s="68"/>
      <c r="O484" s="69"/>
      <c r="P484" s="69"/>
      <c r="Q484" s="69"/>
      <c r="R484" s="69"/>
    </row>
    <row r="485" spans="1:18">
      <c r="A485" s="6"/>
      <c r="B485" s="59"/>
      <c r="C485" s="60"/>
      <c r="D485" s="62"/>
      <c r="E485" s="62"/>
      <c r="F485" s="63"/>
      <c r="G485" s="59"/>
      <c r="H485" s="59"/>
      <c r="I485" s="64"/>
      <c r="J485" s="59"/>
      <c r="K485" s="65"/>
      <c r="L485" s="66"/>
      <c r="M485" s="67"/>
      <c r="N485" s="68"/>
      <c r="O485" s="69"/>
      <c r="P485" s="69"/>
      <c r="Q485" s="69"/>
      <c r="R485" s="69"/>
    </row>
    <row r="486" spans="1:18">
      <c r="A486" s="6"/>
      <c r="B486" s="59"/>
      <c r="C486" s="60"/>
      <c r="D486" s="62"/>
      <c r="E486" s="62"/>
      <c r="F486" s="63"/>
      <c r="G486" s="59"/>
      <c r="H486" s="59"/>
      <c r="I486" s="64"/>
      <c r="J486" s="59"/>
      <c r="K486" s="65"/>
      <c r="L486" s="66"/>
      <c r="M486" s="67"/>
      <c r="N486" s="68"/>
      <c r="O486" s="69"/>
      <c r="P486" s="69"/>
      <c r="Q486" s="69"/>
      <c r="R486" s="69"/>
    </row>
    <row r="487" spans="1:18">
      <c r="A487" s="6"/>
      <c r="B487" s="59"/>
      <c r="C487" s="60"/>
      <c r="D487" s="62"/>
      <c r="E487" s="62"/>
      <c r="F487" s="63"/>
      <c r="G487" s="59"/>
      <c r="H487" s="59"/>
      <c r="I487" s="64"/>
      <c r="J487" s="59"/>
      <c r="K487" s="65"/>
      <c r="L487" s="66"/>
      <c r="M487" s="67"/>
      <c r="N487" s="68"/>
      <c r="O487" s="69"/>
      <c r="P487" s="69"/>
      <c r="Q487" s="69"/>
      <c r="R487" s="69"/>
    </row>
    <row r="488" spans="1:18">
      <c r="A488" s="6"/>
      <c r="B488" s="59"/>
      <c r="C488" s="60"/>
      <c r="D488" s="62"/>
      <c r="E488" s="62"/>
      <c r="F488" s="63"/>
      <c r="G488" s="59"/>
      <c r="H488" s="59"/>
      <c r="I488" s="64"/>
      <c r="J488" s="59"/>
      <c r="K488" s="65"/>
      <c r="L488" s="66"/>
      <c r="M488" s="67"/>
      <c r="N488" s="68"/>
      <c r="O488" s="69"/>
      <c r="P488" s="69"/>
      <c r="Q488" s="69"/>
      <c r="R488" s="69"/>
    </row>
    <row r="489" spans="1:18">
      <c r="A489" s="6"/>
      <c r="B489" s="59"/>
      <c r="C489" s="60"/>
      <c r="D489" s="62"/>
      <c r="E489" s="62"/>
      <c r="F489" s="63"/>
      <c r="G489" s="59"/>
      <c r="H489" s="59"/>
      <c r="I489" s="64"/>
      <c r="J489" s="59"/>
      <c r="K489" s="65"/>
      <c r="L489" s="66"/>
      <c r="M489" s="67"/>
      <c r="N489" s="68"/>
      <c r="O489" s="69"/>
      <c r="P489" s="69"/>
      <c r="Q489" s="69"/>
      <c r="R489" s="69"/>
    </row>
    <row r="490" spans="1:18">
      <c r="A490" s="6"/>
      <c r="B490" s="59"/>
      <c r="C490" s="60"/>
      <c r="D490" s="62"/>
      <c r="E490" s="62"/>
      <c r="F490" s="63"/>
      <c r="G490" s="59"/>
      <c r="H490" s="59"/>
      <c r="I490" s="64"/>
      <c r="J490" s="59"/>
      <c r="K490" s="65"/>
      <c r="L490" s="66"/>
      <c r="M490" s="67"/>
      <c r="N490" s="68"/>
      <c r="O490" s="69"/>
      <c r="P490" s="69"/>
      <c r="Q490" s="69"/>
      <c r="R490" s="69"/>
    </row>
    <row r="491" spans="1:18">
      <c r="A491" s="6"/>
      <c r="B491" s="59"/>
      <c r="C491" s="60"/>
      <c r="D491" s="62"/>
      <c r="E491" s="62"/>
      <c r="F491" s="63"/>
      <c r="G491" s="59"/>
      <c r="H491" s="59"/>
      <c r="I491" s="64"/>
      <c r="J491" s="59"/>
      <c r="K491" s="65"/>
      <c r="L491" s="66"/>
      <c r="M491" s="67"/>
      <c r="N491" s="68"/>
      <c r="O491" s="69"/>
      <c r="P491" s="69"/>
      <c r="Q491" s="69"/>
      <c r="R491" s="69"/>
    </row>
    <row r="492" spans="1:18">
      <c r="A492" s="6"/>
      <c r="B492" s="59"/>
      <c r="C492" s="60"/>
      <c r="D492" s="62"/>
      <c r="E492" s="62"/>
      <c r="F492" s="63"/>
      <c r="G492" s="59"/>
      <c r="H492" s="59"/>
      <c r="I492" s="64"/>
      <c r="J492" s="59"/>
      <c r="K492" s="65"/>
      <c r="L492" s="66"/>
      <c r="M492" s="67"/>
      <c r="N492" s="68"/>
      <c r="O492" s="69"/>
      <c r="P492" s="69"/>
      <c r="Q492" s="69"/>
      <c r="R492" s="69"/>
    </row>
    <row r="493" spans="1:18">
      <c r="A493" s="6"/>
      <c r="B493" s="59"/>
      <c r="C493" s="60"/>
      <c r="D493" s="62"/>
      <c r="E493" s="62"/>
      <c r="F493" s="63"/>
      <c r="G493" s="59"/>
      <c r="H493" s="59"/>
      <c r="I493" s="64"/>
      <c r="J493" s="59"/>
      <c r="K493" s="65"/>
      <c r="L493" s="66"/>
      <c r="M493" s="67"/>
      <c r="N493" s="68"/>
      <c r="O493" s="69"/>
      <c r="P493" s="69"/>
      <c r="Q493" s="69"/>
      <c r="R493" s="69"/>
    </row>
    <row r="494" spans="1:18">
      <c r="A494" s="6"/>
      <c r="B494" s="59"/>
      <c r="C494" s="60"/>
      <c r="D494" s="62"/>
      <c r="E494" s="62"/>
      <c r="F494" s="63"/>
      <c r="G494" s="59"/>
      <c r="H494" s="59"/>
      <c r="I494" s="64"/>
      <c r="J494" s="59"/>
      <c r="K494" s="65"/>
      <c r="L494" s="66"/>
      <c r="M494" s="67"/>
      <c r="N494" s="68"/>
      <c r="O494" s="69"/>
      <c r="P494" s="69"/>
      <c r="Q494" s="69"/>
      <c r="R494" s="69"/>
    </row>
    <row r="495" spans="1:18">
      <c r="A495" s="6"/>
      <c r="B495" s="59"/>
      <c r="C495" s="60"/>
      <c r="D495" s="62"/>
      <c r="E495" s="62"/>
      <c r="F495" s="63"/>
      <c r="G495" s="59"/>
      <c r="H495" s="59"/>
      <c r="I495" s="64"/>
      <c r="J495" s="59"/>
      <c r="K495" s="65"/>
      <c r="L495" s="66"/>
      <c r="M495" s="67"/>
      <c r="N495" s="68"/>
      <c r="O495" s="69"/>
      <c r="P495" s="69"/>
      <c r="Q495" s="69"/>
      <c r="R495" s="69"/>
    </row>
    <row r="496" spans="1:18">
      <c r="A496" s="6"/>
      <c r="B496" s="59"/>
      <c r="C496" s="60"/>
      <c r="D496" s="62"/>
      <c r="E496" s="62"/>
      <c r="F496" s="63"/>
      <c r="G496" s="59"/>
      <c r="H496" s="59"/>
      <c r="I496" s="64"/>
      <c r="J496" s="59"/>
      <c r="K496" s="65"/>
      <c r="L496" s="66"/>
      <c r="M496" s="67"/>
      <c r="N496" s="68"/>
      <c r="O496" s="69"/>
      <c r="P496" s="69"/>
      <c r="Q496" s="69"/>
      <c r="R496" s="69"/>
    </row>
    <row r="497" spans="1:18">
      <c r="A497" s="6"/>
      <c r="B497" s="59"/>
      <c r="C497" s="60"/>
      <c r="D497" s="62"/>
      <c r="E497" s="62"/>
      <c r="F497" s="63"/>
      <c r="G497" s="59"/>
      <c r="H497" s="59"/>
      <c r="I497" s="64"/>
      <c r="J497" s="59"/>
      <c r="K497" s="65"/>
      <c r="L497" s="66"/>
      <c r="M497" s="67"/>
      <c r="N497" s="68"/>
      <c r="O497" s="69"/>
      <c r="P497" s="69"/>
      <c r="Q497" s="69"/>
      <c r="R497" s="69"/>
    </row>
    <row r="498" spans="1:18">
      <c r="A498" s="6"/>
      <c r="B498" s="59"/>
      <c r="C498" s="60"/>
      <c r="D498" s="62"/>
      <c r="E498" s="62"/>
      <c r="F498" s="63"/>
      <c r="G498" s="59"/>
      <c r="H498" s="59"/>
      <c r="I498" s="64"/>
      <c r="J498" s="59"/>
      <c r="K498" s="65"/>
      <c r="L498" s="66"/>
      <c r="M498" s="67"/>
      <c r="N498" s="68"/>
      <c r="O498" s="69"/>
      <c r="P498" s="69"/>
      <c r="Q498" s="69"/>
      <c r="R498" s="69"/>
    </row>
    <row r="499" spans="1:18">
      <c r="A499" s="6"/>
      <c r="B499" s="59"/>
      <c r="C499" s="60"/>
      <c r="D499" s="62"/>
      <c r="E499" s="62"/>
      <c r="F499" s="63"/>
      <c r="G499" s="59"/>
      <c r="H499" s="59"/>
      <c r="I499" s="64"/>
      <c r="J499" s="59"/>
      <c r="K499" s="65"/>
      <c r="L499" s="66"/>
      <c r="M499" s="67"/>
      <c r="N499" s="68"/>
      <c r="O499" s="69"/>
      <c r="P499" s="69"/>
      <c r="Q499" s="69"/>
      <c r="R499" s="69"/>
    </row>
    <row r="500" spans="1:18">
      <c r="A500" s="6"/>
      <c r="B500" s="59"/>
      <c r="C500" s="60"/>
      <c r="D500" s="62"/>
      <c r="E500" s="62"/>
      <c r="F500" s="63"/>
      <c r="G500" s="59"/>
      <c r="H500" s="59"/>
      <c r="I500" s="64"/>
      <c r="J500" s="59"/>
      <c r="K500" s="65"/>
      <c r="L500" s="66"/>
      <c r="M500" s="67"/>
      <c r="N500" s="68"/>
      <c r="O500" s="69"/>
      <c r="P500" s="69"/>
      <c r="Q500" s="69"/>
      <c r="R500" s="69"/>
    </row>
    <row r="501" spans="1:18">
      <c r="A501" s="6"/>
      <c r="B501" s="59"/>
      <c r="C501" s="60"/>
      <c r="D501" s="62"/>
      <c r="E501" s="62"/>
      <c r="F501" s="63"/>
      <c r="G501" s="59"/>
      <c r="H501" s="59"/>
      <c r="I501" s="64"/>
      <c r="J501" s="59"/>
      <c r="K501" s="65"/>
      <c r="L501" s="66"/>
      <c r="M501" s="67"/>
      <c r="N501" s="68"/>
      <c r="O501" s="69"/>
      <c r="P501" s="69"/>
      <c r="Q501" s="69"/>
      <c r="R501" s="69"/>
    </row>
    <row r="502" spans="1:18">
      <c r="A502" s="6"/>
      <c r="B502" s="59"/>
      <c r="C502" s="60"/>
      <c r="D502" s="62"/>
      <c r="E502" s="62"/>
      <c r="F502" s="63"/>
      <c r="G502" s="59"/>
      <c r="H502" s="59"/>
      <c r="I502" s="64"/>
      <c r="J502" s="59"/>
      <c r="K502" s="65"/>
      <c r="L502" s="66"/>
      <c r="M502" s="67"/>
      <c r="N502" s="68"/>
      <c r="O502" s="69"/>
      <c r="P502" s="69"/>
      <c r="Q502" s="69"/>
      <c r="R502" s="69"/>
    </row>
    <row r="503" spans="1:18">
      <c r="A503" s="6"/>
      <c r="B503" s="59"/>
      <c r="C503" s="60"/>
      <c r="D503" s="62"/>
      <c r="E503" s="62"/>
      <c r="F503" s="63"/>
      <c r="G503" s="59"/>
      <c r="H503" s="59"/>
      <c r="I503" s="64"/>
      <c r="J503" s="59"/>
      <c r="K503" s="65"/>
      <c r="L503" s="66"/>
      <c r="M503" s="67"/>
      <c r="N503" s="68"/>
      <c r="O503" s="69"/>
      <c r="P503" s="69"/>
      <c r="Q503" s="69"/>
      <c r="R503" s="69"/>
    </row>
    <row r="504" spans="1:18">
      <c r="A504" s="6"/>
      <c r="B504" s="59"/>
      <c r="C504" s="60"/>
      <c r="D504" s="62"/>
      <c r="E504" s="62"/>
      <c r="F504" s="63"/>
      <c r="G504" s="59"/>
      <c r="H504" s="59"/>
      <c r="I504" s="64"/>
      <c r="J504" s="59"/>
      <c r="K504" s="65"/>
      <c r="L504" s="66"/>
      <c r="M504" s="67"/>
      <c r="N504" s="68"/>
      <c r="O504" s="69"/>
      <c r="P504" s="69"/>
      <c r="Q504" s="69"/>
      <c r="R504" s="69"/>
    </row>
    <row r="505" spans="1:18">
      <c r="A505" s="6"/>
      <c r="B505" s="59"/>
      <c r="C505" s="60"/>
      <c r="D505" s="62"/>
      <c r="E505" s="62"/>
      <c r="F505" s="63"/>
      <c r="G505" s="59"/>
      <c r="H505" s="59"/>
      <c r="I505" s="64"/>
      <c r="J505" s="59"/>
      <c r="K505" s="65"/>
      <c r="L505" s="66"/>
      <c r="M505" s="67"/>
      <c r="N505" s="68"/>
      <c r="O505" s="69"/>
      <c r="P505" s="69"/>
      <c r="Q505" s="69"/>
      <c r="R505" s="69"/>
    </row>
    <row r="506" spans="1:18">
      <c r="A506" s="6"/>
      <c r="B506" s="59"/>
      <c r="C506" s="60"/>
      <c r="D506" s="62"/>
      <c r="E506" s="62"/>
      <c r="F506" s="63"/>
      <c r="G506" s="59"/>
      <c r="H506" s="59"/>
      <c r="I506" s="64"/>
      <c r="J506" s="59"/>
      <c r="K506" s="65"/>
      <c r="L506" s="66"/>
      <c r="M506" s="67"/>
      <c r="N506" s="68"/>
      <c r="O506" s="69"/>
      <c r="P506" s="69"/>
      <c r="Q506" s="69"/>
      <c r="R506" s="69"/>
    </row>
    <row r="507" spans="1:18">
      <c r="A507" s="6"/>
      <c r="B507" s="59"/>
      <c r="C507" s="60"/>
      <c r="D507" s="62"/>
      <c r="E507" s="62"/>
      <c r="F507" s="63"/>
      <c r="G507" s="59"/>
      <c r="H507" s="59"/>
      <c r="I507" s="64"/>
      <c r="J507" s="59"/>
      <c r="K507" s="65"/>
      <c r="L507" s="66"/>
      <c r="M507" s="67"/>
      <c r="N507" s="68"/>
      <c r="O507" s="69"/>
      <c r="P507" s="69"/>
      <c r="Q507" s="69"/>
      <c r="R507" s="69"/>
    </row>
    <row r="508" spans="1:18">
      <c r="A508" s="6"/>
      <c r="B508" s="59"/>
      <c r="C508" s="60"/>
      <c r="D508" s="62"/>
      <c r="E508" s="62"/>
      <c r="F508" s="63"/>
      <c r="G508" s="59"/>
      <c r="H508" s="59"/>
      <c r="I508" s="64"/>
      <c r="J508" s="59"/>
      <c r="K508" s="65"/>
      <c r="L508" s="66"/>
      <c r="M508" s="67"/>
      <c r="N508" s="68"/>
      <c r="O508" s="69"/>
      <c r="P508" s="69"/>
      <c r="Q508" s="69"/>
      <c r="R508" s="69"/>
    </row>
    <row r="509" spans="1:18">
      <c r="A509" s="6"/>
      <c r="B509" s="59"/>
      <c r="C509" s="60"/>
      <c r="D509" s="62"/>
      <c r="E509" s="62"/>
      <c r="F509" s="63"/>
      <c r="G509" s="59"/>
      <c r="H509" s="59"/>
      <c r="I509" s="64"/>
      <c r="J509" s="59"/>
      <c r="K509" s="65"/>
      <c r="L509" s="66"/>
      <c r="M509" s="67"/>
      <c r="N509" s="68"/>
      <c r="O509" s="69"/>
      <c r="P509" s="69"/>
      <c r="Q509" s="69"/>
      <c r="R509" s="69"/>
    </row>
    <row r="510" spans="1:18">
      <c r="A510" s="6"/>
      <c r="B510" s="59"/>
      <c r="C510" s="60"/>
      <c r="D510" s="62"/>
      <c r="E510" s="62"/>
      <c r="F510" s="63"/>
      <c r="G510" s="59"/>
      <c r="H510" s="59"/>
      <c r="I510" s="64"/>
      <c r="J510" s="59"/>
      <c r="K510" s="65"/>
      <c r="L510" s="66"/>
      <c r="M510" s="67"/>
      <c r="N510" s="68"/>
      <c r="O510" s="69"/>
      <c r="P510" s="69"/>
      <c r="Q510" s="69"/>
      <c r="R510" s="69"/>
    </row>
    <row r="511" spans="1:18">
      <c r="A511" s="6"/>
      <c r="B511" s="59"/>
      <c r="C511" s="60"/>
      <c r="D511" s="62"/>
      <c r="E511" s="62"/>
      <c r="F511" s="63"/>
      <c r="G511" s="59"/>
      <c r="H511" s="59"/>
      <c r="I511" s="64"/>
      <c r="J511" s="59"/>
      <c r="K511" s="65"/>
      <c r="L511" s="66"/>
      <c r="M511" s="67"/>
      <c r="N511" s="68"/>
      <c r="O511" s="69"/>
      <c r="P511" s="69"/>
      <c r="Q511" s="69"/>
      <c r="R511" s="69"/>
    </row>
    <row r="512" spans="1:18">
      <c r="A512" s="6"/>
      <c r="B512" s="59"/>
      <c r="C512" s="60"/>
      <c r="D512" s="62"/>
      <c r="E512" s="62"/>
      <c r="F512" s="63"/>
      <c r="G512" s="59"/>
      <c r="H512" s="59"/>
      <c r="I512" s="64"/>
      <c r="J512" s="59"/>
      <c r="K512" s="65"/>
      <c r="L512" s="66"/>
      <c r="M512" s="67"/>
      <c r="N512" s="68"/>
      <c r="O512" s="69"/>
      <c r="P512" s="69"/>
      <c r="Q512" s="69"/>
      <c r="R512" s="69"/>
    </row>
    <row r="513" spans="1:18">
      <c r="A513" s="6"/>
      <c r="B513" s="59"/>
      <c r="C513" s="60"/>
      <c r="D513" s="62"/>
      <c r="E513" s="62"/>
      <c r="F513" s="63"/>
      <c r="G513" s="59"/>
      <c r="H513" s="59"/>
      <c r="I513" s="64"/>
      <c r="J513" s="59"/>
      <c r="K513" s="65"/>
      <c r="L513" s="66"/>
      <c r="M513" s="67"/>
      <c r="N513" s="68"/>
      <c r="O513" s="69"/>
      <c r="P513" s="69"/>
      <c r="Q513" s="69"/>
      <c r="R513" s="69"/>
    </row>
    <row r="514" spans="1:18">
      <c r="A514" s="6"/>
      <c r="B514" s="59"/>
      <c r="C514" s="60"/>
      <c r="D514" s="62"/>
      <c r="E514" s="62"/>
      <c r="F514" s="63"/>
      <c r="G514" s="59"/>
      <c r="H514" s="59"/>
      <c r="I514" s="64"/>
      <c r="J514" s="59"/>
      <c r="K514" s="65"/>
      <c r="L514" s="66"/>
      <c r="M514" s="67"/>
      <c r="N514" s="68"/>
      <c r="O514" s="69"/>
      <c r="P514" s="69"/>
      <c r="Q514" s="69"/>
      <c r="R514" s="69"/>
    </row>
    <row r="515" spans="1:18">
      <c r="A515" s="6"/>
      <c r="B515" s="59"/>
      <c r="C515" s="60"/>
      <c r="D515" s="62"/>
      <c r="E515" s="62"/>
      <c r="F515" s="63"/>
      <c r="G515" s="59"/>
      <c r="H515" s="59"/>
      <c r="I515" s="64"/>
      <c r="J515" s="59"/>
      <c r="K515" s="65"/>
      <c r="L515" s="66"/>
      <c r="M515" s="67"/>
      <c r="N515" s="68"/>
      <c r="O515" s="69"/>
      <c r="P515" s="69"/>
      <c r="Q515" s="69"/>
      <c r="R515" s="69"/>
    </row>
    <row r="516" spans="1:18">
      <c r="A516" s="6"/>
      <c r="B516" s="59"/>
      <c r="C516" s="60"/>
      <c r="D516" s="62"/>
      <c r="E516" s="62"/>
      <c r="F516" s="63"/>
      <c r="G516" s="59"/>
      <c r="H516" s="59"/>
      <c r="I516" s="64"/>
      <c r="J516" s="59"/>
      <c r="K516" s="65"/>
      <c r="L516" s="66"/>
      <c r="M516" s="67"/>
      <c r="N516" s="68"/>
      <c r="O516" s="69"/>
      <c r="P516" s="69"/>
      <c r="Q516" s="69"/>
      <c r="R516" s="69"/>
    </row>
    <row r="517" spans="1:18">
      <c r="A517" s="6"/>
      <c r="B517" s="59"/>
      <c r="C517" s="60"/>
      <c r="D517" s="62"/>
      <c r="E517" s="62"/>
      <c r="F517" s="63"/>
      <c r="G517" s="59"/>
      <c r="H517" s="59"/>
      <c r="I517" s="64"/>
      <c r="J517" s="59"/>
      <c r="K517" s="65"/>
      <c r="L517" s="66"/>
      <c r="M517" s="67"/>
      <c r="N517" s="68"/>
      <c r="O517" s="69"/>
      <c r="P517" s="69"/>
      <c r="Q517" s="69"/>
      <c r="R517" s="69"/>
    </row>
    <row r="518" spans="1:18">
      <c r="A518" s="6"/>
      <c r="B518" s="59"/>
      <c r="C518" s="60"/>
      <c r="D518" s="62"/>
      <c r="E518" s="62"/>
      <c r="F518" s="63"/>
      <c r="G518" s="59"/>
      <c r="H518" s="59"/>
      <c r="I518" s="64"/>
      <c r="J518" s="59"/>
      <c r="K518" s="65"/>
      <c r="L518" s="66"/>
      <c r="M518" s="67"/>
      <c r="N518" s="68"/>
      <c r="O518" s="69"/>
      <c r="P518" s="69"/>
      <c r="Q518" s="69"/>
      <c r="R518" s="69"/>
    </row>
    <row r="519" spans="1:18">
      <c r="A519" s="6"/>
      <c r="B519" s="59"/>
      <c r="C519" s="60"/>
      <c r="D519" s="62"/>
      <c r="E519" s="62"/>
      <c r="F519" s="63"/>
      <c r="G519" s="59"/>
      <c r="H519" s="59"/>
      <c r="I519" s="64"/>
      <c r="J519" s="59"/>
      <c r="K519" s="65"/>
      <c r="L519" s="66"/>
      <c r="M519" s="67"/>
      <c r="N519" s="68"/>
      <c r="O519" s="69"/>
      <c r="P519" s="69"/>
      <c r="Q519" s="69"/>
      <c r="R519" s="69"/>
    </row>
    <row r="520" spans="1:18">
      <c r="A520" s="6"/>
      <c r="B520" s="59"/>
      <c r="C520" s="60"/>
      <c r="D520" s="62"/>
      <c r="E520" s="62"/>
      <c r="F520" s="63"/>
      <c r="G520" s="59"/>
      <c r="H520" s="59"/>
      <c r="I520" s="64"/>
      <c r="J520" s="59"/>
      <c r="K520" s="65"/>
      <c r="L520" s="66"/>
      <c r="M520" s="67"/>
      <c r="N520" s="68"/>
      <c r="O520" s="69"/>
      <c r="P520" s="69"/>
      <c r="Q520" s="69"/>
      <c r="R520" s="69"/>
    </row>
    <row r="521" spans="1:18">
      <c r="A521" s="6"/>
      <c r="B521" s="59"/>
      <c r="C521" s="60"/>
      <c r="D521" s="62"/>
      <c r="E521" s="62"/>
      <c r="F521" s="63"/>
      <c r="G521" s="59"/>
      <c r="H521" s="59"/>
      <c r="I521" s="64"/>
      <c r="J521" s="59"/>
      <c r="K521" s="65"/>
      <c r="L521" s="66"/>
      <c r="M521" s="67"/>
      <c r="N521" s="68"/>
      <c r="O521" s="69"/>
      <c r="P521" s="69"/>
      <c r="Q521" s="69"/>
      <c r="R521" s="69"/>
    </row>
    <row r="522" spans="1:18">
      <c r="A522" s="6"/>
      <c r="B522" s="59"/>
      <c r="C522" s="60"/>
      <c r="D522" s="62"/>
      <c r="E522" s="62"/>
      <c r="F522" s="63"/>
      <c r="G522" s="59"/>
      <c r="H522" s="59"/>
      <c r="I522" s="64"/>
      <c r="J522" s="59"/>
      <c r="K522" s="65"/>
      <c r="L522" s="66"/>
      <c r="M522" s="67"/>
      <c r="N522" s="68"/>
      <c r="O522" s="69"/>
      <c r="P522" s="69"/>
      <c r="Q522" s="69"/>
      <c r="R522" s="69"/>
    </row>
    <row r="523" spans="1:18">
      <c r="A523" s="6"/>
      <c r="B523" s="59"/>
      <c r="C523" s="60"/>
      <c r="D523" s="62"/>
      <c r="E523" s="62"/>
      <c r="F523" s="63"/>
      <c r="G523" s="59"/>
      <c r="H523" s="59"/>
      <c r="I523" s="64"/>
      <c r="J523" s="59"/>
      <c r="K523" s="65"/>
      <c r="L523" s="66"/>
      <c r="M523" s="67"/>
      <c r="N523" s="68"/>
      <c r="O523" s="69"/>
      <c r="P523" s="69"/>
      <c r="Q523" s="69"/>
      <c r="R523" s="69"/>
    </row>
    <row r="524" spans="1:18">
      <c r="A524" s="6"/>
      <c r="B524" s="59"/>
      <c r="C524" s="60"/>
      <c r="D524" s="62"/>
      <c r="E524" s="62"/>
      <c r="F524" s="63"/>
      <c r="G524" s="59"/>
      <c r="H524" s="59"/>
      <c r="I524" s="64"/>
      <c r="J524" s="59"/>
      <c r="K524" s="65"/>
      <c r="L524" s="66"/>
      <c r="M524" s="67"/>
      <c r="N524" s="68"/>
      <c r="O524" s="69"/>
      <c r="P524" s="69"/>
      <c r="Q524" s="69"/>
      <c r="R524" s="69"/>
    </row>
    <row r="525" spans="1:18">
      <c r="A525" s="6"/>
      <c r="B525" s="59"/>
      <c r="C525" s="60"/>
      <c r="D525" s="62"/>
      <c r="E525" s="62"/>
      <c r="F525" s="63"/>
      <c r="G525" s="59"/>
      <c r="H525" s="59"/>
      <c r="I525" s="64"/>
      <c r="J525" s="59"/>
      <c r="K525" s="65"/>
      <c r="L525" s="66"/>
      <c r="M525" s="67"/>
      <c r="N525" s="68"/>
      <c r="O525" s="69"/>
      <c r="P525" s="69"/>
      <c r="Q525" s="69"/>
      <c r="R525" s="69"/>
    </row>
    <row r="526" spans="1:18">
      <c r="A526" s="6"/>
      <c r="B526" s="59"/>
      <c r="C526" s="60"/>
      <c r="D526" s="62"/>
      <c r="E526" s="62"/>
      <c r="F526" s="63"/>
      <c r="G526" s="59"/>
      <c r="H526" s="59"/>
      <c r="I526" s="64"/>
      <c r="J526" s="59"/>
      <c r="K526" s="65"/>
      <c r="L526" s="66"/>
      <c r="M526" s="67"/>
      <c r="N526" s="68"/>
      <c r="O526" s="69"/>
      <c r="P526" s="69"/>
      <c r="Q526" s="69"/>
      <c r="R526" s="69"/>
    </row>
    <row r="527" spans="1:18">
      <c r="A527" s="6"/>
      <c r="B527" s="59"/>
      <c r="C527" s="60"/>
      <c r="D527" s="62"/>
      <c r="E527" s="62"/>
      <c r="F527" s="63"/>
      <c r="G527" s="59"/>
      <c r="H527" s="59"/>
      <c r="I527" s="64"/>
      <c r="J527" s="59"/>
      <c r="K527" s="65"/>
      <c r="L527" s="66"/>
      <c r="M527" s="67"/>
      <c r="N527" s="68"/>
      <c r="O527" s="69"/>
      <c r="P527" s="69"/>
      <c r="Q527" s="69"/>
      <c r="R527" s="69"/>
    </row>
    <row r="528" spans="1:18">
      <c r="A528" s="6"/>
      <c r="B528" s="59"/>
      <c r="C528" s="60"/>
      <c r="D528" s="62"/>
      <c r="E528" s="62"/>
      <c r="F528" s="63"/>
      <c r="G528" s="59"/>
      <c r="H528" s="59"/>
      <c r="I528" s="64"/>
      <c r="J528" s="59"/>
      <c r="K528" s="65"/>
      <c r="L528" s="66"/>
      <c r="M528" s="67"/>
      <c r="N528" s="68"/>
      <c r="O528" s="69"/>
      <c r="P528" s="69"/>
      <c r="Q528" s="69"/>
      <c r="R528" s="69"/>
    </row>
    <row r="529" spans="1:18">
      <c r="A529" s="6"/>
      <c r="B529" s="59"/>
      <c r="C529" s="60"/>
      <c r="D529" s="62"/>
      <c r="E529" s="62"/>
      <c r="F529" s="63"/>
      <c r="G529" s="59"/>
      <c r="H529" s="59"/>
      <c r="I529" s="64"/>
      <c r="J529" s="59"/>
      <c r="K529" s="65"/>
      <c r="L529" s="66"/>
      <c r="M529" s="67"/>
      <c r="N529" s="68"/>
      <c r="O529" s="69"/>
      <c r="P529" s="69"/>
      <c r="Q529" s="69"/>
      <c r="R529" s="69"/>
    </row>
    <row r="530" spans="1:18">
      <c r="A530" s="6"/>
      <c r="B530" s="59"/>
      <c r="C530" s="60"/>
      <c r="D530" s="62"/>
      <c r="E530" s="62"/>
      <c r="F530" s="63"/>
      <c r="G530" s="59"/>
      <c r="H530" s="59"/>
      <c r="I530" s="64"/>
      <c r="J530" s="59"/>
      <c r="K530" s="65"/>
      <c r="L530" s="66"/>
      <c r="M530" s="67"/>
      <c r="N530" s="68"/>
      <c r="O530" s="69"/>
      <c r="P530" s="69"/>
      <c r="Q530" s="69"/>
      <c r="R530" s="69"/>
    </row>
    <row r="531" spans="1:18">
      <c r="A531" s="6"/>
      <c r="B531" s="59"/>
      <c r="C531" s="60"/>
      <c r="D531" s="62"/>
      <c r="E531" s="62"/>
      <c r="F531" s="63"/>
      <c r="G531" s="59"/>
      <c r="H531" s="59"/>
      <c r="I531" s="64"/>
      <c r="J531" s="59"/>
      <c r="K531" s="65"/>
      <c r="L531" s="66"/>
      <c r="M531" s="67"/>
      <c r="N531" s="68"/>
      <c r="O531" s="69"/>
      <c r="P531" s="69"/>
      <c r="Q531" s="69"/>
      <c r="R531" s="69"/>
    </row>
    <row r="532" spans="1:18">
      <c r="A532" s="6"/>
      <c r="B532" s="59"/>
      <c r="C532" s="60"/>
      <c r="D532" s="62"/>
      <c r="E532" s="62"/>
      <c r="F532" s="63"/>
      <c r="G532" s="59"/>
      <c r="H532" s="59"/>
      <c r="I532" s="64"/>
      <c r="J532" s="59"/>
      <c r="K532" s="65"/>
      <c r="L532" s="66"/>
      <c r="M532" s="67"/>
      <c r="N532" s="68"/>
      <c r="O532" s="69"/>
      <c r="P532" s="69"/>
      <c r="Q532" s="69"/>
      <c r="R532" s="69"/>
    </row>
    <row r="533" spans="1:18">
      <c r="A533" s="6"/>
      <c r="B533" s="59"/>
      <c r="C533" s="60"/>
      <c r="D533" s="62"/>
      <c r="E533" s="62"/>
      <c r="F533" s="63"/>
      <c r="G533" s="59"/>
      <c r="H533" s="59"/>
      <c r="I533" s="64"/>
      <c r="J533" s="59"/>
      <c r="K533" s="65"/>
      <c r="L533" s="66"/>
      <c r="M533" s="67"/>
      <c r="N533" s="68"/>
      <c r="O533" s="69"/>
      <c r="P533" s="69"/>
      <c r="Q533" s="69"/>
      <c r="R533" s="69"/>
    </row>
    <row r="534" spans="1:18">
      <c r="A534" s="6"/>
      <c r="B534" s="59"/>
      <c r="C534" s="60"/>
      <c r="D534" s="62"/>
      <c r="E534" s="62"/>
      <c r="F534" s="63"/>
      <c r="G534" s="59"/>
      <c r="H534" s="59"/>
      <c r="I534" s="64"/>
      <c r="J534" s="59"/>
      <c r="K534" s="65"/>
      <c r="L534" s="66"/>
      <c r="M534" s="67"/>
      <c r="N534" s="68"/>
      <c r="O534" s="69"/>
      <c r="P534" s="69"/>
      <c r="Q534" s="69"/>
      <c r="R534" s="69"/>
    </row>
    <row r="535" spans="1:18">
      <c r="A535" s="6"/>
      <c r="B535" s="59"/>
      <c r="C535" s="60"/>
      <c r="D535" s="62"/>
      <c r="E535" s="62"/>
      <c r="F535" s="63"/>
      <c r="G535" s="59"/>
      <c r="H535" s="59"/>
      <c r="I535" s="64"/>
      <c r="J535" s="59"/>
      <c r="K535" s="65"/>
      <c r="L535" s="66"/>
      <c r="M535" s="67"/>
      <c r="N535" s="68"/>
      <c r="O535" s="69"/>
      <c r="P535" s="69"/>
      <c r="Q535" s="69"/>
      <c r="R535" s="69"/>
    </row>
    <row r="536" spans="1:18">
      <c r="A536" s="6"/>
      <c r="B536" s="59"/>
      <c r="C536" s="60"/>
      <c r="D536" s="62"/>
      <c r="E536" s="62"/>
      <c r="F536" s="63"/>
      <c r="G536" s="59"/>
      <c r="H536" s="59"/>
      <c r="I536" s="64"/>
      <c r="J536" s="59"/>
      <c r="K536" s="65"/>
      <c r="L536" s="66"/>
      <c r="M536" s="67"/>
      <c r="N536" s="68"/>
      <c r="O536" s="69"/>
      <c r="P536" s="69"/>
      <c r="Q536" s="69"/>
      <c r="R536" s="69"/>
    </row>
    <row r="537" spans="1:18">
      <c r="A537" s="6"/>
      <c r="B537" s="59"/>
      <c r="C537" s="60"/>
      <c r="D537" s="62"/>
      <c r="E537" s="62"/>
      <c r="F537" s="63"/>
      <c r="G537" s="59"/>
      <c r="H537" s="59"/>
      <c r="I537" s="64"/>
      <c r="J537" s="59"/>
      <c r="K537" s="65"/>
      <c r="L537" s="66"/>
      <c r="M537" s="67"/>
      <c r="N537" s="68"/>
      <c r="O537" s="69"/>
      <c r="P537" s="69"/>
      <c r="Q537" s="69"/>
      <c r="R537" s="69"/>
    </row>
    <row r="538" spans="1:18">
      <c r="A538" s="6"/>
      <c r="B538" s="59"/>
      <c r="C538" s="60"/>
      <c r="D538" s="62"/>
      <c r="E538" s="62"/>
      <c r="F538" s="63"/>
      <c r="G538" s="59"/>
      <c r="H538" s="59"/>
      <c r="I538" s="64"/>
      <c r="J538" s="59"/>
      <c r="K538" s="65"/>
      <c r="L538" s="66"/>
      <c r="M538" s="67"/>
      <c r="N538" s="68"/>
      <c r="O538" s="69"/>
      <c r="P538" s="69"/>
      <c r="Q538" s="69"/>
      <c r="R538" s="69"/>
    </row>
    <row r="539" spans="1:18">
      <c r="A539" s="6"/>
      <c r="B539" s="59"/>
      <c r="C539" s="60"/>
      <c r="D539" s="62"/>
      <c r="E539" s="62"/>
      <c r="F539" s="63"/>
      <c r="G539" s="59"/>
      <c r="H539" s="59"/>
      <c r="I539" s="64"/>
      <c r="J539" s="59"/>
      <c r="K539" s="65"/>
      <c r="L539" s="66"/>
      <c r="M539" s="67"/>
      <c r="N539" s="68"/>
      <c r="O539" s="69"/>
      <c r="P539" s="69"/>
      <c r="Q539" s="69"/>
      <c r="R539" s="69"/>
    </row>
    <row r="540" spans="1:18">
      <c r="A540" s="6"/>
      <c r="B540" s="59"/>
      <c r="C540" s="60"/>
      <c r="D540" s="62"/>
      <c r="E540" s="62"/>
      <c r="F540" s="63"/>
      <c r="G540" s="59"/>
      <c r="H540" s="59"/>
      <c r="I540" s="64"/>
      <c r="J540" s="59"/>
      <c r="K540" s="65"/>
      <c r="L540" s="66"/>
      <c r="M540" s="67"/>
      <c r="N540" s="68"/>
      <c r="O540" s="69"/>
      <c r="P540" s="69"/>
      <c r="Q540" s="69"/>
      <c r="R540" s="69"/>
    </row>
    <row r="541" spans="1:18">
      <c r="A541" s="6"/>
      <c r="B541" s="59"/>
      <c r="C541" s="60"/>
      <c r="D541" s="62"/>
      <c r="E541" s="62"/>
      <c r="F541" s="63"/>
      <c r="G541" s="59"/>
      <c r="H541" s="59"/>
      <c r="I541" s="64"/>
      <c r="J541" s="59"/>
      <c r="K541" s="65"/>
      <c r="L541" s="66"/>
      <c r="M541" s="67"/>
      <c r="N541" s="68"/>
      <c r="O541" s="69"/>
      <c r="P541" s="69"/>
      <c r="Q541" s="69"/>
      <c r="R541" s="69"/>
    </row>
    <row r="542" spans="1:18">
      <c r="A542" s="6"/>
      <c r="B542" s="59"/>
      <c r="C542" s="60"/>
      <c r="D542" s="62"/>
      <c r="E542" s="62"/>
      <c r="F542" s="63"/>
      <c r="G542" s="59"/>
      <c r="H542" s="59"/>
      <c r="I542" s="64"/>
      <c r="J542" s="59"/>
      <c r="K542" s="65"/>
      <c r="L542" s="66"/>
      <c r="M542" s="67"/>
      <c r="N542" s="68"/>
      <c r="O542" s="69"/>
      <c r="P542" s="69"/>
      <c r="Q542" s="69"/>
      <c r="R542" s="69"/>
    </row>
    <row r="543" spans="1:18">
      <c r="A543" s="6"/>
      <c r="B543" s="59"/>
      <c r="C543" s="60"/>
      <c r="D543" s="62"/>
      <c r="E543" s="62"/>
      <c r="F543" s="63"/>
      <c r="G543" s="59"/>
      <c r="H543" s="59"/>
      <c r="I543" s="64"/>
      <c r="J543" s="59"/>
      <c r="K543" s="65"/>
      <c r="L543" s="66"/>
      <c r="M543" s="67"/>
      <c r="N543" s="68"/>
      <c r="O543" s="69"/>
      <c r="P543" s="69"/>
      <c r="Q543" s="69"/>
      <c r="R543" s="69"/>
    </row>
    <row r="544" spans="1:18">
      <c r="A544" s="6"/>
      <c r="B544" s="59"/>
      <c r="C544" s="60"/>
      <c r="D544" s="62"/>
      <c r="E544" s="62"/>
      <c r="F544" s="63"/>
      <c r="G544" s="59"/>
      <c r="H544" s="59"/>
      <c r="I544" s="64"/>
      <c r="J544" s="59"/>
      <c r="K544" s="65"/>
      <c r="L544" s="66"/>
      <c r="M544" s="67"/>
      <c r="N544" s="68"/>
      <c r="O544" s="69"/>
      <c r="P544" s="69"/>
      <c r="Q544" s="69"/>
      <c r="R544" s="69"/>
    </row>
    <row r="545" spans="1:18">
      <c r="A545" s="6"/>
      <c r="B545" s="59"/>
      <c r="C545" s="60"/>
      <c r="D545" s="62"/>
      <c r="E545" s="62"/>
      <c r="F545" s="63"/>
      <c r="G545" s="59"/>
      <c r="H545" s="59"/>
      <c r="I545" s="64"/>
      <c r="J545" s="59"/>
      <c r="K545" s="65"/>
      <c r="L545" s="66"/>
      <c r="M545" s="67"/>
      <c r="N545" s="68"/>
      <c r="O545" s="69"/>
      <c r="P545" s="69"/>
      <c r="Q545" s="69"/>
      <c r="R545" s="69"/>
    </row>
    <row r="546" spans="1:18">
      <c r="A546" s="6"/>
      <c r="B546" s="59"/>
      <c r="C546" s="60"/>
      <c r="D546" s="62"/>
      <c r="E546" s="62"/>
      <c r="F546" s="63"/>
      <c r="G546" s="59"/>
      <c r="H546" s="59"/>
      <c r="I546" s="64"/>
      <c r="J546" s="59"/>
      <c r="K546" s="65"/>
      <c r="L546" s="66"/>
      <c r="M546" s="67"/>
      <c r="N546" s="68"/>
      <c r="O546" s="69"/>
      <c r="P546" s="69"/>
      <c r="Q546" s="69"/>
      <c r="R546" s="69"/>
    </row>
    <row r="547" spans="1:18">
      <c r="A547" s="6"/>
      <c r="B547" s="59"/>
      <c r="C547" s="60"/>
      <c r="D547" s="62"/>
      <c r="E547" s="62"/>
      <c r="F547" s="63"/>
      <c r="G547" s="59"/>
      <c r="H547" s="59"/>
      <c r="I547" s="64"/>
      <c r="J547" s="59"/>
      <c r="K547" s="65"/>
      <c r="L547" s="66"/>
      <c r="M547" s="67"/>
      <c r="N547" s="68"/>
      <c r="O547" s="69"/>
      <c r="P547" s="69"/>
      <c r="Q547" s="69"/>
      <c r="R547" s="69"/>
    </row>
    <row r="548" spans="1:18">
      <c r="A548" s="6"/>
      <c r="B548" s="59"/>
      <c r="C548" s="60"/>
      <c r="D548" s="62"/>
      <c r="E548" s="62"/>
      <c r="F548" s="63"/>
      <c r="G548" s="59"/>
      <c r="H548" s="59"/>
      <c r="I548" s="64"/>
      <c r="J548" s="59"/>
      <c r="K548" s="65"/>
      <c r="L548" s="66"/>
      <c r="M548" s="67"/>
      <c r="N548" s="68"/>
      <c r="O548" s="69"/>
      <c r="P548" s="69"/>
      <c r="Q548" s="69"/>
      <c r="R548" s="69"/>
    </row>
    <row r="549" spans="1:18">
      <c r="A549" s="6"/>
      <c r="B549" s="59"/>
      <c r="C549" s="60"/>
      <c r="D549" s="62"/>
      <c r="E549" s="62"/>
      <c r="F549" s="63"/>
      <c r="G549" s="59"/>
      <c r="H549" s="59"/>
      <c r="I549" s="64"/>
      <c r="J549" s="59"/>
      <c r="K549" s="65"/>
      <c r="L549" s="66"/>
      <c r="M549" s="67"/>
      <c r="N549" s="68"/>
      <c r="O549" s="69"/>
      <c r="P549" s="69"/>
      <c r="Q549" s="69"/>
      <c r="R549" s="69"/>
    </row>
    <row r="550" spans="1:18">
      <c r="A550" s="6"/>
      <c r="B550" s="59"/>
      <c r="C550" s="60"/>
      <c r="D550" s="62"/>
      <c r="E550" s="62"/>
      <c r="F550" s="63"/>
      <c r="G550" s="59"/>
      <c r="H550" s="59"/>
      <c r="I550" s="64"/>
      <c r="J550" s="59"/>
      <c r="K550" s="65"/>
      <c r="L550" s="66"/>
      <c r="M550" s="67"/>
      <c r="N550" s="68"/>
      <c r="O550" s="69"/>
      <c r="P550" s="69"/>
      <c r="Q550" s="69"/>
      <c r="R550" s="69"/>
    </row>
    <row r="551" spans="1:18">
      <c r="A551" s="6"/>
      <c r="B551" s="59"/>
      <c r="C551" s="60"/>
      <c r="D551" s="62"/>
      <c r="E551" s="62"/>
      <c r="F551" s="63"/>
      <c r="G551" s="59"/>
      <c r="H551" s="59"/>
      <c r="I551" s="64"/>
      <c r="J551" s="59"/>
      <c r="K551" s="65"/>
      <c r="L551" s="66"/>
      <c r="M551" s="67"/>
      <c r="N551" s="68"/>
      <c r="O551" s="69"/>
      <c r="P551" s="69"/>
      <c r="Q551" s="69"/>
      <c r="R551" s="69"/>
    </row>
    <row r="552" spans="1:18">
      <c r="A552" s="6"/>
      <c r="B552" s="59"/>
      <c r="C552" s="60"/>
      <c r="D552" s="62"/>
      <c r="E552" s="62"/>
      <c r="F552" s="63"/>
      <c r="G552" s="59"/>
      <c r="H552" s="59"/>
      <c r="I552" s="64"/>
      <c r="J552" s="59"/>
      <c r="K552" s="65"/>
      <c r="L552" s="66"/>
      <c r="M552" s="67"/>
      <c r="N552" s="68"/>
      <c r="O552" s="69"/>
      <c r="P552" s="69"/>
      <c r="Q552" s="69"/>
      <c r="R552" s="69"/>
    </row>
    <row r="553" spans="1:18">
      <c r="A553" s="6"/>
      <c r="B553" s="59"/>
      <c r="C553" s="60"/>
      <c r="D553" s="62"/>
      <c r="E553" s="62"/>
      <c r="F553" s="63"/>
      <c r="G553" s="59"/>
      <c r="H553" s="59"/>
      <c r="I553" s="64"/>
      <c r="J553" s="59"/>
      <c r="K553" s="65"/>
      <c r="L553" s="66"/>
      <c r="M553" s="67"/>
      <c r="N553" s="68"/>
      <c r="O553" s="69"/>
      <c r="P553" s="69"/>
      <c r="Q553" s="69"/>
      <c r="R553" s="69"/>
    </row>
    <row r="554" spans="1:18">
      <c r="A554" s="6"/>
      <c r="B554" s="59"/>
      <c r="C554" s="60"/>
      <c r="D554" s="62"/>
      <c r="E554" s="62"/>
      <c r="F554" s="63"/>
      <c r="G554" s="59"/>
      <c r="H554" s="59"/>
      <c r="I554" s="64"/>
      <c r="J554" s="59"/>
      <c r="K554" s="65"/>
      <c r="L554" s="66"/>
      <c r="M554" s="67"/>
      <c r="N554" s="68"/>
      <c r="O554" s="69"/>
      <c r="P554" s="69"/>
      <c r="Q554" s="69"/>
      <c r="R554" s="69"/>
    </row>
    <row r="555" spans="1:18">
      <c r="A555" s="6"/>
      <c r="B555" s="59"/>
      <c r="C555" s="60"/>
      <c r="D555" s="62"/>
      <c r="E555" s="62"/>
      <c r="F555" s="63"/>
      <c r="G555" s="59"/>
      <c r="H555" s="59"/>
      <c r="I555" s="64"/>
      <c r="J555" s="59"/>
      <c r="K555" s="65"/>
      <c r="L555" s="66"/>
      <c r="M555" s="67"/>
      <c r="N555" s="68"/>
      <c r="O555" s="69"/>
      <c r="P555" s="69"/>
      <c r="Q555" s="69"/>
      <c r="R555" s="69"/>
    </row>
    <row r="556" spans="1:18">
      <c r="A556" s="6"/>
      <c r="B556" s="59"/>
      <c r="C556" s="60"/>
      <c r="D556" s="62"/>
      <c r="E556" s="62"/>
      <c r="F556" s="63"/>
      <c r="G556" s="59"/>
      <c r="H556" s="59"/>
      <c r="I556" s="64"/>
      <c r="J556" s="59"/>
      <c r="K556" s="65"/>
      <c r="L556" s="66"/>
      <c r="M556" s="67"/>
      <c r="N556" s="68"/>
      <c r="O556" s="69"/>
      <c r="P556" s="69"/>
      <c r="Q556" s="69"/>
      <c r="R556" s="69"/>
    </row>
    <row r="557" spans="1:18">
      <c r="A557" s="6"/>
      <c r="B557" s="59"/>
      <c r="C557" s="60"/>
      <c r="D557" s="62"/>
      <c r="E557" s="62"/>
      <c r="F557" s="63"/>
      <c r="G557" s="59"/>
      <c r="H557" s="59"/>
      <c r="I557" s="64"/>
      <c r="J557" s="59"/>
      <c r="K557" s="65"/>
      <c r="L557" s="66"/>
      <c r="M557" s="67"/>
      <c r="N557" s="68"/>
      <c r="O557" s="69"/>
      <c r="P557" s="69"/>
      <c r="Q557" s="69"/>
      <c r="R557" s="69"/>
    </row>
    <row r="558" spans="1:18">
      <c r="A558" s="6"/>
      <c r="B558" s="59"/>
      <c r="C558" s="60"/>
      <c r="D558" s="62"/>
      <c r="E558" s="62"/>
      <c r="F558" s="63"/>
      <c r="G558" s="59"/>
      <c r="H558" s="59"/>
      <c r="I558" s="64"/>
      <c r="J558" s="59"/>
      <c r="K558" s="65"/>
      <c r="L558" s="66"/>
      <c r="M558" s="67"/>
      <c r="N558" s="68"/>
      <c r="O558" s="69"/>
      <c r="P558" s="69"/>
      <c r="Q558" s="69"/>
      <c r="R558" s="69"/>
    </row>
    <row r="559" spans="1:18">
      <c r="A559" s="6"/>
      <c r="B559" s="59"/>
      <c r="C559" s="60"/>
      <c r="D559" s="62"/>
      <c r="E559" s="62"/>
      <c r="F559" s="63"/>
      <c r="G559" s="59"/>
      <c r="H559" s="59"/>
      <c r="I559" s="64"/>
      <c r="J559" s="59"/>
      <c r="K559" s="65"/>
      <c r="L559" s="66"/>
      <c r="M559" s="67"/>
      <c r="N559" s="68"/>
      <c r="O559" s="69"/>
      <c r="P559" s="69"/>
      <c r="Q559" s="69"/>
      <c r="R559" s="69"/>
    </row>
    <row r="560" spans="1:18">
      <c r="A560" s="6"/>
      <c r="B560" s="59"/>
      <c r="C560" s="60"/>
      <c r="D560" s="62"/>
      <c r="E560" s="62"/>
      <c r="F560" s="63"/>
      <c r="G560" s="59"/>
      <c r="H560" s="59"/>
      <c r="I560" s="64"/>
      <c r="J560" s="59"/>
      <c r="K560" s="65"/>
      <c r="L560" s="66"/>
      <c r="M560" s="67"/>
      <c r="N560" s="68"/>
      <c r="O560" s="69"/>
      <c r="P560" s="69"/>
      <c r="Q560" s="69"/>
      <c r="R560" s="69"/>
    </row>
    <row r="561" spans="1:18">
      <c r="A561" s="6"/>
      <c r="B561" s="59"/>
      <c r="C561" s="60"/>
      <c r="D561" s="62"/>
      <c r="E561" s="62"/>
      <c r="F561" s="63"/>
      <c r="G561" s="59"/>
      <c r="H561" s="59"/>
      <c r="I561" s="64"/>
      <c r="J561" s="59"/>
      <c r="K561" s="65"/>
      <c r="L561" s="66"/>
      <c r="M561" s="67"/>
      <c r="N561" s="68"/>
      <c r="O561" s="69"/>
      <c r="P561" s="69"/>
      <c r="Q561" s="69"/>
      <c r="R561" s="69"/>
    </row>
    <row r="562" spans="1:18">
      <c r="A562" s="6"/>
      <c r="B562" s="59"/>
      <c r="C562" s="60"/>
      <c r="D562" s="62"/>
      <c r="E562" s="62"/>
      <c r="F562" s="63"/>
      <c r="G562" s="59"/>
      <c r="H562" s="59"/>
      <c r="I562" s="64"/>
      <c r="J562" s="59"/>
      <c r="K562" s="65"/>
      <c r="L562" s="66"/>
      <c r="M562" s="67"/>
      <c r="N562" s="68"/>
      <c r="O562" s="69"/>
      <c r="P562" s="69"/>
      <c r="Q562" s="69"/>
      <c r="R562" s="69"/>
    </row>
    <row r="563" spans="1:18">
      <c r="A563" s="6"/>
      <c r="B563" s="59"/>
      <c r="C563" s="60"/>
      <c r="D563" s="62"/>
      <c r="E563" s="62"/>
      <c r="F563" s="63"/>
      <c r="G563" s="59"/>
      <c r="H563" s="59"/>
      <c r="I563" s="64"/>
      <c r="J563" s="59"/>
      <c r="K563" s="65"/>
      <c r="L563" s="66"/>
      <c r="M563" s="67"/>
      <c r="N563" s="68"/>
      <c r="O563" s="69"/>
      <c r="P563" s="69"/>
      <c r="Q563" s="69"/>
      <c r="R563" s="69"/>
    </row>
    <row r="564" spans="1:18">
      <c r="A564" s="6"/>
      <c r="B564" s="59"/>
      <c r="C564" s="60"/>
      <c r="D564" s="62"/>
      <c r="E564" s="62"/>
      <c r="F564" s="63"/>
      <c r="G564" s="59"/>
      <c r="H564" s="59"/>
      <c r="I564" s="64"/>
      <c r="J564" s="59"/>
      <c r="K564" s="65"/>
      <c r="L564" s="66"/>
      <c r="M564" s="67"/>
      <c r="N564" s="68"/>
      <c r="O564" s="69"/>
      <c r="P564" s="69"/>
      <c r="Q564" s="69"/>
      <c r="R564" s="69"/>
    </row>
    <row r="565" spans="1:18">
      <c r="A565" s="6"/>
      <c r="B565" s="59"/>
      <c r="C565" s="60"/>
      <c r="D565" s="62"/>
      <c r="E565" s="62"/>
      <c r="F565" s="63"/>
      <c r="G565" s="59"/>
      <c r="H565" s="59"/>
      <c r="I565" s="64"/>
      <c r="J565" s="59"/>
      <c r="K565" s="65"/>
      <c r="L565" s="66"/>
      <c r="M565" s="67"/>
      <c r="N565" s="68"/>
      <c r="O565" s="69"/>
      <c r="P565" s="69"/>
      <c r="Q565" s="69"/>
      <c r="R565" s="69"/>
    </row>
    <row r="566" spans="1:18">
      <c r="A566" s="6"/>
      <c r="B566" s="59"/>
      <c r="C566" s="60"/>
      <c r="D566" s="62"/>
      <c r="E566" s="62"/>
      <c r="F566" s="63"/>
      <c r="G566" s="59"/>
      <c r="H566" s="59"/>
      <c r="I566" s="64"/>
      <c r="J566" s="59"/>
      <c r="K566" s="65"/>
      <c r="L566" s="66"/>
      <c r="M566" s="67"/>
      <c r="N566" s="68"/>
      <c r="O566" s="69"/>
      <c r="P566" s="69"/>
      <c r="Q566" s="69"/>
      <c r="R566" s="69"/>
    </row>
    <row r="567" spans="1:18">
      <c r="A567" s="6"/>
      <c r="B567" s="59"/>
      <c r="C567" s="60"/>
      <c r="D567" s="62"/>
      <c r="E567" s="62"/>
      <c r="F567" s="63"/>
      <c r="G567" s="59"/>
      <c r="H567" s="59"/>
      <c r="I567" s="64"/>
      <c r="J567" s="59"/>
      <c r="K567" s="65"/>
      <c r="L567" s="66"/>
      <c r="M567" s="67"/>
      <c r="N567" s="68"/>
      <c r="O567" s="69"/>
      <c r="P567" s="69"/>
      <c r="Q567" s="69"/>
      <c r="R567" s="69"/>
    </row>
    <row r="568" spans="1:18">
      <c r="A568" s="6"/>
      <c r="B568" s="59"/>
      <c r="C568" s="60"/>
      <c r="D568" s="62"/>
      <c r="E568" s="62"/>
      <c r="F568" s="63"/>
      <c r="G568" s="59"/>
      <c r="H568" s="59"/>
      <c r="I568" s="64"/>
      <c r="J568" s="59"/>
      <c r="K568" s="65"/>
      <c r="L568" s="66"/>
      <c r="M568" s="67"/>
      <c r="N568" s="68"/>
      <c r="O568" s="69"/>
      <c r="P568" s="69"/>
      <c r="Q568" s="69"/>
      <c r="R568" s="69"/>
    </row>
    <row r="569" spans="1:18">
      <c r="A569" s="6"/>
      <c r="B569" s="59"/>
      <c r="C569" s="60"/>
      <c r="D569" s="62"/>
      <c r="E569" s="62"/>
      <c r="F569" s="63"/>
      <c r="G569" s="59"/>
      <c r="H569" s="59"/>
      <c r="I569" s="64"/>
      <c r="J569" s="59"/>
      <c r="K569" s="65"/>
      <c r="L569" s="66"/>
      <c r="M569" s="67"/>
      <c r="N569" s="68"/>
      <c r="O569" s="69"/>
      <c r="P569" s="69"/>
      <c r="Q569" s="69"/>
      <c r="R569" s="69"/>
    </row>
    <row r="570" spans="1:18">
      <c r="A570" s="6"/>
      <c r="B570" s="59"/>
      <c r="C570" s="60"/>
      <c r="D570" s="62"/>
      <c r="E570" s="62"/>
      <c r="F570" s="63"/>
      <c r="G570" s="59"/>
      <c r="H570" s="59"/>
      <c r="I570" s="64"/>
      <c r="J570" s="59"/>
      <c r="K570" s="65"/>
      <c r="L570" s="66"/>
      <c r="M570" s="67"/>
      <c r="N570" s="68"/>
      <c r="O570" s="69"/>
      <c r="P570" s="69"/>
      <c r="Q570" s="69"/>
      <c r="R570" s="69"/>
    </row>
    <row r="571" spans="1:18">
      <c r="A571" s="6"/>
      <c r="B571" s="59"/>
      <c r="C571" s="60"/>
      <c r="D571" s="62"/>
      <c r="E571" s="62"/>
      <c r="F571" s="63"/>
      <c r="G571" s="59"/>
      <c r="H571" s="59"/>
      <c r="I571" s="64"/>
      <c r="J571" s="59"/>
      <c r="K571" s="65"/>
      <c r="L571" s="66"/>
      <c r="M571" s="67"/>
      <c r="N571" s="68"/>
      <c r="O571" s="69"/>
      <c r="P571" s="69"/>
      <c r="Q571" s="69"/>
      <c r="R571" s="69"/>
    </row>
    <row r="572" spans="1:18">
      <c r="A572" s="6"/>
      <c r="B572" s="59"/>
      <c r="C572" s="60"/>
      <c r="D572" s="62"/>
      <c r="E572" s="62"/>
      <c r="F572" s="63"/>
      <c r="G572" s="59"/>
      <c r="H572" s="59"/>
      <c r="I572" s="64"/>
      <c r="J572" s="59"/>
      <c r="K572" s="65"/>
      <c r="L572" s="66"/>
      <c r="M572" s="67"/>
      <c r="N572" s="68"/>
      <c r="O572" s="69"/>
      <c r="P572" s="69"/>
      <c r="Q572" s="69"/>
      <c r="R572" s="69"/>
    </row>
    <row r="573" spans="1:18">
      <c r="A573" s="6"/>
      <c r="B573" s="59"/>
      <c r="C573" s="60"/>
      <c r="D573" s="62"/>
      <c r="E573" s="62"/>
      <c r="F573" s="63"/>
      <c r="G573" s="59"/>
      <c r="H573" s="59"/>
      <c r="I573" s="64"/>
      <c r="J573" s="59"/>
      <c r="K573" s="65"/>
      <c r="L573" s="66"/>
      <c r="M573" s="67"/>
      <c r="N573" s="68"/>
      <c r="O573" s="69"/>
      <c r="P573" s="69"/>
      <c r="Q573" s="69"/>
      <c r="R573" s="69"/>
    </row>
    <row r="574" spans="1:18">
      <c r="A574" s="6"/>
      <c r="B574" s="59"/>
      <c r="C574" s="60"/>
      <c r="D574" s="62"/>
      <c r="E574" s="62"/>
      <c r="F574" s="63"/>
      <c r="G574" s="59"/>
      <c r="H574" s="59"/>
      <c r="I574" s="64"/>
      <c r="J574" s="59"/>
      <c r="K574" s="65"/>
      <c r="L574" s="66"/>
      <c r="M574" s="67"/>
      <c r="N574" s="68"/>
      <c r="O574" s="69"/>
      <c r="P574" s="69"/>
      <c r="Q574" s="69"/>
      <c r="R574" s="69"/>
    </row>
    <row r="575" spans="1:18">
      <c r="A575" s="6"/>
      <c r="B575" s="59"/>
      <c r="C575" s="60"/>
      <c r="D575" s="62"/>
      <c r="E575" s="62"/>
      <c r="F575" s="63"/>
      <c r="G575" s="59"/>
      <c r="H575" s="59"/>
      <c r="I575" s="64"/>
      <c r="J575" s="59"/>
      <c r="K575" s="65"/>
      <c r="L575" s="66"/>
      <c r="M575" s="67"/>
      <c r="N575" s="68"/>
      <c r="O575" s="69"/>
      <c r="P575" s="69"/>
      <c r="Q575" s="69"/>
      <c r="R575" s="69"/>
    </row>
    <row r="576" spans="1:18">
      <c r="A576" s="6"/>
      <c r="B576" s="59"/>
      <c r="C576" s="60"/>
      <c r="D576" s="62"/>
      <c r="E576" s="62"/>
      <c r="F576" s="63"/>
      <c r="G576" s="59"/>
      <c r="H576" s="59"/>
      <c r="I576" s="64"/>
      <c r="J576" s="59"/>
      <c r="K576" s="65"/>
      <c r="L576" s="66"/>
      <c r="M576" s="67"/>
      <c r="N576" s="68"/>
      <c r="O576" s="69"/>
      <c r="P576" s="69"/>
      <c r="Q576" s="69"/>
      <c r="R576" s="69"/>
    </row>
    <row r="577" spans="1:18">
      <c r="A577" s="6"/>
      <c r="B577" s="59"/>
      <c r="C577" s="60"/>
      <c r="D577" s="62"/>
      <c r="E577" s="62"/>
      <c r="F577" s="63"/>
      <c r="G577" s="59"/>
      <c r="H577" s="59"/>
      <c r="I577" s="64"/>
      <c r="J577" s="59"/>
      <c r="K577" s="65"/>
      <c r="L577" s="66"/>
      <c r="M577" s="67"/>
      <c r="N577" s="68"/>
      <c r="O577" s="69"/>
      <c r="P577" s="69"/>
      <c r="Q577" s="69"/>
      <c r="R577" s="69"/>
    </row>
    <row r="578" spans="1:18">
      <c r="A578" s="6"/>
      <c r="B578" s="59"/>
      <c r="C578" s="60"/>
      <c r="D578" s="62"/>
      <c r="E578" s="62"/>
      <c r="F578" s="63"/>
      <c r="G578" s="59"/>
      <c r="H578" s="59"/>
      <c r="I578" s="64"/>
      <c r="J578" s="59"/>
      <c r="K578" s="65"/>
      <c r="L578" s="66"/>
      <c r="M578" s="67"/>
      <c r="N578" s="68"/>
      <c r="O578" s="69"/>
      <c r="P578" s="69"/>
      <c r="Q578" s="69"/>
      <c r="R578" s="69"/>
    </row>
    <row r="579" spans="1:18">
      <c r="A579" s="6"/>
      <c r="B579" s="59"/>
      <c r="C579" s="60"/>
      <c r="D579" s="62"/>
      <c r="E579" s="62"/>
      <c r="F579" s="63"/>
      <c r="G579" s="59"/>
      <c r="H579" s="59"/>
      <c r="I579" s="64"/>
      <c r="J579" s="59"/>
      <c r="K579" s="65"/>
      <c r="L579" s="66"/>
      <c r="M579" s="67"/>
      <c r="N579" s="68"/>
      <c r="O579" s="69"/>
      <c r="P579" s="69"/>
      <c r="Q579" s="69"/>
      <c r="R579" s="69"/>
    </row>
    <row r="580" spans="1:18">
      <c r="A580" s="6"/>
      <c r="B580" s="59"/>
      <c r="C580" s="60"/>
      <c r="D580" s="62"/>
      <c r="E580" s="62"/>
      <c r="F580" s="63"/>
      <c r="G580" s="59"/>
      <c r="H580" s="59"/>
      <c r="I580" s="64"/>
      <c r="J580" s="59"/>
      <c r="K580" s="65"/>
      <c r="L580" s="66"/>
      <c r="M580" s="67"/>
      <c r="N580" s="68"/>
      <c r="O580" s="69"/>
      <c r="P580" s="69"/>
      <c r="Q580" s="69"/>
      <c r="R580" s="69"/>
    </row>
    <row r="581" spans="1:18">
      <c r="A581" s="6"/>
      <c r="B581" s="59"/>
      <c r="C581" s="60"/>
      <c r="D581" s="62"/>
      <c r="E581" s="62"/>
      <c r="F581" s="63"/>
      <c r="G581" s="59"/>
      <c r="H581" s="59"/>
      <c r="I581" s="64"/>
      <c r="J581" s="59"/>
      <c r="K581" s="65"/>
      <c r="L581" s="66"/>
      <c r="M581" s="67"/>
      <c r="N581" s="68"/>
      <c r="O581" s="69"/>
      <c r="P581" s="69"/>
      <c r="Q581" s="69"/>
      <c r="R581" s="69"/>
    </row>
    <row r="582" spans="1:18">
      <c r="A582" s="6"/>
      <c r="B582" s="59"/>
      <c r="C582" s="60"/>
      <c r="D582" s="62"/>
      <c r="E582" s="62"/>
      <c r="F582" s="63"/>
      <c r="G582" s="59"/>
      <c r="H582" s="59"/>
      <c r="I582" s="64"/>
      <c r="J582" s="59"/>
      <c r="K582" s="65"/>
      <c r="L582" s="66"/>
      <c r="M582" s="67"/>
      <c r="N582" s="68"/>
      <c r="O582" s="69"/>
      <c r="P582" s="69"/>
      <c r="Q582" s="69"/>
      <c r="R582" s="69"/>
    </row>
    <row r="583" spans="1:18">
      <c r="A583" s="6"/>
      <c r="B583" s="59"/>
      <c r="C583" s="60"/>
      <c r="D583" s="62"/>
      <c r="E583" s="62"/>
      <c r="F583" s="63"/>
      <c r="G583" s="59"/>
      <c r="H583" s="59"/>
      <c r="I583" s="64"/>
      <c r="J583" s="59"/>
      <c r="K583" s="65"/>
      <c r="L583" s="66"/>
      <c r="M583" s="67"/>
      <c r="N583" s="68"/>
      <c r="O583" s="69"/>
      <c r="P583" s="69"/>
      <c r="Q583" s="69"/>
      <c r="R583" s="69"/>
    </row>
    <row r="584" spans="1:18">
      <c r="A584" s="6"/>
      <c r="B584" s="59"/>
      <c r="C584" s="60"/>
      <c r="D584" s="62"/>
      <c r="E584" s="62"/>
      <c r="F584" s="63"/>
      <c r="G584" s="59"/>
      <c r="H584" s="59"/>
      <c r="I584" s="64"/>
      <c r="J584" s="59"/>
      <c r="K584" s="65"/>
      <c r="L584" s="66"/>
      <c r="M584" s="67"/>
      <c r="N584" s="68"/>
      <c r="O584" s="69"/>
      <c r="P584" s="69"/>
      <c r="Q584" s="69"/>
      <c r="R584" s="69"/>
    </row>
    <row r="585" spans="1:18">
      <c r="A585" s="6"/>
      <c r="B585" s="59"/>
      <c r="C585" s="60"/>
      <c r="D585" s="62"/>
      <c r="E585" s="62"/>
      <c r="F585" s="63"/>
      <c r="G585" s="59"/>
      <c r="H585" s="59"/>
      <c r="I585" s="64"/>
      <c r="J585" s="59"/>
      <c r="K585" s="65"/>
      <c r="L585" s="66"/>
      <c r="M585" s="67"/>
      <c r="N585" s="68"/>
      <c r="O585" s="69"/>
      <c r="P585" s="69"/>
      <c r="Q585" s="69"/>
      <c r="R585" s="69"/>
    </row>
    <row r="586" spans="1:18">
      <c r="A586" s="6"/>
      <c r="B586" s="59"/>
      <c r="C586" s="60"/>
      <c r="D586" s="62"/>
      <c r="E586" s="62"/>
      <c r="F586" s="63"/>
      <c r="G586" s="59"/>
      <c r="H586" s="59"/>
      <c r="I586" s="64"/>
      <c r="J586" s="59"/>
      <c r="K586" s="65"/>
      <c r="L586" s="66"/>
      <c r="M586" s="67"/>
      <c r="N586" s="68"/>
      <c r="O586" s="69"/>
      <c r="P586" s="69"/>
      <c r="Q586" s="69"/>
      <c r="R586" s="69"/>
    </row>
    <row r="587" spans="1:18">
      <c r="A587" s="6"/>
      <c r="B587" s="59"/>
      <c r="C587" s="60"/>
      <c r="D587" s="62"/>
      <c r="E587" s="62"/>
      <c r="F587" s="63"/>
      <c r="G587" s="59"/>
      <c r="H587" s="59"/>
      <c r="I587" s="64"/>
      <c r="J587" s="59"/>
      <c r="K587" s="65"/>
      <c r="L587" s="66"/>
      <c r="M587" s="67"/>
      <c r="N587" s="68"/>
      <c r="O587" s="69"/>
      <c r="P587" s="69"/>
      <c r="Q587" s="69"/>
      <c r="R587" s="69"/>
    </row>
    <row r="588" spans="1:18">
      <c r="A588" s="6"/>
      <c r="B588" s="59"/>
      <c r="C588" s="60"/>
      <c r="D588" s="62"/>
      <c r="E588" s="62"/>
      <c r="F588" s="63"/>
      <c r="G588" s="59"/>
      <c r="H588" s="59"/>
      <c r="I588" s="64"/>
      <c r="J588" s="59"/>
      <c r="K588" s="65"/>
      <c r="L588" s="66"/>
      <c r="M588" s="67"/>
      <c r="N588" s="68"/>
      <c r="O588" s="69"/>
      <c r="P588" s="69"/>
      <c r="Q588" s="69"/>
      <c r="R588" s="69"/>
    </row>
    <row r="589" spans="1:18">
      <c r="A589" s="6"/>
      <c r="B589" s="59"/>
      <c r="C589" s="60"/>
      <c r="D589" s="62"/>
      <c r="E589" s="62"/>
      <c r="F589" s="63"/>
      <c r="G589" s="59"/>
      <c r="H589" s="59"/>
      <c r="I589" s="64"/>
      <c r="J589" s="59"/>
      <c r="K589" s="65"/>
      <c r="L589" s="66"/>
      <c r="M589" s="67"/>
      <c r="N589" s="68"/>
      <c r="O589" s="69"/>
      <c r="P589" s="69"/>
      <c r="Q589" s="69"/>
      <c r="R589" s="69"/>
    </row>
    <row r="590" spans="1:18">
      <c r="A590" s="6"/>
      <c r="B590" s="59"/>
      <c r="C590" s="60"/>
      <c r="D590" s="62"/>
      <c r="E590" s="62"/>
      <c r="F590" s="63"/>
      <c r="G590" s="59"/>
      <c r="H590" s="59"/>
      <c r="I590" s="64"/>
      <c r="J590" s="59"/>
      <c r="K590" s="65"/>
      <c r="L590" s="66"/>
      <c r="M590" s="67"/>
      <c r="N590" s="68"/>
      <c r="O590" s="69"/>
      <c r="P590" s="69"/>
      <c r="Q590" s="69"/>
      <c r="R590" s="69"/>
    </row>
    <row r="591" spans="1:18">
      <c r="A591" s="6"/>
      <c r="B591" s="59"/>
      <c r="C591" s="60"/>
      <c r="D591" s="62"/>
      <c r="E591" s="62"/>
      <c r="F591" s="63"/>
      <c r="G591" s="59"/>
      <c r="H591" s="59"/>
      <c r="I591" s="64"/>
      <c r="J591" s="59"/>
      <c r="K591" s="65"/>
      <c r="L591" s="66"/>
      <c r="M591" s="67"/>
      <c r="N591" s="68"/>
      <c r="O591" s="69"/>
      <c r="P591" s="69"/>
      <c r="Q591" s="69"/>
      <c r="R591" s="69"/>
    </row>
    <row r="592" spans="1:18">
      <c r="A592" s="6"/>
      <c r="B592" s="59"/>
      <c r="C592" s="60"/>
      <c r="D592" s="62"/>
      <c r="E592" s="62"/>
      <c r="F592" s="63"/>
      <c r="G592" s="59"/>
      <c r="H592" s="59"/>
      <c r="I592" s="64"/>
      <c r="J592" s="59"/>
      <c r="K592" s="65"/>
      <c r="L592" s="66"/>
      <c r="M592" s="67"/>
      <c r="N592" s="68"/>
      <c r="O592" s="69"/>
      <c r="P592" s="69"/>
      <c r="Q592" s="69"/>
      <c r="R592" s="69"/>
    </row>
    <row r="593" spans="1:18">
      <c r="A593" s="6"/>
      <c r="B593" s="59"/>
      <c r="C593" s="60"/>
      <c r="D593" s="62"/>
      <c r="E593" s="62"/>
      <c r="F593" s="63"/>
      <c r="G593" s="59"/>
      <c r="H593" s="59"/>
      <c r="I593" s="64"/>
      <c r="J593" s="59"/>
      <c r="K593" s="65"/>
      <c r="L593" s="66"/>
      <c r="M593" s="67"/>
      <c r="N593" s="68"/>
      <c r="O593" s="69"/>
      <c r="P593" s="69"/>
      <c r="Q593" s="69"/>
      <c r="R593" s="69"/>
    </row>
    <row r="594" spans="1:18">
      <c r="A594" s="6"/>
      <c r="B594" s="59"/>
      <c r="C594" s="60"/>
      <c r="D594" s="62"/>
      <c r="E594" s="62"/>
      <c r="F594" s="63"/>
      <c r="G594" s="59"/>
      <c r="H594" s="59"/>
      <c r="I594" s="64"/>
      <c r="J594" s="59"/>
      <c r="K594" s="65"/>
      <c r="L594" s="66"/>
      <c r="M594" s="67"/>
      <c r="N594" s="68"/>
      <c r="O594" s="69"/>
      <c r="P594" s="69"/>
      <c r="Q594" s="69"/>
      <c r="R594" s="69"/>
    </row>
    <row r="595" spans="1:18">
      <c r="A595" s="6"/>
      <c r="B595" s="59"/>
      <c r="C595" s="60"/>
      <c r="D595" s="62"/>
      <c r="E595" s="62"/>
      <c r="F595" s="63"/>
      <c r="G595" s="59"/>
      <c r="H595" s="59"/>
      <c r="I595" s="64"/>
      <c r="J595" s="59"/>
      <c r="K595" s="65"/>
      <c r="L595" s="66"/>
      <c r="M595" s="67"/>
      <c r="N595" s="68"/>
      <c r="O595" s="69"/>
      <c r="P595" s="69"/>
      <c r="Q595" s="69"/>
      <c r="R595" s="69"/>
    </row>
    <row r="596" spans="1:18">
      <c r="A596" s="6"/>
      <c r="B596" s="59"/>
      <c r="C596" s="60"/>
      <c r="D596" s="62"/>
      <c r="E596" s="62"/>
      <c r="F596" s="63"/>
      <c r="G596" s="59"/>
      <c r="H596" s="59"/>
      <c r="I596" s="64"/>
      <c r="J596" s="59"/>
      <c r="K596" s="65"/>
      <c r="L596" s="66"/>
      <c r="M596" s="67"/>
      <c r="N596" s="68"/>
      <c r="O596" s="69"/>
      <c r="P596" s="69"/>
      <c r="Q596" s="69"/>
      <c r="R596" s="69"/>
    </row>
    <row r="597" spans="1:18">
      <c r="A597" s="6"/>
      <c r="B597" s="59"/>
      <c r="C597" s="60"/>
      <c r="D597" s="62"/>
      <c r="E597" s="62"/>
      <c r="F597" s="63"/>
      <c r="G597" s="59"/>
      <c r="H597" s="59"/>
      <c r="I597" s="64"/>
      <c r="J597" s="59"/>
      <c r="K597" s="65"/>
      <c r="L597" s="66"/>
      <c r="M597" s="67"/>
      <c r="N597" s="68"/>
      <c r="O597" s="69"/>
      <c r="P597" s="69"/>
      <c r="Q597" s="69"/>
      <c r="R597" s="69"/>
    </row>
    <row r="598" spans="1:18">
      <c r="A598" s="6"/>
      <c r="B598" s="59"/>
      <c r="C598" s="60"/>
      <c r="D598" s="62"/>
      <c r="E598" s="62"/>
      <c r="F598" s="63"/>
      <c r="G598" s="59"/>
      <c r="H598" s="59"/>
      <c r="I598" s="64"/>
      <c r="J598" s="59"/>
      <c r="K598" s="65"/>
      <c r="L598" s="66"/>
      <c r="M598" s="67"/>
      <c r="N598" s="68"/>
      <c r="O598" s="69"/>
      <c r="P598" s="69"/>
      <c r="Q598" s="69"/>
      <c r="R598" s="69"/>
    </row>
    <row r="599" spans="1:18">
      <c r="A599" s="6"/>
      <c r="B599" s="59"/>
      <c r="C599" s="60"/>
      <c r="D599" s="62"/>
      <c r="E599" s="62"/>
      <c r="F599" s="63"/>
      <c r="G599" s="59"/>
      <c r="H599" s="59"/>
      <c r="I599" s="64"/>
      <c r="J599" s="59"/>
      <c r="K599" s="65"/>
      <c r="L599" s="66"/>
      <c r="M599" s="67"/>
      <c r="N599" s="68"/>
      <c r="O599" s="69"/>
      <c r="P599" s="69"/>
      <c r="Q599" s="69"/>
      <c r="R599" s="69"/>
    </row>
    <row r="600" spans="1:18">
      <c r="A600" s="6"/>
      <c r="B600" s="59"/>
      <c r="C600" s="60"/>
      <c r="D600" s="62"/>
      <c r="E600" s="62"/>
      <c r="F600" s="63"/>
      <c r="G600" s="59"/>
      <c r="H600" s="59"/>
      <c r="I600" s="64"/>
      <c r="J600" s="59"/>
      <c r="K600" s="65"/>
      <c r="L600" s="66"/>
      <c r="M600" s="67"/>
      <c r="N600" s="68"/>
      <c r="O600" s="69"/>
      <c r="P600" s="69"/>
      <c r="Q600" s="69"/>
      <c r="R600" s="69"/>
    </row>
    <row r="601" spans="1:18">
      <c r="A601" s="6"/>
      <c r="B601" s="59"/>
      <c r="C601" s="60"/>
      <c r="D601" s="62"/>
      <c r="E601" s="62"/>
      <c r="F601" s="63"/>
      <c r="G601" s="59"/>
      <c r="H601" s="59"/>
      <c r="I601" s="64"/>
      <c r="J601" s="59"/>
      <c r="K601" s="65"/>
      <c r="L601" s="66"/>
      <c r="M601" s="67"/>
      <c r="N601" s="68"/>
      <c r="O601" s="69"/>
      <c r="P601" s="69"/>
      <c r="Q601" s="69"/>
      <c r="R601" s="69"/>
    </row>
    <row r="602" spans="1:18">
      <c r="A602" s="6"/>
      <c r="B602" s="59"/>
      <c r="C602" s="60"/>
      <c r="D602" s="62"/>
      <c r="E602" s="62"/>
      <c r="F602" s="63"/>
      <c r="G602" s="59"/>
      <c r="H602" s="59"/>
      <c r="I602" s="64"/>
      <c r="J602" s="59"/>
      <c r="K602" s="65"/>
      <c r="L602" s="66"/>
      <c r="M602" s="67"/>
      <c r="N602" s="68"/>
      <c r="O602" s="69"/>
      <c r="P602" s="69"/>
      <c r="Q602" s="69"/>
      <c r="R602" s="69"/>
    </row>
    <row r="603" spans="1:18">
      <c r="A603" s="6"/>
      <c r="B603" s="59"/>
      <c r="C603" s="60"/>
      <c r="D603" s="62"/>
      <c r="E603" s="62"/>
      <c r="F603" s="63"/>
      <c r="G603" s="59"/>
      <c r="H603" s="59"/>
      <c r="I603" s="64"/>
      <c r="J603" s="59"/>
      <c r="K603" s="65"/>
      <c r="L603" s="66"/>
      <c r="M603" s="67"/>
      <c r="N603" s="68"/>
      <c r="O603" s="69"/>
      <c r="P603" s="69"/>
      <c r="Q603" s="69"/>
      <c r="R603" s="69"/>
    </row>
    <row r="604" spans="1:18">
      <c r="A604" s="6"/>
      <c r="B604" s="59"/>
      <c r="C604" s="60"/>
      <c r="D604" s="62"/>
      <c r="E604" s="62"/>
      <c r="F604" s="63"/>
      <c r="G604" s="59"/>
      <c r="H604" s="59"/>
      <c r="I604" s="64"/>
      <c r="J604" s="59"/>
      <c r="K604" s="65"/>
      <c r="L604" s="66"/>
      <c r="M604" s="67"/>
      <c r="N604" s="68"/>
      <c r="O604" s="69"/>
      <c r="P604" s="69"/>
      <c r="Q604" s="69"/>
      <c r="R604" s="69"/>
    </row>
    <row r="605" spans="1:18">
      <c r="A605" s="6"/>
      <c r="B605" s="59"/>
      <c r="C605" s="60"/>
      <c r="D605" s="62"/>
      <c r="E605" s="62"/>
      <c r="F605" s="63"/>
      <c r="G605" s="59"/>
      <c r="H605" s="59"/>
      <c r="I605" s="64"/>
      <c r="J605" s="59"/>
      <c r="K605" s="65"/>
      <c r="L605" s="66"/>
      <c r="M605" s="67"/>
      <c r="N605" s="68"/>
      <c r="O605" s="69"/>
      <c r="P605" s="69"/>
      <c r="Q605" s="69"/>
      <c r="R605" s="69"/>
    </row>
    <row r="606" spans="1:18">
      <c r="A606" s="6"/>
      <c r="B606" s="59"/>
      <c r="C606" s="60"/>
      <c r="D606" s="62"/>
      <c r="E606" s="62"/>
      <c r="F606" s="63"/>
      <c r="G606" s="59"/>
      <c r="H606" s="59"/>
      <c r="I606" s="64"/>
      <c r="J606" s="59"/>
      <c r="K606" s="65"/>
      <c r="L606" s="66"/>
      <c r="M606" s="67"/>
      <c r="N606" s="68"/>
      <c r="O606" s="69"/>
      <c r="P606" s="69"/>
      <c r="Q606" s="69"/>
      <c r="R606" s="69"/>
    </row>
    <row r="607" spans="1:18">
      <c r="A607" s="6"/>
      <c r="B607" s="59"/>
      <c r="C607" s="60"/>
      <c r="D607" s="62"/>
      <c r="E607" s="62"/>
      <c r="F607" s="63"/>
      <c r="G607" s="59"/>
      <c r="H607" s="59"/>
      <c r="I607" s="64"/>
      <c r="J607" s="59"/>
      <c r="K607" s="65"/>
      <c r="L607" s="66"/>
      <c r="M607" s="67"/>
      <c r="N607" s="68"/>
      <c r="O607" s="69"/>
      <c r="P607" s="69"/>
      <c r="Q607" s="69"/>
      <c r="R607" s="69"/>
    </row>
    <row r="608" spans="1:18">
      <c r="A608" s="6"/>
      <c r="B608" s="59"/>
      <c r="C608" s="60"/>
      <c r="D608" s="62"/>
      <c r="E608" s="62"/>
      <c r="F608" s="63"/>
      <c r="G608" s="59"/>
      <c r="H608" s="59"/>
      <c r="I608" s="64"/>
      <c r="J608" s="59"/>
      <c r="K608" s="65"/>
      <c r="L608" s="66"/>
      <c r="M608" s="67"/>
      <c r="N608" s="68"/>
      <c r="O608" s="69"/>
      <c r="P608" s="69"/>
      <c r="Q608" s="69"/>
      <c r="R608" s="69"/>
    </row>
    <row r="609" spans="1:18">
      <c r="A609" s="6"/>
      <c r="B609" s="59"/>
      <c r="C609" s="60"/>
      <c r="D609" s="62"/>
      <c r="E609" s="62"/>
      <c r="F609" s="63"/>
      <c r="G609" s="59"/>
      <c r="H609" s="59"/>
      <c r="I609" s="64"/>
      <c r="J609" s="59"/>
      <c r="K609" s="65"/>
      <c r="L609" s="66"/>
      <c r="M609" s="67"/>
      <c r="N609" s="68"/>
      <c r="O609" s="69"/>
      <c r="P609" s="69"/>
      <c r="Q609" s="69"/>
      <c r="R609" s="69"/>
    </row>
    <row r="610" spans="1:18">
      <c r="A610" s="6"/>
      <c r="B610" s="59"/>
      <c r="C610" s="60"/>
      <c r="D610" s="62"/>
      <c r="E610" s="62"/>
      <c r="F610" s="63"/>
      <c r="G610" s="59"/>
      <c r="H610" s="59"/>
      <c r="I610" s="64"/>
      <c r="J610" s="59"/>
      <c r="K610" s="65"/>
      <c r="L610" s="66"/>
      <c r="M610" s="67"/>
      <c r="N610" s="68"/>
      <c r="O610" s="69"/>
      <c r="P610" s="69"/>
      <c r="Q610" s="69"/>
      <c r="R610" s="69"/>
    </row>
    <row r="611" spans="1:18">
      <c r="A611" s="6"/>
      <c r="B611" s="59"/>
      <c r="C611" s="60"/>
      <c r="D611" s="62"/>
      <c r="E611" s="62"/>
      <c r="F611" s="63"/>
      <c r="G611" s="59"/>
      <c r="H611" s="59"/>
      <c r="I611" s="64"/>
      <c r="J611" s="59"/>
      <c r="K611" s="65"/>
      <c r="L611" s="66"/>
      <c r="M611" s="67"/>
      <c r="N611" s="68"/>
      <c r="O611" s="69"/>
      <c r="P611" s="69"/>
      <c r="Q611" s="69"/>
      <c r="R611" s="69"/>
    </row>
    <row r="612" spans="1:18">
      <c r="A612" s="6"/>
      <c r="B612" s="59"/>
      <c r="C612" s="60"/>
      <c r="D612" s="62"/>
      <c r="E612" s="62"/>
      <c r="F612" s="63"/>
      <c r="G612" s="59"/>
      <c r="H612" s="59"/>
      <c r="I612" s="64"/>
      <c r="J612" s="59"/>
      <c r="K612" s="65"/>
      <c r="L612" s="66"/>
      <c r="M612" s="67"/>
      <c r="N612" s="68"/>
      <c r="O612" s="69"/>
      <c r="P612" s="69"/>
      <c r="Q612" s="69"/>
      <c r="R612" s="69"/>
    </row>
    <row r="613" spans="1:18">
      <c r="A613" s="6"/>
      <c r="B613" s="59"/>
      <c r="C613" s="60"/>
      <c r="D613" s="62"/>
      <c r="E613" s="62"/>
      <c r="F613" s="63"/>
      <c r="G613" s="59"/>
      <c r="H613" s="59"/>
      <c r="I613" s="64"/>
      <c r="J613" s="59"/>
      <c r="K613" s="65"/>
      <c r="L613" s="66"/>
      <c r="M613" s="67"/>
      <c r="N613" s="68"/>
      <c r="O613" s="69"/>
      <c r="P613" s="69"/>
      <c r="Q613" s="69"/>
      <c r="R613" s="69"/>
    </row>
    <row r="614" spans="1:18">
      <c r="A614" s="6"/>
      <c r="B614" s="59"/>
      <c r="C614" s="60"/>
      <c r="D614" s="62"/>
      <c r="E614" s="62"/>
      <c r="F614" s="63"/>
      <c r="G614" s="59"/>
      <c r="H614" s="59"/>
      <c r="I614" s="64"/>
      <c r="J614" s="59"/>
      <c r="K614" s="65"/>
      <c r="L614" s="66"/>
      <c r="M614" s="67"/>
      <c r="N614" s="68"/>
      <c r="O614" s="69"/>
      <c r="P614" s="69"/>
      <c r="Q614" s="69"/>
      <c r="R614" s="69"/>
    </row>
    <row r="615" spans="1:18">
      <c r="A615" s="6"/>
      <c r="B615" s="59"/>
      <c r="C615" s="60"/>
      <c r="D615" s="62"/>
      <c r="E615" s="62"/>
      <c r="F615" s="63"/>
      <c r="G615" s="59"/>
      <c r="H615" s="59"/>
      <c r="I615" s="64"/>
      <c r="J615" s="59"/>
      <c r="K615" s="65"/>
      <c r="L615" s="66"/>
      <c r="M615" s="67"/>
      <c r="N615" s="68"/>
      <c r="O615" s="69"/>
      <c r="P615" s="69"/>
      <c r="Q615" s="69"/>
      <c r="R615" s="69"/>
    </row>
    <row r="616" spans="1:18">
      <c r="A616" s="6"/>
      <c r="B616" s="59"/>
      <c r="C616" s="60"/>
      <c r="D616" s="62"/>
      <c r="E616" s="62"/>
      <c r="F616" s="63"/>
      <c r="G616" s="59"/>
      <c r="H616" s="59"/>
      <c r="I616" s="64"/>
      <c r="J616" s="59"/>
      <c r="K616" s="65"/>
      <c r="L616" s="66"/>
      <c r="M616" s="67"/>
      <c r="N616" s="68"/>
      <c r="O616" s="69"/>
      <c r="P616" s="69"/>
      <c r="Q616" s="69"/>
      <c r="R616" s="69"/>
    </row>
    <row r="617" spans="1:18">
      <c r="A617" s="6"/>
      <c r="B617" s="59"/>
      <c r="C617" s="60"/>
      <c r="D617" s="62"/>
      <c r="E617" s="62"/>
      <c r="F617" s="63"/>
      <c r="G617" s="59"/>
      <c r="H617" s="59"/>
      <c r="I617" s="64"/>
      <c r="J617" s="59"/>
      <c r="K617" s="65"/>
      <c r="L617" s="66"/>
      <c r="M617" s="67"/>
      <c r="N617" s="68"/>
      <c r="O617" s="69"/>
      <c r="P617" s="69"/>
      <c r="Q617" s="69"/>
      <c r="R617" s="69"/>
    </row>
    <row r="618" spans="1:18">
      <c r="A618" s="6"/>
      <c r="B618" s="59"/>
      <c r="C618" s="60"/>
      <c r="D618" s="62"/>
      <c r="E618" s="62"/>
      <c r="F618" s="63"/>
      <c r="G618" s="59"/>
      <c r="H618" s="59"/>
      <c r="I618" s="64"/>
      <c r="J618" s="59"/>
      <c r="K618" s="65"/>
      <c r="L618" s="66"/>
      <c r="M618" s="67"/>
      <c r="N618" s="68"/>
      <c r="O618" s="69"/>
      <c r="P618" s="69"/>
      <c r="Q618" s="69"/>
      <c r="R618" s="69"/>
    </row>
    <row r="619" spans="1:18">
      <c r="A619" s="6"/>
      <c r="B619" s="59"/>
      <c r="C619" s="60"/>
      <c r="D619" s="62"/>
      <c r="E619" s="62"/>
      <c r="F619" s="63"/>
      <c r="G619" s="59"/>
      <c r="H619" s="59"/>
      <c r="I619" s="64"/>
      <c r="J619" s="59"/>
      <c r="K619" s="65"/>
      <c r="L619" s="66"/>
      <c r="M619" s="67"/>
      <c r="N619" s="68"/>
      <c r="O619" s="69"/>
      <c r="P619" s="69"/>
      <c r="Q619" s="69"/>
      <c r="R619" s="69"/>
    </row>
    <row r="620" spans="1:18">
      <c r="A620" s="6"/>
      <c r="B620" s="59"/>
      <c r="C620" s="60"/>
      <c r="D620" s="62"/>
      <c r="E620" s="62"/>
      <c r="F620" s="63"/>
      <c r="G620" s="59"/>
      <c r="H620" s="59"/>
      <c r="I620" s="64"/>
      <c r="J620" s="59"/>
      <c r="K620" s="65"/>
      <c r="L620" s="66"/>
      <c r="M620" s="67"/>
      <c r="N620" s="68"/>
      <c r="O620" s="69"/>
      <c r="P620" s="69"/>
      <c r="Q620" s="69"/>
      <c r="R620" s="69"/>
    </row>
    <row r="621" spans="1:18">
      <c r="A621" s="6"/>
      <c r="B621" s="59"/>
      <c r="C621" s="60"/>
      <c r="D621" s="62"/>
      <c r="E621" s="62"/>
      <c r="F621" s="63"/>
      <c r="G621" s="59"/>
      <c r="H621" s="59"/>
      <c r="I621" s="64"/>
      <c r="J621" s="59"/>
      <c r="K621" s="65"/>
      <c r="L621" s="66"/>
      <c r="M621" s="67"/>
      <c r="N621" s="68"/>
      <c r="O621" s="69"/>
      <c r="P621" s="69"/>
      <c r="Q621" s="69"/>
      <c r="R621" s="69"/>
    </row>
    <row r="622" spans="1:18">
      <c r="A622" s="6"/>
      <c r="B622" s="59"/>
      <c r="C622" s="60"/>
      <c r="D622" s="62"/>
      <c r="E622" s="62"/>
      <c r="F622" s="63"/>
      <c r="G622" s="59"/>
      <c r="H622" s="59"/>
      <c r="I622" s="64"/>
      <c r="J622" s="59"/>
      <c r="K622" s="65"/>
      <c r="L622" s="66"/>
      <c r="M622" s="67"/>
      <c r="N622" s="68"/>
      <c r="O622" s="69"/>
      <c r="P622" s="69"/>
      <c r="Q622" s="69"/>
      <c r="R622" s="69"/>
    </row>
    <row r="623" spans="1:18">
      <c r="A623" s="6"/>
      <c r="B623" s="59"/>
      <c r="C623" s="60"/>
      <c r="D623" s="62"/>
      <c r="E623" s="62"/>
      <c r="F623" s="63"/>
      <c r="G623" s="59"/>
      <c r="H623" s="59"/>
      <c r="I623" s="64"/>
      <c r="J623" s="59"/>
      <c r="K623" s="65"/>
      <c r="L623" s="66"/>
      <c r="M623" s="67"/>
      <c r="N623" s="68"/>
      <c r="O623" s="69"/>
      <c r="P623" s="69"/>
      <c r="Q623" s="69"/>
      <c r="R623" s="69"/>
    </row>
    <row r="624" spans="1:18">
      <c r="A624" s="6"/>
      <c r="B624" s="59"/>
      <c r="C624" s="60"/>
      <c r="D624" s="62"/>
      <c r="E624" s="62"/>
      <c r="F624" s="63"/>
      <c r="G624" s="59"/>
      <c r="H624" s="59"/>
      <c r="I624" s="64"/>
      <c r="J624" s="59"/>
      <c r="K624" s="65"/>
      <c r="L624" s="66"/>
      <c r="M624" s="67"/>
      <c r="N624" s="68"/>
      <c r="O624" s="69"/>
      <c r="P624" s="69"/>
      <c r="Q624" s="69"/>
      <c r="R624" s="69"/>
    </row>
    <row r="625" spans="1:18">
      <c r="A625" s="6"/>
      <c r="B625" s="59"/>
      <c r="C625" s="60"/>
      <c r="D625" s="62"/>
      <c r="E625" s="62"/>
      <c r="F625" s="63"/>
      <c r="G625" s="59"/>
      <c r="H625" s="59"/>
      <c r="I625" s="64"/>
      <c r="J625" s="59"/>
      <c r="K625" s="65"/>
      <c r="L625" s="66"/>
      <c r="M625" s="67"/>
      <c r="N625" s="68"/>
      <c r="O625" s="69"/>
      <c r="P625" s="69"/>
      <c r="Q625" s="69"/>
      <c r="R625" s="69"/>
    </row>
    <row r="626" spans="1:18">
      <c r="A626" s="6"/>
      <c r="B626" s="59"/>
      <c r="C626" s="60"/>
      <c r="D626" s="62"/>
      <c r="E626" s="62"/>
      <c r="F626" s="63"/>
      <c r="G626" s="59"/>
      <c r="H626" s="59"/>
      <c r="I626" s="64"/>
      <c r="J626" s="59"/>
      <c r="K626" s="65"/>
      <c r="L626" s="66"/>
      <c r="M626" s="67"/>
      <c r="N626" s="68"/>
      <c r="O626" s="69"/>
      <c r="P626" s="69"/>
      <c r="Q626" s="69"/>
      <c r="R626" s="69"/>
    </row>
    <row r="627" spans="1:18">
      <c r="A627" s="6"/>
      <c r="B627" s="59"/>
      <c r="C627" s="60"/>
      <c r="D627" s="62"/>
      <c r="E627" s="62"/>
      <c r="F627" s="63"/>
      <c r="G627" s="59"/>
      <c r="H627" s="59"/>
      <c r="I627" s="64"/>
      <c r="J627" s="59"/>
      <c r="K627" s="65"/>
      <c r="L627" s="66"/>
      <c r="M627" s="67"/>
      <c r="N627" s="68"/>
      <c r="O627" s="69"/>
      <c r="P627" s="69"/>
      <c r="Q627" s="69"/>
      <c r="R627" s="69"/>
    </row>
    <row r="628" spans="1:18">
      <c r="A628" s="6"/>
      <c r="B628" s="59"/>
      <c r="C628" s="60"/>
      <c r="D628" s="62"/>
      <c r="E628" s="62"/>
      <c r="F628" s="63"/>
      <c r="G628" s="59"/>
      <c r="H628" s="59"/>
      <c r="I628" s="64"/>
      <c r="J628" s="59"/>
      <c r="K628" s="65"/>
      <c r="L628" s="66"/>
      <c r="M628" s="67"/>
      <c r="N628" s="68"/>
      <c r="O628" s="69"/>
      <c r="P628" s="69"/>
      <c r="Q628" s="69"/>
      <c r="R628" s="69"/>
    </row>
    <row r="629" spans="1:18">
      <c r="A629" s="6"/>
      <c r="B629" s="59"/>
      <c r="C629" s="60"/>
      <c r="D629" s="62"/>
      <c r="E629" s="62"/>
      <c r="F629" s="63"/>
      <c r="G629" s="59"/>
      <c r="H629" s="59"/>
      <c r="I629" s="64"/>
      <c r="J629" s="59"/>
      <c r="K629" s="65"/>
      <c r="L629" s="66"/>
      <c r="M629" s="67"/>
      <c r="N629" s="68"/>
      <c r="O629" s="69"/>
      <c r="P629" s="69"/>
      <c r="Q629" s="69"/>
      <c r="R629" s="69"/>
    </row>
    <row r="630" spans="1:18">
      <c r="A630" s="6"/>
      <c r="B630" s="59"/>
      <c r="C630" s="60"/>
      <c r="D630" s="62"/>
      <c r="E630" s="62"/>
      <c r="F630" s="63"/>
      <c r="G630" s="59"/>
      <c r="H630" s="59"/>
      <c r="I630" s="64"/>
      <c r="J630" s="59"/>
      <c r="K630" s="65"/>
      <c r="L630" s="66"/>
      <c r="M630" s="67"/>
      <c r="N630" s="68"/>
      <c r="O630" s="69"/>
      <c r="P630" s="69"/>
      <c r="Q630" s="69"/>
      <c r="R630" s="69"/>
    </row>
    <row r="631" spans="1:18">
      <c r="A631" s="6"/>
      <c r="B631" s="59"/>
      <c r="C631" s="60"/>
      <c r="D631" s="62"/>
      <c r="E631" s="62"/>
      <c r="F631" s="63"/>
      <c r="G631" s="59"/>
      <c r="H631" s="59"/>
      <c r="I631" s="64"/>
      <c r="J631" s="59"/>
      <c r="K631" s="65"/>
      <c r="L631" s="66"/>
      <c r="M631" s="67"/>
      <c r="N631" s="68"/>
      <c r="O631" s="69"/>
      <c r="P631" s="69"/>
      <c r="Q631" s="69"/>
      <c r="R631" s="69"/>
    </row>
    <row r="632" spans="1:18">
      <c r="A632" s="6"/>
      <c r="B632" s="59"/>
      <c r="C632" s="60"/>
      <c r="D632" s="62"/>
      <c r="E632" s="62"/>
      <c r="F632" s="63"/>
      <c r="G632" s="59"/>
      <c r="H632" s="59"/>
      <c r="I632" s="64"/>
      <c r="J632" s="59"/>
      <c r="K632" s="65"/>
      <c r="L632" s="66"/>
      <c r="M632" s="67"/>
      <c r="N632" s="68"/>
      <c r="O632" s="69"/>
      <c r="P632" s="69"/>
      <c r="Q632" s="69"/>
      <c r="R632" s="69"/>
    </row>
    <row r="633" spans="1:18">
      <c r="A633" s="6"/>
      <c r="B633" s="59"/>
      <c r="C633" s="60"/>
      <c r="D633" s="62"/>
      <c r="E633" s="62"/>
      <c r="F633" s="63"/>
      <c r="G633" s="59"/>
      <c r="H633" s="59"/>
      <c r="I633" s="64"/>
      <c r="J633" s="59"/>
      <c r="K633" s="65"/>
      <c r="L633" s="66"/>
      <c r="M633" s="67"/>
      <c r="N633" s="68"/>
      <c r="O633" s="69"/>
      <c r="P633" s="69"/>
      <c r="Q633" s="69"/>
      <c r="R633" s="69"/>
    </row>
    <row r="634" spans="1:18">
      <c r="A634" s="6"/>
      <c r="B634" s="59"/>
      <c r="C634" s="60"/>
      <c r="D634" s="62"/>
      <c r="E634" s="62"/>
      <c r="F634" s="63"/>
      <c r="G634" s="59"/>
      <c r="H634" s="59"/>
      <c r="I634" s="64"/>
      <c r="J634" s="59"/>
      <c r="K634" s="65"/>
      <c r="L634" s="66"/>
      <c r="M634" s="67"/>
      <c r="N634" s="68"/>
      <c r="O634" s="69"/>
      <c r="P634" s="69"/>
      <c r="Q634" s="69"/>
      <c r="R634" s="69"/>
    </row>
    <row r="635" spans="1:18">
      <c r="A635" s="6"/>
      <c r="B635" s="59"/>
      <c r="C635" s="60"/>
      <c r="D635" s="62"/>
      <c r="E635" s="62"/>
      <c r="F635" s="63"/>
      <c r="G635" s="59"/>
      <c r="H635" s="59"/>
      <c r="I635" s="64"/>
      <c r="J635" s="59"/>
      <c r="K635" s="65"/>
      <c r="L635" s="66"/>
      <c r="M635" s="67"/>
      <c r="N635" s="68"/>
      <c r="O635" s="69"/>
      <c r="P635" s="69"/>
      <c r="Q635" s="69"/>
      <c r="R635" s="69"/>
    </row>
    <row r="636" spans="1:18">
      <c r="A636" s="6"/>
      <c r="B636" s="59"/>
      <c r="C636" s="60"/>
      <c r="D636" s="62"/>
      <c r="E636" s="62"/>
      <c r="F636" s="63"/>
      <c r="G636" s="59"/>
      <c r="H636" s="59"/>
      <c r="I636" s="64"/>
      <c r="J636" s="59"/>
      <c r="K636" s="65"/>
      <c r="L636" s="66"/>
      <c r="M636" s="67"/>
      <c r="N636" s="68"/>
      <c r="O636" s="69"/>
      <c r="P636" s="69"/>
      <c r="Q636" s="69"/>
      <c r="R636" s="69"/>
    </row>
    <row r="637" spans="1:18">
      <c r="A637" s="6"/>
      <c r="B637" s="59"/>
      <c r="C637" s="60"/>
      <c r="D637" s="62"/>
      <c r="E637" s="62"/>
      <c r="F637" s="63"/>
      <c r="G637" s="59"/>
      <c r="H637" s="59"/>
      <c r="I637" s="64"/>
      <c r="J637" s="59"/>
      <c r="K637" s="65"/>
      <c r="L637" s="66"/>
      <c r="M637" s="67"/>
      <c r="N637" s="68"/>
      <c r="O637" s="69"/>
      <c r="P637" s="69"/>
      <c r="Q637" s="69"/>
      <c r="R637" s="69"/>
    </row>
    <row r="638" spans="1:18">
      <c r="A638" s="6"/>
      <c r="B638" s="59"/>
      <c r="C638" s="60"/>
      <c r="D638" s="62"/>
      <c r="E638" s="62"/>
      <c r="F638" s="63"/>
      <c r="G638" s="59"/>
      <c r="H638" s="59"/>
      <c r="I638" s="64"/>
      <c r="J638" s="59"/>
      <c r="K638" s="65"/>
      <c r="L638" s="66"/>
      <c r="M638" s="67"/>
      <c r="N638" s="68"/>
      <c r="O638" s="69"/>
      <c r="P638" s="69"/>
      <c r="Q638" s="69"/>
      <c r="R638" s="69"/>
    </row>
    <row r="639" spans="1:18">
      <c r="A639" s="6"/>
      <c r="B639" s="59"/>
      <c r="C639" s="60"/>
      <c r="D639" s="62"/>
      <c r="E639" s="62"/>
      <c r="F639" s="63"/>
      <c r="G639" s="59"/>
      <c r="H639" s="59"/>
      <c r="I639" s="64"/>
      <c r="J639" s="59"/>
      <c r="K639" s="65"/>
      <c r="L639" s="66"/>
      <c r="M639" s="67"/>
      <c r="N639" s="68"/>
      <c r="O639" s="69"/>
      <c r="P639" s="69"/>
      <c r="Q639" s="69"/>
      <c r="R639" s="69"/>
    </row>
    <row r="640" spans="1:18">
      <c r="A640" s="6"/>
      <c r="B640" s="59"/>
      <c r="C640" s="60"/>
      <c r="D640" s="62"/>
      <c r="E640" s="62"/>
      <c r="F640" s="63"/>
      <c r="G640" s="59"/>
      <c r="H640" s="59"/>
      <c r="I640" s="64"/>
      <c r="J640" s="59"/>
      <c r="K640" s="65"/>
      <c r="L640" s="66"/>
      <c r="M640" s="67"/>
      <c r="N640" s="68"/>
      <c r="O640" s="69"/>
      <c r="P640" s="69"/>
      <c r="Q640" s="69"/>
      <c r="R640" s="69"/>
    </row>
    <row r="641" spans="1:18">
      <c r="A641" s="6"/>
      <c r="B641" s="59"/>
      <c r="C641" s="60"/>
      <c r="D641" s="62"/>
      <c r="E641" s="62"/>
      <c r="F641" s="63"/>
      <c r="G641" s="59"/>
      <c r="H641" s="59"/>
      <c r="I641" s="64"/>
      <c r="J641" s="59"/>
      <c r="K641" s="65"/>
      <c r="L641" s="66"/>
      <c r="M641" s="67"/>
      <c r="N641" s="68"/>
      <c r="O641" s="69"/>
      <c r="P641" s="69"/>
      <c r="Q641" s="69"/>
      <c r="R641" s="69"/>
    </row>
    <row r="642" spans="1:18">
      <c r="A642" s="6"/>
      <c r="B642" s="59"/>
      <c r="C642" s="60"/>
      <c r="D642" s="62"/>
      <c r="E642" s="62"/>
      <c r="F642" s="63"/>
      <c r="G642" s="59"/>
      <c r="H642" s="59"/>
      <c r="I642" s="64"/>
      <c r="J642" s="59"/>
      <c r="K642" s="65"/>
      <c r="L642" s="66"/>
      <c r="M642" s="67"/>
      <c r="N642" s="68"/>
      <c r="O642" s="69"/>
      <c r="P642" s="69"/>
      <c r="Q642" s="69"/>
      <c r="R642" s="69"/>
    </row>
    <row r="643" spans="1:18">
      <c r="A643" s="6"/>
      <c r="B643" s="59"/>
      <c r="C643" s="60"/>
      <c r="D643" s="62"/>
      <c r="E643" s="62"/>
      <c r="F643" s="63"/>
      <c r="G643" s="59"/>
      <c r="H643" s="59"/>
      <c r="I643" s="64"/>
      <c r="J643" s="59"/>
      <c r="K643" s="65"/>
      <c r="L643" s="66"/>
      <c r="M643" s="67"/>
      <c r="N643" s="68"/>
      <c r="O643" s="69"/>
      <c r="P643" s="69"/>
      <c r="Q643" s="69"/>
      <c r="R643" s="69"/>
    </row>
    <row r="644" spans="1:18">
      <c r="A644" s="6"/>
      <c r="B644" s="59"/>
      <c r="C644" s="60"/>
      <c r="D644" s="62"/>
      <c r="E644" s="62"/>
      <c r="F644" s="63"/>
      <c r="G644" s="59"/>
      <c r="H644" s="59"/>
      <c r="I644" s="64"/>
      <c r="J644" s="59"/>
      <c r="K644" s="65"/>
      <c r="L644" s="66"/>
      <c r="M644" s="67"/>
      <c r="N644" s="68"/>
      <c r="O644" s="69"/>
      <c r="P644" s="69"/>
      <c r="Q644" s="69"/>
      <c r="R644" s="69"/>
    </row>
    <row r="645" spans="1:18">
      <c r="A645" s="6"/>
      <c r="B645" s="59"/>
      <c r="C645" s="60"/>
      <c r="D645" s="62"/>
      <c r="E645" s="62"/>
      <c r="F645" s="63"/>
      <c r="G645" s="59"/>
      <c r="H645" s="59"/>
      <c r="I645" s="64"/>
      <c r="J645" s="59"/>
      <c r="K645" s="65"/>
      <c r="L645" s="66"/>
      <c r="M645" s="67"/>
      <c r="N645" s="68"/>
      <c r="O645" s="69"/>
      <c r="P645" s="69"/>
      <c r="Q645" s="69"/>
      <c r="R645" s="69"/>
    </row>
    <row r="646" spans="1:18">
      <c r="A646" s="6"/>
      <c r="B646" s="59"/>
      <c r="C646" s="60"/>
      <c r="D646" s="62"/>
      <c r="E646" s="62"/>
      <c r="F646" s="63"/>
      <c r="G646" s="59"/>
      <c r="H646" s="59"/>
      <c r="I646" s="64"/>
      <c r="J646" s="59"/>
      <c r="K646" s="65"/>
      <c r="L646" s="66"/>
      <c r="M646" s="67"/>
      <c r="N646" s="68"/>
      <c r="O646" s="69"/>
      <c r="P646" s="69"/>
      <c r="Q646" s="69"/>
      <c r="R646" s="69"/>
    </row>
    <row r="647" spans="1:18">
      <c r="A647" s="6"/>
      <c r="B647" s="59"/>
      <c r="C647" s="60"/>
      <c r="D647" s="62"/>
      <c r="E647" s="62"/>
      <c r="F647" s="63"/>
      <c r="G647" s="59"/>
      <c r="H647" s="59"/>
      <c r="I647" s="64"/>
      <c r="J647" s="59"/>
      <c r="K647" s="65"/>
      <c r="L647" s="66"/>
      <c r="M647" s="67"/>
      <c r="N647" s="68"/>
      <c r="O647" s="69"/>
      <c r="P647" s="69"/>
      <c r="Q647" s="69"/>
      <c r="R647" s="69"/>
    </row>
    <row r="648" spans="1:18">
      <c r="A648" s="6"/>
      <c r="B648" s="59"/>
      <c r="C648" s="60"/>
      <c r="D648" s="62"/>
      <c r="E648" s="62"/>
      <c r="F648" s="63"/>
      <c r="G648" s="59"/>
      <c r="H648" s="59"/>
      <c r="I648" s="64"/>
      <c r="J648" s="59"/>
      <c r="K648" s="65"/>
      <c r="L648" s="66"/>
      <c r="M648" s="67"/>
      <c r="N648" s="68"/>
      <c r="O648" s="69"/>
      <c r="P648" s="69"/>
      <c r="Q648" s="69"/>
      <c r="R648" s="69"/>
    </row>
    <row r="649" spans="1:18">
      <c r="A649" s="6"/>
      <c r="B649" s="59"/>
      <c r="C649" s="60"/>
      <c r="D649" s="62"/>
      <c r="E649" s="62"/>
      <c r="F649" s="63"/>
      <c r="G649" s="59"/>
      <c r="H649" s="59"/>
      <c r="I649" s="64"/>
      <c r="J649" s="59"/>
      <c r="K649" s="65"/>
      <c r="L649" s="66"/>
      <c r="M649" s="67"/>
      <c r="N649" s="68"/>
      <c r="O649" s="69"/>
      <c r="P649" s="69"/>
      <c r="Q649" s="69"/>
      <c r="R649" s="69"/>
    </row>
    <row r="650" spans="1:18">
      <c r="A650" s="6"/>
      <c r="B650" s="59"/>
      <c r="C650" s="60"/>
      <c r="D650" s="62"/>
      <c r="E650" s="62"/>
      <c r="F650" s="63"/>
      <c r="G650" s="59"/>
      <c r="H650" s="59"/>
      <c r="I650" s="64"/>
      <c r="J650" s="59"/>
      <c r="K650" s="65"/>
      <c r="L650" s="66"/>
      <c r="M650" s="67"/>
      <c r="N650" s="68"/>
      <c r="O650" s="69"/>
      <c r="P650" s="69"/>
      <c r="Q650" s="69"/>
      <c r="R650" s="69"/>
    </row>
    <row r="651" spans="1:18">
      <c r="A651" s="6"/>
      <c r="B651" s="59"/>
      <c r="C651" s="60"/>
      <c r="D651" s="62"/>
      <c r="E651" s="62"/>
      <c r="F651" s="63"/>
      <c r="G651" s="59"/>
      <c r="H651" s="59"/>
      <c r="I651" s="64"/>
      <c r="J651" s="59"/>
      <c r="K651" s="65"/>
      <c r="L651" s="66"/>
      <c r="M651" s="67"/>
      <c r="N651" s="68"/>
      <c r="O651" s="69"/>
      <c r="P651" s="69"/>
      <c r="Q651" s="69"/>
      <c r="R651" s="69"/>
    </row>
    <row r="652" spans="1:18">
      <c r="A652" s="6"/>
      <c r="B652" s="59"/>
      <c r="C652" s="60"/>
      <c r="D652" s="62"/>
      <c r="E652" s="62"/>
      <c r="F652" s="63"/>
      <c r="G652" s="59"/>
      <c r="H652" s="59"/>
      <c r="I652" s="64"/>
      <c r="J652" s="59"/>
      <c r="K652" s="65"/>
      <c r="L652" s="66"/>
      <c r="M652" s="67"/>
      <c r="N652" s="68"/>
      <c r="O652" s="69"/>
      <c r="P652" s="69"/>
      <c r="Q652" s="69"/>
      <c r="R652" s="69"/>
    </row>
    <row r="653" spans="1:18">
      <c r="A653" s="6"/>
      <c r="B653" s="59"/>
      <c r="C653" s="60"/>
      <c r="D653" s="62"/>
      <c r="E653" s="62"/>
      <c r="F653" s="63"/>
      <c r="G653" s="59"/>
      <c r="H653" s="59"/>
      <c r="I653" s="64"/>
      <c r="J653" s="59"/>
      <c r="K653" s="65"/>
      <c r="L653" s="66"/>
      <c r="M653" s="67"/>
      <c r="N653" s="68"/>
      <c r="O653" s="69"/>
      <c r="P653" s="69"/>
      <c r="Q653" s="69"/>
      <c r="R653" s="69"/>
    </row>
    <row r="654" spans="1:18">
      <c r="A654" s="6"/>
      <c r="B654" s="59"/>
      <c r="C654" s="60"/>
      <c r="D654" s="62"/>
      <c r="E654" s="62"/>
      <c r="F654" s="63"/>
      <c r="G654" s="59"/>
      <c r="H654" s="59"/>
      <c r="I654" s="64"/>
      <c r="J654" s="59"/>
      <c r="K654" s="65"/>
      <c r="L654" s="66"/>
      <c r="M654" s="67"/>
      <c r="N654" s="68"/>
      <c r="O654" s="69"/>
      <c r="P654" s="69"/>
      <c r="Q654" s="69"/>
      <c r="R654" s="69"/>
    </row>
    <row r="655" spans="1:18">
      <c r="A655" s="6"/>
      <c r="B655" s="59"/>
      <c r="C655" s="60"/>
      <c r="D655" s="62"/>
      <c r="E655" s="62"/>
      <c r="F655" s="63"/>
      <c r="G655" s="59"/>
      <c r="H655" s="59"/>
      <c r="I655" s="64"/>
      <c r="J655" s="59"/>
      <c r="K655" s="65"/>
      <c r="L655" s="66"/>
      <c r="M655" s="67"/>
      <c r="N655" s="68"/>
      <c r="O655" s="69"/>
      <c r="P655" s="69"/>
      <c r="Q655" s="69"/>
      <c r="R655" s="69"/>
    </row>
    <row r="656" spans="1:18">
      <c r="A656" s="6"/>
      <c r="B656" s="59"/>
      <c r="C656" s="60"/>
      <c r="D656" s="62"/>
      <c r="E656" s="62"/>
      <c r="F656" s="63"/>
      <c r="G656" s="59"/>
      <c r="H656" s="59"/>
      <c r="I656" s="64"/>
      <c r="J656" s="59"/>
      <c r="K656" s="65"/>
      <c r="L656" s="66"/>
      <c r="M656" s="67"/>
      <c r="N656" s="68"/>
      <c r="O656" s="69"/>
      <c r="P656" s="69"/>
      <c r="Q656" s="69"/>
      <c r="R656" s="69"/>
    </row>
    <row r="657" spans="1:18">
      <c r="A657" s="6"/>
      <c r="B657" s="59"/>
      <c r="C657" s="60"/>
      <c r="D657" s="62"/>
      <c r="E657" s="62"/>
      <c r="F657" s="63"/>
      <c r="G657" s="59"/>
      <c r="H657" s="59"/>
      <c r="I657" s="64"/>
      <c r="J657" s="59"/>
      <c r="K657" s="65"/>
      <c r="L657" s="66"/>
      <c r="M657" s="67"/>
      <c r="N657" s="68"/>
      <c r="O657" s="69"/>
      <c r="P657" s="69"/>
      <c r="Q657" s="69"/>
      <c r="R657" s="69"/>
    </row>
    <row r="658" spans="1:18">
      <c r="A658" s="6"/>
      <c r="B658" s="59"/>
      <c r="C658" s="60"/>
      <c r="D658" s="62"/>
      <c r="E658" s="62"/>
      <c r="F658" s="63"/>
      <c r="G658" s="59"/>
      <c r="H658" s="59"/>
      <c r="I658" s="64"/>
      <c r="J658" s="59"/>
      <c r="K658" s="65"/>
      <c r="L658" s="66"/>
      <c r="M658" s="67"/>
      <c r="N658" s="68"/>
      <c r="O658" s="69"/>
      <c r="P658" s="69"/>
      <c r="Q658" s="69"/>
      <c r="R658" s="69"/>
    </row>
    <row r="659" spans="1:18">
      <c r="A659" s="6"/>
      <c r="B659" s="59"/>
      <c r="C659" s="60"/>
      <c r="D659" s="62"/>
      <c r="E659" s="62"/>
      <c r="F659" s="63"/>
      <c r="G659" s="59"/>
      <c r="H659" s="59"/>
      <c r="I659" s="64"/>
      <c r="J659" s="59"/>
      <c r="K659" s="65"/>
      <c r="L659" s="66"/>
      <c r="M659" s="67"/>
      <c r="N659" s="68"/>
      <c r="O659" s="69"/>
      <c r="P659" s="69"/>
      <c r="Q659" s="69"/>
      <c r="R659" s="69"/>
    </row>
    <row r="660" spans="1:18">
      <c r="A660" s="6"/>
      <c r="B660" s="59"/>
      <c r="C660" s="60"/>
      <c r="D660" s="62"/>
      <c r="E660" s="62"/>
      <c r="F660" s="63"/>
      <c r="G660" s="59"/>
      <c r="H660" s="59"/>
      <c r="I660" s="64"/>
      <c r="J660" s="59"/>
      <c r="K660" s="65"/>
      <c r="L660" s="66"/>
      <c r="M660" s="67"/>
      <c r="N660" s="68"/>
      <c r="O660" s="69"/>
      <c r="P660" s="69"/>
      <c r="Q660" s="69"/>
      <c r="R660" s="69"/>
    </row>
    <row r="661" spans="1:18">
      <c r="A661" s="6"/>
      <c r="B661" s="59"/>
      <c r="C661" s="60"/>
      <c r="D661" s="62"/>
      <c r="E661" s="62"/>
      <c r="F661" s="63"/>
      <c r="G661" s="59"/>
      <c r="H661" s="59"/>
      <c r="I661" s="64"/>
      <c r="J661" s="59"/>
      <c r="K661" s="65"/>
      <c r="L661" s="66"/>
      <c r="M661" s="67"/>
      <c r="N661" s="68"/>
      <c r="O661" s="69"/>
      <c r="P661" s="69"/>
      <c r="Q661" s="69"/>
      <c r="R661" s="69"/>
    </row>
    <row r="662" spans="1:18">
      <c r="A662" s="6"/>
      <c r="B662" s="59"/>
      <c r="C662" s="60"/>
      <c r="D662" s="62"/>
      <c r="E662" s="62"/>
      <c r="F662" s="63"/>
      <c r="G662" s="59"/>
      <c r="H662" s="59"/>
      <c r="I662" s="64"/>
      <c r="J662" s="59"/>
      <c r="K662" s="65"/>
      <c r="L662" s="66"/>
      <c r="M662" s="67"/>
      <c r="N662" s="68"/>
      <c r="O662" s="69"/>
      <c r="P662" s="69"/>
      <c r="Q662" s="69"/>
      <c r="R662" s="69"/>
    </row>
    <row r="663" spans="1:18">
      <c r="A663" s="6"/>
      <c r="B663" s="59"/>
      <c r="C663" s="60"/>
      <c r="D663" s="62"/>
      <c r="E663" s="62"/>
      <c r="F663" s="63"/>
      <c r="G663" s="59"/>
      <c r="H663" s="59"/>
      <c r="I663" s="64"/>
      <c r="J663" s="59"/>
      <c r="K663" s="65"/>
      <c r="L663" s="66"/>
      <c r="M663" s="67"/>
      <c r="N663" s="68"/>
      <c r="O663" s="69"/>
      <c r="P663" s="69"/>
      <c r="Q663" s="69"/>
      <c r="R663" s="69"/>
    </row>
    <row r="664" spans="1:18">
      <c r="A664" s="6"/>
      <c r="B664" s="59"/>
      <c r="C664" s="60"/>
      <c r="D664" s="62"/>
      <c r="E664" s="62"/>
      <c r="F664" s="63"/>
      <c r="G664" s="59"/>
      <c r="H664" s="59"/>
      <c r="I664" s="64"/>
      <c r="J664" s="59"/>
      <c r="K664" s="65"/>
      <c r="L664" s="66"/>
      <c r="M664" s="67"/>
      <c r="N664" s="68"/>
      <c r="O664" s="69"/>
      <c r="P664" s="69"/>
      <c r="Q664" s="69"/>
      <c r="R664" s="69"/>
    </row>
    <row r="665" spans="1:18">
      <c r="A665" s="6"/>
      <c r="B665" s="59"/>
      <c r="C665" s="60"/>
      <c r="D665" s="62"/>
      <c r="E665" s="62"/>
      <c r="F665" s="63"/>
      <c r="G665" s="59"/>
      <c r="H665" s="59"/>
      <c r="I665" s="64"/>
      <c r="J665" s="59"/>
      <c r="K665" s="65"/>
      <c r="L665" s="66"/>
      <c r="M665" s="67"/>
      <c r="N665" s="68"/>
      <c r="O665" s="69"/>
      <c r="P665" s="69"/>
      <c r="Q665" s="69"/>
      <c r="R665" s="69"/>
    </row>
    <row r="666" spans="1:18">
      <c r="A666" s="6"/>
      <c r="B666" s="59"/>
      <c r="C666" s="60"/>
      <c r="D666" s="62"/>
      <c r="E666" s="62"/>
      <c r="F666" s="63"/>
      <c r="G666" s="59"/>
      <c r="H666" s="59"/>
      <c r="I666" s="64"/>
      <c r="J666" s="59"/>
      <c r="K666" s="65"/>
      <c r="L666" s="66"/>
      <c r="M666" s="67"/>
      <c r="N666" s="68"/>
      <c r="O666" s="69"/>
      <c r="P666" s="69"/>
      <c r="Q666" s="69"/>
      <c r="R666" s="69"/>
    </row>
    <row r="667" spans="1:18">
      <c r="A667" s="6"/>
      <c r="B667" s="59"/>
      <c r="C667" s="60"/>
      <c r="D667" s="62"/>
      <c r="E667" s="62"/>
      <c r="F667" s="63"/>
      <c r="G667" s="59"/>
      <c r="H667" s="59"/>
      <c r="I667" s="64"/>
      <c r="J667" s="59"/>
      <c r="K667" s="65"/>
      <c r="L667" s="66"/>
      <c r="M667" s="67"/>
      <c r="N667" s="68"/>
      <c r="O667" s="69"/>
      <c r="P667" s="69"/>
      <c r="Q667" s="69"/>
      <c r="R667" s="69"/>
    </row>
    <row r="668" spans="1:18">
      <c r="A668" s="6"/>
      <c r="B668" s="59"/>
      <c r="C668" s="60"/>
      <c r="D668" s="62"/>
      <c r="E668" s="62"/>
      <c r="F668" s="63"/>
      <c r="G668" s="59"/>
      <c r="H668" s="59"/>
      <c r="I668" s="64"/>
      <c r="J668" s="59"/>
      <c r="K668" s="65"/>
      <c r="L668" s="66"/>
      <c r="M668" s="67"/>
      <c r="N668" s="68"/>
      <c r="O668" s="69"/>
      <c r="P668" s="69"/>
      <c r="Q668" s="69"/>
      <c r="R668" s="69"/>
    </row>
    <row r="669" spans="1:18">
      <c r="A669" s="6"/>
      <c r="B669" s="59"/>
      <c r="C669" s="60"/>
      <c r="D669" s="62"/>
      <c r="E669" s="62"/>
      <c r="F669" s="63"/>
      <c r="G669" s="59"/>
      <c r="H669" s="59"/>
      <c r="I669" s="64"/>
      <c r="J669" s="59"/>
      <c r="K669" s="65"/>
      <c r="L669" s="66"/>
      <c r="M669" s="67"/>
      <c r="N669" s="68"/>
      <c r="O669" s="69"/>
      <c r="P669" s="69"/>
      <c r="Q669" s="69"/>
      <c r="R669" s="69"/>
    </row>
    <row r="670" spans="1:18">
      <c r="A670" s="6"/>
      <c r="B670" s="59"/>
      <c r="C670" s="60"/>
      <c r="D670" s="62"/>
      <c r="E670" s="62"/>
      <c r="F670" s="63"/>
      <c r="G670" s="59"/>
      <c r="H670" s="59"/>
      <c r="I670" s="64"/>
      <c r="J670" s="59"/>
      <c r="K670" s="65"/>
      <c r="L670" s="66"/>
      <c r="M670" s="67"/>
      <c r="N670" s="68"/>
      <c r="O670" s="69"/>
      <c r="P670" s="69"/>
      <c r="Q670" s="69"/>
      <c r="R670" s="69"/>
    </row>
    <row r="671" spans="1:18">
      <c r="A671" s="6"/>
      <c r="B671" s="59"/>
      <c r="C671" s="60"/>
      <c r="D671" s="62"/>
      <c r="E671" s="62"/>
      <c r="F671" s="63"/>
      <c r="G671" s="59"/>
      <c r="H671" s="59"/>
      <c r="I671" s="64"/>
      <c r="J671" s="59"/>
      <c r="K671" s="65"/>
      <c r="L671" s="66"/>
      <c r="M671" s="67"/>
      <c r="N671" s="68"/>
      <c r="O671" s="69"/>
      <c r="P671" s="69"/>
      <c r="Q671" s="69"/>
      <c r="R671" s="69"/>
    </row>
    <row r="672" spans="1:18">
      <c r="A672" s="6"/>
      <c r="B672" s="59"/>
      <c r="C672" s="60"/>
      <c r="D672" s="62"/>
      <c r="E672" s="62"/>
      <c r="F672" s="63"/>
      <c r="G672" s="59"/>
      <c r="H672" s="59"/>
      <c r="I672" s="64"/>
      <c r="J672" s="59"/>
      <c r="K672" s="65"/>
      <c r="L672" s="66"/>
      <c r="M672" s="67"/>
      <c r="N672" s="68"/>
      <c r="O672" s="69"/>
      <c r="P672" s="69"/>
      <c r="Q672" s="69"/>
      <c r="R672" s="69"/>
    </row>
    <row r="673" spans="1:18">
      <c r="A673" s="6"/>
      <c r="B673" s="59"/>
      <c r="C673" s="60"/>
      <c r="D673" s="62"/>
      <c r="E673" s="62"/>
      <c r="F673" s="63"/>
      <c r="G673" s="59"/>
      <c r="H673" s="59"/>
      <c r="I673" s="64"/>
      <c r="J673" s="59"/>
      <c r="K673" s="65"/>
      <c r="L673" s="66"/>
      <c r="M673" s="67"/>
      <c r="N673" s="68"/>
      <c r="O673" s="69"/>
      <c r="P673" s="69"/>
      <c r="Q673" s="69"/>
      <c r="R673" s="69"/>
    </row>
    <row r="674" spans="1:18">
      <c r="A674" s="6"/>
      <c r="B674" s="59"/>
      <c r="C674" s="60"/>
      <c r="D674" s="62"/>
      <c r="E674" s="62"/>
      <c r="F674" s="63"/>
      <c r="G674" s="59"/>
      <c r="H674" s="59"/>
      <c r="I674" s="64"/>
      <c r="J674" s="59"/>
      <c r="K674" s="65"/>
      <c r="L674" s="66"/>
      <c r="M674" s="67"/>
      <c r="N674" s="68"/>
      <c r="O674" s="69"/>
      <c r="P674" s="69"/>
      <c r="Q674" s="69"/>
      <c r="R674" s="69"/>
    </row>
    <row r="675" spans="1:18">
      <c r="A675" s="6"/>
      <c r="B675" s="59"/>
      <c r="C675" s="60"/>
      <c r="D675" s="62"/>
      <c r="E675" s="62"/>
      <c r="F675" s="63"/>
      <c r="G675" s="59"/>
      <c r="H675" s="59"/>
      <c r="I675" s="64"/>
      <c r="J675" s="59"/>
      <c r="K675" s="65"/>
      <c r="L675" s="66"/>
      <c r="M675" s="67"/>
      <c r="N675" s="68"/>
      <c r="O675" s="69"/>
      <c r="P675" s="69"/>
      <c r="Q675" s="69"/>
      <c r="R675" s="69"/>
    </row>
    <row r="676" spans="1:18">
      <c r="A676" s="6"/>
      <c r="B676" s="59"/>
      <c r="C676" s="60"/>
      <c r="D676" s="62"/>
      <c r="E676" s="62"/>
      <c r="F676" s="63"/>
      <c r="G676" s="59"/>
      <c r="H676" s="59"/>
      <c r="I676" s="64"/>
      <c r="J676" s="59"/>
      <c r="K676" s="65"/>
      <c r="L676" s="66"/>
      <c r="M676" s="67"/>
      <c r="N676" s="68"/>
      <c r="O676" s="69"/>
      <c r="P676" s="69"/>
      <c r="Q676" s="69"/>
      <c r="R676" s="69"/>
    </row>
    <row r="677" spans="1:18">
      <c r="A677" s="6"/>
      <c r="B677" s="59"/>
      <c r="C677" s="60"/>
      <c r="D677" s="62"/>
      <c r="E677" s="62"/>
      <c r="F677" s="63"/>
      <c r="G677" s="59"/>
      <c r="H677" s="59"/>
      <c r="I677" s="64"/>
      <c r="J677" s="59"/>
      <c r="K677" s="65"/>
      <c r="L677" s="66"/>
      <c r="M677" s="67"/>
      <c r="N677" s="68"/>
      <c r="O677" s="69"/>
      <c r="P677" s="69"/>
      <c r="Q677" s="69"/>
      <c r="R677" s="69"/>
    </row>
    <row r="678" spans="1:18">
      <c r="A678" s="6"/>
      <c r="B678" s="59"/>
      <c r="C678" s="60"/>
      <c r="D678" s="62"/>
      <c r="E678" s="62"/>
      <c r="F678" s="63"/>
      <c r="G678" s="59"/>
      <c r="H678" s="59"/>
      <c r="I678" s="64"/>
      <c r="J678" s="59"/>
      <c r="K678" s="65"/>
      <c r="L678" s="66"/>
      <c r="M678" s="67"/>
      <c r="N678" s="68"/>
      <c r="O678" s="69"/>
      <c r="P678" s="69"/>
      <c r="Q678" s="69"/>
      <c r="R678" s="69"/>
    </row>
    <row r="679" spans="1:18">
      <c r="A679" s="6"/>
      <c r="B679" s="59"/>
      <c r="C679" s="60"/>
      <c r="D679" s="62"/>
      <c r="E679" s="62"/>
      <c r="F679" s="63"/>
      <c r="G679" s="59"/>
      <c r="H679" s="59"/>
      <c r="I679" s="64"/>
      <c r="J679" s="59"/>
      <c r="K679" s="65"/>
      <c r="L679" s="66"/>
      <c r="M679" s="67"/>
      <c r="N679" s="68"/>
      <c r="O679" s="69"/>
      <c r="P679" s="69"/>
      <c r="Q679" s="69"/>
      <c r="R679" s="69"/>
    </row>
    <row r="680" spans="1:18">
      <c r="A680" s="6"/>
      <c r="B680" s="59"/>
      <c r="C680" s="60"/>
      <c r="D680" s="62"/>
      <c r="E680" s="62"/>
      <c r="F680" s="63"/>
      <c r="G680" s="59"/>
      <c r="H680" s="59"/>
      <c r="I680" s="64"/>
      <c r="J680" s="59"/>
      <c r="K680" s="65"/>
      <c r="L680" s="66"/>
      <c r="M680" s="67"/>
      <c r="N680" s="68"/>
      <c r="O680" s="69"/>
      <c r="P680" s="69"/>
      <c r="Q680" s="69"/>
      <c r="R680" s="69"/>
    </row>
    <row r="681" spans="1:18">
      <c r="A681" s="6"/>
      <c r="B681" s="59"/>
      <c r="C681" s="60"/>
      <c r="D681" s="62"/>
      <c r="E681" s="62"/>
      <c r="F681" s="63"/>
      <c r="G681" s="59"/>
      <c r="H681" s="59"/>
      <c r="I681" s="64"/>
      <c r="J681" s="59"/>
      <c r="K681" s="65"/>
      <c r="L681" s="66"/>
      <c r="M681" s="67"/>
      <c r="N681" s="68"/>
      <c r="O681" s="69"/>
      <c r="P681" s="69"/>
      <c r="Q681" s="69"/>
      <c r="R681" s="69"/>
    </row>
    <row r="682" spans="1:18">
      <c r="A682" s="6"/>
      <c r="B682" s="59"/>
      <c r="C682" s="60"/>
      <c r="D682" s="62"/>
      <c r="E682" s="62"/>
      <c r="F682" s="63"/>
      <c r="G682" s="59"/>
      <c r="H682" s="59"/>
      <c r="I682" s="64"/>
      <c r="J682" s="59"/>
      <c r="K682" s="65"/>
      <c r="L682" s="66"/>
      <c r="M682" s="67"/>
      <c r="N682" s="68"/>
      <c r="O682" s="69"/>
      <c r="P682" s="69"/>
      <c r="Q682" s="69"/>
      <c r="R682" s="69"/>
    </row>
    <row r="683" spans="1:18">
      <c r="A683" s="6"/>
      <c r="B683" s="59"/>
      <c r="C683" s="60"/>
      <c r="D683" s="62"/>
      <c r="E683" s="62"/>
      <c r="F683" s="63"/>
      <c r="G683" s="59"/>
      <c r="H683" s="59"/>
      <c r="I683" s="64"/>
      <c r="J683" s="59"/>
      <c r="K683" s="65"/>
      <c r="L683" s="66"/>
      <c r="M683" s="67"/>
      <c r="N683" s="68"/>
      <c r="O683" s="69"/>
      <c r="P683" s="69"/>
      <c r="Q683" s="69"/>
      <c r="R683" s="69"/>
    </row>
    <row r="684" spans="1:18">
      <c r="A684" s="6"/>
      <c r="B684" s="59"/>
      <c r="C684" s="60"/>
      <c r="D684" s="62"/>
      <c r="E684" s="62"/>
      <c r="F684" s="63"/>
      <c r="G684" s="59"/>
      <c r="H684" s="59"/>
      <c r="I684" s="64"/>
      <c r="J684" s="59"/>
      <c r="K684" s="65"/>
      <c r="L684" s="66"/>
      <c r="M684" s="67"/>
      <c r="N684" s="68"/>
      <c r="O684" s="69"/>
      <c r="P684" s="69"/>
      <c r="Q684" s="69"/>
      <c r="R684" s="69"/>
    </row>
    <row r="685" spans="1:18">
      <c r="A685" s="6"/>
      <c r="B685" s="59"/>
      <c r="C685" s="60"/>
      <c r="D685" s="62"/>
      <c r="E685" s="62"/>
      <c r="F685" s="63"/>
      <c r="G685" s="59"/>
      <c r="H685" s="59"/>
      <c r="I685" s="64"/>
      <c r="J685" s="59"/>
      <c r="K685" s="65"/>
      <c r="L685" s="66"/>
      <c r="M685" s="67"/>
      <c r="N685" s="68"/>
      <c r="O685" s="69"/>
      <c r="P685" s="69"/>
      <c r="Q685" s="69"/>
      <c r="R685" s="69"/>
    </row>
    <row r="686" spans="1:18">
      <c r="A686" s="6"/>
      <c r="B686" s="59"/>
      <c r="C686" s="60"/>
      <c r="D686" s="62"/>
      <c r="E686" s="62"/>
      <c r="F686" s="63"/>
      <c r="G686" s="59"/>
      <c r="H686" s="59"/>
      <c r="I686" s="64"/>
      <c r="J686" s="59"/>
      <c r="K686" s="65"/>
      <c r="L686" s="66"/>
      <c r="M686" s="67"/>
      <c r="N686" s="68"/>
      <c r="O686" s="69"/>
      <c r="P686" s="69"/>
      <c r="Q686" s="69"/>
      <c r="R686" s="69"/>
    </row>
    <row r="687" spans="1:18">
      <c r="A687" s="6"/>
      <c r="B687" s="59"/>
      <c r="C687" s="60"/>
      <c r="D687" s="62"/>
      <c r="E687" s="62"/>
      <c r="F687" s="63"/>
      <c r="G687" s="59"/>
      <c r="H687" s="59"/>
      <c r="I687" s="64"/>
      <c r="J687" s="59"/>
      <c r="K687" s="65"/>
      <c r="L687" s="66"/>
      <c r="M687" s="67"/>
      <c r="N687" s="68"/>
      <c r="O687" s="69"/>
      <c r="P687" s="69"/>
      <c r="Q687" s="69"/>
      <c r="R687" s="69"/>
    </row>
    <row r="688" spans="1:18">
      <c r="A688" s="6"/>
      <c r="B688" s="59"/>
      <c r="C688" s="60"/>
      <c r="D688" s="62"/>
      <c r="E688" s="62"/>
      <c r="F688" s="63"/>
      <c r="G688" s="59"/>
      <c r="H688" s="59"/>
      <c r="I688" s="64"/>
      <c r="J688" s="59"/>
      <c r="K688" s="65"/>
      <c r="L688" s="66"/>
      <c r="M688" s="67"/>
      <c r="N688" s="68"/>
      <c r="O688" s="69"/>
      <c r="P688" s="69"/>
      <c r="Q688" s="69"/>
      <c r="R688" s="69"/>
    </row>
    <row r="689" spans="1:18">
      <c r="A689" s="6"/>
      <c r="B689" s="59"/>
      <c r="C689" s="60"/>
      <c r="D689" s="62"/>
      <c r="E689" s="62"/>
      <c r="F689" s="63"/>
      <c r="G689" s="59"/>
      <c r="H689" s="59"/>
      <c r="I689" s="64"/>
      <c r="J689" s="59"/>
      <c r="K689" s="65"/>
      <c r="L689" s="66"/>
      <c r="M689" s="67"/>
      <c r="N689" s="68"/>
      <c r="O689" s="69"/>
      <c r="P689" s="69"/>
      <c r="Q689" s="69"/>
      <c r="R689" s="69"/>
    </row>
    <row r="690" spans="1:18">
      <c r="A690" s="6"/>
      <c r="B690" s="59"/>
      <c r="C690" s="60"/>
      <c r="D690" s="62"/>
      <c r="E690" s="62"/>
      <c r="F690" s="63"/>
      <c r="G690" s="59"/>
      <c r="H690" s="59"/>
      <c r="I690" s="64"/>
      <c r="J690" s="59"/>
      <c r="K690" s="65"/>
      <c r="L690" s="66"/>
      <c r="M690" s="67"/>
      <c r="N690" s="68"/>
      <c r="O690" s="69"/>
      <c r="P690" s="69"/>
      <c r="Q690" s="69"/>
      <c r="R690" s="69"/>
    </row>
    <row r="691" spans="1:18">
      <c r="A691" s="6"/>
      <c r="B691" s="59"/>
      <c r="C691" s="60"/>
      <c r="D691" s="62"/>
      <c r="E691" s="62"/>
      <c r="F691" s="63"/>
      <c r="G691" s="59"/>
      <c r="H691" s="59"/>
      <c r="I691" s="64"/>
      <c r="J691" s="59"/>
      <c r="K691" s="65"/>
      <c r="L691" s="66"/>
      <c r="M691" s="67"/>
      <c r="N691" s="68"/>
      <c r="O691" s="69"/>
      <c r="P691" s="69"/>
      <c r="Q691" s="69"/>
      <c r="R691" s="69"/>
    </row>
    <row r="692" spans="1:18">
      <c r="A692" s="6"/>
      <c r="B692" s="59"/>
      <c r="C692" s="60"/>
      <c r="D692" s="62"/>
      <c r="E692" s="62"/>
      <c r="F692" s="63"/>
      <c r="G692" s="59"/>
      <c r="H692" s="59"/>
      <c r="I692" s="64"/>
      <c r="J692" s="59"/>
      <c r="K692" s="65"/>
      <c r="L692" s="66"/>
      <c r="M692" s="67"/>
      <c r="N692" s="68"/>
      <c r="O692" s="69"/>
      <c r="P692" s="69"/>
      <c r="Q692" s="69"/>
      <c r="R692" s="69"/>
    </row>
    <row r="693" spans="1:18">
      <c r="A693" s="6"/>
      <c r="B693" s="59"/>
      <c r="C693" s="60"/>
      <c r="D693" s="62"/>
      <c r="E693" s="62"/>
      <c r="F693" s="63"/>
      <c r="G693" s="59"/>
      <c r="H693" s="59"/>
      <c r="I693" s="64"/>
      <c r="J693" s="59"/>
      <c r="K693" s="65"/>
      <c r="L693" s="66"/>
      <c r="M693" s="67"/>
      <c r="N693" s="68"/>
      <c r="O693" s="69"/>
      <c r="P693" s="69"/>
      <c r="Q693" s="69"/>
      <c r="R693" s="69"/>
    </row>
    <row r="694" spans="1:18">
      <c r="A694" s="6"/>
      <c r="B694" s="59"/>
      <c r="C694" s="60"/>
      <c r="D694" s="62"/>
      <c r="E694" s="62"/>
      <c r="F694" s="63"/>
      <c r="G694" s="59"/>
      <c r="H694" s="59"/>
      <c r="I694" s="64"/>
      <c r="J694" s="59"/>
      <c r="K694" s="65"/>
      <c r="L694" s="66"/>
      <c r="M694" s="67"/>
      <c r="N694" s="68"/>
      <c r="O694" s="69"/>
      <c r="P694" s="69"/>
      <c r="Q694" s="69"/>
      <c r="R694" s="69"/>
    </row>
    <row r="695" spans="1:18">
      <c r="A695" s="6"/>
      <c r="B695" s="59"/>
      <c r="C695" s="60"/>
      <c r="D695" s="62"/>
      <c r="E695" s="62"/>
      <c r="F695" s="63"/>
      <c r="G695" s="59"/>
      <c r="H695" s="59"/>
      <c r="I695" s="64"/>
      <c r="J695" s="59"/>
      <c r="K695" s="65"/>
      <c r="L695" s="66"/>
      <c r="M695" s="67"/>
      <c r="N695" s="68"/>
      <c r="O695" s="69"/>
      <c r="P695" s="69"/>
      <c r="Q695" s="69"/>
      <c r="R695" s="69"/>
    </row>
    <row r="696" spans="1:18">
      <c r="A696" s="6"/>
      <c r="B696" s="59"/>
      <c r="C696" s="60"/>
      <c r="D696" s="62"/>
      <c r="E696" s="62"/>
      <c r="F696" s="63"/>
      <c r="G696" s="59"/>
      <c r="H696" s="59"/>
      <c r="I696" s="64"/>
      <c r="J696" s="59"/>
      <c r="K696" s="65"/>
      <c r="L696" s="66"/>
      <c r="M696" s="67"/>
      <c r="N696" s="68"/>
      <c r="O696" s="69"/>
      <c r="P696" s="69"/>
      <c r="Q696" s="69"/>
      <c r="R696" s="69"/>
    </row>
    <row r="697" spans="1:18">
      <c r="A697" s="6"/>
      <c r="B697" s="59"/>
      <c r="C697" s="60"/>
      <c r="D697" s="62"/>
      <c r="E697" s="62"/>
      <c r="F697" s="63"/>
      <c r="G697" s="59"/>
      <c r="H697" s="59"/>
      <c r="I697" s="64"/>
      <c r="J697" s="59"/>
      <c r="K697" s="65"/>
      <c r="L697" s="66"/>
      <c r="M697" s="67"/>
      <c r="N697" s="68"/>
      <c r="O697" s="69"/>
      <c r="P697" s="69"/>
      <c r="Q697" s="69"/>
      <c r="R697" s="69"/>
    </row>
    <row r="698" spans="1:18">
      <c r="A698" s="6"/>
      <c r="B698" s="59"/>
      <c r="C698" s="60"/>
      <c r="D698" s="62"/>
      <c r="E698" s="62"/>
      <c r="F698" s="63"/>
      <c r="G698" s="59"/>
      <c r="H698" s="59"/>
      <c r="I698" s="64"/>
      <c r="J698" s="59"/>
      <c r="K698" s="65"/>
      <c r="L698" s="66"/>
      <c r="M698" s="67"/>
      <c r="N698" s="68"/>
      <c r="O698" s="69"/>
      <c r="P698" s="69"/>
      <c r="Q698" s="69"/>
      <c r="R698" s="69"/>
    </row>
    <row r="699" spans="1:18">
      <c r="A699" s="6"/>
      <c r="B699" s="59"/>
      <c r="C699" s="60"/>
      <c r="D699" s="62"/>
      <c r="E699" s="62"/>
      <c r="F699" s="63"/>
      <c r="G699" s="59"/>
      <c r="H699" s="59"/>
      <c r="I699" s="64"/>
      <c r="J699" s="59"/>
      <c r="K699" s="65"/>
      <c r="L699" s="66"/>
      <c r="M699" s="67"/>
      <c r="N699" s="68"/>
      <c r="O699" s="69"/>
      <c r="P699" s="69"/>
      <c r="Q699" s="69"/>
      <c r="R699" s="69"/>
    </row>
    <row r="700" spans="1:18">
      <c r="A700" s="6"/>
      <c r="B700" s="59"/>
      <c r="C700" s="60"/>
      <c r="D700" s="62"/>
      <c r="E700" s="62"/>
      <c r="F700" s="63"/>
      <c r="G700" s="59"/>
      <c r="H700" s="59"/>
      <c r="I700" s="64"/>
      <c r="J700" s="59"/>
      <c r="K700" s="65"/>
      <c r="L700" s="66"/>
      <c r="M700" s="67"/>
      <c r="N700" s="68"/>
      <c r="O700" s="69"/>
      <c r="P700" s="69"/>
      <c r="Q700" s="69"/>
      <c r="R700" s="69"/>
    </row>
    <row r="701" spans="1:18">
      <c r="A701" s="6"/>
      <c r="B701" s="59"/>
      <c r="C701" s="60"/>
      <c r="D701" s="62"/>
      <c r="E701" s="62"/>
      <c r="F701" s="63"/>
      <c r="G701" s="59"/>
      <c r="H701" s="59"/>
      <c r="I701" s="64"/>
      <c r="J701" s="59"/>
      <c r="K701" s="65"/>
      <c r="L701" s="66"/>
      <c r="M701" s="67"/>
      <c r="N701" s="68"/>
      <c r="O701" s="69"/>
      <c r="P701" s="69"/>
      <c r="Q701" s="69"/>
      <c r="R701" s="69"/>
    </row>
    <row r="702" spans="1:18">
      <c r="A702" s="6"/>
      <c r="B702" s="59"/>
      <c r="C702" s="60"/>
      <c r="D702" s="62"/>
      <c r="E702" s="62"/>
      <c r="F702" s="63"/>
      <c r="G702" s="59"/>
      <c r="H702" s="59"/>
      <c r="I702" s="64"/>
      <c r="J702" s="59"/>
      <c r="K702" s="65"/>
      <c r="L702" s="66"/>
      <c r="M702" s="67"/>
      <c r="N702" s="68"/>
      <c r="O702" s="69"/>
      <c r="P702" s="69"/>
      <c r="Q702" s="69"/>
      <c r="R702" s="69"/>
    </row>
    <row r="703" spans="1:18">
      <c r="A703" s="6"/>
      <c r="B703" s="59"/>
      <c r="C703" s="60"/>
      <c r="D703" s="62"/>
      <c r="E703" s="62"/>
      <c r="F703" s="63"/>
      <c r="G703" s="59"/>
      <c r="H703" s="59"/>
      <c r="I703" s="64"/>
      <c r="J703" s="59"/>
      <c r="K703" s="65"/>
      <c r="L703" s="66"/>
      <c r="M703" s="67"/>
      <c r="N703" s="68"/>
      <c r="O703" s="69"/>
      <c r="P703" s="69"/>
      <c r="Q703" s="69"/>
      <c r="R703" s="69"/>
    </row>
    <row r="704" spans="1:18">
      <c r="A704" s="6"/>
      <c r="B704" s="59"/>
      <c r="C704" s="60"/>
      <c r="D704" s="62"/>
      <c r="E704" s="62"/>
      <c r="F704" s="63"/>
      <c r="G704" s="59"/>
      <c r="H704" s="59"/>
      <c r="I704" s="64"/>
      <c r="J704" s="59"/>
      <c r="K704" s="65"/>
      <c r="L704" s="66"/>
      <c r="M704" s="67"/>
      <c r="N704" s="68"/>
      <c r="O704" s="69"/>
      <c r="P704" s="69"/>
      <c r="Q704" s="69"/>
      <c r="R704" s="69"/>
    </row>
    <row r="705" spans="1:18">
      <c r="A705" s="6"/>
      <c r="B705" s="59"/>
      <c r="C705" s="60"/>
      <c r="D705" s="62"/>
      <c r="E705" s="62"/>
      <c r="F705" s="63"/>
      <c r="G705" s="59"/>
      <c r="H705" s="59"/>
      <c r="I705" s="64"/>
      <c r="J705" s="59"/>
      <c r="K705" s="65"/>
      <c r="L705" s="66"/>
      <c r="M705" s="67"/>
      <c r="N705" s="68"/>
      <c r="O705" s="69"/>
      <c r="P705" s="69"/>
      <c r="Q705" s="69"/>
      <c r="R705" s="69"/>
    </row>
    <row r="706" spans="1:18">
      <c r="A706" s="6"/>
      <c r="B706" s="59"/>
      <c r="C706" s="60"/>
      <c r="D706" s="62"/>
      <c r="E706" s="62"/>
      <c r="F706" s="63"/>
      <c r="G706" s="59"/>
      <c r="H706" s="59"/>
      <c r="I706" s="64"/>
      <c r="J706" s="59"/>
      <c r="K706" s="65"/>
      <c r="L706" s="66"/>
      <c r="M706" s="67"/>
      <c r="N706" s="68"/>
      <c r="O706" s="69"/>
      <c r="P706" s="69"/>
      <c r="Q706" s="69"/>
      <c r="R706" s="69"/>
    </row>
    <row r="707" spans="1:18">
      <c r="A707" s="6"/>
      <c r="B707" s="59"/>
      <c r="C707" s="60"/>
      <c r="D707" s="62"/>
      <c r="E707" s="62"/>
      <c r="F707" s="63"/>
      <c r="G707" s="59"/>
      <c r="H707" s="59"/>
      <c r="I707" s="64"/>
      <c r="J707" s="59"/>
      <c r="K707" s="65"/>
      <c r="L707" s="66"/>
      <c r="M707" s="67"/>
      <c r="N707" s="68"/>
      <c r="O707" s="69"/>
      <c r="P707" s="69"/>
      <c r="Q707" s="69"/>
      <c r="R707" s="69"/>
    </row>
    <row r="708" spans="1:18">
      <c r="A708" s="6"/>
      <c r="B708" s="59"/>
      <c r="C708" s="60"/>
      <c r="D708" s="62"/>
      <c r="E708" s="62"/>
      <c r="F708" s="63"/>
      <c r="G708" s="59"/>
      <c r="H708" s="59"/>
      <c r="I708" s="64"/>
      <c r="J708" s="59"/>
      <c r="K708" s="65"/>
      <c r="L708" s="66"/>
      <c r="M708" s="67"/>
      <c r="N708" s="68"/>
      <c r="O708" s="69"/>
      <c r="P708" s="69"/>
      <c r="Q708" s="69"/>
      <c r="R708" s="69"/>
    </row>
    <row r="709" spans="1:18">
      <c r="A709" s="6"/>
      <c r="B709" s="59"/>
      <c r="C709" s="60"/>
      <c r="D709" s="62"/>
      <c r="E709" s="62"/>
      <c r="F709" s="63"/>
      <c r="G709" s="59"/>
      <c r="H709" s="59"/>
      <c r="I709" s="64"/>
      <c r="J709" s="59"/>
      <c r="K709" s="65"/>
      <c r="L709" s="66"/>
      <c r="M709" s="67"/>
      <c r="N709" s="68"/>
      <c r="O709" s="69"/>
      <c r="P709" s="69"/>
      <c r="Q709" s="69"/>
      <c r="R709" s="69"/>
    </row>
    <row r="710" spans="1:18">
      <c r="A710" s="6"/>
      <c r="B710" s="59"/>
      <c r="C710" s="60"/>
      <c r="D710" s="62"/>
      <c r="E710" s="62"/>
      <c r="F710" s="63"/>
      <c r="G710" s="59"/>
      <c r="H710" s="59"/>
      <c r="I710" s="64"/>
      <c r="J710" s="59"/>
      <c r="K710" s="65"/>
      <c r="L710" s="66"/>
      <c r="M710" s="67"/>
      <c r="N710" s="68"/>
      <c r="O710" s="69"/>
      <c r="P710" s="69"/>
      <c r="Q710" s="69"/>
      <c r="R710" s="69"/>
    </row>
    <row r="711" spans="1:18">
      <c r="A711" s="6"/>
      <c r="B711" s="59"/>
      <c r="C711" s="60"/>
      <c r="D711" s="62"/>
      <c r="E711" s="62"/>
      <c r="F711" s="63"/>
      <c r="G711" s="59"/>
      <c r="H711" s="59"/>
      <c r="I711" s="64"/>
      <c r="J711" s="59"/>
      <c r="K711" s="65"/>
      <c r="L711" s="66"/>
      <c r="M711" s="67"/>
      <c r="N711" s="68"/>
      <c r="O711" s="69"/>
      <c r="P711" s="69"/>
      <c r="Q711" s="69"/>
      <c r="R711" s="69"/>
    </row>
    <row r="712" spans="1:18">
      <c r="A712" s="6"/>
      <c r="B712" s="59"/>
      <c r="C712" s="60"/>
      <c r="D712" s="62"/>
      <c r="E712" s="62"/>
      <c r="F712" s="63"/>
      <c r="G712" s="59"/>
      <c r="H712" s="59"/>
      <c r="I712" s="64"/>
      <c r="J712" s="59"/>
      <c r="K712" s="65"/>
      <c r="L712" s="66"/>
      <c r="M712" s="67"/>
      <c r="N712" s="68"/>
      <c r="O712" s="69"/>
      <c r="P712" s="69"/>
      <c r="Q712" s="69"/>
      <c r="R712" s="69"/>
    </row>
    <row r="713" spans="1:18">
      <c r="A713" s="6"/>
      <c r="B713" s="59"/>
      <c r="C713" s="60"/>
      <c r="D713" s="62"/>
      <c r="E713" s="62"/>
      <c r="F713" s="63"/>
      <c r="G713" s="59"/>
      <c r="H713" s="59"/>
      <c r="I713" s="64"/>
      <c r="J713" s="59"/>
      <c r="K713" s="65"/>
      <c r="L713" s="66"/>
      <c r="M713" s="67"/>
      <c r="N713" s="68"/>
      <c r="O713" s="69"/>
      <c r="P713" s="69"/>
      <c r="Q713" s="69"/>
      <c r="R713" s="69"/>
    </row>
    <row r="714" spans="1:18">
      <c r="A714" s="6"/>
      <c r="B714" s="59"/>
      <c r="C714" s="60"/>
      <c r="D714" s="62"/>
      <c r="E714" s="62"/>
      <c r="F714" s="63"/>
      <c r="G714" s="59"/>
      <c r="H714" s="59"/>
      <c r="I714" s="64"/>
      <c r="J714" s="59"/>
      <c r="K714" s="65"/>
      <c r="L714" s="66"/>
      <c r="M714" s="67"/>
      <c r="N714" s="68"/>
      <c r="O714" s="69"/>
      <c r="P714" s="69"/>
      <c r="Q714" s="69"/>
      <c r="R714" s="69"/>
    </row>
    <row r="715" spans="1:18">
      <c r="A715" s="6"/>
      <c r="B715" s="59"/>
      <c r="C715" s="60"/>
      <c r="D715" s="62"/>
      <c r="E715" s="62"/>
      <c r="F715" s="63"/>
      <c r="G715" s="59"/>
      <c r="H715" s="59"/>
      <c r="I715" s="64"/>
      <c r="J715" s="59"/>
      <c r="K715" s="65"/>
      <c r="L715" s="66"/>
      <c r="M715" s="67"/>
      <c r="N715" s="68"/>
      <c r="O715" s="69"/>
      <c r="P715" s="69"/>
      <c r="Q715" s="69"/>
      <c r="R715" s="69"/>
    </row>
    <row r="716" spans="1:18">
      <c r="A716" s="6"/>
      <c r="B716" s="59"/>
      <c r="C716" s="60"/>
      <c r="D716" s="62"/>
      <c r="E716" s="62"/>
      <c r="F716" s="63"/>
      <c r="G716" s="59"/>
      <c r="H716" s="59"/>
      <c r="I716" s="64"/>
      <c r="J716" s="59"/>
      <c r="K716" s="65"/>
      <c r="L716" s="66"/>
      <c r="M716" s="67"/>
      <c r="N716" s="68"/>
      <c r="O716" s="69"/>
      <c r="P716" s="69"/>
      <c r="Q716" s="69"/>
      <c r="R716" s="69"/>
    </row>
    <row r="717" spans="1:18">
      <c r="A717" s="6"/>
      <c r="B717" s="59"/>
      <c r="C717" s="60"/>
      <c r="D717" s="62"/>
      <c r="E717" s="62"/>
      <c r="F717" s="63"/>
      <c r="G717" s="59"/>
      <c r="H717" s="59"/>
      <c r="I717" s="64"/>
      <c r="J717" s="59"/>
      <c r="K717" s="65"/>
      <c r="L717" s="66"/>
      <c r="M717" s="67"/>
      <c r="N717" s="68"/>
      <c r="O717" s="69"/>
      <c r="P717" s="69"/>
      <c r="Q717" s="69"/>
      <c r="R717" s="69"/>
    </row>
    <row r="718" spans="1:18">
      <c r="A718" s="6"/>
      <c r="B718" s="59"/>
      <c r="C718" s="60"/>
      <c r="D718" s="62"/>
      <c r="E718" s="62"/>
      <c r="F718" s="63"/>
      <c r="G718" s="59"/>
      <c r="H718" s="59"/>
      <c r="I718" s="64"/>
      <c r="J718" s="59"/>
      <c r="K718" s="65"/>
      <c r="L718" s="66"/>
      <c r="M718" s="67"/>
      <c r="N718" s="68"/>
      <c r="O718" s="69"/>
      <c r="P718" s="69"/>
      <c r="Q718" s="69"/>
      <c r="R718" s="69"/>
    </row>
    <row r="719" spans="1:18">
      <c r="A719" s="6"/>
      <c r="B719" s="59"/>
      <c r="C719" s="60"/>
      <c r="D719" s="62"/>
      <c r="E719" s="62"/>
      <c r="F719" s="63"/>
      <c r="G719" s="59"/>
      <c r="H719" s="59"/>
      <c r="I719" s="64"/>
      <c r="J719" s="59"/>
      <c r="K719" s="65"/>
      <c r="L719" s="66"/>
      <c r="M719" s="67"/>
      <c r="N719" s="68"/>
      <c r="O719" s="69"/>
      <c r="P719" s="69"/>
      <c r="Q719" s="69"/>
      <c r="R719" s="69"/>
    </row>
    <row r="720" spans="1:18">
      <c r="A720" s="6"/>
      <c r="B720" s="59"/>
      <c r="C720" s="60"/>
      <c r="D720" s="62"/>
      <c r="E720" s="62"/>
      <c r="F720" s="63"/>
      <c r="G720" s="59"/>
      <c r="H720" s="59"/>
      <c r="I720" s="64"/>
      <c r="J720" s="59"/>
      <c r="K720" s="65"/>
      <c r="L720" s="66"/>
      <c r="M720" s="67"/>
      <c r="N720" s="68"/>
      <c r="O720" s="69"/>
      <c r="P720" s="69"/>
      <c r="Q720" s="69"/>
      <c r="R720" s="69"/>
    </row>
    <row r="721" spans="1:18">
      <c r="A721" s="6"/>
      <c r="B721" s="59"/>
      <c r="C721" s="60"/>
      <c r="D721" s="62"/>
      <c r="E721" s="62"/>
      <c r="F721" s="63"/>
      <c r="G721" s="59"/>
      <c r="H721" s="59"/>
      <c r="I721" s="64"/>
      <c r="J721" s="59"/>
      <c r="K721" s="65"/>
      <c r="L721" s="66"/>
      <c r="M721" s="67"/>
      <c r="N721" s="68"/>
      <c r="O721" s="69"/>
      <c r="P721" s="69"/>
      <c r="Q721" s="69"/>
      <c r="R721" s="69"/>
    </row>
    <row r="722" spans="1:18">
      <c r="A722" s="6"/>
      <c r="B722" s="59"/>
      <c r="C722" s="60"/>
      <c r="D722" s="62"/>
      <c r="E722" s="62"/>
      <c r="F722" s="63"/>
      <c r="G722" s="59"/>
      <c r="H722" s="59"/>
      <c r="I722" s="64"/>
      <c r="J722" s="59"/>
      <c r="K722" s="65"/>
      <c r="L722" s="66"/>
      <c r="M722" s="67"/>
      <c r="N722" s="68"/>
      <c r="O722" s="69"/>
      <c r="P722" s="69"/>
      <c r="Q722" s="69"/>
      <c r="R722" s="69"/>
    </row>
    <row r="723" spans="1:18">
      <c r="A723" s="6"/>
      <c r="B723" s="59"/>
      <c r="C723" s="60"/>
      <c r="D723" s="62"/>
      <c r="E723" s="62"/>
      <c r="F723" s="63"/>
      <c r="G723" s="59"/>
      <c r="H723" s="59"/>
      <c r="I723" s="64"/>
      <c r="J723" s="59"/>
      <c r="K723" s="65"/>
      <c r="L723" s="66"/>
      <c r="M723" s="67"/>
      <c r="N723" s="68"/>
      <c r="O723" s="69"/>
      <c r="P723" s="69"/>
      <c r="Q723" s="69"/>
      <c r="R723" s="69"/>
    </row>
    <row r="724" spans="1:18">
      <c r="A724" s="6"/>
      <c r="B724" s="59"/>
      <c r="C724" s="60"/>
      <c r="D724" s="62"/>
      <c r="E724" s="62"/>
      <c r="F724" s="63"/>
      <c r="G724" s="59"/>
      <c r="H724" s="59"/>
      <c r="I724" s="64"/>
      <c r="J724" s="59"/>
      <c r="K724" s="65"/>
      <c r="L724" s="66"/>
      <c r="M724" s="67"/>
      <c r="N724" s="68"/>
      <c r="O724" s="69"/>
      <c r="P724" s="69"/>
      <c r="Q724" s="69"/>
      <c r="R724" s="69"/>
    </row>
    <row r="725" spans="1:18">
      <c r="A725" s="6"/>
      <c r="B725" s="59"/>
      <c r="C725" s="60"/>
      <c r="D725" s="62"/>
      <c r="E725" s="62"/>
      <c r="F725" s="63"/>
      <c r="G725" s="59"/>
      <c r="H725" s="59"/>
      <c r="I725" s="64"/>
      <c r="J725" s="59"/>
      <c r="K725" s="65"/>
      <c r="L725" s="66"/>
      <c r="M725" s="67"/>
      <c r="N725" s="68"/>
      <c r="O725" s="69"/>
      <c r="P725" s="69"/>
      <c r="Q725" s="69"/>
      <c r="R725" s="69"/>
    </row>
    <row r="726" spans="1:18">
      <c r="A726" s="6"/>
      <c r="B726" s="59"/>
      <c r="C726" s="60"/>
      <c r="D726" s="62"/>
      <c r="E726" s="62"/>
      <c r="F726" s="63"/>
      <c r="G726" s="59"/>
      <c r="H726" s="59"/>
      <c r="I726" s="64"/>
      <c r="J726" s="59"/>
      <c r="K726" s="65"/>
      <c r="L726" s="66"/>
      <c r="M726" s="67"/>
      <c r="N726" s="68"/>
      <c r="O726" s="69"/>
      <c r="P726" s="69"/>
      <c r="Q726" s="69"/>
      <c r="R726" s="69"/>
    </row>
    <row r="727" spans="1:18">
      <c r="A727" s="6"/>
      <c r="B727" s="59"/>
      <c r="C727" s="60"/>
      <c r="D727" s="62"/>
      <c r="E727" s="62"/>
      <c r="F727" s="63"/>
      <c r="G727" s="59"/>
      <c r="H727" s="59"/>
      <c r="I727" s="64"/>
      <c r="J727" s="59"/>
      <c r="K727" s="65"/>
      <c r="L727" s="66"/>
      <c r="M727" s="67"/>
      <c r="N727" s="68"/>
      <c r="O727" s="69"/>
      <c r="P727" s="69"/>
      <c r="Q727" s="69"/>
      <c r="R727" s="69"/>
    </row>
    <row r="728" spans="1:18">
      <c r="A728" s="6"/>
      <c r="B728" s="59"/>
      <c r="C728" s="60"/>
      <c r="D728" s="62"/>
      <c r="E728" s="62"/>
      <c r="F728" s="63"/>
      <c r="G728" s="59"/>
      <c r="H728" s="59"/>
      <c r="I728" s="64"/>
      <c r="J728" s="59"/>
      <c r="K728" s="65"/>
      <c r="L728" s="66"/>
      <c r="M728" s="67"/>
      <c r="N728" s="68"/>
      <c r="O728" s="69"/>
      <c r="P728" s="69"/>
      <c r="Q728" s="69"/>
      <c r="R728" s="69"/>
    </row>
    <row r="729" spans="1:18">
      <c r="A729" s="6"/>
      <c r="B729" s="59"/>
      <c r="C729" s="60"/>
      <c r="D729" s="62"/>
      <c r="E729" s="62"/>
      <c r="F729" s="63"/>
      <c r="G729" s="59"/>
      <c r="H729" s="59"/>
      <c r="I729" s="64"/>
      <c r="J729" s="59"/>
      <c r="K729" s="65"/>
      <c r="L729" s="66"/>
      <c r="M729" s="67"/>
      <c r="N729" s="68"/>
      <c r="O729" s="69"/>
      <c r="P729" s="69"/>
      <c r="Q729" s="69"/>
      <c r="R729" s="69"/>
    </row>
    <row r="730" spans="1:18">
      <c r="A730" s="6"/>
      <c r="B730" s="59"/>
      <c r="C730" s="60"/>
      <c r="D730" s="62"/>
      <c r="E730" s="62"/>
      <c r="F730" s="63"/>
      <c r="G730" s="59"/>
      <c r="H730" s="59"/>
      <c r="I730" s="64"/>
      <c r="J730" s="59"/>
      <c r="K730" s="65"/>
      <c r="L730" s="66"/>
      <c r="M730" s="67"/>
      <c r="N730" s="68"/>
      <c r="O730" s="69"/>
      <c r="P730" s="69"/>
      <c r="Q730" s="69"/>
      <c r="R730" s="69"/>
    </row>
    <row r="731" spans="1:18">
      <c r="A731" s="6"/>
      <c r="B731" s="59"/>
      <c r="C731" s="60"/>
      <c r="D731" s="62"/>
      <c r="E731" s="62"/>
      <c r="F731" s="63"/>
      <c r="G731" s="59"/>
      <c r="H731" s="59"/>
      <c r="I731" s="64"/>
      <c r="J731" s="59"/>
      <c r="K731" s="65"/>
      <c r="L731" s="66"/>
      <c r="M731" s="67"/>
      <c r="N731" s="68"/>
      <c r="O731" s="69"/>
      <c r="P731" s="69"/>
      <c r="Q731" s="69"/>
      <c r="R731" s="69"/>
    </row>
    <row r="732" spans="1:18">
      <c r="A732" s="6"/>
      <c r="B732" s="59"/>
      <c r="C732" s="60"/>
      <c r="D732" s="62"/>
      <c r="E732" s="62"/>
      <c r="F732" s="63"/>
      <c r="G732" s="59"/>
      <c r="H732" s="59"/>
      <c r="I732" s="64"/>
      <c r="J732" s="59"/>
      <c r="K732" s="65"/>
      <c r="L732" s="66"/>
      <c r="M732" s="67"/>
      <c r="N732" s="68"/>
      <c r="O732" s="69"/>
      <c r="P732" s="69"/>
      <c r="Q732" s="69"/>
      <c r="R732" s="69"/>
    </row>
    <row r="733" spans="1:18">
      <c r="A733" s="6"/>
      <c r="B733" s="59"/>
      <c r="C733" s="60"/>
      <c r="D733" s="62"/>
      <c r="E733" s="62"/>
      <c r="F733" s="63"/>
      <c r="G733" s="59"/>
      <c r="H733" s="59"/>
      <c r="I733" s="64"/>
      <c r="J733" s="59"/>
      <c r="K733" s="65"/>
      <c r="L733" s="66"/>
      <c r="M733" s="67"/>
      <c r="N733" s="68"/>
      <c r="O733" s="69"/>
      <c r="P733" s="69"/>
      <c r="Q733" s="69"/>
      <c r="R733" s="69"/>
    </row>
    <row r="734" spans="1:18">
      <c r="A734" s="6"/>
      <c r="B734" s="59"/>
      <c r="C734" s="60"/>
      <c r="D734" s="62"/>
      <c r="E734" s="62"/>
      <c r="F734" s="63"/>
      <c r="G734" s="59"/>
      <c r="H734" s="59"/>
      <c r="I734" s="64"/>
      <c r="J734" s="59"/>
      <c r="K734" s="65"/>
      <c r="L734" s="66"/>
      <c r="M734" s="67"/>
      <c r="N734" s="68"/>
      <c r="O734" s="69"/>
      <c r="P734" s="69"/>
      <c r="Q734" s="69"/>
      <c r="R734" s="69"/>
    </row>
    <row r="735" spans="1:18">
      <c r="A735" s="6"/>
      <c r="B735" s="59"/>
      <c r="C735" s="60"/>
      <c r="D735" s="62"/>
      <c r="E735" s="62"/>
      <c r="F735" s="63"/>
      <c r="G735" s="59"/>
      <c r="H735" s="59"/>
      <c r="I735" s="64"/>
      <c r="J735" s="59"/>
      <c r="K735" s="65"/>
      <c r="L735" s="66"/>
      <c r="M735" s="67"/>
      <c r="N735" s="68"/>
      <c r="O735" s="69"/>
      <c r="P735" s="69"/>
      <c r="Q735" s="69"/>
      <c r="R735" s="69"/>
    </row>
    <row r="736" spans="1:18">
      <c r="A736" s="6"/>
      <c r="B736" s="59"/>
      <c r="C736" s="60"/>
      <c r="D736" s="62"/>
      <c r="E736" s="62"/>
      <c r="F736" s="63"/>
      <c r="G736" s="59"/>
      <c r="H736" s="59"/>
      <c r="I736" s="64"/>
      <c r="J736" s="59"/>
      <c r="K736" s="65"/>
      <c r="L736" s="66"/>
      <c r="M736" s="67"/>
      <c r="N736" s="68"/>
      <c r="O736" s="69"/>
      <c r="P736" s="69"/>
      <c r="Q736" s="69"/>
      <c r="R736" s="69"/>
    </row>
    <row r="737" spans="1:18">
      <c r="A737" s="6"/>
      <c r="B737" s="59"/>
      <c r="C737" s="60"/>
      <c r="D737" s="62"/>
      <c r="E737" s="62"/>
      <c r="F737" s="63"/>
      <c r="G737" s="59"/>
      <c r="H737" s="59"/>
      <c r="I737" s="64"/>
      <c r="J737" s="59"/>
      <c r="K737" s="65"/>
      <c r="L737" s="66"/>
      <c r="M737" s="67"/>
      <c r="N737" s="68"/>
      <c r="O737" s="69"/>
      <c r="P737" s="69"/>
      <c r="Q737" s="69"/>
      <c r="R737" s="69"/>
    </row>
    <row r="738" spans="1:18">
      <c r="A738" s="6"/>
      <c r="B738" s="59"/>
      <c r="C738" s="60"/>
      <c r="D738" s="62"/>
      <c r="E738" s="62"/>
      <c r="F738" s="63"/>
      <c r="G738" s="59"/>
      <c r="H738" s="59"/>
      <c r="I738" s="64"/>
      <c r="J738" s="59"/>
      <c r="K738" s="65"/>
      <c r="L738" s="66"/>
      <c r="M738" s="67"/>
      <c r="N738" s="68"/>
      <c r="O738" s="69"/>
      <c r="P738" s="69"/>
      <c r="Q738" s="69"/>
      <c r="R738" s="69"/>
    </row>
    <row r="739" spans="1:18">
      <c r="A739" s="6"/>
      <c r="B739" s="59"/>
      <c r="C739" s="60"/>
      <c r="D739" s="62"/>
      <c r="E739" s="62"/>
      <c r="F739" s="63"/>
      <c r="G739" s="59"/>
      <c r="H739" s="59"/>
      <c r="I739" s="64"/>
      <c r="J739" s="59"/>
      <c r="K739" s="65"/>
      <c r="L739" s="66"/>
      <c r="M739" s="67"/>
      <c r="N739" s="68"/>
      <c r="O739" s="69"/>
      <c r="P739" s="69"/>
      <c r="Q739" s="69"/>
      <c r="R739" s="69"/>
    </row>
    <row r="740" spans="1:18">
      <c r="A740" s="6"/>
      <c r="B740" s="59"/>
      <c r="C740" s="60"/>
      <c r="D740" s="62"/>
      <c r="E740" s="62"/>
      <c r="F740" s="63"/>
      <c r="G740" s="59"/>
      <c r="H740" s="59"/>
      <c r="I740" s="64"/>
      <c r="J740" s="59"/>
      <c r="K740" s="65"/>
      <c r="L740" s="66"/>
      <c r="M740" s="67"/>
      <c r="N740" s="68"/>
      <c r="O740" s="69"/>
      <c r="P740" s="69"/>
      <c r="Q740" s="69"/>
      <c r="R740" s="69"/>
    </row>
    <row r="741" spans="1:18">
      <c r="A741" s="6"/>
      <c r="B741" s="59"/>
      <c r="C741" s="60"/>
      <c r="D741" s="62"/>
      <c r="E741" s="62"/>
      <c r="F741" s="63"/>
      <c r="G741" s="59"/>
      <c r="H741" s="59"/>
      <c r="I741" s="64"/>
      <c r="J741" s="59"/>
      <c r="K741" s="65"/>
      <c r="L741" s="66"/>
      <c r="M741" s="67"/>
      <c r="N741" s="68"/>
      <c r="O741" s="69"/>
      <c r="P741" s="69"/>
      <c r="Q741" s="69"/>
      <c r="R741" s="69"/>
    </row>
    <row r="742" spans="1:18">
      <c r="A742" s="6"/>
      <c r="B742" s="59"/>
      <c r="C742" s="60"/>
      <c r="D742" s="62"/>
      <c r="E742" s="62"/>
      <c r="F742" s="63"/>
      <c r="G742" s="59"/>
      <c r="H742" s="59"/>
      <c r="I742" s="64"/>
      <c r="J742" s="59"/>
      <c r="K742" s="65"/>
      <c r="L742" s="66"/>
      <c r="M742" s="67"/>
      <c r="N742" s="68"/>
      <c r="O742" s="69"/>
      <c r="P742" s="69"/>
      <c r="Q742" s="69"/>
      <c r="R742" s="69"/>
    </row>
    <row r="743" spans="1:18">
      <c r="A743" s="6"/>
      <c r="B743" s="59"/>
      <c r="C743" s="60"/>
      <c r="D743" s="62"/>
      <c r="E743" s="62"/>
      <c r="F743" s="63"/>
      <c r="G743" s="59"/>
      <c r="H743" s="59"/>
      <c r="I743" s="64"/>
      <c r="J743" s="59"/>
      <c r="K743" s="65"/>
      <c r="L743" s="66"/>
      <c r="M743" s="67"/>
      <c r="N743" s="68"/>
      <c r="O743" s="69"/>
      <c r="P743" s="69"/>
      <c r="Q743" s="69"/>
      <c r="R743" s="69"/>
    </row>
    <row r="744" spans="1:18">
      <c r="A744" s="6"/>
      <c r="B744" s="59"/>
      <c r="C744" s="60"/>
      <c r="D744" s="62"/>
      <c r="E744" s="62"/>
      <c r="F744" s="63"/>
      <c r="G744" s="59"/>
      <c r="H744" s="59"/>
      <c r="I744" s="64"/>
      <c r="J744" s="59"/>
      <c r="K744" s="65"/>
      <c r="L744" s="66"/>
      <c r="M744" s="67"/>
      <c r="N744" s="68"/>
      <c r="O744" s="69"/>
      <c r="P744" s="69"/>
      <c r="Q744" s="69"/>
      <c r="R744" s="69"/>
    </row>
    <row r="745" spans="1:18">
      <c r="A745" s="6"/>
      <c r="B745" s="59"/>
      <c r="C745" s="60"/>
      <c r="D745" s="62"/>
      <c r="E745" s="62"/>
      <c r="F745" s="63"/>
      <c r="G745" s="59"/>
      <c r="H745" s="59"/>
      <c r="I745" s="64"/>
      <c r="J745" s="59"/>
      <c r="K745" s="65"/>
      <c r="L745" s="66"/>
      <c r="M745" s="67"/>
      <c r="N745" s="68"/>
      <c r="O745" s="69"/>
      <c r="P745" s="69"/>
      <c r="Q745" s="69"/>
      <c r="R745" s="69"/>
    </row>
    <row r="746" spans="1:18">
      <c r="A746" s="6"/>
      <c r="B746" s="59"/>
      <c r="C746" s="60"/>
      <c r="D746" s="62"/>
      <c r="E746" s="62"/>
      <c r="F746" s="63"/>
      <c r="G746" s="59"/>
      <c r="H746" s="59"/>
      <c r="I746" s="64"/>
      <c r="J746" s="59"/>
      <c r="K746" s="65"/>
      <c r="L746" s="66"/>
      <c r="M746" s="67"/>
      <c r="N746" s="68"/>
      <c r="O746" s="69"/>
      <c r="P746" s="69"/>
      <c r="Q746" s="69"/>
      <c r="R746" s="69"/>
    </row>
    <row r="747" spans="1:18">
      <c r="A747" s="6"/>
      <c r="B747" s="59"/>
      <c r="C747" s="60"/>
      <c r="D747" s="62"/>
      <c r="E747" s="62"/>
      <c r="F747" s="63"/>
      <c r="G747" s="59"/>
      <c r="H747" s="59"/>
      <c r="I747" s="64"/>
      <c r="J747" s="59"/>
      <c r="K747" s="65"/>
      <c r="L747" s="66"/>
      <c r="M747" s="67"/>
      <c r="N747" s="68"/>
      <c r="O747" s="69"/>
      <c r="P747" s="69"/>
      <c r="Q747" s="69"/>
      <c r="R747" s="69"/>
    </row>
    <row r="748" spans="1:18">
      <c r="A748" s="6"/>
      <c r="B748" s="59"/>
      <c r="C748" s="60"/>
      <c r="D748" s="62"/>
      <c r="E748" s="62"/>
      <c r="F748" s="63"/>
      <c r="G748" s="59"/>
      <c r="H748" s="59"/>
      <c r="I748" s="64"/>
      <c r="J748" s="59"/>
      <c r="K748" s="65"/>
      <c r="L748" s="66"/>
      <c r="M748" s="67"/>
      <c r="N748" s="68"/>
      <c r="O748" s="69"/>
      <c r="P748" s="69"/>
      <c r="Q748" s="69"/>
      <c r="R748" s="69"/>
    </row>
    <row r="749" spans="1:18">
      <c r="A749" s="6"/>
      <c r="B749" s="59"/>
      <c r="C749" s="60"/>
      <c r="D749" s="62"/>
      <c r="E749" s="62"/>
      <c r="F749" s="63"/>
      <c r="G749" s="59"/>
      <c r="H749" s="59"/>
      <c r="I749" s="64"/>
      <c r="J749" s="59"/>
      <c r="K749" s="65"/>
      <c r="L749" s="66"/>
      <c r="M749" s="67"/>
      <c r="N749" s="68"/>
      <c r="O749" s="69"/>
      <c r="P749" s="69"/>
      <c r="Q749" s="69"/>
      <c r="R749" s="69"/>
    </row>
    <row r="750" spans="1:18">
      <c r="A750" s="6"/>
      <c r="B750" s="59"/>
      <c r="C750" s="60"/>
      <c r="D750" s="62"/>
      <c r="E750" s="62"/>
      <c r="F750" s="63"/>
      <c r="G750" s="59"/>
      <c r="H750" s="59"/>
      <c r="I750" s="64"/>
      <c r="J750" s="59"/>
      <c r="K750" s="65"/>
      <c r="L750" s="66"/>
      <c r="M750" s="67"/>
      <c r="N750" s="68"/>
      <c r="O750" s="69"/>
      <c r="P750" s="69"/>
      <c r="Q750" s="69"/>
      <c r="R750" s="69"/>
    </row>
    <row r="751" spans="1:18">
      <c r="A751" s="6"/>
      <c r="B751" s="59"/>
      <c r="C751" s="60"/>
      <c r="D751" s="62"/>
      <c r="E751" s="62"/>
      <c r="F751" s="63"/>
      <c r="G751" s="59"/>
      <c r="H751" s="59"/>
      <c r="I751" s="64"/>
      <c r="J751" s="59"/>
      <c r="K751" s="65"/>
      <c r="L751" s="66"/>
      <c r="M751" s="67"/>
      <c r="N751" s="68"/>
      <c r="O751" s="69"/>
      <c r="P751" s="69"/>
      <c r="Q751" s="69"/>
      <c r="R751" s="69"/>
    </row>
    <row r="752" spans="1:18">
      <c r="A752" s="6"/>
      <c r="B752" s="59"/>
      <c r="C752" s="60"/>
      <c r="D752" s="62"/>
      <c r="E752" s="62"/>
      <c r="F752" s="63"/>
      <c r="G752" s="59"/>
      <c r="H752" s="59"/>
      <c r="I752" s="64"/>
      <c r="J752" s="59"/>
      <c r="K752" s="65"/>
      <c r="L752" s="66"/>
      <c r="M752" s="67"/>
      <c r="N752" s="68"/>
      <c r="O752" s="69"/>
      <c r="P752" s="69"/>
      <c r="Q752" s="69"/>
      <c r="R752" s="69"/>
    </row>
    <row r="753" spans="1:18">
      <c r="A753" s="6"/>
      <c r="B753" s="59"/>
      <c r="C753" s="60"/>
      <c r="D753" s="62"/>
      <c r="E753" s="62"/>
      <c r="F753" s="63"/>
      <c r="G753" s="59"/>
      <c r="H753" s="59"/>
      <c r="I753" s="64"/>
      <c r="J753" s="59"/>
      <c r="K753" s="65"/>
      <c r="L753" s="66"/>
      <c r="M753" s="67"/>
      <c r="N753" s="68"/>
      <c r="O753" s="69"/>
      <c r="P753" s="69"/>
      <c r="Q753" s="69"/>
      <c r="R753" s="69"/>
    </row>
    <row r="754" spans="1:18">
      <c r="A754" s="6"/>
      <c r="B754" s="59"/>
      <c r="C754" s="60"/>
      <c r="D754" s="62"/>
      <c r="E754" s="62"/>
      <c r="F754" s="63"/>
      <c r="G754" s="59"/>
      <c r="H754" s="59"/>
      <c r="I754" s="64"/>
      <c r="J754" s="59"/>
      <c r="K754" s="65"/>
      <c r="L754" s="66"/>
      <c r="M754" s="67"/>
      <c r="N754" s="68"/>
      <c r="O754" s="69"/>
      <c r="P754" s="69"/>
      <c r="Q754" s="69"/>
      <c r="R754" s="69"/>
    </row>
    <row r="755" spans="1:18">
      <c r="A755" s="6"/>
      <c r="B755" s="59"/>
      <c r="C755" s="60"/>
      <c r="D755" s="62"/>
      <c r="E755" s="62"/>
      <c r="F755" s="63"/>
      <c r="G755" s="59"/>
      <c r="H755" s="59"/>
      <c r="I755" s="64"/>
      <c r="J755" s="59"/>
      <c r="K755" s="65"/>
      <c r="L755" s="66"/>
      <c r="M755" s="67"/>
      <c r="N755" s="68"/>
      <c r="O755" s="69"/>
      <c r="P755" s="69"/>
      <c r="Q755" s="69"/>
      <c r="R755" s="69"/>
    </row>
    <row r="756" spans="1:18">
      <c r="A756" s="6"/>
      <c r="B756" s="59"/>
      <c r="C756" s="60"/>
      <c r="D756" s="62"/>
      <c r="E756" s="62"/>
      <c r="F756" s="63"/>
      <c r="G756" s="59"/>
      <c r="H756" s="59"/>
      <c r="I756" s="64"/>
      <c r="J756" s="59"/>
      <c r="K756" s="65"/>
      <c r="L756" s="66"/>
      <c r="M756" s="67"/>
      <c r="N756" s="68"/>
      <c r="O756" s="69"/>
      <c r="P756" s="69"/>
      <c r="Q756" s="69"/>
      <c r="R756" s="69"/>
    </row>
    <row r="757" spans="1:18">
      <c r="A757" s="6"/>
      <c r="B757" s="59"/>
      <c r="C757" s="60"/>
      <c r="D757" s="62"/>
      <c r="E757" s="62"/>
      <c r="F757" s="63"/>
      <c r="G757" s="59"/>
      <c r="H757" s="59"/>
      <c r="I757" s="64"/>
      <c r="J757" s="59"/>
      <c r="K757" s="65"/>
      <c r="L757" s="66"/>
      <c r="M757" s="67"/>
      <c r="N757" s="68"/>
      <c r="O757" s="69"/>
      <c r="P757" s="69"/>
      <c r="Q757" s="69"/>
      <c r="R757" s="69"/>
    </row>
    <row r="758" spans="1:18">
      <c r="A758" s="6"/>
      <c r="B758" s="59"/>
      <c r="C758" s="60"/>
      <c r="D758" s="62"/>
      <c r="E758" s="62"/>
      <c r="F758" s="63"/>
      <c r="G758" s="59"/>
      <c r="H758" s="59"/>
      <c r="I758" s="64"/>
      <c r="J758" s="59"/>
      <c r="K758" s="65"/>
      <c r="L758" s="66"/>
      <c r="M758" s="67"/>
      <c r="N758" s="68"/>
      <c r="O758" s="69"/>
      <c r="P758" s="69"/>
      <c r="Q758" s="69"/>
      <c r="R758" s="69"/>
    </row>
    <row r="759" spans="1:18">
      <c r="A759" s="6"/>
      <c r="B759" s="59"/>
      <c r="C759" s="60"/>
      <c r="D759" s="62"/>
      <c r="E759" s="62"/>
      <c r="F759" s="63"/>
      <c r="G759" s="59"/>
      <c r="H759" s="59"/>
      <c r="I759" s="64"/>
      <c r="J759" s="59"/>
      <c r="K759" s="65"/>
      <c r="L759" s="66"/>
      <c r="M759" s="67"/>
      <c r="N759" s="68"/>
      <c r="O759" s="69"/>
      <c r="P759" s="69"/>
      <c r="Q759" s="69"/>
      <c r="R759" s="69"/>
    </row>
    <row r="760" spans="1:18">
      <c r="A760" s="6"/>
      <c r="B760" s="59"/>
      <c r="C760" s="60"/>
      <c r="D760" s="62"/>
      <c r="E760" s="62"/>
      <c r="F760" s="63"/>
      <c r="G760" s="59"/>
      <c r="H760" s="59"/>
      <c r="I760" s="64"/>
      <c r="J760" s="59"/>
      <c r="K760" s="65"/>
      <c r="L760" s="66"/>
      <c r="M760" s="67"/>
      <c r="N760" s="68"/>
      <c r="O760" s="69"/>
      <c r="P760" s="69"/>
      <c r="Q760" s="69"/>
      <c r="R760" s="69"/>
    </row>
    <row r="761" spans="1:18">
      <c r="A761" s="6"/>
      <c r="B761" s="59"/>
      <c r="C761" s="60"/>
      <c r="D761" s="62"/>
      <c r="E761" s="62"/>
      <c r="F761" s="63"/>
      <c r="G761" s="59"/>
      <c r="H761" s="59"/>
      <c r="I761" s="64"/>
      <c r="J761" s="59"/>
      <c r="K761" s="65"/>
      <c r="L761" s="66"/>
      <c r="M761" s="67"/>
      <c r="N761" s="68"/>
      <c r="O761" s="69"/>
      <c r="P761" s="69"/>
      <c r="Q761" s="69"/>
      <c r="R761" s="69"/>
    </row>
    <row r="762" spans="1:18">
      <c r="A762" s="6"/>
      <c r="B762" s="59"/>
      <c r="C762" s="60"/>
      <c r="D762" s="62"/>
      <c r="E762" s="62"/>
      <c r="F762" s="63"/>
      <c r="G762" s="59"/>
      <c r="H762" s="59"/>
      <c r="I762" s="64"/>
      <c r="J762" s="59"/>
      <c r="K762" s="65"/>
      <c r="L762" s="66"/>
      <c r="M762" s="67"/>
      <c r="N762" s="68"/>
      <c r="O762" s="69"/>
      <c r="P762" s="69"/>
      <c r="Q762" s="69"/>
      <c r="R762" s="69"/>
    </row>
    <row r="763" spans="1:18">
      <c r="A763" s="6"/>
      <c r="B763" s="59"/>
      <c r="C763" s="60"/>
      <c r="D763" s="62"/>
      <c r="E763" s="62"/>
      <c r="F763" s="63"/>
      <c r="G763" s="59"/>
      <c r="H763" s="59"/>
      <c r="I763" s="64"/>
      <c r="J763" s="59"/>
      <c r="K763" s="65"/>
      <c r="L763" s="66"/>
      <c r="M763" s="67"/>
      <c r="N763" s="68"/>
      <c r="O763" s="69"/>
      <c r="P763" s="69"/>
      <c r="Q763" s="69"/>
      <c r="R763" s="69"/>
    </row>
    <row r="764" spans="1:18">
      <c r="A764" s="6"/>
      <c r="B764" s="59"/>
      <c r="C764" s="60"/>
      <c r="D764" s="62"/>
      <c r="E764" s="62"/>
      <c r="F764" s="63"/>
      <c r="G764" s="59"/>
      <c r="H764" s="59"/>
      <c r="I764" s="64"/>
      <c r="J764" s="59"/>
      <c r="K764" s="65"/>
      <c r="L764" s="66"/>
      <c r="M764" s="67"/>
      <c r="N764" s="68"/>
      <c r="O764" s="69"/>
      <c r="P764" s="69"/>
      <c r="Q764" s="69"/>
      <c r="R764" s="69"/>
    </row>
    <row r="765" spans="1:18">
      <c r="A765" s="6"/>
      <c r="B765" s="59"/>
      <c r="C765" s="60"/>
      <c r="D765" s="62"/>
      <c r="E765" s="62"/>
      <c r="F765" s="63"/>
      <c r="G765" s="59"/>
      <c r="H765" s="59"/>
      <c r="I765" s="64"/>
      <c r="J765" s="59"/>
      <c r="K765" s="65"/>
      <c r="L765" s="66"/>
      <c r="M765" s="67"/>
      <c r="N765" s="68"/>
      <c r="O765" s="69"/>
      <c r="P765" s="69"/>
      <c r="Q765" s="69"/>
      <c r="R765" s="69"/>
    </row>
    <row r="766" spans="1:18">
      <c r="A766" s="6"/>
      <c r="B766" s="59"/>
      <c r="C766" s="60"/>
      <c r="D766" s="62"/>
      <c r="E766" s="62"/>
      <c r="F766" s="63"/>
      <c r="G766" s="59"/>
      <c r="H766" s="59"/>
      <c r="I766" s="64"/>
      <c r="J766" s="59"/>
      <c r="K766" s="65"/>
      <c r="L766" s="66"/>
      <c r="M766" s="67"/>
      <c r="N766" s="68"/>
      <c r="O766" s="69"/>
      <c r="P766" s="69"/>
      <c r="Q766" s="69"/>
      <c r="R766" s="69"/>
    </row>
    <row r="767" spans="1:18">
      <c r="A767" s="6"/>
      <c r="B767" s="59"/>
      <c r="C767" s="60"/>
      <c r="D767" s="62"/>
      <c r="E767" s="62"/>
      <c r="F767" s="63"/>
      <c r="G767" s="59"/>
      <c r="H767" s="59"/>
      <c r="I767" s="64"/>
      <c r="J767" s="59"/>
      <c r="K767" s="65"/>
      <c r="L767" s="66"/>
      <c r="M767" s="67"/>
      <c r="N767" s="68"/>
      <c r="O767" s="69"/>
      <c r="P767" s="69"/>
      <c r="Q767" s="69"/>
      <c r="R767" s="69"/>
    </row>
    <row r="768" spans="1:18">
      <c r="A768" s="6"/>
      <c r="B768" s="59"/>
      <c r="C768" s="60"/>
      <c r="D768" s="62"/>
      <c r="E768" s="62"/>
      <c r="F768" s="63"/>
      <c r="G768" s="59"/>
      <c r="H768" s="59"/>
      <c r="I768" s="64"/>
      <c r="J768" s="59"/>
      <c r="K768" s="65"/>
      <c r="L768" s="66"/>
      <c r="M768" s="67"/>
      <c r="N768" s="68"/>
      <c r="O768" s="69"/>
      <c r="P768" s="69"/>
      <c r="Q768" s="69"/>
      <c r="R768" s="69"/>
    </row>
    <row r="769" spans="1:18">
      <c r="A769" s="6"/>
      <c r="B769" s="59"/>
      <c r="C769" s="60"/>
      <c r="D769" s="62"/>
      <c r="E769" s="62"/>
      <c r="F769" s="63"/>
      <c r="G769" s="59"/>
      <c r="H769" s="59"/>
      <c r="I769" s="64"/>
      <c r="J769" s="59"/>
      <c r="K769" s="65"/>
      <c r="L769" s="66"/>
      <c r="M769" s="67"/>
      <c r="N769" s="68"/>
      <c r="O769" s="69"/>
      <c r="P769" s="69"/>
      <c r="Q769" s="69"/>
      <c r="R769" s="69"/>
    </row>
    <row r="770" spans="1:18">
      <c r="A770" s="6"/>
      <c r="B770" s="59"/>
      <c r="C770" s="60"/>
      <c r="D770" s="62"/>
      <c r="E770" s="62"/>
      <c r="F770" s="63"/>
      <c r="G770" s="59"/>
      <c r="H770" s="59"/>
      <c r="I770" s="64"/>
      <c r="J770" s="59"/>
      <c r="K770" s="65"/>
      <c r="L770" s="66"/>
      <c r="M770" s="67"/>
      <c r="N770" s="68"/>
      <c r="O770" s="69"/>
      <c r="P770" s="69"/>
      <c r="Q770" s="69"/>
      <c r="R770" s="69"/>
    </row>
    <row r="771" spans="1:18">
      <c r="A771" s="6"/>
      <c r="B771" s="59"/>
      <c r="C771" s="60"/>
      <c r="D771" s="62"/>
      <c r="E771" s="62"/>
      <c r="F771" s="63"/>
      <c r="G771" s="59"/>
      <c r="H771" s="59"/>
      <c r="I771" s="64"/>
      <c r="J771" s="59"/>
      <c r="K771" s="65"/>
      <c r="L771" s="66"/>
      <c r="M771" s="67"/>
      <c r="N771" s="68"/>
      <c r="O771" s="69"/>
      <c r="P771" s="69"/>
      <c r="Q771" s="69"/>
      <c r="R771" s="69"/>
    </row>
    <row r="772" spans="1:18">
      <c r="A772" s="6"/>
      <c r="B772" s="59"/>
      <c r="C772" s="60"/>
      <c r="D772" s="62"/>
      <c r="E772" s="62"/>
      <c r="F772" s="63"/>
      <c r="G772" s="59"/>
      <c r="H772" s="59"/>
      <c r="I772" s="64"/>
      <c r="J772" s="59"/>
      <c r="K772" s="65"/>
      <c r="L772" s="66"/>
      <c r="M772" s="67"/>
      <c r="N772" s="68"/>
      <c r="O772" s="69"/>
      <c r="P772" s="69"/>
      <c r="Q772" s="69"/>
      <c r="R772" s="69"/>
    </row>
    <row r="773" spans="1:18">
      <c r="A773" s="6"/>
      <c r="B773" s="59"/>
      <c r="C773" s="60"/>
      <c r="D773" s="62"/>
      <c r="E773" s="62"/>
      <c r="F773" s="63"/>
      <c r="G773" s="59"/>
      <c r="H773" s="59"/>
      <c r="I773" s="64"/>
      <c r="J773" s="59"/>
      <c r="K773" s="65"/>
      <c r="L773" s="66"/>
      <c r="M773" s="67"/>
      <c r="N773" s="68"/>
      <c r="O773" s="69"/>
      <c r="P773" s="69"/>
      <c r="Q773" s="69"/>
      <c r="R773" s="69"/>
    </row>
    <row r="774" spans="1:18">
      <c r="A774" s="6"/>
      <c r="B774" s="59"/>
      <c r="C774" s="60"/>
      <c r="D774" s="62"/>
      <c r="E774" s="62"/>
      <c r="F774" s="63"/>
      <c r="G774" s="59"/>
      <c r="H774" s="59"/>
      <c r="I774" s="64"/>
      <c r="J774" s="59"/>
      <c r="K774" s="65"/>
      <c r="L774" s="66"/>
      <c r="M774" s="67"/>
      <c r="N774" s="68"/>
      <c r="O774" s="69"/>
      <c r="P774" s="69"/>
      <c r="Q774" s="69"/>
      <c r="R774" s="69"/>
    </row>
    <row r="775" spans="1:18">
      <c r="A775" s="6"/>
      <c r="B775" s="59"/>
      <c r="C775" s="60"/>
      <c r="D775" s="62"/>
      <c r="E775" s="62"/>
      <c r="F775" s="63"/>
      <c r="G775" s="59"/>
      <c r="H775" s="59"/>
      <c r="I775" s="64"/>
      <c r="J775" s="59"/>
      <c r="K775" s="65"/>
      <c r="L775" s="66"/>
      <c r="M775" s="67"/>
      <c r="N775" s="68"/>
      <c r="O775" s="69"/>
      <c r="P775" s="69"/>
      <c r="Q775" s="69"/>
      <c r="R775" s="69"/>
    </row>
    <row r="776" spans="1:18">
      <c r="A776" s="6"/>
      <c r="B776" s="59"/>
      <c r="C776" s="60"/>
      <c r="D776" s="62"/>
      <c r="E776" s="62"/>
      <c r="F776" s="63"/>
      <c r="G776" s="59"/>
      <c r="H776" s="59"/>
      <c r="I776" s="64"/>
      <c r="J776" s="59"/>
      <c r="K776" s="65"/>
      <c r="L776" s="66"/>
      <c r="M776" s="67"/>
      <c r="N776" s="68"/>
      <c r="O776" s="69"/>
      <c r="P776" s="69"/>
      <c r="Q776" s="69"/>
      <c r="R776" s="69"/>
    </row>
    <row r="777" spans="1:18">
      <c r="A777" s="6"/>
      <c r="B777" s="59"/>
      <c r="C777" s="60"/>
      <c r="D777" s="62"/>
      <c r="E777" s="62"/>
      <c r="F777" s="63"/>
      <c r="G777" s="59"/>
      <c r="H777" s="59"/>
      <c r="I777" s="64"/>
      <c r="J777" s="59"/>
      <c r="K777" s="65"/>
      <c r="L777" s="66"/>
      <c r="M777" s="67"/>
      <c r="N777" s="68"/>
      <c r="O777" s="69"/>
      <c r="P777" s="69"/>
      <c r="Q777" s="69"/>
      <c r="R777" s="69"/>
    </row>
    <row r="778" spans="1:18">
      <c r="A778" s="6"/>
      <c r="B778" s="59"/>
      <c r="C778" s="60"/>
      <c r="D778" s="62"/>
      <c r="E778" s="62"/>
      <c r="F778" s="63"/>
      <c r="G778" s="59"/>
      <c r="H778" s="59"/>
      <c r="I778" s="64"/>
      <c r="J778" s="59"/>
      <c r="K778" s="65"/>
      <c r="L778" s="66"/>
      <c r="M778" s="67"/>
      <c r="N778" s="68"/>
      <c r="O778" s="69"/>
      <c r="P778" s="69"/>
      <c r="Q778" s="69"/>
      <c r="R778" s="69"/>
    </row>
    <row r="779" spans="1:18">
      <c r="A779" s="6"/>
      <c r="B779" s="59"/>
      <c r="C779" s="60"/>
      <c r="D779" s="62"/>
      <c r="E779" s="62"/>
      <c r="F779" s="63"/>
      <c r="G779" s="59"/>
      <c r="H779" s="59"/>
      <c r="I779" s="64"/>
      <c r="J779" s="59"/>
      <c r="K779" s="65"/>
      <c r="L779" s="66"/>
      <c r="M779" s="67"/>
      <c r="N779" s="68"/>
      <c r="O779" s="69"/>
      <c r="P779" s="69"/>
      <c r="Q779" s="69"/>
      <c r="R779" s="69"/>
    </row>
    <row r="780" spans="1:18">
      <c r="A780" s="6"/>
      <c r="B780" s="59"/>
      <c r="C780" s="60"/>
      <c r="D780" s="62"/>
      <c r="E780" s="62"/>
      <c r="F780" s="63"/>
      <c r="G780" s="59"/>
      <c r="H780" s="59"/>
      <c r="I780" s="64"/>
      <c r="J780" s="59"/>
      <c r="K780" s="65"/>
      <c r="L780" s="66"/>
      <c r="M780" s="67"/>
      <c r="N780" s="68"/>
      <c r="O780" s="69"/>
      <c r="P780" s="69"/>
      <c r="Q780" s="69"/>
      <c r="R780" s="69"/>
    </row>
    <row r="781" spans="1:18">
      <c r="A781" s="6"/>
      <c r="B781" s="59"/>
      <c r="C781" s="60"/>
      <c r="D781" s="62"/>
      <c r="E781" s="62"/>
      <c r="F781" s="63"/>
      <c r="G781" s="59"/>
      <c r="H781" s="59"/>
      <c r="I781" s="64"/>
      <c r="J781" s="59"/>
      <c r="K781" s="65"/>
      <c r="L781" s="66"/>
      <c r="M781" s="67"/>
      <c r="N781" s="68"/>
      <c r="O781" s="69"/>
      <c r="P781" s="69"/>
      <c r="Q781" s="69"/>
      <c r="R781" s="69"/>
    </row>
    <row r="782" spans="1:18">
      <c r="A782" s="6"/>
      <c r="B782" s="59"/>
      <c r="C782" s="60"/>
      <c r="D782" s="62"/>
      <c r="E782" s="62"/>
      <c r="F782" s="63"/>
      <c r="G782" s="59"/>
      <c r="H782" s="59"/>
      <c r="I782" s="64"/>
      <c r="J782" s="59"/>
      <c r="K782" s="65"/>
      <c r="L782" s="66"/>
      <c r="M782" s="67"/>
      <c r="N782" s="68"/>
      <c r="O782" s="69"/>
      <c r="P782" s="69"/>
      <c r="Q782" s="69"/>
      <c r="R782" s="69"/>
    </row>
    <row r="783" spans="1:18">
      <c r="A783" s="6"/>
      <c r="B783" s="59"/>
      <c r="C783" s="60"/>
      <c r="D783" s="62"/>
      <c r="E783" s="62"/>
      <c r="F783" s="63"/>
      <c r="G783" s="59"/>
      <c r="H783" s="59"/>
      <c r="I783" s="64"/>
      <c r="J783" s="59"/>
      <c r="K783" s="65"/>
      <c r="L783" s="66"/>
      <c r="M783" s="67"/>
      <c r="N783" s="68"/>
      <c r="O783" s="69"/>
      <c r="P783" s="69"/>
      <c r="Q783" s="69"/>
      <c r="R783" s="69"/>
    </row>
    <row r="784" spans="1:18">
      <c r="A784" s="6"/>
      <c r="B784" s="59"/>
      <c r="C784" s="60"/>
      <c r="D784" s="62"/>
      <c r="E784" s="62"/>
      <c r="F784" s="63"/>
      <c r="G784" s="59"/>
      <c r="H784" s="59"/>
      <c r="I784" s="64"/>
      <c r="J784" s="59"/>
      <c r="K784" s="65"/>
      <c r="L784" s="66"/>
      <c r="M784" s="67"/>
      <c r="N784" s="68"/>
      <c r="O784" s="69"/>
      <c r="P784" s="69"/>
      <c r="Q784" s="69"/>
      <c r="R784" s="69"/>
    </row>
    <row r="785" spans="1:18">
      <c r="A785" s="6"/>
      <c r="B785" s="59"/>
      <c r="C785" s="60"/>
      <c r="D785" s="62"/>
      <c r="E785" s="62"/>
      <c r="F785" s="63"/>
      <c r="G785" s="59"/>
      <c r="H785" s="59"/>
      <c r="I785" s="64"/>
      <c r="J785" s="59"/>
      <c r="K785" s="65"/>
      <c r="L785" s="66"/>
      <c r="M785" s="67"/>
      <c r="N785" s="68"/>
      <c r="O785" s="69"/>
      <c r="P785" s="69"/>
      <c r="Q785" s="69"/>
      <c r="R785" s="69"/>
    </row>
    <row r="786" spans="1:18">
      <c r="A786" s="6"/>
      <c r="B786" s="59"/>
      <c r="C786" s="60"/>
      <c r="D786" s="62"/>
      <c r="E786" s="62"/>
      <c r="F786" s="63"/>
      <c r="G786" s="59"/>
      <c r="H786" s="59"/>
      <c r="I786" s="64"/>
      <c r="J786" s="59"/>
      <c r="K786" s="65"/>
      <c r="L786" s="66"/>
      <c r="M786" s="67"/>
      <c r="N786" s="68"/>
      <c r="O786" s="69"/>
      <c r="P786" s="69"/>
      <c r="Q786" s="69"/>
      <c r="R786" s="69"/>
    </row>
    <row r="787" spans="1:18">
      <c r="A787" s="6"/>
      <c r="B787" s="59"/>
      <c r="C787" s="60"/>
      <c r="D787" s="62"/>
      <c r="E787" s="62"/>
      <c r="F787" s="63"/>
      <c r="G787" s="59"/>
      <c r="H787" s="59"/>
      <c r="I787" s="64"/>
      <c r="J787" s="59"/>
      <c r="K787" s="65"/>
      <c r="L787" s="66"/>
      <c r="M787" s="67"/>
      <c r="N787" s="68"/>
      <c r="O787" s="69"/>
      <c r="P787" s="69"/>
      <c r="Q787" s="69"/>
      <c r="R787" s="69"/>
    </row>
    <row r="788" spans="1:18">
      <c r="A788" s="6"/>
      <c r="B788" s="59"/>
      <c r="C788" s="60"/>
      <c r="D788" s="62"/>
      <c r="E788" s="62"/>
      <c r="F788" s="63"/>
      <c r="G788" s="59"/>
      <c r="H788" s="59"/>
      <c r="I788" s="64"/>
      <c r="J788" s="59"/>
      <c r="K788" s="65"/>
      <c r="L788" s="66"/>
      <c r="M788" s="67"/>
      <c r="N788" s="68"/>
      <c r="O788" s="69"/>
      <c r="P788" s="69"/>
      <c r="Q788" s="69"/>
      <c r="R788" s="69"/>
    </row>
    <row r="789" spans="1:18">
      <c r="A789" s="6"/>
      <c r="B789" s="59"/>
      <c r="C789" s="60"/>
      <c r="D789" s="62"/>
      <c r="E789" s="62"/>
      <c r="F789" s="63"/>
      <c r="G789" s="59"/>
      <c r="H789" s="59"/>
      <c r="I789" s="64"/>
      <c r="J789" s="59"/>
      <c r="K789" s="65"/>
      <c r="L789" s="66"/>
      <c r="M789" s="67"/>
      <c r="N789" s="68"/>
      <c r="O789" s="69"/>
      <c r="P789" s="69"/>
      <c r="Q789" s="69"/>
      <c r="R789" s="69"/>
    </row>
    <row r="790" spans="1:18">
      <c r="A790" s="6"/>
      <c r="B790" s="59"/>
      <c r="C790" s="60"/>
      <c r="D790" s="62"/>
      <c r="E790" s="62"/>
      <c r="F790" s="63"/>
      <c r="G790" s="59"/>
      <c r="H790" s="59"/>
      <c r="I790" s="64"/>
      <c r="J790" s="59"/>
      <c r="K790" s="65"/>
      <c r="L790" s="66"/>
      <c r="M790" s="67"/>
      <c r="N790" s="68"/>
      <c r="O790" s="69"/>
      <c r="P790" s="69"/>
      <c r="Q790" s="69"/>
      <c r="R790" s="69"/>
    </row>
    <row r="791" spans="1:18">
      <c r="A791" s="6"/>
      <c r="B791" s="59"/>
      <c r="C791" s="60"/>
      <c r="D791" s="62"/>
      <c r="E791" s="62"/>
      <c r="F791" s="63"/>
      <c r="G791" s="59"/>
      <c r="H791" s="59"/>
      <c r="I791" s="64"/>
      <c r="J791" s="59"/>
      <c r="K791" s="65"/>
      <c r="L791" s="66"/>
      <c r="M791" s="67"/>
      <c r="N791" s="68"/>
      <c r="O791" s="69"/>
      <c r="P791" s="69"/>
      <c r="Q791" s="69"/>
      <c r="R791" s="69"/>
    </row>
    <row r="792" spans="1:18">
      <c r="A792" s="6"/>
      <c r="B792" s="59"/>
      <c r="C792" s="60"/>
      <c r="D792" s="62"/>
      <c r="E792" s="62"/>
      <c r="F792" s="63"/>
      <c r="G792" s="59"/>
      <c r="H792" s="59"/>
      <c r="I792" s="64"/>
      <c r="J792" s="59"/>
      <c r="K792" s="65"/>
      <c r="L792" s="66"/>
      <c r="M792" s="67"/>
      <c r="N792" s="68"/>
      <c r="O792" s="69"/>
      <c r="P792" s="69"/>
      <c r="Q792" s="69"/>
      <c r="R792" s="69"/>
    </row>
    <row r="793" spans="1:18">
      <c r="A793" s="6"/>
      <c r="B793" s="59"/>
      <c r="C793" s="60"/>
      <c r="D793" s="62"/>
      <c r="E793" s="62"/>
      <c r="F793" s="63"/>
      <c r="G793" s="59"/>
      <c r="H793" s="59"/>
      <c r="I793" s="64"/>
      <c r="J793" s="59"/>
      <c r="K793" s="65"/>
      <c r="L793" s="66"/>
      <c r="M793" s="67"/>
      <c r="N793" s="68"/>
      <c r="O793" s="69"/>
      <c r="P793" s="69"/>
      <c r="Q793" s="69"/>
      <c r="R793" s="69"/>
    </row>
    <row r="794" spans="1:18">
      <c r="A794" s="6"/>
      <c r="B794" s="59"/>
      <c r="C794" s="60"/>
      <c r="D794" s="62"/>
      <c r="E794" s="62"/>
      <c r="F794" s="63"/>
      <c r="G794" s="59"/>
      <c r="H794" s="59"/>
      <c r="I794" s="64"/>
      <c r="J794" s="59"/>
      <c r="K794" s="65"/>
      <c r="L794" s="66"/>
      <c r="M794" s="67"/>
      <c r="N794" s="68"/>
      <c r="O794" s="69"/>
      <c r="P794" s="69"/>
      <c r="Q794" s="69"/>
      <c r="R794" s="69"/>
    </row>
    <row r="795" spans="1:18">
      <c r="A795" s="6"/>
      <c r="B795" s="59"/>
      <c r="C795" s="60"/>
      <c r="D795" s="62"/>
      <c r="E795" s="62"/>
      <c r="F795" s="63"/>
      <c r="G795" s="59"/>
      <c r="H795" s="59"/>
      <c r="I795" s="64"/>
      <c r="J795" s="59"/>
      <c r="K795" s="65"/>
      <c r="L795" s="66"/>
      <c r="M795" s="67"/>
      <c r="N795" s="68"/>
      <c r="O795" s="69"/>
      <c r="P795" s="69"/>
      <c r="Q795" s="69"/>
      <c r="R795" s="69"/>
    </row>
    <row r="796" spans="1:18">
      <c r="A796" s="6"/>
      <c r="B796" s="59"/>
      <c r="C796" s="60"/>
      <c r="D796" s="62"/>
      <c r="E796" s="62"/>
      <c r="F796" s="63"/>
      <c r="G796" s="59"/>
      <c r="H796" s="59"/>
      <c r="I796" s="64"/>
      <c r="J796" s="59"/>
      <c r="K796" s="65"/>
      <c r="L796" s="66"/>
      <c r="M796" s="67"/>
      <c r="N796" s="68"/>
      <c r="O796" s="69"/>
      <c r="P796" s="69"/>
      <c r="Q796" s="69"/>
      <c r="R796" s="69"/>
    </row>
    <row r="797" spans="1:18">
      <c r="A797" s="6"/>
      <c r="B797" s="59"/>
      <c r="C797" s="60"/>
      <c r="D797" s="62"/>
      <c r="E797" s="62"/>
      <c r="F797" s="63"/>
      <c r="G797" s="59"/>
      <c r="H797" s="59"/>
      <c r="I797" s="64"/>
      <c r="J797" s="59"/>
      <c r="K797" s="65"/>
      <c r="L797" s="66"/>
      <c r="M797" s="67"/>
      <c r="N797" s="68"/>
      <c r="O797" s="69"/>
      <c r="P797" s="69"/>
      <c r="Q797" s="69"/>
      <c r="R797" s="69"/>
    </row>
    <row r="798" spans="1:18">
      <c r="A798" s="6"/>
      <c r="B798" s="59"/>
      <c r="C798" s="60"/>
      <c r="D798" s="62"/>
      <c r="E798" s="62"/>
      <c r="F798" s="63"/>
      <c r="G798" s="59"/>
      <c r="H798" s="59"/>
      <c r="I798" s="64"/>
      <c r="J798" s="59"/>
      <c r="K798" s="65"/>
      <c r="L798" s="66"/>
      <c r="M798" s="67"/>
      <c r="N798" s="68"/>
      <c r="O798" s="69"/>
      <c r="P798" s="69"/>
      <c r="Q798" s="69"/>
      <c r="R798" s="69"/>
    </row>
    <row r="799" spans="1:18">
      <c r="A799" s="6"/>
      <c r="B799" s="59"/>
      <c r="C799" s="60"/>
      <c r="D799" s="62"/>
      <c r="E799" s="62"/>
      <c r="F799" s="63"/>
      <c r="G799" s="59"/>
      <c r="H799" s="59"/>
      <c r="I799" s="64"/>
      <c r="J799" s="59"/>
      <c r="K799" s="65"/>
      <c r="L799" s="66"/>
      <c r="M799" s="67"/>
      <c r="N799" s="68"/>
      <c r="O799" s="69"/>
      <c r="P799" s="69"/>
      <c r="Q799" s="69"/>
      <c r="R799" s="69"/>
    </row>
    <row r="800" spans="1:18">
      <c r="A800" s="6"/>
      <c r="B800" s="59"/>
      <c r="C800" s="60"/>
      <c r="D800" s="62"/>
      <c r="E800" s="62"/>
      <c r="F800" s="63"/>
      <c r="G800" s="59"/>
      <c r="H800" s="59"/>
      <c r="I800" s="64"/>
      <c r="J800" s="59"/>
      <c r="K800" s="65"/>
      <c r="L800" s="66"/>
      <c r="M800" s="67"/>
      <c r="N800" s="68"/>
      <c r="O800" s="69"/>
      <c r="P800" s="69"/>
      <c r="Q800" s="69"/>
      <c r="R800" s="69"/>
    </row>
    <row r="801" spans="1:18">
      <c r="A801" s="6"/>
      <c r="B801" s="59"/>
      <c r="C801" s="60"/>
      <c r="D801" s="62"/>
      <c r="E801" s="62"/>
      <c r="F801" s="63"/>
      <c r="G801" s="59"/>
      <c r="H801" s="59"/>
      <c r="I801" s="64"/>
      <c r="J801" s="59"/>
      <c r="K801" s="65"/>
      <c r="L801" s="66"/>
      <c r="M801" s="67"/>
      <c r="N801" s="68"/>
      <c r="O801" s="69"/>
      <c r="P801" s="69"/>
      <c r="Q801" s="69"/>
      <c r="R801" s="69"/>
    </row>
    <row r="802" spans="1:18">
      <c r="A802" s="6"/>
      <c r="B802" s="59"/>
      <c r="C802" s="60"/>
      <c r="D802" s="62"/>
      <c r="E802" s="62"/>
      <c r="F802" s="63"/>
      <c r="G802" s="59"/>
      <c r="H802" s="59"/>
      <c r="I802" s="64"/>
      <c r="J802" s="59"/>
      <c r="K802" s="65"/>
      <c r="L802" s="66"/>
      <c r="M802" s="67"/>
      <c r="N802" s="68"/>
      <c r="O802" s="69"/>
      <c r="P802" s="69"/>
      <c r="Q802" s="69"/>
      <c r="R802" s="69"/>
    </row>
    <row r="803" spans="1:18">
      <c r="A803" s="6"/>
      <c r="B803" s="59"/>
      <c r="C803" s="60"/>
      <c r="D803" s="62"/>
      <c r="E803" s="62"/>
      <c r="F803" s="63"/>
      <c r="G803" s="59"/>
      <c r="H803" s="59"/>
      <c r="I803" s="64"/>
      <c r="J803" s="59"/>
      <c r="K803" s="65"/>
      <c r="L803" s="66"/>
      <c r="M803" s="67"/>
      <c r="N803" s="68"/>
      <c r="O803" s="69"/>
      <c r="P803" s="69"/>
      <c r="Q803" s="69"/>
      <c r="R803" s="69"/>
    </row>
    <row r="804" spans="1:18">
      <c r="A804" s="6"/>
      <c r="B804" s="59"/>
      <c r="C804" s="60"/>
      <c r="D804" s="62"/>
      <c r="E804" s="62"/>
      <c r="F804" s="63"/>
      <c r="G804" s="59"/>
      <c r="H804" s="59"/>
      <c r="I804" s="64"/>
      <c r="J804" s="59"/>
      <c r="K804" s="65"/>
      <c r="L804" s="66"/>
      <c r="M804" s="67"/>
      <c r="N804" s="68"/>
      <c r="O804" s="69"/>
      <c r="P804" s="69"/>
      <c r="Q804" s="69"/>
      <c r="R804" s="69"/>
    </row>
    <row r="805" spans="1:18">
      <c r="A805" s="6"/>
      <c r="B805" s="59"/>
      <c r="C805" s="60"/>
      <c r="D805" s="62"/>
      <c r="E805" s="62"/>
      <c r="F805" s="63"/>
      <c r="G805" s="59"/>
      <c r="H805" s="59"/>
      <c r="I805" s="64"/>
      <c r="J805" s="59"/>
      <c r="K805" s="65"/>
      <c r="L805" s="66"/>
      <c r="M805" s="67"/>
      <c r="N805" s="68"/>
      <c r="O805" s="69"/>
      <c r="P805" s="69"/>
      <c r="Q805" s="69"/>
      <c r="R805" s="69"/>
    </row>
    <row r="806" spans="1:18">
      <c r="A806" s="6"/>
      <c r="B806" s="59"/>
      <c r="C806" s="60"/>
      <c r="D806" s="62"/>
      <c r="E806" s="62"/>
      <c r="F806" s="63"/>
      <c r="G806" s="59"/>
      <c r="H806" s="59"/>
      <c r="I806" s="64"/>
      <c r="J806" s="59"/>
      <c r="K806" s="65"/>
      <c r="L806" s="66"/>
      <c r="M806" s="67"/>
      <c r="N806" s="68"/>
      <c r="O806" s="69"/>
      <c r="P806" s="69"/>
      <c r="Q806" s="69"/>
      <c r="R806" s="69"/>
    </row>
    <row r="807" spans="1:18">
      <c r="A807" s="6"/>
      <c r="B807" s="59"/>
      <c r="C807" s="60"/>
      <c r="D807" s="62"/>
      <c r="E807" s="62"/>
      <c r="F807" s="63"/>
      <c r="G807" s="59"/>
      <c r="H807" s="59"/>
      <c r="I807" s="64"/>
      <c r="J807" s="59"/>
      <c r="K807" s="65"/>
      <c r="L807" s="66"/>
      <c r="M807" s="67"/>
      <c r="N807" s="68"/>
      <c r="O807" s="69"/>
      <c r="P807" s="69"/>
      <c r="Q807" s="69"/>
      <c r="R807" s="69"/>
    </row>
    <row r="808" spans="1:18">
      <c r="A808" s="6"/>
      <c r="B808" s="59"/>
      <c r="C808" s="60"/>
      <c r="D808" s="62"/>
      <c r="E808" s="62"/>
      <c r="F808" s="63"/>
      <c r="G808" s="59"/>
      <c r="H808" s="59"/>
      <c r="I808" s="64"/>
      <c r="J808" s="59"/>
      <c r="K808" s="65"/>
      <c r="L808" s="66"/>
      <c r="M808" s="67"/>
      <c r="N808" s="68"/>
      <c r="O808" s="69"/>
      <c r="P808" s="69"/>
      <c r="Q808" s="69"/>
      <c r="R808" s="69"/>
    </row>
    <row r="809" spans="1:18">
      <c r="A809" s="6"/>
      <c r="B809" s="59"/>
      <c r="C809" s="60"/>
      <c r="D809" s="62"/>
      <c r="E809" s="62"/>
      <c r="F809" s="63"/>
      <c r="G809" s="59"/>
      <c r="H809" s="59"/>
      <c r="I809" s="64"/>
      <c r="J809" s="59"/>
      <c r="K809" s="65"/>
      <c r="L809" s="66"/>
      <c r="M809" s="67"/>
      <c r="N809" s="68"/>
      <c r="O809" s="69"/>
      <c r="P809" s="69"/>
      <c r="Q809" s="69"/>
      <c r="R809" s="69"/>
    </row>
    <row r="810" spans="1:18">
      <c r="A810" s="6"/>
      <c r="B810" s="59"/>
      <c r="C810" s="60"/>
      <c r="D810" s="62"/>
      <c r="E810" s="62"/>
      <c r="F810" s="63"/>
      <c r="G810" s="59"/>
      <c r="H810" s="59"/>
      <c r="I810" s="64"/>
      <c r="J810" s="59"/>
      <c r="K810" s="65"/>
      <c r="L810" s="66"/>
      <c r="M810" s="67"/>
      <c r="N810" s="68"/>
      <c r="O810" s="69"/>
      <c r="P810" s="69"/>
      <c r="Q810" s="69"/>
      <c r="R810" s="69"/>
    </row>
    <row r="811" spans="1:18">
      <c r="A811" s="6"/>
      <c r="B811" s="59"/>
      <c r="C811" s="60"/>
      <c r="D811" s="62"/>
      <c r="E811" s="62"/>
      <c r="F811" s="63"/>
      <c r="G811" s="59"/>
      <c r="H811" s="59"/>
      <c r="I811" s="64"/>
      <c r="J811" s="59"/>
      <c r="K811" s="65"/>
      <c r="L811" s="66"/>
      <c r="M811" s="67"/>
      <c r="N811" s="68"/>
      <c r="O811" s="69"/>
      <c r="P811" s="69"/>
      <c r="Q811" s="69"/>
      <c r="R811" s="69"/>
    </row>
    <row r="812" spans="1:18">
      <c r="A812" s="6"/>
      <c r="B812" s="59"/>
      <c r="C812" s="60"/>
      <c r="D812" s="62"/>
      <c r="E812" s="62"/>
      <c r="F812" s="63"/>
      <c r="G812" s="59"/>
      <c r="H812" s="59"/>
      <c r="I812" s="64"/>
      <c r="J812" s="59"/>
      <c r="K812" s="65"/>
      <c r="L812" s="66"/>
      <c r="M812" s="67"/>
      <c r="N812" s="68"/>
      <c r="O812" s="69"/>
      <c r="P812" s="69"/>
      <c r="Q812" s="69"/>
      <c r="R812" s="69"/>
    </row>
    <row r="813" spans="1:18">
      <c r="A813" s="6"/>
      <c r="B813" s="59"/>
      <c r="C813" s="60"/>
      <c r="D813" s="62"/>
      <c r="E813" s="62"/>
      <c r="F813" s="63"/>
      <c r="G813" s="59"/>
      <c r="H813" s="59"/>
      <c r="I813" s="64"/>
      <c r="J813" s="59"/>
      <c r="K813" s="65"/>
      <c r="L813" s="66"/>
      <c r="M813" s="67"/>
      <c r="N813" s="68"/>
      <c r="O813" s="69"/>
      <c r="P813" s="69"/>
      <c r="Q813" s="69"/>
      <c r="R813" s="69"/>
    </row>
    <row r="814" spans="1:18">
      <c r="A814" s="6"/>
      <c r="B814" s="59"/>
      <c r="C814" s="60"/>
      <c r="D814" s="62"/>
      <c r="E814" s="62"/>
      <c r="F814" s="63"/>
      <c r="G814" s="59"/>
      <c r="H814" s="59"/>
      <c r="I814" s="64"/>
      <c r="J814" s="59"/>
      <c r="K814" s="65"/>
      <c r="L814" s="66"/>
      <c r="M814" s="67"/>
      <c r="N814" s="68"/>
      <c r="O814" s="69"/>
      <c r="P814" s="69"/>
      <c r="Q814" s="69"/>
      <c r="R814" s="69"/>
    </row>
    <row r="815" spans="1:18">
      <c r="A815" s="6"/>
      <c r="B815" s="59"/>
      <c r="C815" s="60"/>
      <c r="D815" s="62"/>
      <c r="E815" s="62"/>
      <c r="F815" s="63"/>
      <c r="G815" s="59"/>
      <c r="H815" s="59"/>
      <c r="I815" s="64"/>
      <c r="J815" s="59"/>
      <c r="K815" s="65"/>
      <c r="L815" s="66"/>
      <c r="M815" s="67"/>
      <c r="N815" s="68"/>
      <c r="O815" s="69"/>
      <c r="P815" s="69"/>
      <c r="Q815" s="69"/>
      <c r="R815" s="69"/>
    </row>
    <row r="816" spans="1:18">
      <c r="A816" s="6"/>
      <c r="B816" s="59"/>
      <c r="C816" s="60"/>
      <c r="D816" s="62"/>
      <c r="E816" s="62"/>
      <c r="F816" s="63"/>
      <c r="G816" s="59"/>
      <c r="H816" s="59"/>
      <c r="I816" s="64"/>
      <c r="J816" s="59"/>
      <c r="K816" s="65"/>
      <c r="L816" s="66"/>
      <c r="M816" s="67"/>
      <c r="N816" s="68"/>
      <c r="O816" s="69"/>
      <c r="P816" s="69"/>
      <c r="Q816" s="69"/>
      <c r="R816" s="69"/>
    </row>
    <row r="817" spans="1:18">
      <c r="A817" s="6"/>
      <c r="B817" s="59"/>
      <c r="C817" s="60"/>
      <c r="D817" s="62"/>
      <c r="E817" s="62"/>
      <c r="F817" s="63"/>
      <c r="G817" s="59"/>
      <c r="H817" s="59"/>
      <c r="I817" s="64"/>
      <c r="J817" s="59"/>
      <c r="K817" s="65"/>
      <c r="L817" s="66"/>
      <c r="M817" s="67"/>
      <c r="N817" s="68"/>
      <c r="O817" s="69"/>
      <c r="P817" s="69"/>
      <c r="Q817" s="69"/>
      <c r="R817" s="69"/>
    </row>
    <row r="818" spans="1:18">
      <c r="A818" s="6"/>
      <c r="B818" s="59"/>
      <c r="C818" s="60"/>
      <c r="D818" s="62"/>
      <c r="E818" s="62"/>
      <c r="F818" s="63"/>
      <c r="G818" s="59"/>
      <c r="H818" s="59"/>
      <c r="I818" s="64"/>
      <c r="J818" s="59"/>
      <c r="K818" s="65"/>
      <c r="L818" s="66"/>
      <c r="M818" s="67"/>
      <c r="N818" s="68"/>
      <c r="O818" s="69"/>
      <c r="P818" s="69"/>
      <c r="Q818" s="69"/>
      <c r="R818" s="69"/>
    </row>
    <row r="819" spans="1:18">
      <c r="A819" s="6"/>
      <c r="B819" s="59"/>
      <c r="C819" s="60"/>
      <c r="D819" s="62"/>
      <c r="E819" s="62"/>
      <c r="F819" s="63"/>
      <c r="G819" s="59"/>
      <c r="H819" s="59"/>
      <c r="I819" s="64"/>
      <c r="J819" s="59"/>
      <c r="K819" s="65"/>
      <c r="L819" s="66"/>
      <c r="M819" s="67"/>
      <c r="N819" s="68"/>
      <c r="O819" s="69"/>
      <c r="P819" s="69"/>
      <c r="Q819" s="69"/>
      <c r="R819" s="69"/>
    </row>
    <row r="820" spans="1:18">
      <c r="A820" s="6"/>
      <c r="B820" s="59"/>
      <c r="C820" s="60"/>
      <c r="D820" s="62"/>
      <c r="E820" s="62"/>
      <c r="F820" s="63"/>
      <c r="G820" s="59"/>
      <c r="H820" s="59"/>
      <c r="I820" s="64"/>
      <c r="J820" s="59"/>
      <c r="K820" s="65"/>
      <c r="L820" s="66"/>
      <c r="M820" s="67"/>
      <c r="N820" s="68"/>
      <c r="O820" s="69"/>
      <c r="P820" s="69"/>
      <c r="Q820" s="69"/>
      <c r="R820" s="69"/>
    </row>
    <row r="821" spans="1:18">
      <c r="A821" s="6"/>
      <c r="B821" s="59"/>
      <c r="C821" s="60"/>
      <c r="D821" s="62"/>
      <c r="E821" s="62"/>
      <c r="F821" s="63"/>
      <c r="G821" s="59"/>
      <c r="H821" s="59"/>
      <c r="I821" s="64"/>
      <c r="J821" s="59"/>
      <c r="K821" s="65"/>
      <c r="L821" s="66"/>
      <c r="M821" s="67"/>
      <c r="N821" s="68"/>
      <c r="O821" s="69"/>
      <c r="P821" s="69"/>
      <c r="Q821" s="69"/>
      <c r="R821" s="69"/>
    </row>
    <row r="822" spans="1:18">
      <c r="A822" s="6"/>
      <c r="B822" s="59"/>
      <c r="C822" s="60"/>
      <c r="D822" s="62"/>
      <c r="E822" s="62"/>
      <c r="F822" s="63"/>
      <c r="G822" s="59"/>
      <c r="H822" s="59"/>
      <c r="I822" s="64"/>
      <c r="J822" s="59"/>
      <c r="K822" s="65"/>
      <c r="L822" s="66"/>
      <c r="M822" s="67"/>
      <c r="N822" s="68"/>
      <c r="O822" s="69"/>
      <c r="P822" s="69"/>
      <c r="Q822" s="69"/>
      <c r="R822" s="69"/>
    </row>
    <row r="823" spans="1:18">
      <c r="A823" s="6"/>
      <c r="B823" s="59"/>
      <c r="C823" s="60"/>
      <c r="D823" s="62"/>
      <c r="E823" s="62"/>
      <c r="F823" s="63"/>
      <c r="G823" s="59"/>
      <c r="H823" s="59"/>
      <c r="I823" s="64"/>
      <c r="J823" s="59"/>
      <c r="K823" s="65"/>
      <c r="L823" s="66"/>
      <c r="M823" s="67"/>
      <c r="N823" s="68"/>
      <c r="O823" s="69"/>
      <c r="P823" s="69"/>
      <c r="Q823" s="69"/>
      <c r="R823" s="69"/>
    </row>
    <row r="824" spans="1:18">
      <c r="A824" s="6"/>
      <c r="B824" s="59"/>
      <c r="C824" s="60"/>
      <c r="D824" s="62"/>
      <c r="E824" s="62"/>
      <c r="F824" s="63"/>
      <c r="G824" s="59"/>
      <c r="H824" s="59"/>
      <c r="I824" s="64"/>
      <c r="J824" s="59"/>
      <c r="K824" s="65"/>
      <c r="L824" s="66"/>
      <c r="M824" s="67"/>
      <c r="N824" s="68"/>
      <c r="O824" s="69"/>
      <c r="P824" s="69"/>
      <c r="Q824" s="69"/>
      <c r="R824" s="69"/>
    </row>
    <row r="825" spans="1:18">
      <c r="A825" s="6"/>
      <c r="B825" s="59"/>
      <c r="C825" s="60"/>
      <c r="D825" s="62"/>
      <c r="E825" s="62"/>
      <c r="F825" s="63"/>
      <c r="G825" s="59"/>
      <c r="H825" s="59"/>
      <c r="I825" s="64"/>
      <c r="J825" s="59"/>
      <c r="K825" s="65"/>
      <c r="L825" s="66"/>
      <c r="M825" s="67"/>
      <c r="N825" s="68"/>
      <c r="O825" s="69"/>
      <c r="P825" s="69"/>
      <c r="Q825" s="69"/>
      <c r="R825" s="69"/>
    </row>
    <row r="826" spans="1:18">
      <c r="A826" s="6"/>
      <c r="B826" s="59"/>
      <c r="C826" s="60"/>
      <c r="D826" s="62"/>
      <c r="E826" s="62"/>
      <c r="F826" s="63"/>
      <c r="G826" s="59"/>
      <c r="H826" s="59"/>
      <c r="I826" s="64"/>
      <c r="J826" s="59"/>
      <c r="K826" s="65"/>
      <c r="L826" s="66"/>
      <c r="M826" s="67"/>
      <c r="N826" s="68"/>
      <c r="O826" s="69"/>
      <c r="P826" s="69"/>
      <c r="Q826" s="69"/>
      <c r="R826" s="69"/>
    </row>
    <row r="827" spans="1:18">
      <c r="A827" s="6"/>
      <c r="B827" s="59"/>
      <c r="C827" s="60"/>
      <c r="D827" s="62"/>
      <c r="E827" s="62"/>
      <c r="F827" s="63"/>
      <c r="G827" s="59"/>
      <c r="H827" s="59"/>
      <c r="I827" s="64"/>
      <c r="J827" s="59"/>
      <c r="K827" s="65"/>
      <c r="L827" s="66"/>
      <c r="M827" s="67"/>
      <c r="N827" s="68"/>
      <c r="O827" s="69"/>
      <c r="P827" s="69"/>
      <c r="Q827" s="69"/>
      <c r="R827" s="69"/>
    </row>
    <row r="828" spans="1:18">
      <c r="A828" s="6"/>
      <c r="B828" s="59"/>
      <c r="C828" s="60"/>
      <c r="D828" s="62"/>
      <c r="E828" s="62"/>
      <c r="F828" s="63"/>
      <c r="G828" s="59"/>
      <c r="H828" s="59"/>
      <c r="I828" s="64"/>
      <c r="J828" s="59"/>
      <c r="K828" s="65"/>
      <c r="L828" s="66"/>
      <c r="M828" s="67"/>
      <c r="N828" s="68"/>
      <c r="O828" s="69"/>
      <c r="P828" s="69"/>
      <c r="Q828" s="69"/>
      <c r="R828" s="69"/>
    </row>
    <row r="829" spans="1:18">
      <c r="A829" s="6"/>
      <c r="B829" s="59"/>
      <c r="C829" s="60"/>
      <c r="D829" s="62"/>
      <c r="E829" s="62"/>
      <c r="F829" s="63"/>
      <c r="G829" s="59"/>
      <c r="H829" s="59"/>
      <c r="I829" s="64"/>
      <c r="J829" s="59"/>
      <c r="K829" s="65"/>
      <c r="L829" s="66"/>
      <c r="M829" s="67"/>
      <c r="N829" s="68"/>
      <c r="O829" s="69"/>
      <c r="P829" s="69"/>
      <c r="Q829" s="69"/>
      <c r="R829" s="69"/>
    </row>
    <row r="830" spans="1:18">
      <c r="A830" s="6"/>
      <c r="B830" s="59"/>
      <c r="C830" s="60"/>
      <c r="D830" s="62"/>
      <c r="E830" s="62"/>
      <c r="F830" s="63"/>
      <c r="G830" s="59"/>
      <c r="H830" s="59"/>
      <c r="I830" s="64"/>
      <c r="J830" s="59"/>
      <c r="K830" s="65"/>
      <c r="L830" s="66"/>
      <c r="M830" s="67"/>
      <c r="N830" s="68"/>
      <c r="O830" s="69"/>
      <c r="P830" s="69"/>
      <c r="Q830" s="69"/>
      <c r="R830" s="69"/>
    </row>
    <row r="831" spans="1:18">
      <c r="A831" s="6"/>
      <c r="B831" s="59"/>
      <c r="C831" s="60"/>
      <c r="D831" s="62"/>
      <c r="E831" s="62"/>
      <c r="F831" s="63"/>
      <c r="G831" s="59"/>
      <c r="H831" s="59"/>
      <c r="I831" s="64"/>
      <c r="J831" s="59"/>
      <c r="K831" s="65"/>
      <c r="L831" s="66"/>
      <c r="M831" s="67"/>
      <c r="N831" s="68"/>
      <c r="O831" s="69"/>
      <c r="P831" s="69"/>
      <c r="Q831" s="69"/>
      <c r="R831" s="69"/>
    </row>
    <row r="832" spans="1:18">
      <c r="A832" s="6"/>
      <c r="B832" s="59"/>
      <c r="C832" s="60"/>
      <c r="D832" s="62"/>
      <c r="E832" s="62"/>
      <c r="F832" s="63"/>
      <c r="G832" s="59"/>
      <c r="H832" s="59"/>
      <c r="I832" s="64"/>
      <c r="J832" s="59"/>
      <c r="K832" s="65"/>
      <c r="L832" s="66"/>
      <c r="M832" s="67"/>
      <c r="N832" s="68"/>
      <c r="O832" s="69"/>
      <c r="P832" s="69"/>
      <c r="Q832" s="69"/>
      <c r="R832" s="69"/>
    </row>
    <row r="833" spans="1:18">
      <c r="A833" s="6"/>
      <c r="B833" s="59"/>
      <c r="C833" s="60"/>
      <c r="D833" s="62"/>
      <c r="E833" s="62"/>
      <c r="F833" s="63"/>
      <c r="G833" s="59"/>
      <c r="H833" s="59"/>
      <c r="I833" s="64"/>
      <c r="J833" s="59"/>
      <c r="K833" s="65"/>
      <c r="L833" s="66"/>
      <c r="M833" s="67"/>
      <c r="N833" s="68"/>
      <c r="O833" s="69"/>
      <c r="P833" s="69"/>
      <c r="Q833" s="69"/>
      <c r="R833" s="69"/>
    </row>
    <row r="834" spans="1:18">
      <c r="A834" s="6"/>
      <c r="B834" s="59"/>
      <c r="C834" s="60"/>
      <c r="D834" s="62"/>
      <c r="E834" s="62"/>
      <c r="F834" s="63"/>
      <c r="G834" s="59"/>
      <c r="H834" s="59"/>
      <c r="I834" s="64"/>
      <c r="J834" s="59"/>
      <c r="K834" s="65"/>
      <c r="L834" s="66"/>
      <c r="M834" s="67"/>
      <c r="N834" s="68"/>
      <c r="O834" s="69"/>
      <c r="P834" s="69"/>
      <c r="Q834" s="69"/>
      <c r="R834" s="69"/>
    </row>
    <row r="835" spans="1:18">
      <c r="A835" s="6"/>
      <c r="B835" s="59"/>
      <c r="C835" s="60"/>
      <c r="D835" s="62"/>
      <c r="E835" s="62"/>
      <c r="F835" s="63"/>
      <c r="G835" s="59"/>
      <c r="H835" s="59"/>
      <c r="I835" s="64"/>
      <c r="J835" s="59"/>
      <c r="K835" s="65"/>
      <c r="L835" s="66"/>
      <c r="M835" s="67"/>
      <c r="N835" s="68"/>
      <c r="O835" s="69"/>
      <c r="P835" s="69"/>
      <c r="Q835" s="69"/>
      <c r="R835" s="69"/>
    </row>
    <row r="836" spans="1:18">
      <c r="A836" s="6"/>
      <c r="B836" s="59"/>
      <c r="C836" s="60"/>
      <c r="D836" s="62"/>
      <c r="E836" s="62"/>
      <c r="F836" s="63"/>
      <c r="G836" s="59"/>
      <c r="H836" s="59"/>
      <c r="I836" s="64"/>
      <c r="J836" s="59"/>
      <c r="K836" s="65"/>
      <c r="L836" s="66"/>
      <c r="M836" s="67"/>
      <c r="N836" s="68"/>
      <c r="O836" s="69"/>
      <c r="P836" s="69"/>
      <c r="Q836" s="69"/>
      <c r="R836" s="69"/>
    </row>
    <row r="837" spans="1:18">
      <c r="A837" s="6"/>
      <c r="B837" s="59"/>
      <c r="C837" s="60"/>
      <c r="D837" s="62"/>
      <c r="E837" s="62"/>
      <c r="F837" s="63"/>
      <c r="G837" s="59"/>
      <c r="H837" s="59"/>
      <c r="I837" s="64"/>
      <c r="J837" s="59"/>
      <c r="K837" s="65"/>
      <c r="L837" s="66"/>
      <c r="M837" s="67"/>
      <c r="N837" s="68"/>
      <c r="O837" s="69"/>
      <c r="P837" s="69"/>
      <c r="Q837" s="69"/>
      <c r="R837" s="69"/>
    </row>
    <row r="838" spans="1:18">
      <c r="A838" s="6"/>
      <c r="B838" s="59"/>
      <c r="C838" s="60"/>
      <c r="D838" s="62"/>
      <c r="E838" s="62"/>
      <c r="F838" s="63"/>
      <c r="G838" s="59"/>
      <c r="H838" s="59"/>
      <c r="I838" s="64"/>
      <c r="J838" s="59"/>
      <c r="K838" s="65"/>
      <c r="L838" s="66"/>
      <c r="M838" s="67"/>
      <c r="N838" s="68"/>
      <c r="O838" s="69"/>
      <c r="P838" s="69"/>
      <c r="Q838" s="69"/>
      <c r="R838" s="69"/>
    </row>
    <row r="839" spans="1:18">
      <c r="A839" s="6"/>
      <c r="B839" s="59"/>
      <c r="C839" s="60"/>
      <c r="D839" s="62"/>
      <c r="E839" s="62"/>
      <c r="F839" s="63"/>
      <c r="G839" s="59"/>
      <c r="H839" s="59"/>
      <c r="I839" s="64"/>
      <c r="J839" s="59"/>
      <c r="K839" s="65"/>
      <c r="L839" s="66"/>
      <c r="M839" s="67"/>
      <c r="N839" s="68"/>
      <c r="O839" s="69"/>
      <c r="P839" s="69"/>
      <c r="Q839" s="69"/>
      <c r="R839" s="69"/>
    </row>
    <row r="840" spans="1:18">
      <c r="A840" s="6"/>
      <c r="B840" s="59"/>
      <c r="C840" s="60"/>
      <c r="D840" s="62"/>
      <c r="E840" s="62"/>
      <c r="F840" s="63"/>
      <c r="G840" s="59"/>
      <c r="H840" s="59"/>
      <c r="I840" s="64"/>
      <c r="J840" s="59"/>
      <c r="K840" s="65"/>
      <c r="L840" s="66"/>
      <c r="M840" s="67"/>
      <c r="N840" s="68"/>
      <c r="O840" s="69"/>
      <c r="P840" s="69"/>
      <c r="Q840" s="69"/>
      <c r="R840" s="69"/>
    </row>
    <row r="841" spans="1:18">
      <c r="A841" s="6"/>
      <c r="B841" s="59"/>
      <c r="C841" s="60"/>
      <c r="D841" s="62"/>
      <c r="E841" s="62"/>
      <c r="F841" s="63"/>
      <c r="G841" s="59"/>
      <c r="H841" s="59"/>
      <c r="I841" s="64"/>
      <c r="J841" s="59"/>
      <c r="K841" s="65"/>
      <c r="L841" s="66"/>
      <c r="M841" s="67"/>
      <c r="N841" s="68"/>
      <c r="O841" s="69"/>
      <c r="P841" s="69"/>
      <c r="Q841" s="69"/>
      <c r="R841" s="69"/>
    </row>
    <row r="842" spans="1:18">
      <c r="A842" s="6"/>
      <c r="B842" s="59"/>
      <c r="C842" s="60"/>
      <c r="D842" s="62"/>
      <c r="E842" s="62"/>
      <c r="F842" s="63"/>
      <c r="G842" s="59"/>
      <c r="H842" s="59"/>
      <c r="I842" s="64"/>
      <c r="J842" s="59"/>
      <c r="K842" s="65"/>
      <c r="L842" s="66"/>
      <c r="M842" s="67"/>
      <c r="N842" s="68"/>
      <c r="O842" s="69"/>
      <c r="P842" s="69"/>
      <c r="Q842" s="69"/>
      <c r="R842" s="69"/>
    </row>
    <row r="843" spans="1:18">
      <c r="A843" s="6"/>
      <c r="B843" s="59"/>
      <c r="C843" s="60"/>
      <c r="D843" s="62"/>
      <c r="E843" s="62"/>
      <c r="F843" s="63"/>
      <c r="G843" s="59"/>
      <c r="H843" s="59"/>
      <c r="I843" s="64"/>
      <c r="J843" s="59"/>
      <c r="K843" s="65"/>
      <c r="L843" s="66"/>
      <c r="M843" s="67"/>
      <c r="N843" s="68"/>
      <c r="O843" s="69"/>
      <c r="P843" s="69"/>
      <c r="Q843" s="69"/>
      <c r="R843" s="69"/>
    </row>
    <row r="844" spans="1:18">
      <c r="A844" s="6"/>
      <c r="B844" s="59"/>
      <c r="C844" s="60"/>
      <c r="D844" s="62"/>
      <c r="E844" s="62"/>
      <c r="F844" s="63"/>
      <c r="G844" s="59"/>
      <c r="H844" s="59"/>
      <c r="I844" s="64"/>
      <c r="J844" s="59"/>
      <c r="K844" s="65"/>
      <c r="L844" s="66"/>
      <c r="M844" s="67"/>
      <c r="N844" s="68"/>
      <c r="O844" s="69"/>
      <c r="P844" s="69"/>
      <c r="Q844" s="69"/>
      <c r="R844" s="69"/>
    </row>
    <row r="845" spans="1:18">
      <c r="A845" s="6"/>
      <c r="B845" s="59"/>
      <c r="C845" s="60"/>
      <c r="D845" s="62"/>
      <c r="E845" s="62"/>
      <c r="F845" s="63"/>
      <c r="G845" s="59"/>
      <c r="H845" s="59"/>
      <c r="I845" s="64"/>
      <c r="J845" s="59"/>
      <c r="K845" s="65"/>
      <c r="L845" s="66"/>
      <c r="M845" s="67"/>
      <c r="N845" s="68"/>
      <c r="O845" s="69"/>
      <c r="P845" s="69"/>
      <c r="Q845" s="69"/>
      <c r="R845" s="69"/>
    </row>
    <row r="846" spans="1:18">
      <c r="A846" s="6"/>
      <c r="B846" s="59"/>
      <c r="C846" s="60"/>
      <c r="D846" s="62"/>
      <c r="E846" s="62"/>
      <c r="F846" s="63"/>
      <c r="G846" s="59"/>
      <c r="H846" s="59"/>
      <c r="I846" s="64"/>
      <c r="J846" s="59"/>
      <c r="K846" s="65"/>
      <c r="L846" s="66"/>
      <c r="M846" s="67"/>
      <c r="N846" s="68"/>
      <c r="O846" s="69"/>
      <c r="P846" s="69"/>
      <c r="Q846" s="69"/>
      <c r="R846" s="69"/>
    </row>
    <row r="847" spans="1:18">
      <c r="A847" s="6"/>
      <c r="B847" s="59"/>
      <c r="C847" s="60"/>
      <c r="D847" s="62"/>
      <c r="E847" s="62"/>
      <c r="F847" s="63"/>
      <c r="G847" s="59"/>
      <c r="H847" s="59"/>
      <c r="I847" s="64"/>
      <c r="J847" s="59"/>
      <c r="K847" s="65"/>
      <c r="L847" s="66"/>
      <c r="M847" s="67"/>
      <c r="N847" s="68"/>
      <c r="O847" s="69"/>
      <c r="P847" s="69"/>
      <c r="Q847" s="69"/>
      <c r="R847" s="69"/>
    </row>
    <row r="848" spans="1:18">
      <c r="A848" s="6"/>
      <c r="B848" s="59"/>
      <c r="C848" s="60"/>
      <c r="D848" s="62"/>
      <c r="E848" s="62"/>
      <c r="F848" s="63"/>
      <c r="G848" s="59"/>
      <c r="H848" s="59"/>
      <c r="I848" s="64"/>
      <c r="J848" s="59"/>
      <c r="K848" s="65"/>
      <c r="L848" s="66"/>
      <c r="M848" s="67"/>
      <c r="N848" s="68"/>
      <c r="O848" s="69"/>
      <c r="P848" s="69"/>
      <c r="Q848" s="69"/>
      <c r="R848" s="69"/>
    </row>
    <row r="849" spans="1:18">
      <c r="A849" s="6"/>
      <c r="B849" s="59"/>
      <c r="C849" s="60"/>
      <c r="D849" s="62"/>
      <c r="E849" s="62"/>
      <c r="F849" s="63"/>
      <c r="G849" s="59"/>
      <c r="H849" s="59"/>
      <c r="I849" s="64"/>
      <c r="J849" s="59"/>
      <c r="K849" s="65"/>
      <c r="L849" s="66"/>
      <c r="M849" s="67"/>
      <c r="N849" s="68"/>
      <c r="O849" s="69"/>
      <c r="P849" s="69"/>
      <c r="Q849" s="69"/>
      <c r="R849" s="69"/>
    </row>
    <row r="850" spans="1:18">
      <c r="A850" s="6"/>
      <c r="B850" s="59"/>
      <c r="C850" s="60"/>
      <c r="D850" s="62"/>
      <c r="E850" s="62"/>
      <c r="F850" s="63"/>
      <c r="G850" s="59"/>
      <c r="H850" s="59"/>
      <c r="I850" s="64"/>
      <c r="J850" s="59"/>
      <c r="K850" s="65"/>
      <c r="L850" s="66"/>
      <c r="M850" s="67"/>
      <c r="N850" s="68"/>
      <c r="O850" s="69"/>
      <c r="P850" s="69"/>
      <c r="Q850" s="69"/>
      <c r="R850" s="69"/>
    </row>
    <row r="851" spans="1:18">
      <c r="A851" s="6"/>
      <c r="B851" s="59"/>
      <c r="C851" s="60"/>
      <c r="D851" s="62"/>
      <c r="E851" s="62"/>
      <c r="F851" s="63"/>
      <c r="G851" s="59"/>
      <c r="H851" s="59"/>
      <c r="I851" s="64"/>
      <c r="J851" s="59"/>
      <c r="K851" s="65"/>
      <c r="L851" s="66"/>
      <c r="M851" s="67"/>
      <c r="N851" s="68"/>
      <c r="O851" s="69"/>
      <c r="P851" s="69"/>
      <c r="Q851" s="69"/>
      <c r="R851" s="69"/>
    </row>
    <row r="852" spans="1:18">
      <c r="A852" s="6"/>
      <c r="B852" s="59"/>
      <c r="C852" s="60"/>
      <c r="D852" s="62"/>
      <c r="E852" s="62"/>
      <c r="F852" s="63"/>
      <c r="G852" s="59"/>
      <c r="H852" s="59"/>
      <c r="I852" s="64"/>
      <c r="J852" s="59"/>
      <c r="K852" s="65"/>
      <c r="L852" s="66"/>
      <c r="M852" s="67"/>
      <c r="N852" s="68"/>
      <c r="O852" s="69"/>
      <c r="P852" s="69"/>
      <c r="Q852" s="69"/>
      <c r="R852" s="69"/>
    </row>
    <row r="853" spans="1:18">
      <c r="A853" s="6"/>
      <c r="B853" s="59"/>
      <c r="C853" s="60"/>
      <c r="D853" s="62"/>
      <c r="E853" s="62"/>
      <c r="F853" s="63"/>
      <c r="G853" s="59"/>
      <c r="H853" s="59"/>
      <c r="I853" s="64"/>
      <c r="J853" s="59"/>
      <c r="K853" s="65"/>
      <c r="L853" s="66"/>
      <c r="M853" s="67"/>
      <c r="N853" s="68"/>
      <c r="O853" s="69"/>
      <c r="P853" s="69"/>
      <c r="Q853" s="69"/>
      <c r="R853" s="69"/>
    </row>
    <row r="854" spans="1:18">
      <c r="A854" s="6"/>
      <c r="B854" s="59"/>
      <c r="C854" s="60"/>
      <c r="D854" s="62"/>
      <c r="E854" s="62"/>
      <c r="F854" s="63"/>
      <c r="G854" s="59"/>
      <c r="H854" s="59"/>
      <c r="I854" s="64"/>
      <c r="J854" s="59"/>
      <c r="K854" s="65"/>
      <c r="L854" s="66"/>
      <c r="M854" s="67"/>
      <c r="N854" s="68"/>
      <c r="O854" s="69"/>
      <c r="P854" s="69"/>
      <c r="Q854" s="69"/>
      <c r="R854" s="69"/>
    </row>
    <row r="855" spans="1:18">
      <c r="A855" s="6"/>
      <c r="B855" s="59"/>
      <c r="C855" s="60"/>
      <c r="D855" s="62"/>
      <c r="E855" s="62"/>
      <c r="F855" s="63"/>
      <c r="G855" s="59"/>
      <c r="H855" s="59"/>
      <c r="I855" s="64"/>
      <c r="J855" s="59"/>
      <c r="K855" s="65"/>
      <c r="L855" s="66"/>
      <c r="M855" s="67"/>
      <c r="N855" s="68"/>
      <c r="O855" s="69"/>
      <c r="P855" s="69"/>
      <c r="Q855" s="69"/>
      <c r="R855" s="69"/>
    </row>
    <row r="856" spans="1:18">
      <c r="A856" s="6"/>
      <c r="B856" s="59"/>
      <c r="C856" s="60"/>
      <c r="D856" s="62"/>
      <c r="E856" s="62"/>
      <c r="F856" s="63"/>
      <c r="G856" s="59"/>
      <c r="H856" s="59"/>
      <c r="I856" s="64"/>
      <c r="J856" s="59"/>
      <c r="K856" s="65"/>
      <c r="L856" s="66"/>
      <c r="M856" s="67"/>
      <c r="N856" s="68"/>
      <c r="O856" s="69"/>
      <c r="P856" s="69"/>
      <c r="Q856" s="69"/>
      <c r="R856" s="69"/>
    </row>
    <row r="857" spans="1:18">
      <c r="A857" s="6"/>
      <c r="B857" s="59"/>
      <c r="C857" s="60"/>
      <c r="D857" s="62"/>
      <c r="E857" s="62"/>
      <c r="F857" s="63"/>
      <c r="G857" s="59"/>
      <c r="H857" s="59"/>
      <c r="I857" s="64"/>
      <c r="J857" s="59"/>
      <c r="K857" s="65"/>
      <c r="L857" s="66"/>
      <c r="M857" s="67"/>
      <c r="N857" s="68"/>
      <c r="O857" s="69"/>
      <c r="P857" s="69"/>
      <c r="Q857" s="69"/>
      <c r="R857" s="69"/>
    </row>
    <row r="858" spans="1:18">
      <c r="A858" s="6"/>
      <c r="B858" s="59"/>
      <c r="C858" s="60"/>
      <c r="D858" s="62"/>
      <c r="E858" s="62"/>
      <c r="F858" s="63"/>
      <c r="G858" s="59"/>
      <c r="H858" s="59"/>
      <c r="I858" s="64"/>
      <c r="J858" s="59"/>
      <c r="K858" s="65"/>
      <c r="L858" s="66"/>
      <c r="M858" s="67"/>
      <c r="N858" s="68"/>
      <c r="O858" s="69"/>
      <c r="P858" s="69"/>
      <c r="Q858" s="69"/>
      <c r="R858" s="69"/>
    </row>
    <row r="859" spans="1:18">
      <c r="A859" s="6"/>
      <c r="B859" s="59"/>
      <c r="C859" s="60"/>
      <c r="D859" s="62"/>
      <c r="E859" s="62"/>
      <c r="F859" s="63"/>
      <c r="G859" s="59"/>
      <c r="H859" s="59"/>
      <c r="I859" s="64"/>
      <c r="J859" s="59"/>
      <c r="K859" s="65"/>
      <c r="L859" s="66"/>
      <c r="M859" s="67"/>
      <c r="N859" s="68"/>
      <c r="O859" s="69"/>
      <c r="P859" s="69"/>
      <c r="Q859" s="69"/>
      <c r="R859" s="69"/>
    </row>
    <row r="860" spans="1:18">
      <c r="A860" s="6"/>
      <c r="B860" s="59"/>
      <c r="C860" s="60"/>
      <c r="D860" s="62"/>
      <c r="E860" s="62"/>
      <c r="F860" s="63"/>
      <c r="G860" s="59"/>
      <c r="H860" s="59"/>
      <c r="I860" s="64"/>
      <c r="J860" s="59"/>
      <c r="K860" s="65"/>
      <c r="L860" s="66"/>
      <c r="M860" s="67"/>
      <c r="N860" s="68"/>
      <c r="O860" s="69"/>
      <c r="P860" s="69"/>
      <c r="Q860" s="69"/>
      <c r="R860" s="69"/>
    </row>
    <row r="861" spans="1:18">
      <c r="A861" s="6"/>
      <c r="B861" s="59"/>
      <c r="C861" s="60"/>
      <c r="D861" s="62"/>
      <c r="E861" s="62"/>
      <c r="F861" s="63"/>
      <c r="G861" s="59"/>
      <c r="H861" s="59"/>
      <c r="I861" s="64"/>
      <c r="J861" s="59"/>
      <c r="K861" s="65"/>
      <c r="L861" s="66"/>
      <c r="M861" s="67"/>
      <c r="N861" s="68"/>
      <c r="O861" s="69"/>
      <c r="P861" s="69"/>
      <c r="Q861" s="69"/>
      <c r="R861" s="69"/>
    </row>
    <row r="862" spans="1:18">
      <c r="A862" s="6"/>
      <c r="B862" s="59"/>
      <c r="C862" s="60"/>
      <c r="D862" s="62"/>
      <c r="E862" s="62"/>
      <c r="F862" s="63"/>
      <c r="G862" s="59"/>
      <c r="H862" s="59"/>
      <c r="I862" s="64"/>
      <c r="J862" s="59"/>
      <c r="K862" s="65"/>
      <c r="L862" s="66"/>
      <c r="M862" s="67"/>
      <c r="N862" s="68"/>
      <c r="O862" s="69"/>
      <c r="P862" s="69"/>
      <c r="Q862" s="69"/>
      <c r="R862" s="69"/>
    </row>
    <row r="863" spans="1:18">
      <c r="A863" s="6"/>
      <c r="B863" s="59"/>
      <c r="C863" s="60"/>
      <c r="D863" s="62"/>
      <c r="E863" s="62"/>
      <c r="F863" s="63"/>
      <c r="G863" s="59"/>
      <c r="H863" s="59"/>
      <c r="I863" s="64"/>
      <c r="J863" s="59"/>
      <c r="K863" s="65"/>
      <c r="L863" s="66"/>
      <c r="M863" s="67"/>
      <c r="N863" s="68"/>
      <c r="O863" s="69"/>
      <c r="P863" s="69"/>
      <c r="Q863" s="69"/>
      <c r="R863" s="69"/>
    </row>
    <row r="864" spans="1:18">
      <c r="A864" s="6"/>
      <c r="B864" s="59"/>
      <c r="C864" s="60"/>
      <c r="D864" s="62"/>
      <c r="E864" s="62"/>
      <c r="F864" s="63"/>
      <c r="G864" s="59"/>
      <c r="H864" s="59"/>
      <c r="I864" s="64"/>
      <c r="J864" s="59"/>
      <c r="K864" s="65"/>
      <c r="L864" s="66"/>
      <c r="M864" s="67"/>
      <c r="N864" s="68"/>
      <c r="O864" s="69"/>
      <c r="P864" s="69"/>
      <c r="Q864" s="69"/>
      <c r="R864" s="69"/>
    </row>
    <row r="865" spans="1:18">
      <c r="A865" s="6"/>
      <c r="B865" s="59"/>
      <c r="C865" s="60"/>
      <c r="D865" s="62"/>
      <c r="E865" s="62"/>
      <c r="F865" s="63"/>
      <c r="G865" s="59"/>
      <c r="H865" s="59"/>
      <c r="I865" s="64"/>
      <c r="J865" s="59"/>
      <c r="K865" s="65"/>
      <c r="L865" s="66"/>
      <c r="M865" s="67"/>
      <c r="N865" s="68"/>
      <c r="O865" s="69"/>
      <c r="P865" s="69"/>
      <c r="Q865" s="69"/>
      <c r="R865" s="69"/>
    </row>
    <row r="866" spans="1:18">
      <c r="A866" s="6"/>
      <c r="B866" s="59"/>
      <c r="C866" s="60"/>
      <c r="D866" s="62"/>
      <c r="E866" s="62"/>
      <c r="F866" s="63"/>
      <c r="G866" s="59"/>
      <c r="H866" s="59"/>
      <c r="I866" s="64"/>
      <c r="J866" s="59"/>
      <c r="K866" s="65"/>
      <c r="L866" s="66"/>
      <c r="M866" s="67"/>
      <c r="N866" s="68"/>
      <c r="O866" s="69"/>
      <c r="P866" s="69"/>
      <c r="Q866" s="69"/>
      <c r="R866" s="69"/>
    </row>
    <row r="867" spans="1:18">
      <c r="A867" s="6"/>
      <c r="B867" s="59"/>
      <c r="C867" s="60"/>
      <c r="D867" s="62"/>
      <c r="E867" s="62"/>
      <c r="F867" s="63"/>
      <c r="G867" s="59"/>
      <c r="H867" s="59"/>
      <c r="I867" s="64"/>
      <c r="J867" s="59"/>
      <c r="K867" s="65"/>
      <c r="L867" s="66"/>
      <c r="M867" s="67"/>
      <c r="N867" s="68"/>
      <c r="O867" s="69"/>
      <c r="P867" s="69"/>
      <c r="Q867" s="69"/>
      <c r="R867" s="69"/>
    </row>
    <row r="868" spans="1:18">
      <c r="A868" s="6"/>
      <c r="B868" s="59"/>
      <c r="C868" s="60"/>
      <c r="D868" s="62"/>
      <c r="E868" s="62"/>
      <c r="F868" s="63"/>
      <c r="G868" s="59"/>
      <c r="H868" s="59"/>
      <c r="I868" s="64"/>
      <c r="J868" s="59"/>
      <c r="K868" s="65"/>
      <c r="L868" s="66"/>
      <c r="M868" s="67"/>
      <c r="N868" s="68"/>
      <c r="O868" s="69"/>
      <c r="P868" s="69"/>
      <c r="Q868" s="69"/>
      <c r="R868" s="69"/>
    </row>
    <row r="869" spans="1:18">
      <c r="A869" s="6"/>
      <c r="B869" s="59"/>
      <c r="C869" s="60"/>
      <c r="D869" s="62"/>
      <c r="E869" s="62"/>
      <c r="F869" s="63"/>
      <c r="G869" s="59"/>
      <c r="H869" s="59"/>
      <c r="I869" s="64"/>
      <c r="J869" s="59"/>
      <c r="K869" s="65"/>
      <c r="L869" s="66"/>
      <c r="M869" s="67"/>
      <c r="N869" s="68"/>
      <c r="O869" s="69"/>
      <c r="P869" s="69"/>
      <c r="Q869" s="69"/>
      <c r="R869" s="69"/>
    </row>
    <row r="870" spans="1:18">
      <c r="A870" s="6"/>
      <c r="B870" s="59"/>
      <c r="C870" s="60"/>
      <c r="D870" s="62"/>
      <c r="E870" s="62"/>
      <c r="F870" s="63"/>
      <c r="G870" s="59"/>
      <c r="H870" s="59"/>
      <c r="I870" s="64"/>
      <c r="J870" s="59"/>
      <c r="K870" s="65"/>
      <c r="L870" s="66"/>
      <c r="M870" s="67"/>
      <c r="N870" s="68"/>
      <c r="O870" s="69"/>
      <c r="P870" s="69"/>
      <c r="Q870" s="69"/>
      <c r="R870" s="69"/>
    </row>
    <row r="871" spans="1:18">
      <c r="A871" s="6"/>
      <c r="B871" s="59"/>
      <c r="C871" s="60"/>
      <c r="D871" s="62"/>
      <c r="E871" s="62"/>
      <c r="F871" s="63"/>
      <c r="G871" s="59"/>
      <c r="H871" s="59"/>
      <c r="I871" s="64"/>
      <c r="J871" s="59"/>
      <c r="K871" s="65"/>
      <c r="L871" s="66"/>
      <c r="M871" s="67"/>
      <c r="N871" s="68"/>
      <c r="O871" s="69"/>
      <c r="P871" s="69"/>
      <c r="Q871" s="69"/>
      <c r="R871" s="69"/>
    </row>
    <row r="872" spans="1:18">
      <c r="A872" s="6"/>
      <c r="B872" s="59"/>
      <c r="C872" s="60"/>
      <c r="D872" s="62"/>
      <c r="E872" s="62"/>
      <c r="F872" s="63"/>
      <c r="G872" s="59"/>
      <c r="H872" s="59"/>
      <c r="I872" s="64"/>
      <c r="J872" s="59"/>
      <c r="K872" s="65"/>
      <c r="L872" s="66"/>
      <c r="M872" s="67"/>
      <c r="N872" s="68"/>
      <c r="O872" s="69"/>
      <c r="P872" s="69"/>
      <c r="Q872" s="69"/>
      <c r="R872" s="69"/>
    </row>
    <row r="873" spans="1:18">
      <c r="A873" s="6"/>
      <c r="B873" s="59"/>
      <c r="C873" s="60"/>
      <c r="D873" s="62"/>
      <c r="E873" s="62"/>
      <c r="F873" s="63"/>
      <c r="G873" s="59"/>
      <c r="H873" s="59"/>
      <c r="I873" s="64"/>
      <c r="J873" s="59"/>
      <c r="K873" s="65"/>
      <c r="L873" s="66"/>
      <c r="M873" s="67"/>
      <c r="N873" s="68"/>
      <c r="O873" s="69"/>
      <c r="P873" s="69"/>
      <c r="Q873" s="69"/>
      <c r="R873" s="69"/>
    </row>
    <row r="874" spans="1:18">
      <c r="A874" s="6"/>
      <c r="B874" s="59"/>
      <c r="C874" s="60"/>
      <c r="D874" s="62"/>
      <c r="E874" s="62"/>
      <c r="F874" s="63"/>
      <c r="G874" s="59"/>
      <c r="H874" s="59"/>
      <c r="I874" s="64"/>
      <c r="J874" s="59"/>
      <c r="K874" s="65"/>
      <c r="L874" s="66"/>
      <c r="M874" s="67"/>
      <c r="N874" s="68"/>
      <c r="O874" s="69"/>
      <c r="P874" s="69"/>
      <c r="Q874" s="69"/>
      <c r="R874" s="69"/>
    </row>
    <row r="875" spans="1:18">
      <c r="A875" s="6"/>
      <c r="B875" s="59"/>
      <c r="C875" s="60"/>
      <c r="D875" s="62"/>
      <c r="E875" s="62"/>
      <c r="F875" s="63"/>
      <c r="G875" s="59"/>
      <c r="H875" s="59"/>
      <c r="I875" s="64"/>
      <c r="J875" s="59"/>
      <c r="K875" s="65"/>
      <c r="L875" s="66"/>
      <c r="M875" s="67"/>
      <c r="N875" s="68"/>
      <c r="O875" s="69"/>
      <c r="P875" s="69"/>
      <c r="Q875" s="69"/>
      <c r="R875" s="69"/>
    </row>
    <row r="876" spans="1:18">
      <c r="A876" s="6"/>
      <c r="B876" s="59"/>
      <c r="C876" s="60"/>
      <c r="D876" s="62"/>
      <c r="E876" s="62"/>
      <c r="F876" s="63"/>
      <c r="G876" s="59"/>
      <c r="H876" s="59"/>
      <c r="I876" s="64"/>
      <c r="J876" s="59"/>
      <c r="K876" s="65"/>
      <c r="L876" s="66"/>
      <c r="M876" s="67"/>
      <c r="N876" s="68"/>
      <c r="O876" s="69"/>
      <c r="P876" s="69"/>
      <c r="Q876" s="69"/>
      <c r="R876" s="69"/>
    </row>
    <row r="877" spans="1:18">
      <c r="A877" s="6"/>
      <c r="B877" s="59"/>
      <c r="C877" s="60"/>
      <c r="D877" s="62"/>
      <c r="E877" s="62"/>
      <c r="F877" s="63"/>
      <c r="G877" s="59"/>
      <c r="H877" s="59"/>
      <c r="I877" s="64"/>
      <c r="J877" s="59"/>
      <c r="K877" s="65"/>
      <c r="L877" s="66"/>
      <c r="M877" s="67"/>
      <c r="N877" s="68"/>
      <c r="O877" s="69"/>
      <c r="P877" s="69"/>
      <c r="Q877" s="69"/>
      <c r="R877" s="69"/>
    </row>
    <row r="878" spans="1:18">
      <c r="A878" s="6"/>
      <c r="B878" s="59"/>
      <c r="C878" s="60"/>
      <c r="D878" s="62"/>
      <c r="E878" s="62"/>
      <c r="F878" s="63"/>
      <c r="G878" s="59"/>
      <c r="H878" s="59"/>
      <c r="I878" s="64"/>
      <c r="J878" s="59"/>
      <c r="K878" s="65"/>
      <c r="L878" s="66"/>
      <c r="M878" s="67"/>
      <c r="N878" s="68"/>
      <c r="O878" s="69"/>
      <c r="P878" s="69"/>
      <c r="Q878" s="69"/>
      <c r="R878" s="69"/>
    </row>
    <row r="879" spans="1:18">
      <c r="A879" s="6"/>
      <c r="B879" s="59"/>
      <c r="C879" s="60"/>
      <c r="D879" s="62"/>
      <c r="E879" s="62"/>
      <c r="F879" s="63"/>
      <c r="G879" s="59"/>
      <c r="H879" s="59"/>
      <c r="I879" s="64"/>
      <c r="J879" s="59"/>
      <c r="K879" s="65"/>
      <c r="L879" s="66"/>
      <c r="M879" s="67"/>
      <c r="N879" s="68"/>
      <c r="O879" s="69"/>
      <c r="P879" s="69"/>
      <c r="Q879" s="69"/>
      <c r="R879" s="69"/>
    </row>
    <row r="880" spans="1:18">
      <c r="A880" s="6"/>
      <c r="B880" s="59"/>
      <c r="C880" s="60"/>
      <c r="D880" s="62"/>
      <c r="E880" s="62"/>
      <c r="F880" s="63"/>
      <c r="G880" s="59"/>
      <c r="H880" s="59"/>
      <c r="I880" s="64"/>
      <c r="J880" s="59"/>
      <c r="K880" s="65"/>
      <c r="L880" s="66"/>
      <c r="M880" s="67"/>
      <c r="N880" s="68"/>
      <c r="O880" s="69"/>
      <c r="P880" s="69"/>
      <c r="Q880" s="69"/>
      <c r="R880" s="69"/>
    </row>
    <row r="881" spans="1:18">
      <c r="A881" s="6"/>
      <c r="B881" s="59"/>
      <c r="C881" s="60"/>
      <c r="D881" s="62"/>
      <c r="E881" s="62"/>
      <c r="F881" s="63"/>
      <c r="G881" s="59"/>
      <c r="H881" s="59"/>
      <c r="I881" s="64"/>
      <c r="J881" s="59"/>
      <c r="K881" s="65"/>
      <c r="L881" s="66"/>
      <c r="M881" s="67"/>
      <c r="N881" s="68"/>
      <c r="O881" s="69"/>
      <c r="P881" s="69"/>
      <c r="Q881" s="69"/>
      <c r="R881" s="69"/>
    </row>
    <row r="882" spans="1:18">
      <c r="A882" s="6"/>
      <c r="B882" s="59"/>
      <c r="C882" s="60"/>
      <c r="D882" s="62"/>
      <c r="E882" s="62"/>
      <c r="F882" s="63"/>
      <c r="G882" s="59"/>
      <c r="H882" s="59"/>
      <c r="I882" s="64"/>
      <c r="J882" s="59"/>
      <c r="K882" s="65"/>
      <c r="L882" s="66"/>
      <c r="M882" s="67"/>
      <c r="N882" s="68"/>
      <c r="O882" s="69"/>
      <c r="P882" s="69"/>
      <c r="Q882" s="69"/>
      <c r="R882" s="69"/>
    </row>
    <row r="883" spans="1:18">
      <c r="A883" s="6"/>
      <c r="B883" s="59"/>
      <c r="C883" s="60"/>
      <c r="D883" s="62"/>
      <c r="E883" s="62"/>
      <c r="F883" s="63"/>
      <c r="G883" s="59"/>
      <c r="H883" s="59"/>
      <c r="I883" s="64"/>
      <c r="J883" s="59"/>
      <c r="K883" s="65"/>
      <c r="L883" s="66"/>
      <c r="M883" s="67"/>
      <c r="N883" s="68"/>
      <c r="O883" s="69"/>
      <c r="P883" s="69"/>
      <c r="Q883" s="69"/>
      <c r="R883" s="69"/>
    </row>
    <row r="884" spans="1:18">
      <c r="A884" s="6"/>
      <c r="B884" s="59"/>
      <c r="C884" s="60"/>
      <c r="D884" s="62"/>
      <c r="E884" s="62"/>
      <c r="F884" s="63"/>
      <c r="G884" s="59"/>
      <c r="H884" s="59"/>
      <c r="I884" s="64"/>
      <c r="J884" s="59"/>
      <c r="K884" s="65"/>
      <c r="L884" s="66"/>
      <c r="M884" s="67"/>
      <c r="N884" s="68"/>
      <c r="O884" s="69"/>
      <c r="P884" s="69"/>
      <c r="Q884" s="69"/>
      <c r="R884" s="69"/>
    </row>
    <row r="885" spans="1:18">
      <c r="A885" s="6"/>
      <c r="B885" s="59"/>
      <c r="C885" s="60"/>
      <c r="D885" s="62"/>
      <c r="E885" s="62"/>
      <c r="F885" s="63"/>
      <c r="G885" s="59"/>
      <c r="H885" s="59"/>
      <c r="I885" s="64"/>
      <c r="J885" s="59"/>
      <c r="K885" s="65"/>
      <c r="L885" s="66"/>
      <c r="M885" s="67"/>
      <c r="N885" s="68"/>
      <c r="O885" s="69"/>
      <c r="P885" s="69"/>
      <c r="Q885" s="69"/>
      <c r="R885" s="69"/>
    </row>
    <row r="886" spans="1:18">
      <c r="A886" s="6"/>
      <c r="B886" s="59"/>
      <c r="C886" s="60"/>
      <c r="D886" s="62"/>
      <c r="E886" s="62"/>
      <c r="F886" s="63"/>
      <c r="G886" s="59"/>
      <c r="H886" s="59"/>
      <c r="I886" s="64"/>
      <c r="J886" s="59"/>
      <c r="K886" s="65"/>
      <c r="L886" s="66"/>
      <c r="M886" s="67"/>
      <c r="N886" s="68"/>
      <c r="O886" s="69"/>
      <c r="P886" s="69"/>
      <c r="Q886" s="69"/>
      <c r="R886" s="69"/>
    </row>
    <row r="887" spans="1:18">
      <c r="A887" s="6"/>
      <c r="B887" s="59"/>
      <c r="C887" s="60"/>
      <c r="D887" s="62"/>
      <c r="E887" s="62"/>
      <c r="F887" s="63"/>
      <c r="G887" s="59"/>
      <c r="H887" s="59"/>
      <c r="I887" s="64"/>
      <c r="J887" s="59"/>
      <c r="K887" s="65"/>
      <c r="L887" s="66"/>
      <c r="M887" s="67"/>
      <c r="N887" s="68"/>
      <c r="O887" s="69"/>
      <c r="P887" s="69"/>
      <c r="Q887" s="69"/>
      <c r="R887" s="69"/>
    </row>
    <row r="888" spans="1:18">
      <c r="A888" s="6"/>
      <c r="B888" s="59"/>
      <c r="C888" s="60"/>
      <c r="D888" s="62"/>
      <c r="E888" s="62"/>
      <c r="F888" s="63"/>
      <c r="G888" s="59"/>
      <c r="H888" s="59"/>
      <c r="I888" s="64"/>
      <c r="J888" s="59"/>
      <c r="K888" s="65"/>
      <c r="L888" s="66"/>
      <c r="M888" s="67"/>
      <c r="N888" s="68"/>
      <c r="O888" s="69"/>
      <c r="P888" s="69"/>
      <c r="Q888" s="69"/>
      <c r="R888" s="69"/>
    </row>
    <row r="889" spans="1:18">
      <c r="A889" s="6"/>
      <c r="B889" s="59"/>
      <c r="C889" s="60"/>
      <c r="D889" s="62"/>
      <c r="E889" s="62"/>
      <c r="F889" s="63"/>
      <c r="G889" s="59"/>
      <c r="H889" s="59"/>
      <c r="I889" s="64"/>
      <c r="J889" s="59"/>
      <c r="K889" s="65"/>
      <c r="L889" s="66"/>
      <c r="M889" s="67"/>
      <c r="N889" s="68"/>
      <c r="O889" s="69"/>
      <c r="P889" s="69"/>
      <c r="Q889" s="69"/>
      <c r="R889" s="69"/>
    </row>
    <row r="890" spans="1:18">
      <c r="A890" s="6"/>
      <c r="B890" s="59"/>
      <c r="C890" s="60"/>
      <c r="D890" s="62"/>
      <c r="E890" s="62"/>
      <c r="F890" s="63"/>
      <c r="G890" s="59"/>
      <c r="H890" s="59"/>
      <c r="I890" s="64"/>
      <c r="J890" s="59"/>
      <c r="K890" s="65"/>
      <c r="L890" s="66"/>
      <c r="M890" s="67"/>
      <c r="N890" s="68"/>
      <c r="O890" s="69"/>
      <c r="P890" s="69"/>
      <c r="Q890" s="69"/>
      <c r="R890" s="69"/>
    </row>
    <row r="891" spans="1:18">
      <c r="A891" s="6"/>
      <c r="B891" s="59"/>
      <c r="C891" s="60"/>
      <c r="D891" s="62"/>
      <c r="E891" s="62"/>
      <c r="F891" s="63"/>
      <c r="G891" s="59"/>
      <c r="H891" s="59"/>
      <c r="I891" s="64"/>
      <c r="J891" s="59"/>
      <c r="K891" s="65"/>
      <c r="L891" s="66"/>
      <c r="M891" s="67"/>
      <c r="N891" s="68"/>
      <c r="O891" s="69"/>
      <c r="P891" s="69"/>
      <c r="Q891" s="69"/>
      <c r="R891" s="69"/>
    </row>
    <row r="892" spans="1:18">
      <c r="A892" s="6"/>
      <c r="B892" s="59"/>
      <c r="C892" s="60"/>
      <c r="D892" s="62"/>
      <c r="E892" s="62"/>
      <c r="F892" s="63"/>
      <c r="G892" s="59"/>
      <c r="H892" s="59"/>
      <c r="I892" s="64"/>
      <c r="J892" s="59"/>
      <c r="K892" s="65"/>
      <c r="L892" s="66"/>
      <c r="M892" s="67"/>
      <c r="N892" s="68"/>
      <c r="O892" s="69"/>
      <c r="P892" s="69"/>
      <c r="Q892" s="69"/>
      <c r="R892" s="69"/>
    </row>
    <row r="893" spans="1:18">
      <c r="A893" s="6"/>
      <c r="B893" s="59"/>
      <c r="C893" s="60"/>
      <c r="D893" s="62"/>
      <c r="E893" s="62"/>
      <c r="F893" s="63"/>
      <c r="G893" s="59"/>
      <c r="H893" s="59"/>
      <c r="I893" s="64"/>
      <c r="J893" s="59"/>
      <c r="K893" s="65"/>
      <c r="L893" s="66"/>
      <c r="M893" s="67"/>
      <c r="N893" s="68"/>
      <c r="O893" s="69"/>
      <c r="P893" s="69"/>
      <c r="Q893" s="69"/>
      <c r="R893" s="69"/>
    </row>
    <row r="894" spans="1:18">
      <c r="A894" s="6"/>
      <c r="B894" s="59"/>
      <c r="C894" s="60"/>
      <c r="D894" s="62"/>
      <c r="E894" s="62"/>
      <c r="F894" s="63"/>
      <c r="G894" s="59"/>
      <c r="H894" s="59"/>
      <c r="I894" s="64"/>
      <c r="J894" s="59"/>
      <c r="K894" s="65"/>
      <c r="L894" s="66"/>
      <c r="M894" s="67"/>
      <c r="N894" s="68"/>
      <c r="O894" s="69"/>
      <c r="P894" s="69"/>
      <c r="Q894" s="69"/>
      <c r="R894" s="69"/>
    </row>
    <row r="895" spans="1:18">
      <c r="A895" s="6"/>
      <c r="B895" s="59"/>
      <c r="C895" s="60"/>
      <c r="D895" s="62"/>
      <c r="E895" s="62"/>
      <c r="F895" s="63"/>
      <c r="G895" s="59"/>
      <c r="H895" s="59"/>
      <c r="I895" s="64"/>
      <c r="J895" s="59"/>
      <c r="K895" s="65"/>
      <c r="L895" s="66"/>
      <c r="M895" s="67"/>
      <c r="N895" s="68"/>
      <c r="O895" s="69"/>
      <c r="P895" s="69"/>
      <c r="Q895" s="69"/>
      <c r="R895" s="69"/>
    </row>
    <row r="896" spans="1:18">
      <c r="A896" s="6"/>
      <c r="B896" s="59"/>
      <c r="C896" s="60"/>
      <c r="D896" s="62"/>
      <c r="E896" s="62"/>
      <c r="F896" s="63"/>
      <c r="G896" s="59"/>
      <c r="H896" s="59"/>
      <c r="I896" s="64"/>
      <c r="J896" s="59"/>
      <c r="K896" s="65"/>
      <c r="L896" s="66"/>
      <c r="M896" s="67"/>
      <c r="N896" s="68"/>
      <c r="O896" s="69"/>
      <c r="P896" s="69"/>
      <c r="Q896" s="69"/>
      <c r="R896" s="69"/>
    </row>
    <row r="897" spans="1:18">
      <c r="A897" s="6"/>
      <c r="B897" s="59"/>
      <c r="C897" s="60"/>
      <c r="D897" s="62"/>
      <c r="E897" s="62"/>
      <c r="F897" s="63"/>
      <c r="G897" s="59"/>
      <c r="H897" s="59"/>
      <c r="I897" s="64"/>
      <c r="J897" s="59"/>
      <c r="K897" s="65"/>
      <c r="L897" s="66"/>
      <c r="M897" s="67"/>
      <c r="N897" s="68"/>
      <c r="O897" s="69"/>
      <c r="P897" s="69"/>
      <c r="Q897" s="69"/>
      <c r="R897" s="69"/>
    </row>
    <row r="898" spans="1:18">
      <c r="A898" s="6"/>
      <c r="B898" s="59"/>
      <c r="C898" s="60"/>
      <c r="D898" s="62"/>
      <c r="E898" s="62"/>
      <c r="F898" s="63"/>
      <c r="G898" s="59"/>
      <c r="H898" s="59"/>
      <c r="I898" s="64"/>
      <c r="J898" s="59"/>
      <c r="K898" s="65"/>
      <c r="L898" s="66"/>
      <c r="M898" s="67"/>
      <c r="N898" s="68"/>
      <c r="O898" s="69"/>
      <c r="P898" s="69"/>
      <c r="Q898" s="69"/>
      <c r="R898" s="69"/>
    </row>
    <row r="899" spans="1:18">
      <c r="A899" s="6"/>
      <c r="B899" s="59"/>
      <c r="C899" s="60"/>
      <c r="D899" s="62"/>
      <c r="E899" s="62"/>
      <c r="F899" s="63"/>
      <c r="G899" s="59"/>
      <c r="H899" s="59"/>
      <c r="I899" s="64"/>
      <c r="J899" s="59"/>
      <c r="K899" s="65"/>
      <c r="L899" s="66"/>
      <c r="M899" s="67"/>
      <c r="N899" s="68"/>
      <c r="O899" s="69"/>
      <c r="P899" s="69"/>
      <c r="Q899" s="69"/>
      <c r="R899" s="69"/>
    </row>
    <row r="900" spans="1:18">
      <c r="A900" s="6"/>
      <c r="B900" s="59"/>
      <c r="C900" s="60"/>
      <c r="D900" s="62"/>
      <c r="E900" s="62"/>
      <c r="F900" s="63"/>
      <c r="G900" s="59"/>
      <c r="H900" s="59"/>
      <c r="I900" s="64"/>
      <c r="J900" s="59"/>
      <c r="K900" s="65"/>
      <c r="L900" s="66"/>
      <c r="M900" s="67"/>
      <c r="N900" s="68"/>
      <c r="O900" s="69"/>
      <c r="P900" s="69"/>
      <c r="Q900" s="69"/>
      <c r="R900" s="69"/>
    </row>
    <row r="901" spans="1:18">
      <c r="A901" s="6"/>
      <c r="B901" s="59"/>
      <c r="C901" s="60"/>
      <c r="D901" s="62"/>
      <c r="E901" s="62"/>
      <c r="F901" s="63"/>
      <c r="G901" s="59"/>
      <c r="H901" s="59"/>
      <c r="I901" s="64"/>
      <c r="J901" s="59"/>
      <c r="K901" s="65"/>
      <c r="L901" s="66"/>
      <c r="M901" s="67"/>
      <c r="N901" s="68"/>
      <c r="O901" s="69"/>
      <c r="P901" s="69"/>
      <c r="Q901" s="69"/>
      <c r="R901" s="69"/>
    </row>
    <row r="902" spans="1:18">
      <c r="A902" s="6"/>
      <c r="B902" s="59"/>
      <c r="C902" s="60"/>
      <c r="D902" s="62"/>
      <c r="E902" s="62"/>
      <c r="F902" s="63"/>
      <c r="G902" s="59"/>
      <c r="H902" s="59"/>
      <c r="I902" s="64"/>
      <c r="J902" s="59"/>
      <c r="K902" s="65"/>
      <c r="L902" s="66"/>
      <c r="M902" s="67"/>
      <c r="N902" s="68"/>
      <c r="O902" s="69"/>
      <c r="P902" s="69"/>
      <c r="Q902" s="69"/>
      <c r="R902" s="69"/>
    </row>
    <row r="903" spans="1:18">
      <c r="A903" s="6"/>
      <c r="B903" s="59"/>
      <c r="C903" s="60"/>
      <c r="D903" s="62"/>
      <c r="E903" s="62"/>
      <c r="F903" s="63"/>
      <c r="G903" s="59"/>
      <c r="H903" s="59"/>
      <c r="I903" s="64"/>
      <c r="J903" s="59"/>
      <c r="K903" s="65"/>
      <c r="L903" s="66"/>
      <c r="M903" s="67"/>
      <c r="N903" s="68"/>
      <c r="O903" s="69"/>
      <c r="P903" s="69"/>
      <c r="Q903" s="69"/>
      <c r="R903" s="69"/>
    </row>
    <row r="904" spans="1:18">
      <c r="A904" s="6"/>
      <c r="B904" s="59"/>
      <c r="C904" s="60"/>
      <c r="D904" s="62"/>
      <c r="E904" s="62"/>
      <c r="F904" s="63"/>
      <c r="G904" s="59"/>
      <c r="H904" s="59"/>
      <c r="I904" s="64"/>
      <c r="J904" s="59"/>
      <c r="K904" s="65"/>
      <c r="L904" s="66"/>
      <c r="M904" s="67"/>
      <c r="N904" s="68"/>
      <c r="O904" s="69"/>
      <c r="P904" s="69"/>
      <c r="Q904" s="69"/>
      <c r="R904" s="69"/>
    </row>
    <row r="905" spans="1:18">
      <c r="A905" s="6"/>
      <c r="B905" s="59"/>
      <c r="C905" s="60"/>
      <c r="D905" s="62"/>
      <c r="E905" s="62"/>
      <c r="F905" s="63"/>
      <c r="G905" s="59"/>
      <c r="H905" s="59"/>
      <c r="I905" s="64"/>
      <c r="J905" s="59"/>
      <c r="K905" s="65"/>
      <c r="L905" s="66"/>
      <c r="M905" s="67"/>
      <c r="N905" s="68"/>
      <c r="O905" s="69"/>
      <c r="P905" s="69"/>
      <c r="Q905" s="69"/>
      <c r="R905" s="69"/>
    </row>
    <row r="906" spans="1:18">
      <c r="A906" s="6"/>
      <c r="B906" s="59"/>
      <c r="C906" s="60"/>
      <c r="D906" s="62"/>
      <c r="E906" s="62"/>
      <c r="F906" s="63"/>
      <c r="G906" s="59"/>
      <c r="H906" s="59"/>
      <c r="I906" s="64"/>
      <c r="J906" s="59"/>
      <c r="K906" s="65"/>
      <c r="L906" s="66"/>
      <c r="M906" s="67"/>
      <c r="N906" s="68"/>
      <c r="O906" s="69"/>
      <c r="P906" s="69"/>
      <c r="Q906" s="69"/>
      <c r="R906" s="69"/>
    </row>
    <row r="907" spans="1:18">
      <c r="A907" s="6"/>
      <c r="B907" s="59"/>
      <c r="C907" s="60"/>
      <c r="D907" s="62"/>
      <c r="E907" s="62"/>
      <c r="F907" s="63"/>
      <c r="G907" s="59"/>
      <c r="H907" s="59"/>
      <c r="I907" s="64"/>
      <c r="J907" s="59"/>
      <c r="K907" s="65"/>
      <c r="L907" s="66"/>
      <c r="M907" s="67"/>
      <c r="N907" s="68"/>
      <c r="O907" s="69"/>
      <c r="P907" s="69"/>
      <c r="Q907" s="69"/>
      <c r="R907" s="69"/>
    </row>
    <row r="908" spans="1:18">
      <c r="A908" s="6"/>
      <c r="B908" s="59"/>
      <c r="C908" s="60"/>
      <c r="D908" s="62"/>
      <c r="E908" s="62"/>
      <c r="F908" s="63"/>
      <c r="G908" s="59"/>
      <c r="H908" s="59"/>
      <c r="I908" s="64"/>
      <c r="J908" s="59"/>
      <c r="K908" s="65"/>
      <c r="L908" s="66"/>
      <c r="M908" s="67"/>
      <c r="N908" s="68"/>
      <c r="O908" s="69"/>
      <c r="P908" s="69"/>
      <c r="Q908" s="69"/>
      <c r="R908" s="69"/>
    </row>
    <row r="909" spans="1:18">
      <c r="A909" s="6"/>
      <c r="B909" s="59"/>
      <c r="C909" s="60"/>
      <c r="D909" s="62"/>
      <c r="E909" s="62"/>
      <c r="F909" s="63"/>
      <c r="G909" s="59"/>
      <c r="H909" s="59"/>
      <c r="I909" s="64"/>
      <c r="J909" s="59"/>
      <c r="K909" s="65"/>
      <c r="L909" s="66"/>
      <c r="M909" s="67"/>
      <c r="N909" s="68"/>
      <c r="O909" s="69"/>
      <c r="P909" s="69"/>
      <c r="Q909" s="69"/>
      <c r="R909" s="69"/>
    </row>
    <row r="910" spans="1:18">
      <c r="A910" s="6"/>
      <c r="B910" s="59"/>
      <c r="C910" s="60"/>
      <c r="D910" s="62"/>
      <c r="E910" s="62"/>
      <c r="F910" s="63"/>
      <c r="G910" s="59"/>
      <c r="H910" s="59"/>
      <c r="I910" s="64"/>
      <c r="J910" s="59"/>
      <c r="K910" s="65"/>
      <c r="L910" s="66"/>
      <c r="M910" s="67"/>
      <c r="N910" s="68"/>
      <c r="O910" s="69"/>
      <c r="P910" s="69"/>
      <c r="Q910" s="69"/>
      <c r="R910" s="69"/>
    </row>
    <row r="911" spans="1:18">
      <c r="A911" s="6"/>
      <c r="B911" s="59"/>
      <c r="C911" s="60"/>
      <c r="D911" s="62"/>
      <c r="E911" s="62"/>
      <c r="F911" s="63"/>
      <c r="G911" s="59"/>
      <c r="H911" s="59"/>
      <c r="I911" s="64"/>
      <c r="J911" s="59"/>
      <c r="K911" s="65"/>
      <c r="L911" s="66"/>
      <c r="M911" s="67"/>
      <c r="N911" s="68"/>
      <c r="O911" s="69"/>
      <c r="P911" s="69"/>
      <c r="Q911" s="69"/>
      <c r="R911" s="69"/>
    </row>
    <row r="912" spans="1:18">
      <c r="A912" s="6"/>
      <c r="B912" s="59"/>
      <c r="C912" s="60"/>
      <c r="D912" s="62"/>
      <c r="E912" s="62"/>
      <c r="F912" s="63"/>
      <c r="G912" s="59"/>
      <c r="H912" s="59"/>
      <c r="I912" s="64"/>
      <c r="J912" s="59"/>
      <c r="K912" s="65"/>
      <c r="L912" s="66"/>
      <c r="M912" s="67"/>
      <c r="N912" s="68"/>
      <c r="O912" s="69"/>
      <c r="P912" s="69"/>
      <c r="Q912" s="69"/>
      <c r="R912" s="69"/>
    </row>
    <row r="913" spans="1:18">
      <c r="A913" s="6"/>
      <c r="B913" s="59"/>
      <c r="C913" s="60"/>
      <c r="D913" s="62"/>
      <c r="E913" s="62"/>
      <c r="F913" s="63"/>
      <c r="G913" s="59"/>
      <c r="H913" s="59"/>
      <c r="I913" s="64"/>
      <c r="J913" s="59"/>
      <c r="K913" s="65"/>
      <c r="L913" s="66"/>
      <c r="M913" s="67"/>
      <c r="N913" s="68"/>
      <c r="O913" s="69"/>
      <c r="P913" s="69"/>
      <c r="Q913" s="69"/>
      <c r="R913" s="69"/>
    </row>
    <row r="914" spans="1:18">
      <c r="A914" s="6"/>
      <c r="B914" s="59"/>
      <c r="C914" s="60"/>
      <c r="D914" s="62"/>
      <c r="E914" s="62"/>
      <c r="F914" s="63"/>
      <c r="G914" s="59"/>
      <c r="H914" s="59"/>
      <c r="I914" s="64"/>
      <c r="J914" s="59"/>
      <c r="K914" s="65"/>
      <c r="L914" s="66"/>
      <c r="M914" s="67"/>
      <c r="N914" s="68"/>
      <c r="O914" s="69"/>
      <c r="P914" s="69"/>
      <c r="Q914" s="69"/>
      <c r="R914" s="69"/>
    </row>
    <row r="915" spans="1:18">
      <c r="A915" s="6"/>
      <c r="B915" s="59"/>
      <c r="C915" s="60"/>
      <c r="D915" s="62"/>
      <c r="E915" s="62"/>
      <c r="F915" s="63"/>
      <c r="G915" s="59"/>
      <c r="H915" s="59"/>
      <c r="I915" s="64"/>
      <c r="J915" s="59"/>
      <c r="K915" s="65"/>
      <c r="L915" s="66"/>
      <c r="M915" s="67"/>
      <c r="N915" s="68"/>
      <c r="O915" s="69"/>
      <c r="P915" s="69"/>
      <c r="Q915" s="69"/>
      <c r="R915" s="69"/>
    </row>
    <row r="916" spans="1:18">
      <c r="A916" s="6"/>
      <c r="B916" s="59"/>
      <c r="C916" s="60"/>
      <c r="D916" s="62"/>
      <c r="E916" s="62"/>
      <c r="F916" s="63"/>
      <c r="G916" s="59"/>
      <c r="H916" s="59"/>
      <c r="I916" s="64"/>
      <c r="J916" s="59"/>
      <c r="K916" s="65"/>
      <c r="L916" s="66"/>
      <c r="M916" s="67"/>
      <c r="N916" s="68"/>
      <c r="O916" s="69"/>
      <c r="P916" s="69"/>
      <c r="Q916" s="69"/>
      <c r="R916" s="69"/>
    </row>
    <row r="917" spans="1:18">
      <c r="A917" s="6"/>
      <c r="B917" s="59"/>
      <c r="C917" s="60"/>
      <c r="D917" s="62"/>
      <c r="E917" s="62"/>
      <c r="F917" s="63"/>
      <c r="G917" s="59"/>
      <c r="H917" s="59"/>
      <c r="I917" s="64"/>
      <c r="J917" s="59"/>
      <c r="K917" s="65"/>
      <c r="L917" s="66"/>
      <c r="M917" s="67"/>
      <c r="N917" s="68"/>
      <c r="O917" s="69"/>
      <c r="P917" s="69"/>
      <c r="Q917" s="69"/>
      <c r="R917" s="69"/>
    </row>
    <row r="918" spans="1:18">
      <c r="A918" s="6"/>
      <c r="B918" s="59"/>
      <c r="C918" s="60"/>
      <c r="D918" s="62"/>
      <c r="E918" s="62"/>
      <c r="F918" s="63"/>
      <c r="G918" s="59"/>
      <c r="H918" s="59"/>
      <c r="I918" s="64"/>
      <c r="J918" s="59"/>
      <c r="K918" s="65"/>
      <c r="L918" s="66"/>
      <c r="M918" s="67"/>
      <c r="N918" s="68"/>
      <c r="O918" s="69"/>
      <c r="P918" s="69"/>
      <c r="Q918" s="69"/>
      <c r="R918" s="69"/>
    </row>
    <row r="919" spans="1:18">
      <c r="A919" s="6"/>
      <c r="B919" s="59"/>
      <c r="C919" s="60"/>
      <c r="D919" s="62"/>
      <c r="E919" s="62"/>
      <c r="F919" s="63"/>
      <c r="G919" s="59"/>
      <c r="H919" s="59"/>
      <c r="I919" s="64"/>
      <c r="J919" s="59"/>
      <c r="K919" s="65"/>
      <c r="L919" s="66"/>
      <c r="M919" s="67"/>
      <c r="N919" s="68"/>
      <c r="O919" s="69"/>
      <c r="P919" s="69"/>
      <c r="Q919" s="69"/>
      <c r="R919" s="69"/>
    </row>
    <row r="920" spans="1:18">
      <c r="A920" s="6"/>
      <c r="B920" s="59"/>
      <c r="C920" s="60"/>
      <c r="D920" s="62"/>
      <c r="E920" s="62"/>
      <c r="F920" s="63"/>
      <c r="G920" s="59"/>
      <c r="H920" s="59"/>
      <c r="I920" s="64"/>
      <c r="J920" s="59"/>
      <c r="K920" s="65"/>
      <c r="L920" s="66"/>
      <c r="M920" s="67"/>
      <c r="N920" s="68"/>
      <c r="O920" s="69"/>
      <c r="P920" s="69"/>
      <c r="Q920" s="69"/>
      <c r="R920" s="69"/>
    </row>
    <row r="921" spans="1:18">
      <c r="A921" s="6"/>
      <c r="B921" s="59"/>
      <c r="C921" s="60"/>
      <c r="D921" s="62"/>
      <c r="E921" s="62"/>
      <c r="F921" s="63"/>
      <c r="G921" s="59"/>
      <c r="H921" s="59"/>
      <c r="I921" s="64"/>
      <c r="J921" s="59"/>
      <c r="K921" s="65"/>
      <c r="L921" s="66"/>
      <c r="M921" s="67"/>
      <c r="N921" s="68"/>
      <c r="O921" s="69"/>
      <c r="P921" s="69"/>
      <c r="Q921" s="69"/>
      <c r="R921" s="69"/>
    </row>
    <row r="922" spans="1:18">
      <c r="A922" s="6"/>
      <c r="B922" s="59"/>
      <c r="C922" s="60"/>
      <c r="D922" s="62"/>
      <c r="E922" s="62"/>
      <c r="F922" s="63"/>
      <c r="G922" s="59"/>
      <c r="H922" s="59"/>
      <c r="I922" s="64"/>
      <c r="J922" s="59"/>
      <c r="K922" s="65"/>
      <c r="L922" s="66"/>
      <c r="M922" s="67"/>
      <c r="N922" s="68"/>
      <c r="O922" s="69"/>
      <c r="P922" s="69"/>
      <c r="Q922" s="69"/>
      <c r="R922" s="69"/>
    </row>
    <row r="923" spans="1:18">
      <c r="A923" s="6"/>
      <c r="B923" s="59"/>
      <c r="C923" s="60"/>
      <c r="D923" s="62"/>
      <c r="E923" s="62"/>
      <c r="F923" s="63"/>
      <c r="G923" s="59"/>
      <c r="H923" s="59"/>
      <c r="I923" s="64"/>
      <c r="J923" s="59"/>
      <c r="K923" s="65"/>
      <c r="L923" s="66"/>
      <c r="M923" s="67"/>
      <c r="N923" s="68"/>
      <c r="O923" s="69"/>
      <c r="P923" s="69"/>
      <c r="Q923" s="69"/>
      <c r="R923" s="69"/>
    </row>
    <row r="924" spans="1:18">
      <c r="A924" s="6"/>
      <c r="B924" s="59"/>
      <c r="C924" s="60"/>
      <c r="D924" s="62"/>
      <c r="E924" s="62"/>
      <c r="F924" s="63"/>
      <c r="G924" s="59"/>
      <c r="H924" s="59"/>
      <c r="I924" s="64"/>
      <c r="J924" s="59"/>
      <c r="K924" s="65"/>
      <c r="L924" s="66"/>
      <c r="M924" s="67"/>
      <c r="N924" s="68"/>
      <c r="O924" s="69"/>
      <c r="P924" s="69"/>
      <c r="Q924" s="69"/>
      <c r="R924" s="69"/>
    </row>
    <row r="925" spans="1:18">
      <c r="A925" s="6"/>
      <c r="B925" s="59"/>
      <c r="C925" s="60"/>
      <c r="D925" s="62"/>
      <c r="E925" s="62"/>
      <c r="F925" s="63"/>
      <c r="G925" s="59"/>
      <c r="H925" s="59"/>
      <c r="I925" s="64"/>
      <c r="J925" s="59"/>
      <c r="K925" s="65"/>
      <c r="L925" s="66"/>
      <c r="M925" s="67"/>
      <c r="N925" s="68"/>
      <c r="O925" s="69"/>
      <c r="P925" s="69"/>
      <c r="Q925" s="69"/>
      <c r="R925" s="69"/>
    </row>
    <row r="926" spans="1:18">
      <c r="A926" s="6"/>
      <c r="B926" s="59"/>
      <c r="C926" s="60"/>
      <c r="D926" s="62"/>
      <c r="E926" s="62"/>
      <c r="F926" s="63"/>
      <c r="G926" s="59"/>
      <c r="H926" s="59"/>
      <c r="I926" s="64"/>
      <c r="J926" s="59"/>
      <c r="K926" s="65"/>
      <c r="L926" s="66"/>
      <c r="M926" s="67"/>
      <c r="N926" s="68"/>
      <c r="O926" s="69"/>
      <c r="P926" s="69"/>
      <c r="Q926" s="69"/>
      <c r="R926" s="69"/>
    </row>
    <row r="927" spans="1:18">
      <c r="A927" s="6"/>
      <c r="B927" s="59"/>
      <c r="C927" s="60"/>
      <c r="D927" s="62"/>
      <c r="E927" s="62"/>
      <c r="F927" s="63"/>
      <c r="G927" s="59"/>
      <c r="H927" s="59"/>
      <c r="I927" s="64"/>
      <c r="J927" s="59"/>
      <c r="K927" s="65"/>
      <c r="L927" s="66"/>
      <c r="M927" s="67"/>
      <c r="N927" s="68"/>
      <c r="O927" s="69"/>
      <c r="P927" s="69"/>
      <c r="Q927" s="69"/>
      <c r="R927" s="69"/>
    </row>
    <row r="928" spans="1:18">
      <c r="A928" s="6"/>
      <c r="B928" s="59"/>
      <c r="C928" s="60"/>
      <c r="D928" s="62"/>
      <c r="E928" s="62"/>
      <c r="F928" s="63"/>
      <c r="G928" s="59"/>
      <c r="H928" s="59"/>
      <c r="I928" s="64"/>
      <c r="J928" s="59"/>
      <c r="K928" s="65"/>
      <c r="L928" s="66"/>
      <c r="M928" s="67"/>
      <c r="N928" s="68"/>
      <c r="O928" s="69"/>
      <c r="P928" s="69"/>
      <c r="Q928" s="69"/>
      <c r="R928" s="69"/>
    </row>
    <row r="929" spans="1:18">
      <c r="A929" s="6"/>
      <c r="B929" s="59"/>
      <c r="C929" s="60"/>
      <c r="D929" s="62"/>
      <c r="E929" s="62"/>
      <c r="F929" s="63"/>
      <c r="G929" s="59"/>
      <c r="H929" s="59"/>
      <c r="I929" s="64"/>
      <c r="J929" s="59"/>
      <c r="K929" s="65"/>
      <c r="L929" s="66"/>
      <c r="M929" s="67"/>
      <c r="N929" s="68"/>
      <c r="O929" s="69"/>
      <c r="P929" s="69"/>
      <c r="Q929" s="69"/>
      <c r="R929" s="69"/>
    </row>
    <row r="930" spans="1:18">
      <c r="A930" s="6"/>
      <c r="B930" s="59"/>
      <c r="C930" s="60"/>
      <c r="D930" s="62"/>
      <c r="E930" s="62"/>
      <c r="F930" s="63"/>
      <c r="G930" s="59"/>
      <c r="H930" s="59"/>
      <c r="I930" s="64"/>
      <c r="J930" s="59"/>
      <c r="K930" s="65"/>
      <c r="L930" s="66"/>
      <c r="M930" s="67"/>
      <c r="N930" s="68"/>
      <c r="O930" s="69"/>
      <c r="P930" s="69"/>
      <c r="Q930" s="69"/>
      <c r="R930" s="69"/>
    </row>
    <row r="931" spans="1:18">
      <c r="A931" s="6"/>
      <c r="B931" s="59"/>
      <c r="C931" s="60"/>
      <c r="D931" s="62"/>
      <c r="E931" s="62"/>
      <c r="F931" s="63"/>
      <c r="G931" s="59"/>
      <c r="H931" s="59"/>
      <c r="I931" s="64"/>
      <c r="J931" s="59"/>
      <c r="K931" s="65"/>
      <c r="L931" s="66"/>
      <c r="M931" s="67"/>
      <c r="N931" s="68"/>
      <c r="O931" s="69"/>
      <c r="P931" s="69"/>
      <c r="Q931" s="69"/>
      <c r="R931" s="69"/>
    </row>
    <row r="932" spans="1:18">
      <c r="A932" s="6"/>
      <c r="B932" s="59"/>
      <c r="C932" s="60"/>
      <c r="D932" s="62"/>
      <c r="E932" s="62"/>
      <c r="F932" s="63"/>
      <c r="G932" s="59"/>
      <c r="H932" s="59"/>
      <c r="I932" s="64"/>
      <c r="J932" s="59"/>
      <c r="K932" s="65"/>
      <c r="L932" s="66"/>
      <c r="M932" s="67"/>
      <c r="N932" s="68"/>
      <c r="O932" s="69"/>
      <c r="P932" s="69"/>
      <c r="Q932" s="69"/>
      <c r="R932" s="69"/>
    </row>
    <row r="933" spans="1:18">
      <c r="A933" s="6"/>
      <c r="B933" s="59"/>
      <c r="C933" s="60"/>
      <c r="D933" s="62"/>
      <c r="E933" s="62"/>
      <c r="F933" s="63"/>
      <c r="G933" s="59"/>
      <c r="H933" s="59"/>
      <c r="I933" s="64"/>
      <c r="J933" s="59"/>
      <c r="K933" s="65"/>
      <c r="L933" s="66"/>
      <c r="M933" s="67"/>
      <c r="N933" s="68"/>
      <c r="O933" s="69"/>
      <c r="P933" s="69"/>
      <c r="Q933" s="69"/>
      <c r="R933" s="69"/>
    </row>
    <row r="934" spans="1:18">
      <c r="A934" s="6"/>
      <c r="B934" s="59"/>
      <c r="C934" s="60"/>
      <c r="D934" s="62"/>
      <c r="E934" s="62"/>
      <c r="F934" s="63"/>
      <c r="G934" s="59"/>
      <c r="H934" s="59"/>
      <c r="I934" s="64"/>
      <c r="J934" s="59"/>
      <c r="K934" s="65"/>
      <c r="L934" s="66"/>
      <c r="M934" s="67"/>
      <c r="N934" s="68"/>
      <c r="O934" s="69"/>
      <c r="P934" s="69"/>
      <c r="Q934" s="69"/>
      <c r="R934" s="69"/>
    </row>
    <row r="935" spans="1:18">
      <c r="A935" s="6"/>
      <c r="B935" s="59"/>
      <c r="C935" s="60"/>
      <c r="D935" s="62"/>
      <c r="E935" s="62"/>
      <c r="F935" s="63"/>
      <c r="G935" s="59"/>
      <c r="H935" s="59"/>
      <c r="I935" s="64"/>
      <c r="J935" s="59"/>
      <c r="K935" s="65"/>
      <c r="L935" s="66"/>
      <c r="M935" s="67"/>
      <c r="N935" s="68"/>
      <c r="O935" s="69"/>
      <c r="P935" s="69"/>
      <c r="Q935" s="69"/>
      <c r="R935" s="69"/>
    </row>
    <row r="936" spans="1:18">
      <c r="A936" s="6"/>
      <c r="B936" s="59"/>
      <c r="C936" s="60"/>
      <c r="D936" s="62"/>
      <c r="E936" s="62"/>
      <c r="F936" s="63"/>
      <c r="G936" s="59"/>
      <c r="H936" s="59"/>
      <c r="I936" s="64"/>
      <c r="J936" s="59"/>
      <c r="K936" s="65"/>
      <c r="L936" s="66"/>
      <c r="M936" s="67"/>
      <c r="N936" s="68"/>
      <c r="O936" s="69"/>
      <c r="P936" s="69"/>
      <c r="Q936" s="69"/>
      <c r="R936" s="69"/>
    </row>
    <row r="937" spans="1:18">
      <c r="A937" s="6"/>
      <c r="B937" s="59"/>
      <c r="C937" s="60"/>
      <c r="D937" s="62"/>
      <c r="E937" s="62"/>
      <c r="F937" s="63"/>
      <c r="G937" s="59"/>
      <c r="H937" s="59"/>
      <c r="I937" s="64"/>
      <c r="J937" s="59"/>
      <c r="K937" s="65"/>
      <c r="L937" s="66"/>
      <c r="M937" s="67"/>
      <c r="N937" s="68"/>
      <c r="O937" s="69"/>
      <c r="P937" s="69"/>
      <c r="Q937" s="69"/>
      <c r="R937" s="69"/>
    </row>
    <row r="938" spans="1:18">
      <c r="A938" s="6"/>
      <c r="B938" s="59"/>
      <c r="C938" s="60"/>
      <c r="D938" s="62"/>
      <c r="E938" s="62"/>
      <c r="F938" s="63"/>
      <c r="G938" s="59"/>
      <c r="H938" s="59"/>
      <c r="I938" s="64"/>
      <c r="J938" s="59"/>
      <c r="K938" s="65"/>
      <c r="L938" s="66"/>
      <c r="M938" s="67"/>
      <c r="N938" s="68"/>
      <c r="O938" s="69"/>
      <c r="P938" s="69"/>
      <c r="Q938" s="69"/>
      <c r="R938" s="69"/>
    </row>
    <row r="939" spans="1:18">
      <c r="A939" s="6"/>
      <c r="B939" s="59"/>
      <c r="C939" s="60"/>
      <c r="D939" s="62"/>
      <c r="E939" s="62"/>
      <c r="F939" s="63"/>
      <c r="G939" s="59"/>
      <c r="H939" s="59"/>
      <c r="I939" s="64"/>
      <c r="J939" s="59"/>
      <c r="K939" s="65"/>
      <c r="L939" s="66"/>
      <c r="M939" s="67"/>
      <c r="N939" s="68"/>
      <c r="O939" s="69"/>
      <c r="P939" s="69"/>
      <c r="Q939" s="69"/>
      <c r="R939" s="69"/>
    </row>
    <row r="940" spans="1:18">
      <c r="A940" s="6"/>
      <c r="B940" s="59"/>
      <c r="C940" s="60"/>
      <c r="D940" s="62"/>
      <c r="E940" s="62"/>
      <c r="F940" s="63"/>
      <c r="G940" s="59"/>
      <c r="H940" s="59"/>
      <c r="I940" s="64"/>
      <c r="J940" s="59"/>
      <c r="K940" s="65"/>
      <c r="L940" s="66"/>
      <c r="M940" s="67"/>
      <c r="N940" s="68"/>
      <c r="O940" s="69"/>
      <c r="P940" s="69"/>
      <c r="Q940" s="69"/>
      <c r="R940" s="69"/>
    </row>
    <row r="941" spans="1:18">
      <c r="A941" s="6"/>
      <c r="B941" s="59"/>
      <c r="C941" s="60"/>
      <c r="D941" s="62"/>
      <c r="E941" s="62"/>
      <c r="F941" s="63"/>
      <c r="G941" s="59"/>
      <c r="H941" s="59"/>
      <c r="I941" s="64"/>
      <c r="J941" s="59"/>
      <c r="K941" s="65"/>
      <c r="L941" s="66"/>
      <c r="M941" s="67"/>
      <c r="N941" s="68"/>
      <c r="O941" s="69"/>
      <c r="P941" s="69"/>
      <c r="Q941" s="69"/>
      <c r="R941" s="69"/>
    </row>
    <row r="942" spans="1:18">
      <c r="A942" s="6"/>
      <c r="B942" s="59"/>
      <c r="C942" s="60"/>
      <c r="D942" s="62"/>
      <c r="E942" s="62"/>
      <c r="F942" s="63"/>
      <c r="G942" s="59"/>
      <c r="H942" s="59"/>
      <c r="I942" s="64"/>
      <c r="J942" s="59"/>
      <c r="K942" s="65"/>
      <c r="L942" s="66"/>
      <c r="M942" s="67"/>
      <c r="N942" s="68"/>
      <c r="O942" s="69"/>
      <c r="P942" s="69"/>
      <c r="Q942" s="69"/>
      <c r="R942" s="69"/>
    </row>
    <row r="943" spans="1:18">
      <c r="A943" s="6"/>
      <c r="B943" s="59"/>
      <c r="C943" s="60"/>
      <c r="D943" s="62"/>
      <c r="E943" s="62"/>
      <c r="F943" s="63"/>
      <c r="G943" s="59"/>
      <c r="H943" s="59"/>
      <c r="I943" s="64"/>
      <c r="J943" s="59"/>
      <c r="K943" s="65"/>
      <c r="L943" s="66"/>
      <c r="M943" s="67"/>
      <c r="N943" s="68"/>
      <c r="O943" s="69"/>
      <c r="P943" s="69"/>
      <c r="Q943" s="69"/>
      <c r="R943" s="69"/>
    </row>
    <row r="944" spans="1:18">
      <c r="A944" s="6"/>
      <c r="B944" s="59"/>
      <c r="C944" s="60"/>
      <c r="D944" s="62"/>
      <c r="E944" s="62"/>
      <c r="F944" s="63"/>
      <c r="G944" s="59"/>
      <c r="H944" s="59"/>
      <c r="I944" s="64"/>
      <c r="J944" s="59"/>
      <c r="K944" s="65"/>
      <c r="L944" s="66"/>
      <c r="M944" s="67"/>
      <c r="N944" s="68"/>
      <c r="O944" s="69"/>
      <c r="P944" s="69"/>
      <c r="Q944" s="69"/>
      <c r="R944" s="69"/>
    </row>
    <row r="945" spans="1:18">
      <c r="A945" s="6"/>
      <c r="B945" s="59"/>
      <c r="C945" s="60"/>
      <c r="D945" s="62"/>
      <c r="E945" s="62"/>
      <c r="F945" s="63"/>
      <c r="G945" s="59"/>
      <c r="H945" s="59"/>
      <c r="I945" s="64"/>
      <c r="J945" s="59"/>
      <c r="K945" s="65"/>
      <c r="L945" s="66"/>
      <c r="M945" s="67"/>
      <c r="N945" s="68"/>
      <c r="O945" s="69"/>
      <c r="P945" s="69"/>
      <c r="Q945" s="69"/>
      <c r="R945" s="69"/>
    </row>
    <row r="946" spans="1:18">
      <c r="A946" s="6"/>
      <c r="B946" s="59"/>
      <c r="C946" s="60"/>
      <c r="D946" s="62"/>
      <c r="E946" s="62"/>
      <c r="F946" s="63"/>
      <c r="G946" s="59"/>
      <c r="H946" s="59"/>
      <c r="I946" s="64"/>
      <c r="J946" s="59"/>
      <c r="K946" s="65"/>
      <c r="L946" s="66"/>
      <c r="M946" s="67"/>
      <c r="N946" s="68"/>
      <c r="O946" s="69"/>
      <c r="P946" s="69"/>
      <c r="Q946" s="69"/>
      <c r="R946" s="69"/>
    </row>
    <row r="947" spans="1:18">
      <c r="A947" s="6"/>
      <c r="B947" s="59"/>
      <c r="C947" s="60"/>
      <c r="D947" s="62"/>
      <c r="E947" s="62"/>
      <c r="F947" s="63"/>
      <c r="G947" s="59"/>
      <c r="H947" s="59"/>
      <c r="I947" s="64"/>
      <c r="J947" s="59"/>
      <c r="K947" s="65"/>
      <c r="L947" s="66"/>
      <c r="M947" s="67"/>
      <c r="N947" s="68"/>
      <c r="O947" s="69"/>
      <c r="P947" s="69"/>
      <c r="Q947" s="69"/>
      <c r="R947" s="69"/>
    </row>
    <row r="948" spans="1:18">
      <c r="A948" s="6"/>
      <c r="B948" s="59"/>
      <c r="C948" s="60"/>
      <c r="D948" s="62"/>
      <c r="E948" s="62"/>
      <c r="F948" s="63"/>
      <c r="G948" s="59"/>
      <c r="H948" s="59"/>
      <c r="I948" s="64"/>
      <c r="J948" s="59"/>
      <c r="K948" s="65"/>
      <c r="L948" s="66"/>
      <c r="M948" s="67"/>
      <c r="N948" s="68"/>
      <c r="O948" s="69"/>
      <c r="P948" s="69"/>
      <c r="Q948" s="69"/>
      <c r="R948" s="69"/>
    </row>
    <row r="949" spans="1:18">
      <c r="A949" s="6"/>
      <c r="B949" s="59"/>
      <c r="C949" s="60"/>
      <c r="D949" s="62"/>
      <c r="E949" s="62"/>
      <c r="F949" s="63"/>
      <c r="G949" s="59"/>
      <c r="H949" s="59"/>
      <c r="I949" s="64"/>
      <c r="J949" s="59"/>
      <c r="K949" s="65"/>
      <c r="L949" s="66"/>
      <c r="M949" s="67"/>
      <c r="N949" s="68"/>
      <c r="O949" s="69"/>
      <c r="P949" s="69"/>
      <c r="Q949" s="69"/>
      <c r="R949" s="69"/>
    </row>
    <row r="950" spans="1:18">
      <c r="A950" s="6"/>
      <c r="B950" s="59"/>
      <c r="C950" s="60"/>
      <c r="D950" s="62"/>
      <c r="E950" s="62"/>
      <c r="F950" s="63"/>
      <c r="G950" s="59"/>
      <c r="H950" s="59"/>
      <c r="I950" s="64"/>
      <c r="J950" s="59"/>
      <c r="K950" s="65"/>
      <c r="L950" s="66"/>
      <c r="M950" s="67"/>
      <c r="N950" s="68"/>
      <c r="O950" s="69"/>
      <c r="P950" s="69"/>
      <c r="Q950" s="69"/>
      <c r="R950" s="69"/>
    </row>
    <row r="951" spans="1:18">
      <c r="A951" s="6"/>
      <c r="B951" s="59"/>
      <c r="C951" s="60"/>
      <c r="D951" s="62"/>
      <c r="E951" s="62"/>
      <c r="F951" s="63"/>
      <c r="G951" s="59"/>
      <c r="H951" s="59"/>
      <c r="I951" s="64"/>
      <c r="J951" s="59"/>
      <c r="K951" s="65"/>
      <c r="L951" s="66"/>
      <c r="M951" s="67"/>
      <c r="N951" s="68"/>
      <c r="O951" s="69"/>
      <c r="P951" s="69"/>
      <c r="Q951" s="69"/>
      <c r="R951" s="69"/>
    </row>
    <row r="952" spans="1:18">
      <c r="A952" s="6"/>
      <c r="B952" s="59"/>
      <c r="C952" s="60"/>
      <c r="D952" s="62"/>
      <c r="E952" s="62"/>
      <c r="F952" s="63"/>
      <c r="G952" s="59"/>
      <c r="H952" s="59"/>
      <c r="I952" s="64"/>
      <c r="J952" s="59"/>
      <c r="K952" s="65"/>
      <c r="L952" s="66"/>
      <c r="M952" s="67"/>
      <c r="N952" s="68"/>
      <c r="O952" s="69"/>
      <c r="P952" s="69"/>
      <c r="Q952" s="69"/>
      <c r="R952" s="69"/>
    </row>
    <row r="953" spans="1:18">
      <c r="A953" s="6"/>
      <c r="B953" s="59"/>
      <c r="C953" s="60"/>
      <c r="D953" s="62"/>
      <c r="E953" s="62"/>
      <c r="F953" s="63"/>
      <c r="G953" s="59"/>
      <c r="H953" s="59"/>
      <c r="I953" s="64"/>
      <c r="J953" s="59"/>
      <c r="K953" s="65"/>
      <c r="L953" s="66"/>
      <c r="M953" s="67"/>
      <c r="N953" s="68"/>
      <c r="O953" s="69"/>
      <c r="P953" s="69"/>
      <c r="Q953" s="69"/>
      <c r="R953" s="69"/>
    </row>
    <row r="954" spans="1:18">
      <c r="A954" s="6"/>
      <c r="B954" s="59"/>
      <c r="C954" s="60"/>
      <c r="D954" s="62"/>
      <c r="E954" s="62"/>
      <c r="F954" s="63"/>
      <c r="G954" s="59"/>
      <c r="H954" s="59"/>
      <c r="I954" s="64"/>
      <c r="J954" s="59"/>
      <c r="K954" s="65"/>
      <c r="L954" s="66"/>
      <c r="M954" s="67"/>
      <c r="N954" s="68"/>
      <c r="O954" s="69"/>
      <c r="P954" s="69"/>
      <c r="Q954" s="69"/>
      <c r="R954" s="69"/>
    </row>
    <row r="955" spans="1:18">
      <c r="A955" s="6"/>
      <c r="B955" s="59"/>
      <c r="C955" s="60"/>
      <c r="D955" s="62"/>
      <c r="E955" s="62"/>
      <c r="F955" s="63"/>
      <c r="G955" s="59"/>
      <c r="H955" s="59"/>
      <c r="I955" s="64"/>
      <c r="J955" s="59"/>
      <c r="K955" s="65"/>
      <c r="L955" s="66"/>
      <c r="M955" s="67"/>
      <c r="N955" s="68"/>
      <c r="O955" s="69"/>
      <c r="P955" s="69"/>
      <c r="Q955" s="69"/>
      <c r="R955" s="69"/>
    </row>
    <row r="956" spans="1:18">
      <c r="A956" s="6"/>
      <c r="B956" s="59"/>
      <c r="C956" s="60"/>
      <c r="D956" s="62"/>
      <c r="E956" s="62"/>
      <c r="F956" s="63"/>
      <c r="G956" s="59"/>
      <c r="H956" s="59"/>
      <c r="I956" s="64"/>
      <c r="J956" s="59"/>
      <c r="K956" s="65"/>
      <c r="L956" s="66"/>
      <c r="M956" s="67"/>
      <c r="N956" s="68"/>
      <c r="O956" s="69"/>
      <c r="P956" s="69"/>
      <c r="Q956" s="69"/>
      <c r="R956" s="69"/>
    </row>
    <row r="957" spans="1:18">
      <c r="A957" s="6"/>
      <c r="B957" s="59"/>
      <c r="C957" s="60"/>
      <c r="D957" s="62"/>
      <c r="E957" s="62"/>
      <c r="F957" s="63"/>
      <c r="G957" s="59"/>
      <c r="H957" s="59"/>
      <c r="I957" s="64"/>
      <c r="J957" s="59"/>
      <c r="K957" s="65"/>
      <c r="L957" s="66"/>
      <c r="M957" s="67"/>
      <c r="N957" s="68"/>
      <c r="O957" s="69"/>
      <c r="P957" s="69"/>
      <c r="Q957" s="69"/>
      <c r="R957" s="69"/>
    </row>
    <row r="958" spans="1:18">
      <c r="A958" s="6"/>
      <c r="B958" s="59"/>
      <c r="C958" s="60"/>
      <c r="D958" s="62"/>
      <c r="E958" s="62"/>
      <c r="F958" s="63"/>
      <c r="G958" s="59"/>
      <c r="H958" s="59"/>
      <c r="I958" s="64"/>
      <c r="J958" s="59"/>
      <c r="K958" s="65"/>
      <c r="L958" s="66"/>
      <c r="M958" s="67"/>
      <c r="N958" s="68"/>
      <c r="O958" s="69"/>
      <c r="P958" s="69"/>
      <c r="Q958" s="69"/>
      <c r="R958" s="69"/>
    </row>
    <row r="959" spans="1:18">
      <c r="A959" s="6"/>
      <c r="B959" s="59"/>
      <c r="C959" s="60"/>
      <c r="D959" s="62"/>
      <c r="E959" s="62"/>
      <c r="F959" s="63"/>
      <c r="G959" s="59"/>
      <c r="H959" s="59"/>
      <c r="I959" s="64"/>
      <c r="J959" s="59"/>
      <c r="K959" s="65"/>
      <c r="L959" s="66"/>
      <c r="M959" s="67"/>
      <c r="N959" s="68"/>
      <c r="O959" s="69"/>
      <c r="P959" s="69"/>
      <c r="Q959" s="69"/>
      <c r="R959" s="69"/>
    </row>
    <row r="960" spans="1:18">
      <c r="A960" s="6"/>
      <c r="B960" s="59"/>
      <c r="C960" s="60"/>
      <c r="D960" s="62"/>
      <c r="E960" s="62"/>
      <c r="F960" s="63"/>
      <c r="G960" s="59"/>
      <c r="H960" s="59"/>
      <c r="I960" s="64"/>
      <c r="J960" s="59"/>
      <c r="K960" s="65"/>
      <c r="L960" s="66"/>
      <c r="M960" s="67"/>
      <c r="N960" s="68"/>
      <c r="O960" s="69"/>
      <c r="P960" s="69"/>
      <c r="Q960" s="69"/>
      <c r="R960" s="69"/>
    </row>
    <row r="961" spans="1:18">
      <c r="A961" s="6"/>
      <c r="B961" s="59"/>
      <c r="C961" s="60"/>
      <c r="D961" s="62"/>
      <c r="E961" s="62"/>
      <c r="F961" s="63"/>
      <c r="G961" s="59"/>
      <c r="H961" s="59"/>
      <c r="I961" s="64"/>
      <c r="J961" s="59"/>
      <c r="K961" s="65"/>
      <c r="L961" s="66"/>
      <c r="M961" s="67"/>
      <c r="N961" s="68"/>
      <c r="O961" s="69"/>
      <c r="P961" s="69"/>
      <c r="Q961" s="69"/>
      <c r="R961" s="69"/>
    </row>
    <row r="962" spans="1:18">
      <c r="A962" s="6"/>
      <c r="B962" s="59"/>
      <c r="C962" s="60"/>
      <c r="D962" s="62"/>
      <c r="E962" s="62"/>
      <c r="F962" s="63"/>
      <c r="G962" s="59"/>
      <c r="H962" s="59"/>
      <c r="I962" s="64"/>
      <c r="J962" s="59"/>
      <c r="K962" s="65"/>
      <c r="L962" s="66"/>
      <c r="M962" s="67"/>
      <c r="N962" s="68"/>
      <c r="O962" s="69"/>
      <c r="P962" s="69"/>
      <c r="Q962" s="69"/>
      <c r="R962" s="69"/>
    </row>
    <row r="963" spans="1:18">
      <c r="A963" s="6"/>
      <c r="B963" s="59"/>
      <c r="C963" s="60"/>
      <c r="D963" s="62"/>
      <c r="E963" s="62"/>
      <c r="F963" s="63"/>
      <c r="G963" s="59"/>
      <c r="H963" s="59"/>
      <c r="I963" s="64"/>
      <c r="J963" s="59"/>
      <c r="K963" s="65"/>
      <c r="L963" s="66"/>
      <c r="M963" s="67"/>
      <c r="N963" s="68"/>
      <c r="O963" s="69"/>
      <c r="P963" s="69"/>
      <c r="Q963" s="69"/>
      <c r="R963" s="69"/>
    </row>
    <row r="964" spans="1:18">
      <c r="A964" s="6"/>
      <c r="B964" s="59"/>
      <c r="C964" s="60"/>
      <c r="D964" s="62"/>
      <c r="E964" s="62"/>
      <c r="F964" s="63"/>
      <c r="G964" s="59"/>
      <c r="H964" s="59"/>
      <c r="I964" s="64"/>
      <c r="J964" s="59"/>
      <c r="K964" s="65"/>
      <c r="L964" s="66"/>
      <c r="M964" s="67"/>
      <c r="N964" s="68"/>
      <c r="O964" s="69"/>
      <c r="P964" s="69"/>
      <c r="Q964" s="69"/>
      <c r="R964" s="69"/>
    </row>
    <row r="965" spans="1:18">
      <c r="A965" s="6"/>
      <c r="B965" s="59"/>
      <c r="C965" s="60"/>
      <c r="D965" s="62"/>
      <c r="E965" s="62"/>
      <c r="F965" s="63"/>
      <c r="G965" s="59"/>
      <c r="H965" s="59"/>
      <c r="I965" s="64"/>
      <c r="J965" s="59"/>
      <c r="K965" s="65"/>
      <c r="L965" s="66"/>
      <c r="M965" s="67"/>
      <c r="N965" s="68"/>
      <c r="O965" s="69"/>
      <c r="P965" s="69"/>
      <c r="Q965" s="69"/>
      <c r="R965" s="69"/>
    </row>
    <row r="966" spans="1:18">
      <c r="A966" s="6"/>
      <c r="B966" s="59"/>
      <c r="C966" s="60"/>
      <c r="D966" s="62"/>
      <c r="E966" s="62"/>
      <c r="F966" s="63"/>
      <c r="G966" s="59"/>
      <c r="H966" s="59"/>
      <c r="I966" s="64"/>
      <c r="J966" s="59"/>
      <c r="K966" s="65"/>
      <c r="L966" s="66"/>
      <c r="M966" s="67"/>
      <c r="N966" s="68"/>
      <c r="O966" s="69"/>
      <c r="P966" s="69"/>
      <c r="Q966" s="69"/>
      <c r="R966" s="69"/>
    </row>
    <row r="967" spans="1:18">
      <c r="A967" s="6"/>
      <c r="B967" s="59"/>
      <c r="C967" s="60"/>
      <c r="D967" s="62"/>
      <c r="E967" s="62"/>
      <c r="F967" s="63"/>
      <c r="G967" s="59"/>
      <c r="H967" s="59"/>
      <c r="I967" s="64"/>
      <c r="J967" s="59"/>
      <c r="K967" s="65"/>
      <c r="L967" s="66"/>
      <c r="M967" s="67"/>
      <c r="N967" s="68"/>
      <c r="O967" s="69"/>
      <c r="P967" s="69"/>
      <c r="Q967" s="69"/>
      <c r="R967" s="69"/>
    </row>
    <row r="968" spans="1:18">
      <c r="A968" s="6"/>
      <c r="B968" s="59"/>
      <c r="C968" s="60"/>
      <c r="D968" s="62"/>
      <c r="E968" s="62"/>
      <c r="F968" s="63"/>
      <c r="G968" s="59"/>
      <c r="H968" s="59"/>
      <c r="I968" s="64"/>
      <c r="J968" s="59"/>
      <c r="K968" s="65"/>
      <c r="L968" s="66"/>
      <c r="M968" s="67"/>
      <c r="N968" s="68"/>
      <c r="O968" s="69"/>
      <c r="P968" s="69"/>
      <c r="Q968" s="69"/>
      <c r="R968" s="69"/>
    </row>
    <row r="969" spans="1:18">
      <c r="A969" s="6"/>
      <c r="B969" s="59"/>
      <c r="C969" s="60"/>
      <c r="D969" s="62"/>
      <c r="E969" s="62"/>
      <c r="F969" s="63"/>
      <c r="G969" s="59"/>
      <c r="H969" s="59"/>
      <c r="I969" s="64"/>
      <c r="J969" s="59"/>
      <c r="K969" s="65"/>
      <c r="L969" s="66"/>
      <c r="M969" s="67"/>
      <c r="N969" s="68"/>
      <c r="O969" s="69"/>
      <c r="P969" s="69"/>
      <c r="Q969" s="69"/>
      <c r="R969" s="69"/>
    </row>
    <row r="970" spans="1:18">
      <c r="A970" s="6"/>
      <c r="B970" s="59"/>
      <c r="C970" s="60"/>
      <c r="D970" s="62"/>
      <c r="E970" s="62"/>
      <c r="F970" s="63"/>
      <c r="G970" s="59"/>
      <c r="H970" s="59"/>
      <c r="I970" s="64"/>
      <c r="J970" s="59"/>
      <c r="K970" s="65"/>
      <c r="L970" s="66"/>
      <c r="M970" s="67"/>
      <c r="N970" s="68"/>
      <c r="O970" s="69"/>
      <c r="P970" s="69"/>
      <c r="Q970" s="69"/>
      <c r="R970" s="69"/>
    </row>
    <row r="971" spans="1:18">
      <c r="A971" s="6"/>
      <c r="B971" s="59"/>
      <c r="C971" s="60"/>
      <c r="D971" s="62"/>
      <c r="E971" s="62"/>
      <c r="F971" s="63"/>
      <c r="G971" s="59"/>
      <c r="H971" s="59"/>
      <c r="I971" s="64"/>
      <c r="J971" s="59"/>
      <c r="K971" s="65"/>
      <c r="L971" s="66"/>
      <c r="M971" s="67"/>
      <c r="N971" s="68"/>
      <c r="O971" s="69"/>
      <c r="P971" s="69"/>
      <c r="Q971" s="69"/>
      <c r="R971" s="69"/>
    </row>
    <row r="972" spans="1:18">
      <c r="A972" s="6"/>
      <c r="B972" s="59"/>
      <c r="C972" s="60"/>
      <c r="D972" s="62"/>
      <c r="E972" s="62"/>
      <c r="F972" s="63"/>
      <c r="G972" s="59"/>
      <c r="H972" s="59"/>
      <c r="I972" s="64"/>
      <c r="J972" s="59"/>
      <c r="K972" s="65"/>
      <c r="L972" s="66"/>
      <c r="M972" s="67"/>
      <c r="N972" s="68"/>
      <c r="O972" s="69"/>
      <c r="P972" s="69"/>
      <c r="Q972" s="69"/>
      <c r="R972" s="69"/>
    </row>
    <row r="973" spans="1:18">
      <c r="A973" s="6"/>
      <c r="B973" s="59"/>
      <c r="C973" s="60"/>
      <c r="D973" s="62"/>
      <c r="E973" s="62"/>
      <c r="F973" s="63"/>
      <c r="G973" s="59"/>
      <c r="H973" s="59"/>
      <c r="I973" s="64"/>
      <c r="J973" s="59"/>
      <c r="K973" s="65"/>
      <c r="L973" s="66"/>
      <c r="M973" s="67"/>
      <c r="N973" s="68"/>
      <c r="O973" s="69"/>
      <c r="P973" s="69"/>
      <c r="Q973" s="69"/>
      <c r="R973" s="69"/>
    </row>
    <row r="974" spans="1:18">
      <c r="A974" s="6"/>
      <c r="B974" s="59"/>
      <c r="C974" s="60"/>
      <c r="D974" s="62"/>
      <c r="E974" s="62"/>
      <c r="F974" s="63"/>
      <c r="G974" s="59"/>
      <c r="H974" s="59"/>
      <c r="I974" s="64"/>
      <c r="J974" s="59"/>
      <c r="K974" s="65"/>
      <c r="L974" s="66"/>
      <c r="M974" s="67"/>
      <c r="N974" s="68"/>
      <c r="O974" s="69"/>
      <c r="P974" s="69"/>
      <c r="Q974" s="69"/>
      <c r="R974" s="69"/>
    </row>
    <row r="975" spans="1:18">
      <c r="A975" s="6"/>
      <c r="B975" s="59"/>
      <c r="C975" s="60"/>
      <c r="D975" s="62"/>
      <c r="E975" s="62"/>
      <c r="F975" s="63"/>
      <c r="G975" s="59"/>
      <c r="H975" s="59"/>
      <c r="I975" s="64"/>
      <c r="J975" s="59"/>
      <c r="K975" s="65"/>
      <c r="L975" s="66"/>
      <c r="M975" s="67"/>
      <c r="N975" s="68"/>
      <c r="O975" s="69"/>
      <c r="P975" s="69"/>
      <c r="Q975" s="69"/>
      <c r="R975" s="69"/>
    </row>
    <row r="976" spans="1:18">
      <c r="A976" s="6"/>
      <c r="B976" s="59"/>
      <c r="C976" s="60"/>
      <c r="D976" s="62"/>
      <c r="E976" s="62"/>
      <c r="F976" s="63"/>
      <c r="G976" s="59"/>
      <c r="H976" s="59"/>
      <c r="I976" s="64"/>
      <c r="J976" s="59"/>
      <c r="K976" s="65"/>
      <c r="L976" s="66"/>
      <c r="M976" s="67"/>
      <c r="N976" s="68"/>
      <c r="O976" s="69"/>
      <c r="P976" s="69"/>
      <c r="Q976" s="69"/>
      <c r="R976" s="69"/>
    </row>
    <row r="977" spans="1:18">
      <c r="A977" s="6"/>
      <c r="B977" s="59"/>
      <c r="C977" s="60"/>
      <c r="D977" s="62"/>
      <c r="E977" s="62"/>
      <c r="F977" s="63"/>
      <c r="G977" s="59"/>
      <c r="H977" s="59"/>
      <c r="I977" s="64"/>
      <c r="J977" s="59"/>
      <c r="K977" s="65"/>
      <c r="L977" s="66"/>
      <c r="M977" s="67"/>
      <c r="N977" s="68"/>
      <c r="O977" s="69"/>
      <c r="P977" s="69"/>
      <c r="Q977" s="69"/>
      <c r="R977" s="69"/>
    </row>
    <row r="978" spans="1:18">
      <c r="A978" s="6"/>
      <c r="B978" s="59"/>
      <c r="C978" s="60"/>
      <c r="D978" s="62"/>
      <c r="E978" s="62"/>
      <c r="F978" s="63"/>
      <c r="G978" s="59"/>
      <c r="H978" s="59"/>
      <c r="I978" s="64"/>
      <c r="J978" s="59"/>
      <c r="K978" s="65"/>
      <c r="L978" s="66"/>
      <c r="M978" s="67"/>
      <c r="N978" s="68"/>
      <c r="O978" s="69"/>
      <c r="P978" s="69"/>
      <c r="Q978" s="69"/>
      <c r="R978" s="69"/>
    </row>
    <row r="979" spans="1:18">
      <c r="A979" s="6"/>
      <c r="B979" s="59"/>
      <c r="C979" s="60"/>
      <c r="D979" s="62"/>
      <c r="E979" s="62"/>
      <c r="F979" s="63"/>
      <c r="G979" s="59"/>
      <c r="H979" s="59"/>
      <c r="I979" s="64"/>
      <c r="J979" s="59"/>
      <c r="K979" s="65"/>
      <c r="L979" s="66"/>
      <c r="M979" s="67"/>
      <c r="N979" s="68"/>
      <c r="O979" s="69"/>
      <c r="P979" s="69"/>
      <c r="Q979" s="69"/>
      <c r="R979" s="69"/>
    </row>
    <row r="980" spans="1:18">
      <c r="A980" s="6"/>
      <c r="B980" s="59"/>
      <c r="C980" s="60"/>
      <c r="D980" s="62"/>
      <c r="E980" s="62"/>
      <c r="F980" s="63"/>
      <c r="G980" s="59"/>
      <c r="H980" s="59"/>
      <c r="I980" s="64"/>
      <c r="J980" s="59"/>
      <c r="K980" s="65"/>
      <c r="L980" s="66"/>
      <c r="M980" s="67"/>
      <c r="N980" s="68"/>
      <c r="O980" s="69"/>
      <c r="P980" s="69"/>
      <c r="Q980" s="69"/>
      <c r="R980" s="69"/>
    </row>
    <row r="981" spans="1:18">
      <c r="A981" s="6"/>
      <c r="B981" s="59"/>
      <c r="C981" s="60"/>
      <c r="D981" s="62"/>
      <c r="E981" s="62"/>
      <c r="F981" s="63"/>
      <c r="G981" s="59"/>
      <c r="H981" s="59"/>
      <c r="I981" s="64"/>
      <c r="J981" s="59"/>
      <c r="K981" s="65"/>
      <c r="L981" s="66"/>
      <c r="M981" s="67"/>
      <c r="N981" s="68"/>
      <c r="O981" s="69"/>
      <c r="P981" s="69"/>
      <c r="Q981" s="69"/>
      <c r="R981" s="69"/>
    </row>
    <row r="982" spans="1:18">
      <c r="A982" s="6"/>
      <c r="B982" s="59"/>
      <c r="C982" s="60"/>
      <c r="D982" s="62"/>
      <c r="E982" s="62"/>
      <c r="F982" s="63"/>
      <c r="G982" s="59"/>
      <c r="H982" s="59"/>
      <c r="I982" s="64"/>
      <c r="J982" s="59"/>
      <c r="K982" s="65"/>
      <c r="L982" s="66"/>
      <c r="M982" s="67"/>
      <c r="N982" s="68"/>
      <c r="O982" s="69"/>
      <c r="P982" s="69"/>
      <c r="Q982" s="69"/>
      <c r="R982" s="69"/>
    </row>
    <row r="983" spans="1:18">
      <c r="A983" s="6"/>
      <c r="B983" s="59"/>
      <c r="C983" s="60"/>
      <c r="D983" s="62"/>
      <c r="E983" s="62"/>
      <c r="F983" s="63"/>
      <c r="G983" s="59"/>
      <c r="H983" s="59"/>
      <c r="I983" s="64"/>
      <c r="J983" s="59"/>
      <c r="K983" s="65"/>
      <c r="L983" s="66"/>
      <c r="M983" s="67"/>
      <c r="N983" s="68"/>
      <c r="O983" s="69"/>
      <c r="P983" s="69"/>
      <c r="Q983" s="69"/>
      <c r="R983" s="69"/>
    </row>
    <row r="984" spans="1:18">
      <c r="A984" s="6"/>
      <c r="B984" s="59"/>
      <c r="C984" s="60"/>
      <c r="D984" s="62"/>
      <c r="E984" s="62"/>
      <c r="F984" s="63"/>
      <c r="G984" s="59"/>
      <c r="H984" s="59"/>
      <c r="I984" s="64"/>
      <c r="J984" s="59"/>
      <c r="K984" s="65"/>
      <c r="L984" s="66"/>
      <c r="M984" s="67"/>
      <c r="N984" s="68"/>
      <c r="O984" s="69"/>
      <c r="P984" s="69"/>
      <c r="Q984" s="69"/>
      <c r="R984" s="69"/>
    </row>
    <row r="985" spans="1:18">
      <c r="A985" s="6"/>
      <c r="B985" s="59"/>
      <c r="C985" s="60"/>
      <c r="D985" s="62"/>
      <c r="E985" s="62"/>
      <c r="F985" s="63"/>
      <c r="G985" s="59"/>
      <c r="H985" s="59"/>
      <c r="I985" s="64"/>
      <c r="J985" s="59"/>
      <c r="K985" s="65"/>
      <c r="L985" s="66"/>
      <c r="M985" s="67"/>
      <c r="N985" s="68"/>
      <c r="O985" s="69"/>
      <c r="P985" s="69"/>
      <c r="Q985" s="69"/>
      <c r="R985" s="69"/>
    </row>
    <row r="986" spans="1:18">
      <c r="A986" s="6"/>
      <c r="B986" s="59"/>
      <c r="C986" s="60"/>
      <c r="D986" s="62"/>
      <c r="E986" s="62"/>
      <c r="F986" s="63"/>
      <c r="G986" s="59"/>
      <c r="H986" s="59"/>
      <c r="I986" s="64"/>
      <c r="J986" s="59"/>
      <c r="K986" s="65"/>
      <c r="L986" s="66"/>
      <c r="M986" s="67"/>
      <c r="N986" s="68"/>
      <c r="O986" s="69"/>
      <c r="P986" s="69"/>
      <c r="Q986" s="69"/>
      <c r="R986" s="69"/>
    </row>
    <row r="987" spans="1:18">
      <c r="A987" s="6"/>
      <c r="B987" s="59"/>
      <c r="C987" s="60"/>
      <c r="D987" s="62"/>
      <c r="E987" s="62"/>
      <c r="F987" s="63"/>
      <c r="G987" s="59"/>
      <c r="H987" s="59"/>
      <c r="I987" s="64"/>
      <c r="J987" s="59"/>
      <c r="K987" s="65"/>
      <c r="L987" s="66"/>
      <c r="M987" s="67"/>
      <c r="N987" s="68"/>
      <c r="O987" s="69"/>
      <c r="P987" s="69"/>
      <c r="Q987" s="69"/>
      <c r="R987" s="69"/>
    </row>
    <row r="988" spans="1:18">
      <c r="A988" s="6"/>
      <c r="B988" s="59"/>
      <c r="C988" s="60"/>
      <c r="D988" s="62"/>
      <c r="E988" s="62"/>
      <c r="F988" s="63"/>
      <c r="G988" s="59"/>
      <c r="H988" s="59"/>
      <c r="I988" s="64"/>
      <c r="J988" s="59"/>
      <c r="K988" s="65"/>
      <c r="L988" s="66"/>
      <c r="M988" s="67"/>
      <c r="N988" s="68"/>
      <c r="O988" s="69"/>
      <c r="P988" s="69"/>
      <c r="Q988" s="69"/>
      <c r="R988" s="69"/>
    </row>
    <row r="989" spans="1:18">
      <c r="A989" s="6"/>
      <c r="B989" s="59"/>
      <c r="C989" s="60"/>
      <c r="D989" s="62"/>
      <c r="E989" s="62"/>
      <c r="F989" s="63"/>
      <c r="G989" s="59"/>
      <c r="H989" s="59"/>
      <c r="I989" s="64"/>
      <c r="J989" s="59"/>
      <c r="K989" s="65"/>
      <c r="L989" s="66"/>
      <c r="M989" s="67"/>
      <c r="N989" s="68"/>
      <c r="O989" s="69"/>
      <c r="P989" s="69"/>
      <c r="Q989" s="69"/>
      <c r="R989" s="69"/>
    </row>
    <row r="990" spans="1:18">
      <c r="A990" s="6"/>
      <c r="B990" s="59"/>
      <c r="C990" s="60"/>
      <c r="D990" s="62"/>
      <c r="E990" s="62"/>
      <c r="F990" s="63"/>
      <c r="G990" s="59"/>
      <c r="H990" s="59"/>
      <c r="I990" s="64"/>
      <c r="J990" s="59"/>
      <c r="K990" s="65"/>
      <c r="L990" s="66"/>
      <c r="M990" s="67"/>
      <c r="N990" s="68"/>
      <c r="O990" s="69"/>
      <c r="P990" s="69"/>
      <c r="Q990" s="69"/>
      <c r="R990" s="69"/>
    </row>
    <row r="991" spans="1:18">
      <c r="A991" s="6"/>
      <c r="B991" s="59"/>
      <c r="C991" s="60"/>
      <c r="D991" s="62"/>
      <c r="E991" s="62"/>
      <c r="F991" s="63"/>
      <c r="G991" s="59"/>
      <c r="H991" s="59"/>
      <c r="I991" s="64"/>
      <c r="J991" s="59"/>
      <c r="K991" s="65"/>
      <c r="L991" s="66"/>
      <c r="M991" s="67"/>
      <c r="N991" s="68"/>
      <c r="O991" s="69"/>
      <c r="P991" s="69"/>
      <c r="Q991" s="69"/>
      <c r="R991" s="69"/>
    </row>
    <row r="992" spans="1:18">
      <c r="A992" s="6"/>
      <c r="B992" s="59"/>
      <c r="C992" s="60"/>
      <c r="D992" s="62"/>
      <c r="E992" s="62"/>
      <c r="F992" s="63"/>
      <c r="G992" s="59"/>
      <c r="H992" s="59"/>
      <c r="I992" s="64"/>
      <c r="J992" s="59"/>
      <c r="K992" s="65"/>
      <c r="L992" s="66"/>
      <c r="M992" s="67"/>
      <c r="N992" s="68"/>
      <c r="O992" s="69"/>
      <c r="P992" s="69"/>
      <c r="Q992" s="69"/>
      <c r="R992" s="69"/>
    </row>
    <row r="993" spans="1:18">
      <c r="A993" s="6"/>
      <c r="B993" s="59"/>
      <c r="C993" s="60"/>
      <c r="D993" s="62"/>
      <c r="E993" s="62"/>
      <c r="F993" s="63"/>
      <c r="G993" s="59"/>
      <c r="H993" s="59"/>
      <c r="I993" s="64"/>
      <c r="J993" s="59"/>
      <c r="K993" s="65"/>
      <c r="L993" s="66"/>
      <c r="M993" s="67"/>
      <c r="N993" s="68"/>
      <c r="O993" s="69"/>
      <c r="P993" s="69"/>
      <c r="Q993" s="69"/>
      <c r="R993" s="69"/>
    </row>
    <row r="994" spans="1:18">
      <c r="A994" s="6"/>
      <c r="B994" s="59"/>
      <c r="C994" s="60"/>
      <c r="D994" s="62"/>
      <c r="E994" s="62"/>
      <c r="F994" s="63"/>
      <c r="G994" s="59"/>
      <c r="H994" s="59"/>
      <c r="I994" s="64"/>
      <c r="J994" s="59"/>
      <c r="K994" s="65"/>
      <c r="L994" s="66"/>
      <c r="M994" s="67"/>
      <c r="N994" s="68"/>
      <c r="O994" s="69"/>
      <c r="P994" s="69"/>
      <c r="Q994" s="69"/>
      <c r="R994" s="69"/>
    </row>
    <row r="995" spans="1:18">
      <c r="A995" s="6"/>
      <c r="B995" s="59"/>
      <c r="C995" s="60"/>
      <c r="D995" s="62"/>
      <c r="E995" s="62"/>
      <c r="F995" s="63"/>
      <c r="G995" s="59"/>
      <c r="H995" s="59"/>
      <c r="I995" s="64"/>
      <c r="J995" s="59"/>
      <c r="K995" s="65"/>
      <c r="L995" s="66"/>
      <c r="M995" s="67"/>
      <c r="N995" s="68"/>
      <c r="O995" s="69"/>
      <c r="P995" s="69"/>
      <c r="Q995" s="69"/>
      <c r="R995" s="69"/>
    </row>
    <row r="996" spans="1:18">
      <c r="A996" s="6"/>
      <c r="B996" s="59"/>
      <c r="C996" s="60"/>
      <c r="D996" s="62"/>
      <c r="E996" s="62"/>
      <c r="F996" s="63"/>
      <c r="G996" s="59"/>
      <c r="H996" s="59"/>
      <c r="I996" s="64"/>
      <c r="J996" s="59"/>
      <c r="K996" s="65"/>
      <c r="L996" s="66"/>
      <c r="M996" s="67"/>
      <c r="N996" s="68"/>
      <c r="O996" s="69"/>
      <c r="P996" s="69"/>
      <c r="Q996" s="69"/>
      <c r="R996" s="69"/>
    </row>
    <row r="997" spans="1:18">
      <c r="A997" s="6"/>
      <c r="B997" s="59"/>
      <c r="C997" s="60"/>
      <c r="D997" s="62"/>
      <c r="E997" s="62"/>
      <c r="F997" s="63"/>
      <c r="G997" s="59"/>
      <c r="H997" s="59"/>
      <c r="I997" s="64"/>
      <c r="J997" s="59"/>
      <c r="K997" s="65"/>
      <c r="L997" s="66"/>
      <c r="M997" s="67"/>
      <c r="N997" s="68"/>
      <c r="O997" s="69"/>
      <c r="P997" s="69"/>
      <c r="Q997" s="69"/>
      <c r="R997" s="69"/>
    </row>
    <row r="998" spans="1:18">
      <c r="A998" s="6"/>
      <c r="B998" s="59"/>
      <c r="C998" s="60"/>
      <c r="D998" s="62"/>
      <c r="E998" s="62"/>
      <c r="F998" s="63"/>
      <c r="G998" s="59"/>
      <c r="H998" s="59"/>
      <c r="I998" s="64"/>
      <c r="J998" s="59"/>
      <c r="K998" s="65"/>
      <c r="L998" s="66"/>
      <c r="M998" s="67"/>
      <c r="N998" s="68"/>
      <c r="O998" s="69"/>
      <c r="P998" s="69"/>
      <c r="Q998" s="69"/>
      <c r="R998" s="69"/>
    </row>
    <row r="999" spans="1:18">
      <c r="A999" s="6"/>
      <c r="B999" s="59"/>
      <c r="C999" s="60"/>
      <c r="D999" s="62"/>
      <c r="E999" s="62"/>
      <c r="F999" s="63"/>
      <c r="G999" s="59"/>
      <c r="H999" s="59"/>
      <c r="I999" s="64"/>
      <c r="J999" s="59"/>
      <c r="K999" s="65"/>
      <c r="L999" s="66"/>
      <c r="M999" s="67"/>
      <c r="N999" s="68"/>
      <c r="O999" s="69"/>
      <c r="P999" s="69"/>
      <c r="Q999" s="69"/>
      <c r="R999" s="69"/>
    </row>
    <row r="1000" spans="1:18">
      <c r="A1000" s="6"/>
      <c r="B1000" s="59"/>
      <c r="C1000" s="60"/>
      <c r="D1000" s="62"/>
      <c r="E1000" s="62"/>
      <c r="F1000" s="63"/>
      <c r="G1000" s="59"/>
      <c r="H1000" s="59"/>
      <c r="I1000" s="64"/>
      <c r="J1000" s="59"/>
      <c r="K1000" s="65"/>
      <c r="L1000" s="66"/>
      <c r="M1000" s="67"/>
      <c r="N1000" s="68"/>
      <c r="O1000" s="69"/>
      <c r="P1000" s="69"/>
      <c r="Q1000" s="69"/>
      <c r="R1000" s="69"/>
    </row>
    <row r="1001" spans="1:18">
      <c r="A1001" s="6"/>
      <c r="B1001" s="59"/>
      <c r="C1001" s="60"/>
      <c r="D1001" s="62"/>
      <c r="E1001" s="62"/>
      <c r="F1001" s="63"/>
      <c r="G1001" s="59"/>
      <c r="H1001" s="59"/>
      <c r="I1001" s="64"/>
      <c r="J1001" s="59"/>
      <c r="K1001" s="65"/>
      <c r="L1001" s="66"/>
      <c r="M1001" s="67"/>
      <c r="N1001" s="68"/>
      <c r="O1001" s="69"/>
      <c r="P1001" s="69"/>
      <c r="Q1001" s="69"/>
      <c r="R1001" s="69"/>
    </row>
    <row r="1002" spans="1:18">
      <c r="A1002" s="6"/>
      <c r="B1002" s="59"/>
      <c r="C1002" s="60"/>
      <c r="D1002" s="62"/>
      <c r="E1002" s="62"/>
      <c r="F1002" s="63"/>
      <c r="G1002" s="59"/>
      <c r="H1002" s="59"/>
      <c r="I1002" s="64"/>
      <c r="J1002" s="59"/>
      <c r="K1002" s="65"/>
      <c r="L1002" s="66"/>
      <c r="M1002" s="67"/>
      <c r="N1002" s="68"/>
      <c r="O1002" s="69"/>
      <c r="P1002" s="69"/>
      <c r="Q1002" s="69"/>
      <c r="R1002" s="69"/>
    </row>
    <row r="1003" spans="1:18">
      <c r="A1003" s="6"/>
      <c r="B1003" s="59"/>
      <c r="C1003" s="60"/>
      <c r="D1003" s="62"/>
      <c r="E1003" s="62"/>
      <c r="F1003" s="63"/>
      <c r="G1003" s="59"/>
      <c r="H1003" s="59"/>
      <c r="I1003" s="64"/>
      <c r="J1003" s="59"/>
      <c r="K1003" s="65"/>
      <c r="L1003" s="66"/>
      <c r="M1003" s="67"/>
      <c r="N1003" s="68"/>
      <c r="O1003" s="69"/>
      <c r="P1003" s="69"/>
      <c r="Q1003" s="69"/>
      <c r="R1003" s="69"/>
    </row>
    <row r="1004" spans="1:18">
      <c r="A1004" s="6"/>
      <c r="B1004" s="59"/>
      <c r="C1004" s="60"/>
      <c r="D1004" s="62"/>
      <c r="E1004" s="62"/>
      <c r="F1004" s="63"/>
      <c r="G1004" s="59"/>
      <c r="H1004" s="59"/>
      <c r="I1004" s="64"/>
      <c r="J1004" s="59"/>
      <c r="K1004" s="65"/>
      <c r="L1004" s="66"/>
      <c r="M1004" s="67"/>
      <c r="N1004" s="68"/>
      <c r="O1004" s="69"/>
      <c r="P1004" s="69"/>
      <c r="Q1004" s="69"/>
      <c r="R1004" s="69"/>
    </row>
    <row r="1005" spans="1:18">
      <c r="A1005" s="6"/>
      <c r="B1005" s="59"/>
      <c r="C1005" s="60"/>
      <c r="D1005" s="62"/>
      <c r="E1005" s="62"/>
      <c r="F1005" s="63"/>
      <c r="G1005" s="59"/>
      <c r="H1005" s="59"/>
      <c r="I1005" s="64"/>
      <c r="J1005" s="59"/>
      <c r="K1005" s="65"/>
      <c r="L1005" s="66"/>
      <c r="M1005" s="67"/>
      <c r="N1005" s="68"/>
      <c r="O1005" s="69"/>
      <c r="P1005" s="69"/>
      <c r="Q1005" s="69"/>
      <c r="R1005" s="69"/>
    </row>
    <row r="1006" spans="1:18">
      <c r="A1006" s="6"/>
      <c r="B1006" s="59"/>
      <c r="C1006" s="60"/>
      <c r="D1006" s="62"/>
      <c r="E1006" s="62"/>
      <c r="F1006" s="63"/>
      <c r="G1006" s="59"/>
      <c r="H1006" s="59"/>
      <c r="I1006" s="64"/>
      <c r="J1006" s="59"/>
      <c r="K1006" s="65"/>
      <c r="L1006" s="66"/>
      <c r="M1006" s="67"/>
      <c r="N1006" s="68"/>
      <c r="O1006" s="69"/>
      <c r="P1006" s="69"/>
      <c r="Q1006" s="69"/>
      <c r="R1006" s="69"/>
    </row>
    <row r="1007" spans="1:18">
      <c r="A1007" s="6"/>
      <c r="B1007" s="59"/>
      <c r="C1007" s="60"/>
      <c r="D1007" s="62"/>
      <c r="E1007" s="62"/>
      <c r="F1007" s="63"/>
      <c r="G1007" s="59"/>
      <c r="H1007" s="59"/>
      <c r="I1007" s="64"/>
      <c r="J1007" s="59"/>
      <c r="K1007" s="65"/>
      <c r="L1007" s="66"/>
      <c r="M1007" s="67"/>
      <c r="N1007" s="68"/>
      <c r="O1007" s="69"/>
      <c r="P1007" s="69"/>
      <c r="Q1007" s="69"/>
      <c r="R1007" s="69"/>
    </row>
    <row r="1008" spans="1:18">
      <c r="A1008" s="6"/>
      <c r="B1008" s="59"/>
      <c r="C1008" s="60"/>
      <c r="D1008" s="62"/>
      <c r="E1008" s="62"/>
      <c r="F1008" s="63"/>
      <c r="G1008" s="59"/>
      <c r="H1008" s="59"/>
      <c r="I1008" s="64"/>
      <c r="J1008" s="59"/>
      <c r="K1008" s="65"/>
      <c r="L1008" s="66"/>
      <c r="M1008" s="67"/>
      <c r="N1008" s="68"/>
      <c r="O1008" s="69"/>
      <c r="P1008" s="69"/>
      <c r="Q1008" s="69"/>
      <c r="R1008" s="69"/>
    </row>
    <row r="1009" spans="1:18">
      <c r="A1009" s="6"/>
      <c r="B1009" s="59"/>
      <c r="C1009" s="60"/>
      <c r="D1009" s="62"/>
      <c r="E1009" s="62"/>
      <c r="F1009" s="63"/>
      <c r="G1009" s="59"/>
      <c r="H1009" s="59"/>
      <c r="I1009" s="64"/>
      <c r="J1009" s="59"/>
      <c r="K1009" s="65"/>
      <c r="L1009" s="66"/>
      <c r="M1009" s="67"/>
      <c r="N1009" s="68"/>
      <c r="O1009" s="69"/>
      <c r="P1009" s="69"/>
      <c r="Q1009" s="69"/>
      <c r="R1009" s="69"/>
    </row>
    <row r="1010" spans="1:18">
      <c r="A1010" s="6"/>
      <c r="B1010" s="59"/>
      <c r="C1010" s="60"/>
      <c r="D1010" s="62"/>
      <c r="E1010" s="62"/>
      <c r="F1010" s="63"/>
      <c r="G1010" s="59"/>
      <c r="H1010" s="59"/>
      <c r="I1010" s="64"/>
      <c r="J1010" s="59"/>
      <c r="K1010" s="65"/>
      <c r="L1010" s="66"/>
      <c r="M1010" s="67"/>
      <c r="N1010" s="68"/>
      <c r="O1010" s="69"/>
      <c r="P1010" s="69"/>
      <c r="Q1010" s="69"/>
      <c r="R1010" s="69"/>
    </row>
    <row r="1011" spans="1:18">
      <c r="A1011" s="6"/>
      <c r="B1011" s="59"/>
      <c r="C1011" s="60"/>
      <c r="D1011" s="62"/>
      <c r="E1011" s="62"/>
      <c r="F1011" s="63"/>
      <c r="G1011" s="59"/>
      <c r="H1011" s="59"/>
      <c r="I1011" s="64"/>
      <c r="J1011" s="59"/>
      <c r="K1011" s="65"/>
      <c r="L1011" s="66"/>
      <c r="M1011" s="67"/>
      <c r="N1011" s="68"/>
      <c r="O1011" s="69"/>
      <c r="P1011" s="69"/>
      <c r="Q1011" s="69"/>
      <c r="R1011" s="69"/>
    </row>
    <row r="1012" spans="1:18">
      <c r="A1012" s="6"/>
      <c r="B1012" s="59"/>
      <c r="C1012" s="60"/>
      <c r="D1012" s="62"/>
      <c r="E1012" s="62"/>
      <c r="F1012" s="63"/>
      <c r="G1012" s="59"/>
      <c r="H1012" s="59"/>
      <c r="I1012" s="64"/>
      <c r="J1012" s="59"/>
      <c r="K1012" s="65"/>
      <c r="L1012" s="66"/>
      <c r="M1012" s="67"/>
      <c r="N1012" s="68"/>
      <c r="O1012" s="69"/>
      <c r="P1012" s="69"/>
      <c r="Q1012" s="69"/>
      <c r="R1012" s="69"/>
    </row>
    <row r="1013" spans="1:18">
      <c r="A1013" s="6"/>
      <c r="B1013" s="59"/>
      <c r="C1013" s="60"/>
      <c r="D1013" s="62"/>
      <c r="E1013" s="62"/>
      <c r="F1013" s="63"/>
      <c r="G1013" s="59"/>
      <c r="H1013" s="59"/>
      <c r="I1013" s="64"/>
      <c r="J1013" s="59"/>
      <c r="K1013" s="65"/>
      <c r="L1013" s="66"/>
      <c r="M1013" s="67"/>
      <c r="N1013" s="68"/>
      <c r="O1013" s="69"/>
      <c r="P1013" s="69"/>
      <c r="Q1013" s="69"/>
      <c r="R1013" s="69"/>
    </row>
    <row r="1014" spans="1:18">
      <c r="A1014" s="6"/>
      <c r="B1014" s="59"/>
      <c r="C1014" s="60"/>
      <c r="D1014" s="62"/>
      <c r="E1014" s="62"/>
      <c r="F1014" s="63"/>
      <c r="G1014" s="59"/>
      <c r="H1014" s="59"/>
      <c r="I1014" s="64"/>
      <c r="J1014" s="59"/>
      <c r="K1014" s="65"/>
      <c r="L1014" s="66"/>
      <c r="M1014" s="67"/>
      <c r="N1014" s="68"/>
      <c r="O1014" s="69"/>
      <c r="P1014" s="69"/>
      <c r="Q1014" s="69"/>
      <c r="R1014" s="69"/>
    </row>
    <row r="1015" spans="1:18">
      <c r="A1015" s="6"/>
      <c r="B1015" s="59"/>
      <c r="C1015" s="60"/>
      <c r="D1015" s="62"/>
      <c r="E1015" s="62"/>
      <c r="F1015" s="63"/>
      <c r="G1015" s="59"/>
      <c r="H1015" s="59"/>
      <c r="I1015" s="64"/>
      <c r="J1015" s="59"/>
      <c r="K1015" s="65"/>
      <c r="L1015" s="66"/>
      <c r="M1015" s="67"/>
      <c r="N1015" s="68"/>
      <c r="O1015" s="69"/>
      <c r="P1015" s="69"/>
      <c r="Q1015" s="69"/>
      <c r="R1015" s="69"/>
    </row>
    <row r="1016" spans="1:18">
      <c r="A1016" s="6"/>
      <c r="B1016" s="59"/>
      <c r="C1016" s="60"/>
      <c r="D1016" s="62"/>
      <c r="E1016" s="62"/>
      <c r="F1016" s="63"/>
      <c r="G1016" s="59"/>
      <c r="H1016" s="59"/>
      <c r="I1016" s="64"/>
      <c r="J1016" s="59"/>
      <c r="K1016" s="65"/>
      <c r="L1016" s="66"/>
      <c r="M1016" s="67"/>
      <c r="N1016" s="68"/>
      <c r="O1016" s="69"/>
      <c r="P1016" s="69"/>
      <c r="Q1016" s="69"/>
      <c r="R1016" s="69"/>
    </row>
    <row r="1017" spans="1:18">
      <c r="A1017" s="6"/>
      <c r="B1017" s="59"/>
      <c r="C1017" s="60"/>
      <c r="D1017" s="62"/>
      <c r="E1017" s="62"/>
      <c r="F1017" s="63"/>
      <c r="G1017" s="59"/>
      <c r="H1017" s="59"/>
      <c r="I1017" s="64"/>
      <c r="J1017" s="59"/>
      <c r="K1017" s="65"/>
      <c r="L1017" s="66"/>
      <c r="M1017" s="67"/>
      <c r="N1017" s="68"/>
      <c r="O1017" s="69"/>
      <c r="P1017" s="69"/>
      <c r="Q1017" s="69"/>
      <c r="R1017" s="69"/>
    </row>
    <row r="1018" spans="1:18">
      <c r="A1018" s="6"/>
      <c r="B1018" s="59"/>
      <c r="C1018" s="60"/>
      <c r="D1018" s="62"/>
      <c r="E1018" s="62"/>
      <c r="F1018" s="63"/>
      <c r="G1018" s="59"/>
      <c r="H1018" s="59"/>
      <c r="I1018" s="64"/>
      <c r="J1018" s="59"/>
      <c r="K1018" s="65"/>
      <c r="L1018" s="66"/>
      <c r="M1018" s="67"/>
      <c r="N1018" s="68"/>
      <c r="O1018" s="69"/>
      <c r="P1018" s="69"/>
      <c r="Q1018" s="69"/>
      <c r="R1018" s="69"/>
    </row>
    <row r="1019" spans="1:18">
      <c r="A1019" s="6"/>
      <c r="B1019" s="59"/>
      <c r="C1019" s="60"/>
      <c r="D1019" s="62"/>
      <c r="E1019" s="62"/>
      <c r="F1019" s="63"/>
      <c r="G1019" s="59"/>
      <c r="H1019" s="59"/>
      <c r="I1019" s="64"/>
      <c r="J1019" s="59"/>
      <c r="K1019" s="65"/>
      <c r="L1019" s="66"/>
      <c r="M1019" s="67"/>
      <c r="N1019" s="68"/>
      <c r="O1019" s="69"/>
      <c r="P1019" s="69"/>
      <c r="Q1019" s="69"/>
      <c r="R1019" s="69"/>
    </row>
    <row r="1020" spans="1:18">
      <c r="A1020" s="6"/>
      <c r="B1020" s="59"/>
      <c r="C1020" s="60"/>
      <c r="D1020" s="62"/>
      <c r="E1020" s="62"/>
      <c r="F1020" s="63"/>
      <c r="G1020" s="59"/>
      <c r="H1020" s="59"/>
      <c r="I1020" s="64"/>
      <c r="J1020" s="59"/>
      <c r="K1020" s="65"/>
      <c r="L1020" s="66"/>
      <c r="M1020" s="67"/>
      <c r="N1020" s="68"/>
      <c r="O1020" s="69"/>
      <c r="P1020" s="69"/>
      <c r="Q1020" s="69"/>
      <c r="R1020" s="69"/>
    </row>
    <row r="1021" spans="1:18">
      <c r="A1021" s="6"/>
      <c r="B1021" s="59"/>
      <c r="C1021" s="60"/>
      <c r="D1021" s="62"/>
      <c r="E1021" s="62"/>
      <c r="F1021" s="63"/>
      <c r="G1021" s="59"/>
      <c r="H1021" s="59"/>
      <c r="I1021" s="64"/>
      <c r="J1021" s="59"/>
      <c r="K1021" s="65"/>
      <c r="L1021" s="66"/>
      <c r="M1021" s="67"/>
      <c r="N1021" s="68"/>
      <c r="O1021" s="69"/>
      <c r="P1021" s="69"/>
      <c r="Q1021" s="69"/>
      <c r="R1021" s="69"/>
    </row>
    <row r="1022" spans="1:18">
      <c r="A1022" s="6"/>
      <c r="B1022" s="59"/>
      <c r="C1022" s="60"/>
      <c r="D1022" s="62"/>
      <c r="E1022" s="62"/>
      <c r="F1022" s="63"/>
      <c r="G1022" s="59"/>
      <c r="H1022" s="59"/>
      <c r="I1022" s="64"/>
      <c r="J1022" s="59"/>
      <c r="K1022" s="65"/>
      <c r="L1022" s="66"/>
      <c r="M1022" s="67"/>
      <c r="N1022" s="68"/>
      <c r="O1022" s="69"/>
      <c r="P1022" s="69"/>
      <c r="Q1022" s="69"/>
      <c r="R1022" s="69"/>
    </row>
    <row r="1023" spans="1:18">
      <c r="A1023" s="6"/>
      <c r="B1023" s="59"/>
      <c r="C1023" s="60"/>
      <c r="D1023" s="62"/>
      <c r="E1023" s="62"/>
      <c r="F1023" s="63"/>
      <c r="G1023" s="59"/>
      <c r="H1023" s="59"/>
      <c r="I1023" s="64"/>
      <c r="J1023" s="59"/>
      <c r="K1023" s="65"/>
      <c r="L1023" s="66"/>
      <c r="M1023" s="67"/>
      <c r="N1023" s="68"/>
      <c r="O1023" s="69"/>
      <c r="P1023" s="69"/>
      <c r="Q1023" s="69"/>
      <c r="R1023" s="69"/>
    </row>
    <row r="1024" spans="1:18">
      <c r="A1024" s="6"/>
      <c r="B1024" s="59"/>
      <c r="C1024" s="60"/>
      <c r="D1024" s="62"/>
      <c r="E1024" s="62"/>
      <c r="F1024" s="63"/>
      <c r="G1024" s="59"/>
      <c r="H1024" s="59"/>
      <c r="I1024" s="64"/>
      <c r="J1024" s="59"/>
      <c r="K1024" s="65"/>
      <c r="L1024" s="66"/>
      <c r="M1024" s="67"/>
      <c r="N1024" s="68"/>
      <c r="O1024" s="69"/>
      <c r="P1024" s="69"/>
      <c r="Q1024" s="69"/>
      <c r="R1024" s="69"/>
    </row>
    <row r="1025" spans="1:18">
      <c r="A1025" s="6"/>
      <c r="B1025" s="59"/>
      <c r="C1025" s="60"/>
      <c r="D1025" s="62"/>
      <c r="E1025" s="62"/>
      <c r="F1025" s="63"/>
      <c r="G1025" s="59"/>
      <c r="H1025" s="59"/>
      <c r="I1025" s="64"/>
      <c r="J1025" s="59"/>
      <c r="K1025" s="65"/>
      <c r="L1025" s="66"/>
      <c r="M1025" s="67"/>
      <c r="N1025" s="68"/>
      <c r="O1025" s="69"/>
      <c r="P1025" s="69"/>
      <c r="Q1025" s="69"/>
      <c r="R1025" s="69"/>
    </row>
    <row r="1026" spans="1:18">
      <c r="A1026" s="6"/>
      <c r="B1026" s="59"/>
      <c r="C1026" s="60"/>
      <c r="D1026" s="62"/>
      <c r="E1026" s="62"/>
      <c r="F1026" s="63"/>
      <c r="G1026" s="59"/>
      <c r="H1026" s="59"/>
      <c r="I1026" s="64"/>
      <c r="J1026" s="59"/>
      <c r="K1026" s="65"/>
      <c r="L1026" s="66"/>
      <c r="M1026" s="67"/>
      <c r="N1026" s="68"/>
      <c r="O1026" s="69"/>
      <c r="P1026" s="69"/>
      <c r="Q1026" s="69"/>
      <c r="R1026" s="69"/>
    </row>
    <row r="1027" spans="1:18">
      <c r="A1027" s="6"/>
      <c r="B1027" s="59"/>
      <c r="C1027" s="60"/>
      <c r="D1027" s="62"/>
      <c r="E1027" s="62"/>
      <c r="F1027" s="63"/>
      <c r="G1027" s="59"/>
      <c r="H1027" s="59"/>
      <c r="I1027" s="64"/>
      <c r="J1027" s="59"/>
      <c r="K1027" s="65"/>
      <c r="L1027" s="66"/>
      <c r="M1027" s="67"/>
      <c r="N1027" s="68"/>
      <c r="O1027" s="69"/>
      <c r="P1027" s="69"/>
      <c r="Q1027" s="69"/>
      <c r="R1027" s="69"/>
    </row>
    <row r="1028" spans="1:18">
      <c r="A1028" s="6"/>
      <c r="B1028" s="59"/>
      <c r="C1028" s="60"/>
      <c r="D1028" s="62"/>
      <c r="E1028" s="62"/>
      <c r="F1028" s="63"/>
      <c r="G1028" s="59"/>
      <c r="H1028" s="59"/>
      <c r="I1028" s="64"/>
      <c r="J1028" s="59"/>
      <c r="K1028" s="65"/>
      <c r="L1028" s="66"/>
      <c r="M1028" s="67"/>
      <c r="N1028" s="68"/>
      <c r="O1028" s="69"/>
      <c r="P1028" s="69"/>
      <c r="Q1028" s="69"/>
      <c r="R1028" s="69"/>
    </row>
    <row r="1029" spans="1:18">
      <c r="A1029" s="6"/>
      <c r="B1029" s="59"/>
      <c r="C1029" s="60"/>
      <c r="D1029" s="62"/>
      <c r="E1029" s="62"/>
      <c r="F1029" s="63"/>
      <c r="G1029" s="59"/>
      <c r="H1029" s="59"/>
      <c r="I1029" s="64"/>
      <c r="J1029" s="59"/>
      <c r="K1029" s="65"/>
      <c r="L1029" s="66"/>
      <c r="M1029" s="67"/>
      <c r="N1029" s="68"/>
      <c r="O1029" s="69"/>
      <c r="P1029" s="69"/>
      <c r="Q1029" s="69"/>
      <c r="R1029" s="69"/>
    </row>
    <row r="1030" spans="1:18">
      <c r="A1030" s="6"/>
      <c r="B1030" s="59"/>
      <c r="C1030" s="60"/>
      <c r="D1030" s="62"/>
      <c r="E1030" s="62"/>
      <c r="F1030" s="63"/>
      <c r="G1030" s="59"/>
      <c r="H1030" s="59"/>
      <c r="I1030" s="64"/>
      <c r="J1030" s="59"/>
      <c r="K1030" s="65"/>
      <c r="L1030" s="66"/>
      <c r="M1030" s="67"/>
      <c r="N1030" s="68"/>
      <c r="O1030" s="69"/>
      <c r="P1030" s="69"/>
      <c r="Q1030" s="69"/>
      <c r="R1030" s="69"/>
    </row>
    <row r="1031" spans="1:18">
      <c r="A1031" s="6"/>
      <c r="B1031" s="59"/>
      <c r="C1031" s="60"/>
      <c r="D1031" s="62"/>
      <c r="E1031" s="62"/>
      <c r="F1031" s="63"/>
      <c r="G1031" s="59"/>
      <c r="H1031" s="59"/>
      <c r="I1031" s="64"/>
      <c r="J1031" s="59"/>
      <c r="K1031" s="65"/>
      <c r="L1031" s="66"/>
      <c r="M1031" s="67"/>
      <c r="N1031" s="68"/>
      <c r="O1031" s="69"/>
      <c r="P1031" s="69"/>
      <c r="Q1031" s="69"/>
      <c r="R1031" s="69"/>
    </row>
    <row r="1032" spans="1:18">
      <c r="A1032" s="6"/>
      <c r="B1032" s="59"/>
      <c r="C1032" s="60"/>
      <c r="D1032" s="62"/>
      <c r="E1032" s="62"/>
      <c r="F1032" s="63"/>
      <c r="G1032" s="59"/>
      <c r="H1032" s="59"/>
      <c r="I1032" s="64"/>
      <c r="J1032" s="59"/>
      <c r="K1032" s="65"/>
      <c r="L1032" s="66"/>
      <c r="M1032" s="67"/>
      <c r="N1032" s="68"/>
      <c r="O1032" s="69"/>
      <c r="P1032" s="69"/>
      <c r="Q1032" s="69"/>
      <c r="R1032" s="69"/>
    </row>
    <row r="1033" spans="1:18">
      <c r="A1033" s="6"/>
      <c r="B1033" s="59"/>
      <c r="C1033" s="60"/>
      <c r="D1033" s="62"/>
      <c r="E1033" s="62"/>
      <c r="F1033" s="63"/>
      <c r="G1033" s="59"/>
      <c r="H1033" s="59"/>
      <c r="I1033" s="64"/>
      <c r="J1033" s="59"/>
      <c r="K1033" s="65"/>
      <c r="L1033" s="66"/>
      <c r="M1033" s="67"/>
      <c r="N1033" s="68"/>
      <c r="O1033" s="69"/>
      <c r="P1033" s="69"/>
      <c r="Q1033" s="69"/>
      <c r="R1033" s="69"/>
    </row>
    <row r="1034" spans="1:18">
      <c r="A1034" s="6"/>
      <c r="B1034" s="59"/>
      <c r="C1034" s="60"/>
      <c r="D1034" s="62"/>
      <c r="E1034" s="62"/>
      <c r="F1034" s="63"/>
      <c r="G1034" s="59"/>
      <c r="H1034" s="59"/>
      <c r="I1034" s="64"/>
      <c r="J1034" s="59"/>
      <c r="K1034" s="65"/>
      <c r="L1034" s="66"/>
      <c r="M1034" s="67"/>
      <c r="N1034" s="68"/>
      <c r="O1034" s="69"/>
      <c r="P1034" s="69"/>
      <c r="Q1034" s="69"/>
      <c r="R1034" s="69"/>
    </row>
    <row r="1035" spans="1:18">
      <c r="A1035" s="6"/>
      <c r="B1035" s="59"/>
      <c r="C1035" s="60"/>
      <c r="D1035" s="62"/>
      <c r="E1035" s="62"/>
      <c r="F1035" s="63"/>
      <c r="G1035" s="59"/>
      <c r="H1035" s="59"/>
      <c r="I1035" s="64"/>
      <c r="J1035" s="59"/>
      <c r="K1035" s="65"/>
      <c r="L1035" s="66"/>
      <c r="M1035" s="67"/>
      <c r="N1035" s="68"/>
      <c r="O1035" s="69"/>
      <c r="P1035" s="69"/>
      <c r="Q1035" s="69"/>
      <c r="R1035" s="69"/>
    </row>
    <row r="1036" spans="1:18">
      <c r="A1036" s="6"/>
      <c r="B1036" s="59"/>
      <c r="C1036" s="60"/>
      <c r="D1036" s="62"/>
      <c r="E1036" s="62"/>
      <c r="F1036" s="63"/>
      <c r="G1036" s="59"/>
      <c r="H1036" s="59"/>
      <c r="I1036" s="64"/>
      <c r="J1036" s="59"/>
      <c r="K1036" s="65"/>
      <c r="L1036" s="66"/>
      <c r="M1036" s="67"/>
      <c r="N1036" s="68"/>
      <c r="O1036" s="69"/>
      <c r="P1036" s="69"/>
      <c r="Q1036" s="69"/>
      <c r="R1036" s="69"/>
    </row>
    <row r="1037" spans="1:18">
      <c r="A1037" s="6"/>
      <c r="B1037" s="59"/>
      <c r="C1037" s="60"/>
      <c r="D1037" s="62"/>
      <c r="E1037" s="62"/>
      <c r="F1037" s="63"/>
      <c r="G1037" s="59"/>
      <c r="H1037" s="59"/>
      <c r="I1037" s="64"/>
      <c r="J1037" s="59"/>
      <c r="K1037" s="65"/>
      <c r="L1037" s="66"/>
      <c r="M1037" s="67"/>
      <c r="N1037" s="68"/>
      <c r="O1037" s="69"/>
      <c r="P1037" s="69"/>
      <c r="Q1037" s="69"/>
      <c r="R1037" s="69"/>
    </row>
    <row r="1038" spans="1:18">
      <c r="A1038" s="6"/>
      <c r="B1038" s="59"/>
      <c r="C1038" s="60"/>
      <c r="D1038" s="62"/>
      <c r="E1038" s="62"/>
      <c r="F1038" s="63"/>
      <c r="G1038" s="59"/>
      <c r="H1038" s="59"/>
      <c r="I1038" s="64"/>
      <c r="J1038" s="59"/>
      <c r="K1038" s="65"/>
      <c r="L1038" s="66"/>
      <c r="M1038" s="67"/>
      <c r="N1038" s="68"/>
      <c r="O1038" s="69"/>
      <c r="P1038" s="69"/>
      <c r="Q1038" s="69"/>
      <c r="R1038" s="69"/>
    </row>
    <row r="1039" spans="1:18">
      <c r="A1039" s="6"/>
      <c r="B1039" s="59"/>
      <c r="C1039" s="60"/>
      <c r="D1039" s="62"/>
      <c r="E1039" s="62"/>
      <c r="F1039" s="63"/>
      <c r="G1039" s="59"/>
      <c r="H1039" s="59"/>
      <c r="I1039" s="64"/>
      <c r="J1039" s="59"/>
      <c r="K1039" s="65"/>
      <c r="L1039" s="66"/>
      <c r="M1039" s="67"/>
      <c r="N1039" s="68"/>
      <c r="O1039" s="69"/>
      <c r="P1039" s="69"/>
      <c r="Q1039" s="69"/>
      <c r="R1039" s="69"/>
    </row>
    <row r="1040" spans="1:18">
      <c r="A1040" s="6"/>
      <c r="B1040" s="59"/>
      <c r="C1040" s="60"/>
      <c r="D1040" s="62"/>
      <c r="E1040" s="62"/>
      <c r="F1040" s="63"/>
      <c r="G1040" s="59"/>
      <c r="H1040" s="59"/>
      <c r="I1040" s="64"/>
      <c r="J1040" s="59"/>
      <c r="K1040" s="65"/>
      <c r="L1040" s="66"/>
      <c r="M1040" s="67"/>
      <c r="N1040" s="68"/>
      <c r="O1040" s="69"/>
      <c r="P1040" s="69"/>
      <c r="Q1040" s="69"/>
      <c r="R1040" s="69"/>
    </row>
    <row r="1041" spans="1:18">
      <c r="A1041" s="6"/>
      <c r="B1041" s="59"/>
      <c r="C1041" s="60"/>
      <c r="D1041" s="62"/>
      <c r="E1041" s="62"/>
      <c r="F1041" s="63"/>
      <c r="G1041" s="59"/>
      <c r="H1041" s="59"/>
      <c r="I1041" s="64"/>
      <c r="J1041" s="59"/>
      <c r="K1041" s="65"/>
      <c r="L1041" s="66"/>
      <c r="M1041" s="67"/>
      <c r="N1041" s="68"/>
      <c r="O1041" s="69"/>
      <c r="P1041" s="69"/>
      <c r="Q1041" s="69"/>
      <c r="R1041" s="69"/>
    </row>
    <row r="1042" spans="1:18">
      <c r="A1042" s="6"/>
      <c r="B1042" s="59"/>
      <c r="C1042" s="60"/>
      <c r="D1042" s="62"/>
      <c r="E1042" s="62"/>
      <c r="F1042" s="63"/>
      <c r="G1042" s="59"/>
      <c r="H1042" s="59"/>
      <c r="I1042" s="64"/>
      <c r="J1042" s="59"/>
      <c r="K1042" s="65"/>
      <c r="L1042" s="66"/>
      <c r="M1042" s="67"/>
      <c r="N1042" s="68"/>
      <c r="O1042" s="69"/>
      <c r="P1042" s="69"/>
      <c r="Q1042" s="69"/>
      <c r="R1042" s="69"/>
    </row>
    <row r="1043" spans="1:18">
      <c r="A1043" s="6"/>
      <c r="B1043" s="59"/>
      <c r="C1043" s="60"/>
      <c r="D1043" s="62"/>
      <c r="E1043" s="62"/>
      <c r="F1043" s="63"/>
      <c r="G1043" s="59"/>
      <c r="H1043" s="59"/>
      <c r="I1043" s="64"/>
      <c r="J1043" s="59"/>
      <c r="K1043" s="65"/>
      <c r="L1043" s="66"/>
      <c r="M1043" s="67"/>
      <c r="N1043" s="68"/>
      <c r="O1043" s="69"/>
      <c r="P1043" s="69"/>
      <c r="Q1043" s="69"/>
      <c r="R1043" s="69"/>
    </row>
    <row r="1044" spans="1:18">
      <c r="A1044" s="6"/>
      <c r="B1044" s="59"/>
      <c r="C1044" s="60"/>
      <c r="D1044" s="62"/>
      <c r="E1044" s="62"/>
      <c r="F1044" s="63"/>
      <c r="G1044" s="59"/>
      <c r="H1044" s="59"/>
      <c r="I1044" s="64"/>
      <c r="J1044" s="59"/>
      <c r="K1044" s="65"/>
      <c r="L1044" s="66"/>
      <c r="M1044" s="67"/>
      <c r="N1044" s="68"/>
      <c r="O1044" s="69"/>
      <c r="P1044" s="69"/>
      <c r="Q1044" s="69"/>
      <c r="R1044" s="69"/>
    </row>
    <row r="1045" spans="1:18">
      <c r="A1045" s="6"/>
      <c r="B1045" s="59"/>
      <c r="C1045" s="60"/>
      <c r="D1045" s="62"/>
      <c r="E1045" s="62"/>
      <c r="F1045" s="63"/>
      <c r="G1045" s="59"/>
      <c r="H1045" s="59"/>
      <c r="I1045" s="64"/>
      <c r="J1045" s="59"/>
      <c r="K1045" s="65"/>
      <c r="L1045" s="66"/>
      <c r="M1045" s="67"/>
      <c r="N1045" s="68"/>
      <c r="O1045" s="69"/>
      <c r="P1045" s="69"/>
      <c r="Q1045" s="69"/>
      <c r="R1045" s="69"/>
    </row>
    <row r="1046" spans="1:18">
      <c r="A1046" s="6"/>
      <c r="B1046" s="59"/>
      <c r="C1046" s="60"/>
      <c r="D1046" s="62"/>
      <c r="E1046" s="62"/>
      <c r="F1046" s="63"/>
      <c r="G1046" s="59"/>
      <c r="H1046" s="59"/>
      <c r="I1046" s="64"/>
      <c r="J1046" s="59"/>
      <c r="K1046" s="65"/>
      <c r="L1046" s="66"/>
      <c r="M1046" s="67"/>
      <c r="N1046" s="68"/>
      <c r="O1046" s="69"/>
      <c r="P1046" s="69"/>
      <c r="Q1046" s="69"/>
      <c r="R1046" s="69"/>
    </row>
    <row r="1047" spans="1:18">
      <c r="A1047" s="6"/>
      <c r="B1047" s="59"/>
      <c r="C1047" s="60"/>
      <c r="D1047" s="62"/>
      <c r="E1047" s="62"/>
      <c r="F1047" s="63"/>
      <c r="G1047" s="59"/>
      <c r="H1047" s="59"/>
      <c r="I1047" s="64"/>
      <c r="J1047" s="59"/>
      <c r="K1047" s="65"/>
      <c r="L1047" s="66"/>
      <c r="M1047" s="67"/>
      <c r="N1047" s="68"/>
      <c r="O1047" s="69"/>
      <c r="P1047" s="69"/>
      <c r="Q1047" s="69"/>
      <c r="R1047" s="69"/>
    </row>
    <row r="1048" spans="1:18">
      <c r="A1048" s="6"/>
      <c r="B1048" s="59"/>
      <c r="C1048" s="60"/>
      <c r="D1048" s="62"/>
      <c r="E1048" s="62"/>
      <c r="F1048" s="63"/>
      <c r="G1048" s="59"/>
      <c r="H1048" s="59"/>
      <c r="I1048" s="64"/>
      <c r="J1048" s="59"/>
      <c r="K1048" s="65"/>
      <c r="L1048" s="66"/>
      <c r="M1048" s="67"/>
      <c r="N1048" s="68"/>
      <c r="O1048" s="69"/>
      <c r="P1048" s="69"/>
      <c r="Q1048" s="69"/>
      <c r="R1048" s="69"/>
    </row>
    <row r="1049" spans="1:18">
      <c r="A1049" s="6"/>
      <c r="B1049" s="59"/>
      <c r="C1049" s="60"/>
      <c r="D1049" s="62"/>
      <c r="E1049" s="62"/>
      <c r="F1049" s="63"/>
      <c r="G1049" s="59"/>
      <c r="H1049" s="59"/>
      <c r="I1049" s="64"/>
      <c r="J1049" s="59"/>
      <c r="K1049" s="65"/>
      <c r="L1049" s="66"/>
      <c r="M1049" s="67"/>
      <c r="N1049" s="68"/>
      <c r="O1049" s="69"/>
      <c r="P1049" s="69"/>
      <c r="Q1049" s="69"/>
      <c r="R1049" s="69"/>
    </row>
    <row r="1050" spans="1:18">
      <c r="A1050" s="6"/>
      <c r="B1050" s="59"/>
      <c r="C1050" s="60"/>
      <c r="D1050" s="62"/>
      <c r="E1050" s="62"/>
      <c r="F1050" s="63"/>
      <c r="G1050" s="59"/>
      <c r="H1050" s="59"/>
      <c r="I1050" s="64"/>
      <c r="J1050" s="59"/>
      <c r="K1050" s="65"/>
      <c r="L1050" s="66"/>
      <c r="M1050" s="67"/>
      <c r="N1050" s="68"/>
      <c r="O1050" s="69"/>
      <c r="P1050" s="69"/>
      <c r="Q1050" s="69"/>
      <c r="R1050" s="69"/>
    </row>
    <row r="1051" spans="1:18">
      <c r="A1051" s="6"/>
      <c r="B1051" s="59"/>
      <c r="C1051" s="60"/>
      <c r="D1051" s="62"/>
      <c r="E1051" s="62"/>
      <c r="F1051" s="63"/>
      <c r="G1051" s="59"/>
      <c r="H1051" s="59"/>
      <c r="I1051" s="64"/>
      <c r="J1051" s="59"/>
      <c r="K1051" s="65"/>
      <c r="L1051" s="66"/>
      <c r="M1051" s="67"/>
      <c r="N1051" s="68"/>
      <c r="O1051" s="69"/>
      <c r="P1051" s="69"/>
      <c r="Q1051" s="69"/>
      <c r="R1051" s="69"/>
    </row>
    <row r="1052" spans="1:18">
      <c r="A1052" s="6"/>
      <c r="B1052" s="59"/>
      <c r="C1052" s="60"/>
      <c r="D1052" s="62"/>
      <c r="E1052" s="62"/>
      <c r="F1052" s="63"/>
      <c r="G1052" s="59"/>
      <c r="H1052" s="59"/>
      <c r="I1052" s="64"/>
      <c r="J1052" s="59"/>
      <c r="K1052" s="65"/>
      <c r="L1052" s="66"/>
      <c r="M1052" s="67"/>
      <c r="N1052" s="68"/>
      <c r="O1052" s="69"/>
      <c r="P1052" s="69"/>
      <c r="Q1052" s="69"/>
      <c r="R1052" s="69"/>
    </row>
    <row r="1053" spans="1:18">
      <c r="A1053" s="6"/>
      <c r="B1053" s="59"/>
      <c r="C1053" s="60"/>
      <c r="D1053" s="62"/>
      <c r="E1053" s="62"/>
      <c r="F1053" s="63"/>
      <c r="G1053" s="59"/>
      <c r="H1053" s="59"/>
      <c r="I1053" s="64"/>
      <c r="J1053" s="59"/>
      <c r="K1053" s="65"/>
      <c r="L1053" s="66"/>
      <c r="M1053" s="67"/>
      <c r="N1053" s="68"/>
      <c r="O1053" s="69"/>
      <c r="P1053" s="69"/>
      <c r="Q1053" s="69"/>
      <c r="R1053" s="69"/>
    </row>
    <row r="1054" spans="1:18">
      <c r="A1054" s="6"/>
      <c r="B1054" s="59"/>
      <c r="C1054" s="60"/>
      <c r="D1054" s="62"/>
      <c r="E1054" s="62"/>
      <c r="F1054" s="63"/>
      <c r="G1054" s="59"/>
      <c r="H1054" s="59"/>
      <c r="I1054" s="64"/>
      <c r="J1054" s="59"/>
      <c r="K1054" s="65"/>
      <c r="L1054" s="66"/>
      <c r="M1054" s="67"/>
      <c r="N1054" s="68"/>
      <c r="O1054" s="69"/>
      <c r="P1054" s="69"/>
      <c r="Q1054" s="69"/>
      <c r="R1054" s="69"/>
    </row>
    <row r="1055" spans="1:18">
      <c r="A1055" s="6"/>
      <c r="B1055" s="59"/>
      <c r="C1055" s="60"/>
      <c r="D1055" s="62"/>
      <c r="E1055" s="62"/>
      <c r="F1055" s="63"/>
      <c r="G1055" s="59"/>
      <c r="H1055" s="59"/>
      <c r="I1055" s="64"/>
      <c r="J1055" s="59"/>
      <c r="K1055" s="65"/>
      <c r="L1055" s="66"/>
      <c r="M1055" s="67"/>
      <c r="N1055" s="68"/>
      <c r="O1055" s="69"/>
      <c r="P1055" s="69"/>
      <c r="Q1055" s="69"/>
      <c r="R1055" s="69"/>
    </row>
    <row r="1056" spans="1:18">
      <c r="A1056" s="6"/>
      <c r="B1056" s="59"/>
      <c r="C1056" s="60"/>
      <c r="D1056" s="62"/>
      <c r="E1056" s="62"/>
      <c r="F1056" s="63"/>
      <c r="G1056" s="59"/>
      <c r="H1056" s="59"/>
      <c r="I1056" s="64"/>
      <c r="J1056" s="59"/>
      <c r="K1056" s="65"/>
      <c r="L1056" s="66"/>
      <c r="M1056" s="67"/>
      <c r="N1056" s="68"/>
      <c r="O1056" s="69"/>
      <c r="P1056" s="69"/>
      <c r="Q1056" s="69"/>
      <c r="R1056" s="69"/>
    </row>
    <row r="1057" spans="1:18">
      <c r="A1057" s="6"/>
      <c r="B1057" s="59"/>
      <c r="C1057" s="60"/>
      <c r="D1057" s="62"/>
      <c r="E1057" s="62"/>
      <c r="F1057" s="63"/>
      <c r="G1057" s="59"/>
      <c r="H1057" s="59"/>
      <c r="I1057" s="64"/>
      <c r="J1057" s="59"/>
      <c r="K1057" s="65"/>
      <c r="L1057" s="66"/>
      <c r="M1057" s="67"/>
      <c r="N1057" s="68"/>
      <c r="O1057" s="69"/>
      <c r="P1057" s="69"/>
      <c r="Q1057" s="69"/>
      <c r="R1057" s="69"/>
    </row>
    <row r="1058" spans="1:18">
      <c r="A1058" s="6"/>
      <c r="B1058" s="59"/>
      <c r="C1058" s="60"/>
      <c r="D1058" s="62"/>
      <c r="E1058" s="62"/>
      <c r="F1058" s="63"/>
      <c r="G1058" s="59"/>
      <c r="H1058" s="59"/>
      <c r="I1058" s="64"/>
      <c r="J1058" s="59"/>
      <c r="K1058" s="65"/>
      <c r="L1058" s="66"/>
      <c r="M1058" s="67"/>
      <c r="N1058" s="68"/>
      <c r="O1058" s="69"/>
      <c r="P1058" s="69"/>
      <c r="Q1058" s="69"/>
      <c r="R1058" s="69"/>
    </row>
    <row r="1059" spans="1:18">
      <c r="A1059" s="6"/>
      <c r="B1059" s="59"/>
      <c r="C1059" s="60"/>
      <c r="D1059" s="62"/>
      <c r="E1059" s="62"/>
      <c r="F1059" s="63"/>
      <c r="G1059" s="59"/>
      <c r="H1059" s="59"/>
      <c r="I1059" s="64"/>
      <c r="J1059" s="59"/>
      <c r="K1059" s="65"/>
      <c r="L1059" s="66"/>
      <c r="M1059" s="67"/>
      <c r="N1059" s="68"/>
      <c r="O1059" s="69"/>
      <c r="P1059" s="69"/>
      <c r="Q1059" s="69"/>
      <c r="R1059" s="69"/>
    </row>
    <row r="1060" spans="1:18">
      <c r="A1060" s="6"/>
      <c r="B1060" s="59"/>
      <c r="C1060" s="60"/>
      <c r="D1060" s="62"/>
      <c r="E1060" s="62"/>
      <c r="F1060" s="63"/>
      <c r="G1060" s="59"/>
      <c r="H1060" s="59"/>
      <c r="I1060" s="64"/>
      <c r="J1060" s="59"/>
      <c r="K1060" s="65"/>
      <c r="L1060" s="66"/>
      <c r="M1060" s="67"/>
      <c r="N1060" s="68"/>
      <c r="O1060" s="69"/>
      <c r="P1060" s="69"/>
      <c r="Q1060" s="69"/>
      <c r="R1060" s="69"/>
    </row>
    <row r="1061" spans="1:18">
      <c r="A1061" s="6"/>
      <c r="B1061" s="59"/>
      <c r="C1061" s="60"/>
      <c r="D1061" s="62"/>
      <c r="E1061" s="62"/>
      <c r="F1061" s="63"/>
      <c r="G1061" s="59"/>
      <c r="H1061" s="59"/>
      <c r="I1061" s="64"/>
      <c r="J1061" s="59"/>
      <c r="K1061" s="65"/>
      <c r="L1061" s="66"/>
      <c r="M1061" s="67"/>
      <c r="N1061" s="68"/>
      <c r="O1061" s="69"/>
      <c r="P1061" s="69"/>
      <c r="Q1061" s="69"/>
      <c r="R1061" s="69"/>
    </row>
    <row r="1062" spans="1:18">
      <c r="A1062" s="6"/>
      <c r="B1062" s="59"/>
      <c r="C1062" s="60"/>
      <c r="D1062" s="62"/>
      <c r="E1062" s="62"/>
      <c r="F1062" s="63"/>
      <c r="G1062" s="59"/>
      <c r="H1062" s="59"/>
      <c r="I1062" s="64"/>
      <c r="J1062" s="59"/>
      <c r="K1062" s="65"/>
      <c r="L1062" s="66"/>
      <c r="M1062" s="67"/>
      <c r="N1062" s="68"/>
      <c r="O1062" s="69"/>
      <c r="P1062" s="69"/>
      <c r="Q1062" s="69"/>
      <c r="R1062" s="69"/>
    </row>
    <row r="1063" spans="1:18">
      <c r="A1063" s="6"/>
      <c r="B1063" s="59"/>
      <c r="C1063" s="60"/>
      <c r="D1063" s="62"/>
      <c r="E1063" s="62"/>
      <c r="F1063" s="63"/>
      <c r="G1063" s="59"/>
      <c r="H1063" s="59"/>
      <c r="I1063" s="64"/>
      <c r="J1063" s="59"/>
      <c r="K1063" s="65"/>
      <c r="L1063" s="66"/>
      <c r="M1063" s="67"/>
      <c r="N1063" s="68"/>
      <c r="O1063" s="69"/>
      <c r="P1063" s="69"/>
      <c r="Q1063" s="69"/>
      <c r="R1063" s="69"/>
    </row>
    <row r="1064" spans="1:18">
      <c r="A1064" s="6"/>
      <c r="B1064" s="59"/>
      <c r="C1064" s="60"/>
      <c r="D1064" s="62"/>
      <c r="E1064" s="62"/>
      <c r="F1064" s="63"/>
      <c r="G1064" s="59"/>
      <c r="H1064" s="59"/>
      <c r="I1064" s="64"/>
      <c r="J1064" s="59"/>
      <c r="K1064" s="65"/>
      <c r="L1064" s="66"/>
      <c r="M1064" s="67"/>
      <c r="N1064" s="68"/>
      <c r="O1064" s="69"/>
      <c r="P1064" s="69"/>
      <c r="Q1064" s="69"/>
      <c r="R1064" s="69"/>
    </row>
    <row r="1065" spans="1:18">
      <c r="A1065" s="6"/>
      <c r="B1065" s="59"/>
      <c r="C1065" s="60"/>
      <c r="D1065" s="62"/>
      <c r="E1065" s="62"/>
      <c r="F1065" s="63"/>
      <c r="G1065" s="59"/>
      <c r="H1065" s="59"/>
      <c r="I1065" s="64"/>
      <c r="J1065" s="59"/>
      <c r="K1065" s="65"/>
      <c r="L1065" s="66"/>
      <c r="M1065" s="67"/>
      <c r="N1065" s="68"/>
      <c r="O1065" s="69"/>
      <c r="P1065" s="69"/>
      <c r="Q1065" s="69"/>
      <c r="R1065" s="69"/>
    </row>
    <row r="1066" spans="1:18">
      <c r="A1066" s="6"/>
      <c r="B1066" s="59"/>
      <c r="C1066" s="60"/>
      <c r="D1066" s="62"/>
      <c r="E1066" s="62"/>
      <c r="F1066" s="63"/>
      <c r="G1066" s="59"/>
      <c r="H1066" s="59"/>
      <c r="I1066" s="64"/>
      <c r="J1066" s="59"/>
      <c r="K1066" s="65"/>
      <c r="L1066" s="66"/>
      <c r="M1066" s="67"/>
      <c r="N1066" s="68"/>
      <c r="O1066" s="69"/>
      <c r="P1066" s="69"/>
      <c r="Q1066" s="69"/>
      <c r="R1066" s="69"/>
    </row>
    <row r="1067" spans="1:18">
      <c r="A1067" s="6"/>
      <c r="B1067" s="59"/>
      <c r="C1067" s="60"/>
      <c r="D1067" s="62"/>
      <c r="E1067" s="62"/>
      <c r="F1067" s="63"/>
      <c r="G1067" s="59"/>
      <c r="H1067" s="59"/>
      <c r="I1067" s="64"/>
      <c r="J1067" s="59"/>
      <c r="K1067" s="65"/>
      <c r="L1067" s="66"/>
      <c r="M1067" s="67"/>
      <c r="N1067" s="68"/>
      <c r="O1067" s="69"/>
      <c r="P1067" s="69"/>
      <c r="Q1067" s="69"/>
      <c r="R1067" s="69"/>
    </row>
    <row r="1068" spans="1:18">
      <c r="A1068" s="6"/>
      <c r="B1068" s="59"/>
      <c r="C1068" s="60"/>
      <c r="D1068" s="62"/>
      <c r="E1068" s="62"/>
      <c r="F1068" s="63"/>
      <c r="G1068" s="59"/>
      <c r="H1068" s="59"/>
      <c r="I1068" s="64"/>
      <c r="J1068" s="59"/>
      <c r="K1068" s="65"/>
      <c r="L1068" s="66"/>
      <c r="M1068" s="67"/>
      <c r="N1068" s="68"/>
      <c r="O1068" s="69"/>
      <c r="P1068" s="69"/>
      <c r="Q1068" s="69"/>
      <c r="R1068" s="69"/>
    </row>
    <row r="1069" spans="1:18">
      <c r="A1069" s="6"/>
      <c r="B1069" s="59"/>
      <c r="C1069" s="60"/>
      <c r="D1069" s="62"/>
      <c r="E1069" s="62"/>
      <c r="F1069" s="63"/>
      <c r="G1069" s="59"/>
      <c r="H1069" s="59"/>
      <c r="I1069" s="64"/>
      <c r="J1069" s="59"/>
      <c r="K1069" s="65"/>
      <c r="L1069" s="66"/>
      <c r="M1069" s="67"/>
      <c r="N1069" s="68"/>
      <c r="O1069" s="69"/>
      <c r="P1069" s="69"/>
      <c r="Q1069" s="69"/>
      <c r="R1069" s="69"/>
    </row>
    <row r="1070" spans="1:18">
      <c r="A1070" s="6"/>
      <c r="B1070" s="59"/>
      <c r="C1070" s="60"/>
      <c r="D1070" s="62"/>
      <c r="E1070" s="62"/>
      <c r="F1070" s="63"/>
      <c r="G1070" s="59"/>
      <c r="H1070" s="59"/>
      <c r="I1070" s="64"/>
      <c r="J1070" s="59"/>
      <c r="K1070" s="65"/>
      <c r="L1070" s="66"/>
      <c r="M1070" s="67"/>
      <c r="N1070" s="68"/>
      <c r="O1070" s="69"/>
      <c r="P1070" s="69"/>
      <c r="Q1070" s="69"/>
      <c r="R1070" s="69"/>
    </row>
    <row r="1071" spans="1:18">
      <c r="A1071" s="6"/>
      <c r="B1071" s="59"/>
      <c r="C1071" s="60"/>
      <c r="D1071" s="62"/>
      <c r="E1071" s="62"/>
      <c r="F1071" s="63"/>
      <c r="G1071" s="59"/>
      <c r="H1071" s="59"/>
      <c r="I1071" s="64"/>
      <c r="J1071" s="59"/>
      <c r="K1071" s="65"/>
      <c r="L1071" s="66"/>
      <c r="M1071" s="67"/>
      <c r="N1071" s="68"/>
      <c r="O1071" s="69"/>
      <c r="P1071" s="69"/>
      <c r="Q1071" s="69"/>
      <c r="R1071" s="69"/>
    </row>
    <row r="1072" spans="1:18">
      <c r="A1072" s="6"/>
      <c r="B1072" s="59"/>
      <c r="C1072" s="60"/>
      <c r="D1072" s="62"/>
      <c r="E1072" s="62"/>
      <c r="F1072" s="63"/>
      <c r="G1072" s="59"/>
      <c r="H1072" s="59"/>
      <c r="I1072" s="64"/>
      <c r="J1072" s="59"/>
      <c r="K1072" s="65"/>
      <c r="L1072" s="66"/>
      <c r="M1072" s="67"/>
      <c r="N1072" s="68"/>
      <c r="O1072" s="69"/>
      <c r="P1072" s="69"/>
      <c r="Q1072" s="69"/>
      <c r="R1072" s="69"/>
    </row>
    <row r="1073" spans="1:18">
      <c r="A1073" s="6"/>
      <c r="B1073" s="59"/>
      <c r="C1073" s="60"/>
      <c r="D1073" s="62"/>
      <c r="E1073" s="62"/>
      <c r="F1073" s="63"/>
      <c r="G1073" s="59"/>
      <c r="H1073" s="59"/>
      <c r="I1073" s="64"/>
      <c r="J1073" s="59"/>
      <c r="K1073" s="65"/>
      <c r="L1073" s="66"/>
      <c r="M1073" s="67"/>
      <c r="N1073" s="68"/>
      <c r="O1073" s="69"/>
      <c r="P1073" s="69"/>
      <c r="Q1073" s="69"/>
      <c r="R1073" s="69"/>
    </row>
    <row r="1074" spans="1:18">
      <c r="A1074" s="6"/>
      <c r="B1074" s="59"/>
      <c r="C1074" s="60"/>
      <c r="D1074" s="62"/>
      <c r="E1074" s="62"/>
      <c r="F1074" s="63"/>
      <c r="G1074" s="59"/>
      <c r="H1074" s="59"/>
      <c r="I1074" s="64"/>
      <c r="J1074" s="59"/>
      <c r="K1074" s="65"/>
      <c r="L1074" s="66"/>
      <c r="M1074" s="67"/>
      <c r="N1074" s="68"/>
      <c r="O1074" s="69"/>
      <c r="P1074" s="69"/>
      <c r="Q1074" s="69"/>
      <c r="R1074" s="69"/>
    </row>
    <row r="1075" spans="1:18">
      <c r="A1075" s="6"/>
      <c r="B1075" s="59"/>
      <c r="C1075" s="60"/>
      <c r="D1075" s="62"/>
      <c r="E1075" s="62"/>
      <c r="F1075" s="63"/>
      <c r="G1075" s="59"/>
      <c r="H1075" s="59"/>
      <c r="I1075" s="64"/>
      <c r="J1075" s="59"/>
      <c r="K1075" s="65"/>
      <c r="L1075" s="66"/>
      <c r="M1075" s="67"/>
      <c r="N1075" s="68"/>
      <c r="O1075" s="69"/>
      <c r="P1075" s="69"/>
      <c r="Q1075" s="69"/>
      <c r="R1075" s="69"/>
    </row>
    <row r="1076" spans="1:18">
      <c r="A1076" s="6"/>
      <c r="B1076" s="59"/>
      <c r="C1076" s="60"/>
      <c r="D1076" s="62"/>
      <c r="E1076" s="62"/>
      <c r="F1076" s="63"/>
      <c r="G1076" s="59"/>
      <c r="H1076" s="59"/>
      <c r="I1076" s="64"/>
      <c r="J1076" s="59"/>
      <c r="K1076" s="65"/>
      <c r="L1076" s="66"/>
      <c r="M1076" s="67"/>
      <c r="N1076" s="68"/>
      <c r="O1076" s="69"/>
      <c r="P1076" s="69"/>
      <c r="Q1076" s="69"/>
      <c r="R1076" s="69"/>
    </row>
    <row r="1077" spans="1:18">
      <c r="A1077" s="6"/>
      <c r="B1077" s="59"/>
      <c r="C1077" s="60"/>
      <c r="D1077" s="62"/>
      <c r="E1077" s="62"/>
      <c r="F1077" s="63"/>
      <c r="G1077" s="59"/>
      <c r="H1077" s="59"/>
      <c r="I1077" s="64"/>
      <c r="J1077" s="59"/>
      <c r="K1077" s="65"/>
      <c r="L1077" s="66"/>
      <c r="M1077" s="67"/>
      <c r="N1077" s="68"/>
      <c r="O1077" s="69"/>
      <c r="P1077" s="69"/>
      <c r="Q1077" s="69"/>
      <c r="R1077" s="69"/>
    </row>
    <row r="1078" spans="1:18">
      <c r="A1078" s="6"/>
      <c r="B1078" s="59"/>
      <c r="C1078" s="60"/>
      <c r="D1078" s="62"/>
      <c r="E1078" s="62"/>
      <c r="F1078" s="63"/>
      <c r="G1078" s="59"/>
      <c r="H1078" s="59"/>
      <c r="I1078" s="64"/>
      <c r="J1078" s="59"/>
      <c r="K1078" s="65"/>
      <c r="L1078" s="66"/>
      <c r="M1078" s="67"/>
      <c r="N1078" s="68"/>
      <c r="O1078" s="69"/>
      <c r="P1078" s="69"/>
      <c r="Q1078" s="69"/>
      <c r="R1078" s="69"/>
    </row>
    <row r="1079" spans="1:18">
      <c r="A1079" s="6"/>
      <c r="B1079" s="59"/>
      <c r="C1079" s="60"/>
      <c r="D1079" s="62"/>
      <c r="E1079" s="62"/>
      <c r="F1079" s="63"/>
      <c r="G1079" s="59"/>
      <c r="H1079" s="59"/>
      <c r="I1079" s="64"/>
      <c r="J1079" s="59"/>
      <c r="K1079" s="65"/>
      <c r="L1079" s="66"/>
      <c r="M1079" s="67"/>
      <c r="N1079" s="68"/>
      <c r="O1079" s="69"/>
      <c r="P1079" s="69"/>
      <c r="Q1079" s="69"/>
      <c r="R1079" s="69"/>
    </row>
    <row r="1080" spans="1:18">
      <c r="A1080" s="6"/>
      <c r="B1080" s="59"/>
      <c r="C1080" s="60"/>
      <c r="D1080" s="62"/>
      <c r="E1080" s="62"/>
      <c r="F1080" s="63"/>
      <c r="G1080" s="59"/>
      <c r="H1080" s="59"/>
      <c r="I1080" s="64"/>
      <c r="J1080" s="59"/>
      <c r="K1080" s="65"/>
      <c r="L1080" s="66"/>
      <c r="M1080" s="67"/>
      <c r="N1080" s="68"/>
      <c r="O1080" s="69"/>
      <c r="P1080" s="69"/>
      <c r="Q1080" s="69"/>
      <c r="R1080" s="69"/>
    </row>
    <row r="1081" spans="1:18">
      <c r="A1081" s="6"/>
      <c r="B1081" s="59"/>
      <c r="C1081" s="60"/>
      <c r="D1081" s="62"/>
      <c r="E1081" s="62"/>
      <c r="F1081" s="63"/>
      <c r="G1081" s="59"/>
      <c r="H1081" s="59"/>
      <c r="I1081" s="64"/>
      <c r="J1081" s="59"/>
      <c r="K1081" s="65"/>
      <c r="L1081" s="66"/>
      <c r="M1081" s="67"/>
      <c r="N1081" s="68"/>
      <c r="O1081" s="69"/>
      <c r="P1081" s="69"/>
      <c r="Q1081" s="69"/>
      <c r="R1081" s="69"/>
    </row>
    <row r="1082" spans="1:18">
      <c r="A1082" s="6"/>
      <c r="B1082" s="59"/>
      <c r="C1082" s="60"/>
      <c r="D1082" s="62"/>
      <c r="E1082" s="62"/>
      <c r="F1082" s="63"/>
      <c r="G1082" s="59"/>
      <c r="H1082" s="59"/>
      <c r="I1082" s="64"/>
      <c r="J1082" s="59"/>
      <c r="K1082" s="65"/>
      <c r="L1082" s="66"/>
      <c r="M1082" s="67"/>
      <c r="N1082" s="68"/>
      <c r="O1082" s="69"/>
      <c r="P1082" s="69"/>
      <c r="Q1082" s="69"/>
      <c r="R1082" s="69"/>
    </row>
    <row r="1083" spans="1:18">
      <c r="A1083" s="6"/>
      <c r="B1083" s="59"/>
      <c r="C1083" s="60"/>
      <c r="D1083" s="62"/>
      <c r="E1083" s="62"/>
      <c r="F1083" s="63"/>
      <c r="G1083" s="59"/>
      <c r="H1083" s="59"/>
      <c r="I1083" s="64"/>
      <c r="J1083" s="59"/>
      <c r="K1083" s="65"/>
      <c r="L1083" s="66"/>
      <c r="M1083" s="67"/>
      <c r="N1083" s="68"/>
      <c r="O1083" s="69"/>
      <c r="P1083" s="69"/>
      <c r="Q1083" s="69"/>
      <c r="R1083" s="69"/>
    </row>
    <row r="1084" spans="1:18">
      <c r="A1084" s="6"/>
      <c r="B1084" s="59"/>
      <c r="C1084" s="60"/>
      <c r="D1084" s="62"/>
      <c r="E1084" s="62"/>
      <c r="F1084" s="63"/>
      <c r="G1084" s="59"/>
      <c r="H1084" s="59"/>
      <c r="I1084" s="64"/>
      <c r="J1084" s="59"/>
      <c r="K1084" s="65"/>
      <c r="L1084" s="66"/>
      <c r="M1084" s="67"/>
      <c r="N1084" s="68"/>
      <c r="O1084" s="69"/>
      <c r="P1084" s="69"/>
      <c r="Q1084" s="69"/>
      <c r="R1084" s="69"/>
    </row>
    <row r="1085" spans="1:18">
      <c r="A1085" s="6"/>
      <c r="B1085" s="59"/>
      <c r="C1085" s="60"/>
      <c r="D1085" s="62"/>
      <c r="E1085" s="62"/>
      <c r="F1085" s="63"/>
      <c r="G1085" s="59"/>
      <c r="H1085" s="59"/>
      <c r="I1085" s="64"/>
      <c r="J1085" s="59"/>
      <c r="K1085" s="65"/>
      <c r="L1085" s="66"/>
      <c r="M1085" s="67"/>
      <c r="N1085" s="68"/>
      <c r="O1085" s="69"/>
      <c r="P1085" s="69"/>
      <c r="Q1085" s="69"/>
      <c r="R1085" s="69"/>
    </row>
    <row r="1086" spans="1:18">
      <c r="A1086" s="6"/>
      <c r="B1086" s="59"/>
      <c r="C1086" s="60"/>
      <c r="D1086" s="62"/>
      <c r="E1086" s="62"/>
      <c r="F1086" s="63"/>
      <c r="G1086" s="59"/>
      <c r="H1086" s="59"/>
      <c r="I1086" s="64"/>
      <c r="J1086" s="59"/>
      <c r="K1086" s="65"/>
      <c r="L1086" s="66"/>
      <c r="M1086" s="67"/>
      <c r="N1086" s="68"/>
      <c r="O1086" s="69"/>
      <c r="P1086" s="69"/>
      <c r="Q1086" s="69"/>
      <c r="R1086" s="69"/>
    </row>
    <row r="1087" spans="1:18">
      <c r="A1087" s="6"/>
      <c r="B1087" s="59"/>
      <c r="C1087" s="60"/>
      <c r="D1087" s="62"/>
      <c r="E1087" s="62"/>
      <c r="F1087" s="63"/>
      <c r="G1087" s="59"/>
      <c r="H1087" s="59"/>
      <c r="I1087" s="64"/>
      <c r="J1087" s="59"/>
      <c r="K1087" s="65"/>
      <c r="L1087" s="66"/>
      <c r="M1087" s="67"/>
      <c r="N1087" s="68"/>
      <c r="O1087" s="69"/>
      <c r="P1087" s="69"/>
      <c r="Q1087" s="69"/>
      <c r="R1087" s="69"/>
    </row>
    <row r="1088" spans="1:18">
      <c r="A1088" s="6"/>
      <c r="B1088" s="59"/>
      <c r="C1088" s="60"/>
      <c r="D1088" s="62"/>
      <c r="E1088" s="62"/>
      <c r="F1088" s="63"/>
      <c r="G1088" s="59"/>
      <c r="H1088" s="59"/>
      <c r="I1088" s="64"/>
      <c r="J1088" s="59"/>
      <c r="K1088" s="65"/>
      <c r="L1088" s="66"/>
      <c r="M1088" s="67"/>
      <c r="N1088" s="68"/>
      <c r="O1088" s="69"/>
      <c r="P1088" s="69"/>
      <c r="Q1088" s="69"/>
      <c r="R1088" s="69"/>
    </row>
    <row r="1089" spans="1:18">
      <c r="A1089" s="6"/>
      <c r="B1089" s="59"/>
      <c r="C1089" s="60"/>
      <c r="D1089" s="62"/>
      <c r="E1089" s="62"/>
      <c r="F1089" s="63"/>
      <c r="G1089" s="59"/>
      <c r="H1089" s="59"/>
      <c r="I1089" s="64"/>
      <c r="J1089" s="59"/>
      <c r="K1089" s="65"/>
      <c r="L1089" s="66"/>
      <c r="M1089" s="67"/>
      <c r="N1089" s="68"/>
      <c r="O1089" s="69"/>
      <c r="P1089" s="69"/>
      <c r="Q1089" s="69"/>
      <c r="R1089" s="69"/>
    </row>
    <row r="1090" spans="1:18">
      <c r="A1090" s="6"/>
      <c r="B1090" s="59"/>
      <c r="C1090" s="60"/>
      <c r="D1090" s="62"/>
      <c r="E1090" s="62"/>
      <c r="F1090" s="63"/>
      <c r="G1090" s="59"/>
      <c r="H1090" s="59"/>
      <c r="I1090" s="64"/>
      <c r="J1090" s="59"/>
      <c r="K1090" s="65"/>
      <c r="L1090" s="66"/>
      <c r="M1090" s="67"/>
      <c r="N1090" s="68"/>
      <c r="O1090" s="69"/>
      <c r="P1090" s="69"/>
      <c r="Q1090" s="69"/>
      <c r="R1090" s="69"/>
    </row>
    <row r="1091" spans="1:18">
      <c r="A1091" s="6"/>
      <c r="B1091" s="59"/>
      <c r="C1091" s="60"/>
      <c r="D1091" s="62"/>
      <c r="E1091" s="62"/>
      <c r="F1091" s="63"/>
      <c r="G1091" s="59"/>
      <c r="H1091" s="59"/>
      <c r="I1091" s="64"/>
      <c r="J1091" s="59"/>
      <c r="K1091" s="65"/>
      <c r="L1091" s="66"/>
      <c r="M1091" s="67"/>
      <c r="N1091" s="68"/>
      <c r="O1091" s="69"/>
      <c r="P1091" s="69"/>
      <c r="Q1091" s="69"/>
      <c r="R1091" s="69"/>
    </row>
    <row r="1092" spans="1:18">
      <c r="A1092" s="6"/>
      <c r="B1092" s="59"/>
      <c r="C1092" s="60"/>
      <c r="D1092" s="62"/>
      <c r="E1092" s="62"/>
      <c r="F1092" s="63"/>
      <c r="G1092" s="59"/>
      <c r="H1092" s="59"/>
      <c r="I1092" s="64"/>
      <c r="J1092" s="59"/>
      <c r="K1092" s="65"/>
      <c r="L1092" s="66"/>
      <c r="M1092" s="67"/>
      <c r="N1092" s="68"/>
      <c r="O1092" s="69"/>
      <c r="P1092" s="69"/>
      <c r="Q1092" s="69"/>
      <c r="R1092" s="69"/>
    </row>
    <row r="1093" spans="1:18">
      <c r="A1093" s="6"/>
      <c r="B1093" s="59"/>
      <c r="C1093" s="60"/>
      <c r="D1093" s="62"/>
      <c r="E1093" s="62"/>
      <c r="F1093" s="63"/>
      <c r="G1093" s="59"/>
      <c r="H1093" s="59"/>
      <c r="I1093" s="64"/>
      <c r="J1093" s="59"/>
      <c r="K1093" s="65"/>
      <c r="L1093" s="66"/>
      <c r="M1093" s="67"/>
      <c r="N1093" s="68"/>
      <c r="O1093" s="69"/>
      <c r="P1093" s="69"/>
      <c r="Q1093" s="69"/>
      <c r="R1093" s="69"/>
    </row>
    <row r="1094" spans="1:18">
      <c r="A1094" s="6"/>
      <c r="B1094" s="59"/>
      <c r="C1094" s="60"/>
      <c r="D1094" s="62"/>
      <c r="E1094" s="62"/>
      <c r="F1094" s="63"/>
      <c r="G1094" s="59"/>
      <c r="H1094" s="59"/>
      <c r="I1094" s="64"/>
      <c r="J1094" s="59"/>
      <c r="K1094" s="65"/>
      <c r="L1094" s="66"/>
      <c r="M1094" s="67"/>
      <c r="N1094" s="68"/>
      <c r="O1094" s="69"/>
      <c r="P1094" s="69"/>
      <c r="Q1094" s="69"/>
      <c r="R1094" s="69"/>
    </row>
    <row r="1095" spans="1:18">
      <c r="A1095" s="6"/>
      <c r="B1095" s="59"/>
      <c r="C1095" s="60"/>
      <c r="D1095" s="62"/>
      <c r="E1095" s="62"/>
      <c r="F1095" s="63"/>
      <c r="G1095" s="59"/>
      <c r="H1095" s="59"/>
      <c r="I1095" s="64"/>
      <c r="J1095" s="59"/>
      <c r="K1095" s="65"/>
      <c r="L1095" s="66"/>
      <c r="M1095" s="67"/>
      <c r="N1095" s="68"/>
      <c r="O1095" s="69"/>
      <c r="P1095" s="69"/>
      <c r="Q1095" s="69"/>
      <c r="R1095" s="69"/>
    </row>
    <row r="1096" spans="1:18">
      <c r="A1096" s="6"/>
      <c r="B1096" s="59"/>
      <c r="C1096" s="60"/>
      <c r="D1096" s="62"/>
      <c r="E1096" s="62"/>
      <c r="F1096" s="63"/>
      <c r="G1096" s="59"/>
      <c r="H1096" s="59"/>
      <c r="I1096" s="64"/>
      <c r="J1096" s="59"/>
      <c r="K1096" s="65"/>
      <c r="L1096" s="66"/>
      <c r="M1096" s="67"/>
      <c r="N1096" s="68"/>
      <c r="O1096" s="69"/>
      <c r="P1096" s="69"/>
      <c r="Q1096" s="69"/>
      <c r="R1096" s="69"/>
    </row>
    <row r="1097" spans="1:18">
      <c r="A1097" s="6"/>
      <c r="B1097" s="59"/>
      <c r="C1097" s="60"/>
      <c r="D1097" s="62"/>
      <c r="E1097" s="62"/>
      <c r="F1097" s="63"/>
      <c r="G1097" s="59"/>
      <c r="H1097" s="59"/>
      <c r="I1097" s="64"/>
      <c r="J1097" s="59"/>
      <c r="K1097" s="65"/>
      <c r="L1097" s="66"/>
      <c r="M1097" s="67"/>
      <c r="N1097" s="68"/>
      <c r="O1097" s="69"/>
      <c r="P1097" s="69"/>
      <c r="Q1097" s="69"/>
      <c r="R1097" s="69"/>
    </row>
    <row r="1098" spans="1:18">
      <c r="A1098" s="6"/>
      <c r="B1098" s="59"/>
      <c r="C1098" s="60"/>
      <c r="D1098" s="62"/>
      <c r="E1098" s="62"/>
      <c r="F1098" s="63"/>
      <c r="G1098" s="59"/>
      <c r="H1098" s="59"/>
      <c r="I1098" s="64"/>
      <c r="J1098" s="59"/>
      <c r="K1098" s="65"/>
      <c r="L1098" s="66"/>
      <c r="M1098" s="67"/>
      <c r="N1098" s="68"/>
      <c r="O1098" s="69"/>
      <c r="P1098" s="69"/>
      <c r="Q1098" s="69"/>
      <c r="R1098" s="69"/>
    </row>
    <row r="1099" spans="1:18">
      <c r="A1099" s="6"/>
      <c r="B1099" s="59"/>
      <c r="C1099" s="60"/>
      <c r="D1099" s="62"/>
      <c r="E1099" s="62"/>
      <c r="F1099" s="63"/>
      <c r="G1099" s="59"/>
      <c r="H1099" s="59"/>
      <c r="I1099" s="64"/>
      <c r="J1099" s="59"/>
      <c r="K1099" s="65"/>
      <c r="L1099" s="66"/>
      <c r="M1099" s="67"/>
      <c r="N1099" s="68"/>
      <c r="O1099" s="69"/>
      <c r="P1099" s="69"/>
      <c r="Q1099" s="69"/>
      <c r="R1099" s="69"/>
    </row>
    <row r="1100" spans="1:18">
      <c r="A1100" s="6"/>
      <c r="B1100" s="59"/>
      <c r="C1100" s="60"/>
      <c r="D1100" s="62"/>
      <c r="E1100" s="62"/>
      <c r="F1100" s="63"/>
      <c r="G1100" s="59"/>
      <c r="H1100" s="59"/>
      <c r="I1100" s="64"/>
      <c r="J1100" s="59"/>
      <c r="K1100" s="65"/>
      <c r="L1100" s="66"/>
      <c r="M1100" s="67"/>
      <c r="N1100" s="68"/>
      <c r="O1100" s="69"/>
      <c r="P1100" s="69"/>
      <c r="Q1100" s="69"/>
      <c r="R1100" s="69"/>
    </row>
    <row r="1101" spans="1:18">
      <c r="A1101" s="6"/>
      <c r="B1101" s="59"/>
      <c r="C1101" s="60"/>
      <c r="D1101" s="62"/>
      <c r="E1101" s="62"/>
      <c r="F1101" s="63"/>
      <c r="G1101" s="59"/>
      <c r="H1101" s="59"/>
      <c r="I1101" s="64"/>
      <c r="J1101" s="59"/>
      <c r="K1101" s="65"/>
      <c r="L1101" s="66"/>
      <c r="M1101" s="67"/>
      <c r="N1101" s="68"/>
      <c r="O1101" s="69"/>
      <c r="P1101" s="69"/>
      <c r="Q1101" s="69"/>
      <c r="R1101" s="69"/>
    </row>
    <row r="1102" spans="1:18">
      <c r="A1102" s="6"/>
      <c r="B1102" s="59"/>
      <c r="C1102" s="60"/>
      <c r="D1102" s="62"/>
      <c r="E1102" s="62"/>
      <c r="F1102" s="63"/>
      <c r="G1102" s="59"/>
      <c r="H1102" s="59"/>
      <c r="I1102" s="64"/>
      <c r="J1102" s="59"/>
      <c r="K1102" s="65"/>
      <c r="L1102" s="66"/>
      <c r="M1102" s="67"/>
      <c r="N1102" s="68"/>
      <c r="O1102" s="69"/>
      <c r="P1102" s="69"/>
      <c r="Q1102" s="69"/>
      <c r="R1102" s="69"/>
    </row>
    <row r="1103" spans="1:18">
      <c r="A1103" s="6"/>
      <c r="B1103" s="59"/>
      <c r="C1103" s="60"/>
      <c r="D1103" s="62"/>
      <c r="E1103" s="62"/>
      <c r="F1103" s="63"/>
      <c r="G1103" s="59"/>
      <c r="H1103" s="59"/>
      <c r="I1103" s="64"/>
      <c r="J1103" s="59"/>
      <c r="K1103" s="65"/>
      <c r="L1103" s="66"/>
      <c r="M1103" s="67"/>
      <c r="N1103" s="68"/>
      <c r="O1103" s="69"/>
      <c r="P1103" s="69"/>
      <c r="Q1103" s="69"/>
      <c r="R1103" s="69"/>
    </row>
    <row r="1104" spans="1:18">
      <c r="A1104" s="6"/>
      <c r="B1104" s="59"/>
      <c r="C1104" s="60"/>
      <c r="D1104" s="62"/>
      <c r="E1104" s="62"/>
      <c r="F1104" s="63"/>
      <c r="G1104" s="59"/>
      <c r="H1104" s="59"/>
      <c r="I1104" s="64"/>
      <c r="J1104" s="59"/>
      <c r="K1104" s="65"/>
      <c r="L1104" s="66"/>
      <c r="M1104" s="67"/>
      <c r="N1104" s="68"/>
      <c r="O1104" s="69"/>
      <c r="P1104" s="69"/>
      <c r="Q1104" s="69"/>
      <c r="R1104" s="69"/>
    </row>
    <row r="1105" spans="1:18">
      <c r="A1105" s="6"/>
      <c r="B1105" s="59"/>
      <c r="C1105" s="60"/>
      <c r="D1105" s="62"/>
      <c r="E1105" s="62"/>
      <c r="F1105" s="63"/>
      <c r="G1105" s="59"/>
      <c r="H1105" s="59"/>
      <c r="I1105" s="64"/>
      <c r="J1105" s="59"/>
      <c r="K1105" s="65"/>
      <c r="L1105" s="66"/>
      <c r="M1105" s="67"/>
      <c r="N1105" s="68"/>
      <c r="O1105" s="69"/>
      <c r="P1105" s="69"/>
      <c r="Q1105" s="69"/>
      <c r="R1105" s="69"/>
    </row>
    <row r="1106" spans="1:18">
      <c r="A1106" s="6"/>
      <c r="B1106" s="59"/>
      <c r="C1106" s="60"/>
      <c r="D1106" s="62"/>
      <c r="E1106" s="62"/>
      <c r="F1106" s="63"/>
      <c r="G1106" s="59"/>
      <c r="H1106" s="59"/>
      <c r="I1106" s="64"/>
      <c r="J1106" s="59"/>
      <c r="K1106" s="65"/>
      <c r="L1106" s="66"/>
      <c r="M1106" s="67"/>
      <c r="N1106" s="68"/>
      <c r="O1106" s="69"/>
      <c r="P1106" s="69"/>
      <c r="Q1106" s="69"/>
      <c r="R1106" s="69"/>
    </row>
    <row r="1107" spans="1:18">
      <c r="A1107" s="6"/>
      <c r="B1107" s="59"/>
      <c r="C1107" s="60"/>
      <c r="D1107" s="62"/>
      <c r="E1107" s="62"/>
      <c r="F1107" s="63"/>
      <c r="G1107" s="59"/>
      <c r="H1107" s="59"/>
      <c r="I1107" s="64"/>
      <c r="J1107" s="59"/>
      <c r="K1107" s="65"/>
      <c r="L1107" s="66"/>
      <c r="M1107" s="67"/>
      <c r="N1107" s="68"/>
      <c r="O1107" s="69"/>
      <c r="P1107" s="69"/>
      <c r="Q1107" s="69"/>
      <c r="R1107" s="69"/>
    </row>
    <row r="1108" spans="1:18">
      <c r="A1108" s="6"/>
      <c r="B1108" s="59"/>
      <c r="C1108" s="60"/>
      <c r="D1108" s="62"/>
      <c r="E1108" s="62"/>
      <c r="F1108" s="63"/>
      <c r="G1108" s="59"/>
      <c r="H1108" s="59"/>
      <c r="I1108" s="64"/>
      <c r="J1108" s="59"/>
      <c r="K1108" s="65"/>
      <c r="L1108" s="66"/>
      <c r="M1108" s="67"/>
      <c r="N1108" s="68"/>
      <c r="O1108" s="69"/>
      <c r="P1108" s="69"/>
      <c r="Q1108" s="69"/>
      <c r="R1108" s="69"/>
    </row>
    <row r="1109" spans="1:18">
      <c r="A1109" s="6"/>
      <c r="B1109" s="59"/>
      <c r="C1109" s="60"/>
      <c r="D1109" s="62"/>
      <c r="E1109" s="62"/>
      <c r="F1109" s="63"/>
      <c r="G1109" s="59"/>
      <c r="H1109" s="59"/>
      <c r="I1109" s="64"/>
      <c r="J1109" s="59"/>
      <c r="K1109" s="65"/>
      <c r="L1109" s="66"/>
      <c r="M1109" s="67"/>
      <c r="N1109" s="68"/>
      <c r="O1109" s="69"/>
      <c r="P1109" s="69"/>
      <c r="Q1109" s="69"/>
      <c r="R1109" s="69"/>
    </row>
    <row r="1110" spans="1:18">
      <c r="A1110" s="6"/>
      <c r="B1110" s="59"/>
      <c r="C1110" s="60"/>
      <c r="D1110" s="62"/>
      <c r="E1110" s="62"/>
      <c r="F1110" s="63"/>
      <c r="G1110" s="59"/>
      <c r="H1110" s="59"/>
      <c r="I1110" s="64"/>
      <c r="J1110" s="59"/>
      <c r="K1110" s="65"/>
      <c r="L1110" s="66"/>
      <c r="M1110" s="67"/>
      <c r="N1110" s="68"/>
      <c r="O1110" s="69"/>
      <c r="P1110" s="69"/>
      <c r="Q1110" s="69"/>
      <c r="R1110" s="69"/>
    </row>
    <row r="1111" spans="1:18">
      <c r="A1111" s="6"/>
      <c r="B1111" s="59"/>
      <c r="C1111" s="60"/>
      <c r="D1111" s="62"/>
      <c r="E1111" s="62"/>
      <c r="F1111" s="63"/>
      <c r="G1111" s="59"/>
      <c r="H1111" s="59"/>
      <c r="I1111" s="64"/>
      <c r="J1111" s="59"/>
      <c r="K1111" s="65"/>
      <c r="L1111" s="66"/>
      <c r="M1111" s="67"/>
      <c r="N1111" s="68"/>
      <c r="O1111" s="69"/>
      <c r="P1111" s="69"/>
      <c r="Q1111" s="69"/>
      <c r="R1111" s="69"/>
    </row>
    <row r="1112" spans="1:18">
      <c r="A1112" s="6"/>
      <c r="B1112" s="59"/>
      <c r="C1112" s="60"/>
      <c r="D1112" s="62"/>
      <c r="E1112" s="62"/>
      <c r="F1112" s="63"/>
      <c r="G1112" s="59"/>
      <c r="H1112" s="59"/>
      <c r="I1112" s="64"/>
      <c r="J1112" s="59"/>
      <c r="K1112" s="65"/>
      <c r="L1112" s="66"/>
      <c r="M1112" s="67"/>
      <c r="N1112" s="68"/>
      <c r="O1112" s="69"/>
      <c r="P1112" s="69"/>
      <c r="Q1112" s="69"/>
      <c r="R1112" s="69"/>
    </row>
    <row r="1113" spans="1:18">
      <c r="A1113" s="6"/>
      <c r="B1113" s="59"/>
      <c r="C1113" s="60"/>
      <c r="D1113" s="62"/>
      <c r="E1113" s="62"/>
      <c r="F1113" s="63"/>
      <c r="G1113" s="59"/>
      <c r="H1113" s="59"/>
      <c r="I1113" s="64"/>
      <c r="J1113" s="59"/>
      <c r="K1113" s="65"/>
      <c r="L1113" s="66"/>
      <c r="M1113" s="67"/>
      <c r="N1113" s="68"/>
      <c r="O1113" s="69"/>
      <c r="P1113" s="69"/>
      <c r="Q1113" s="69"/>
      <c r="R1113" s="69"/>
    </row>
    <row r="1114" spans="1:18">
      <c r="A1114" s="6"/>
      <c r="B1114" s="59"/>
      <c r="C1114" s="60"/>
      <c r="D1114" s="62"/>
      <c r="E1114" s="62"/>
      <c r="F1114" s="63"/>
      <c r="G1114" s="59"/>
      <c r="H1114" s="59"/>
      <c r="I1114" s="64"/>
      <c r="J1114" s="59"/>
      <c r="K1114" s="65"/>
      <c r="L1114" s="66"/>
      <c r="M1114" s="67"/>
      <c r="N1114" s="68"/>
      <c r="O1114" s="69"/>
      <c r="P1114" s="69"/>
      <c r="Q1114" s="69"/>
      <c r="R1114" s="69"/>
    </row>
    <row r="1115" spans="1:18">
      <c r="A1115" s="6"/>
      <c r="B1115" s="59"/>
      <c r="C1115" s="60"/>
      <c r="D1115" s="62"/>
      <c r="E1115" s="62"/>
      <c r="F1115" s="63"/>
      <c r="G1115" s="59"/>
      <c r="H1115" s="59"/>
      <c r="I1115" s="64"/>
      <c r="J1115" s="59"/>
      <c r="K1115" s="65"/>
      <c r="L1115" s="66"/>
      <c r="M1115" s="67"/>
      <c r="N1115" s="68"/>
      <c r="O1115" s="69"/>
      <c r="P1115" s="69"/>
      <c r="Q1115" s="69"/>
      <c r="R1115" s="69"/>
    </row>
    <row r="1116" spans="1:18">
      <c r="A1116" s="6"/>
      <c r="B1116" s="59"/>
      <c r="C1116" s="60"/>
      <c r="D1116" s="62"/>
      <c r="E1116" s="62"/>
      <c r="F1116" s="63"/>
      <c r="G1116" s="59"/>
      <c r="H1116" s="59"/>
      <c r="I1116" s="64"/>
      <c r="J1116" s="59"/>
      <c r="K1116" s="65"/>
      <c r="L1116" s="66"/>
      <c r="M1116" s="67"/>
      <c r="N1116" s="68"/>
      <c r="O1116" s="69"/>
      <c r="P1116" s="69"/>
      <c r="Q1116" s="69"/>
      <c r="R1116" s="69"/>
    </row>
    <row r="1117" spans="1:18">
      <c r="A1117" s="6"/>
      <c r="B1117" s="59"/>
      <c r="C1117" s="60"/>
      <c r="D1117" s="62"/>
      <c r="E1117" s="62"/>
      <c r="F1117" s="63"/>
      <c r="G1117" s="59"/>
      <c r="H1117" s="59"/>
      <c r="I1117" s="64"/>
      <c r="J1117" s="59"/>
      <c r="K1117" s="65"/>
      <c r="L1117" s="66"/>
      <c r="M1117" s="67"/>
      <c r="N1117" s="68"/>
      <c r="O1117" s="69"/>
      <c r="P1117" s="69"/>
      <c r="Q1117" s="69"/>
      <c r="R1117" s="69"/>
    </row>
    <row r="1118" spans="1:18">
      <c r="A1118" s="6"/>
      <c r="B1118" s="59"/>
      <c r="C1118" s="60"/>
      <c r="D1118" s="62"/>
      <c r="E1118" s="62"/>
      <c r="F1118" s="63"/>
      <c r="G1118" s="59"/>
      <c r="H1118" s="59"/>
      <c r="I1118" s="64"/>
      <c r="J1118" s="59"/>
      <c r="K1118" s="65"/>
      <c r="L1118" s="66"/>
      <c r="M1118" s="67"/>
      <c r="N1118" s="68"/>
      <c r="O1118" s="69"/>
      <c r="P1118" s="69"/>
      <c r="Q1118" s="69"/>
      <c r="R1118" s="69"/>
    </row>
    <row r="1119" spans="1:18">
      <c r="A1119" s="6"/>
      <c r="B1119" s="59"/>
      <c r="C1119" s="60"/>
      <c r="D1119" s="62"/>
      <c r="E1119" s="62"/>
      <c r="F1119" s="63"/>
      <c r="G1119" s="59"/>
      <c r="H1119" s="59"/>
      <c r="I1119" s="64"/>
      <c r="J1119" s="59"/>
      <c r="K1119" s="65"/>
      <c r="L1119" s="66"/>
      <c r="M1119" s="67"/>
      <c r="N1119" s="68"/>
      <c r="O1119" s="69"/>
      <c r="P1119" s="69"/>
      <c r="Q1119" s="69"/>
      <c r="R1119" s="69"/>
    </row>
    <row r="1120" spans="1:18">
      <c r="A1120" s="6"/>
      <c r="B1120" s="59"/>
      <c r="C1120" s="60"/>
      <c r="D1120" s="62"/>
      <c r="E1120" s="62"/>
      <c r="F1120" s="63"/>
      <c r="G1120" s="59"/>
      <c r="H1120" s="59"/>
      <c r="I1120" s="64"/>
      <c r="J1120" s="59"/>
      <c r="K1120" s="65"/>
      <c r="L1120" s="66"/>
      <c r="M1120" s="67"/>
      <c r="N1120" s="68"/>
      <c r="O1120" s="69"/>
      <c r="P1120" s="69"/>
      <c r="Q1120" s="69"/>
      <c r="R1120" s="69"/>
    </row>
    <row r="1121" spans="1:18">
      <c r="A1121" s="6"/>
      <c r="B1121" s="59"/>
      <c r="C1121" s="60"/>
      <c r="D1121" s="62"/>
      <c r="E1121" s="62"/>
      <c r="F1121" s="63"/>
      <c r="G1121" s="59"/>
      <c r="H1121" s="59"/>
      <c r="I1121" s="64"/>
      <c r="J1121" s="59"/>
      <c r="K1121" s="65"/>
      <c r="L1121" s="66"/>
      <c r="M1121" s="67"/>
      <c r="N1121" s="68"/>
      <c r="O1121" s="69"/>
      <c r="P1121" s="69"/>
      <c r="Q1121" s="69"/>
      <c r="R1121" s="69"/>
    </row>
    <row r="1122" spans="1:18">
      <c r="A1122" s="6"/>
      <c r="B1122" s="59"/>
      <c r="C1122" s="60"/>
      <c r="D1122" s="62"/>
      <c r="E1122" s="62"/>
      <c r="F1122" s="63"/>
      <c r="G1122" s="59"/>
      <c r="H1122" s="59"/>
      <c r="I1122" s="64"/>
      <c r="J1122" s="59"/>
      <c r="K1122" s="65"/>
      <c r="L1122" s="66"/>
      <c r="M1122" s="67"/>
      <c r="N1122" s="68"/>
      <c r="O1122" s="69"/>
      <c r="P1122" s="69"/>
      <c r="Q1122" s="69"/>
      <c r="R1122" s="69"/>
    </row>
    <row r="1123" spans="1:18">
      <c r="A1123" s="6"/>
      <c r="B1123" s="59"/>
      <c r="C1123" s="60"/>
      <c r="D1123" s="62"/>
      <c r="E1123" s="62"/>
      <c r="F1123" s="63"/>
      <c r="G1123" s="59"/>
      <c r="H1123" s="59"/>
      <c r="I1123" s="64"/>
      <c r="J1123" s="59"/>
      <c r="K1123" s="65"/>
      <c r="L1123" s="66"/>
      <c r="M1123" s="67"/>
      <c r="N1123" s="68"/>
      <c r="O1123" s="69"/>
      <c r="P1123" s="69"/>
      <c r="Q1123" s="69"/>
      <c r="R1123" s="69"/>
    </row>
    <row r="1124" spans="1:18">
      <c r="A1124" s="6"/>
      <c r="B1124" s="59"/>
      <c r="C1124" s="60"/>
      <c r="D1124" s="62"/>
      <c r="E1124" s="62"/>
      <c r="F1124" s="63"/>
      <c r="G1124" s="59"/>
      <c r="H1124" s="59"/>
      <c r="I1124" s="64"/>
      <c r="J1124" s="59"/>
      <c r="K1124" s="65"/>
      <c r="L1124" s="66"/>
      <c r="M1124" s="67"/>
      <c r="N1124" s="68"/>
      <c r="O1124" s="69"/>
      <c r="P1124" s="69"/>
      <c r="Q1124" s="69"/>
      <c r="R1124" s="69"/>
    </row>
    <row r="1125" spans="1:18">
      <c r="A1125" s="6"/>
      <c r="B1125" s="59"/>
      <c r="C1125" s="60"/>
      <c r="D1125" s="62"/>
      <c r="E1125" s="62"/>
      <c r="F1125" s="63"/>
      <c r="G1125" s="59"/>
      <c r="H1125" s="59"/>
      <c r="I1125" s="64"/>
      <c r="J1125" s="59"/>
      <c r="K1125" s="65"/>
      <c r="L1125" s="66"/>
      <c r="M1125" s="67"/>
      <c r="N1125" s="68"/>
      <c r="O1125" s="69"/>
      <c r="P1125" s="69"/>
      <c r="Q1125" s="69"/>
      <c r="R1125" s="69"/>
    </row>
    <row r="1126" spans="1:18">
      <c r="A1126" s="6"/>
      <c r="B1126" s="59"/>
      <c r="C1126" s="60"/>
      <c r="D1126" s="62"/>
      <c r="E1126" s="62"/>
      <c r="F1126" s="63"/>
      <c r="G1126" s="59"/>
      <c r="H1126" s="59"/>
      <c r="I1126" s="64"/>
      <c r="J1126" s="59"/>
      <c r="K1126" s="65"/>
      <c r="L1126" s="66"/>
      <c r="M1126" s="67"/>
      <c r="N1126" s="68"/>
      <c r="O1126" s="69"/>
      <c r="P1126" s="69"/>
      <c r="Q1126" s="69"/>
      <c r="R1126" s="69"/>
    </row>
    <row r="1127" spans="1:18">
      <c r="A1127" s="6"/>
      <c r="B1127" s="59"/>
      <c r="C1127" s="60"/>
      <c r="D1127" s="62"/>
      <c r="E1127" s="62"/>
      <c r="F1127" s="63"/>
      <c r="G1127" s="59"/>
      <c r="H1127" s="59"/>
      <c r="I1127" s="64"/>
      <c r="J1127" s="59"/>
      <c r="K1127" s="65"/>
      <c r="L1127" s="66"/>
      <c r="M1127" s="67"/>
      <c r="N1127" s="68"/>
      <c r="O1127" s="69"/>
      <c r="P1127" s="69"/>
      <c r="Q1127" s="69"/>
      <c r="R1127" s="69"/>
    </row>
    <row r="1128" spans="1:18">
      <c r="A1128" s="6"/>
      <c r="B1128" s="59"/>
      <c r="C1128" s="60"/>
      <c r="D1128" s="62"/>
      <c r="E1128" s="62"/>
      <c r="F1128" s="63"/>
      <c r="G1128" s="59"/>
      <c r="H1128" s="59"/>
      <c r="I1128" s="64"/>
      <c r="J1128" s="59"/>
      <c r="K1128" s="65"/>
      <c r="L1128" s="66"/>
      <c r="M1128" s="67"/>
      <c r="N1128" s="68"/>
      <c r="O1128" s="69"/>
      <c r="P1128" s="69"/>
      <c r="Q1128" s="69"/>
      <c r="R1128" s="69"/>
    </row>
    <row r="1129" spans="1:18">
      <c r="A1129" s="6"/>
      <c r="B1129" s="59"/>
      <c r="C1129" s="60"/>
      <c r="D1129" s="62"/>
      <c r="E1129" s="62"/>
      <c r="F1129" s="63"/>
      <c r="G1129" s="59"/>
      <c r="H1129" s="59"/>
      <c r="I1129" s="64"/>
      <c r="J1129" s="59"/>
      <c r="K1129" s="65"/>
      <c r="L1129" s="66"/>
      <c r="M1129" s="67"/>
      <c r="N1129" s="68"/>
      <c r="O1129" s="69"/>
      <c r="P1129" s="69"/>
      <c r="Q1129" s="69"/>
      <c r="R1129" s="69"/>
    </row>
    <row r="1130" spans="1:18">
      <c r="A1130" s="6"/>
      <c r="B1130" s="59"/>
      <c r="C1130" s="60"/>
      <c r="D1130" s="62"/>
      <c r="E1130" s="62"/>
      <c r="F1130" s="63"/>
      <c r="G1130" s="59"/>
      <c r="H1130" s="59"/>
      <c r="I1130" s="64"/>
      <c r="J1130" s="59"/>
      <c r="K1130" s="65"/>
      <c r="L1130" s="66"/>
      <c r="M1130" s="67"/>
      <c r="N1130" s="68"/>
      <c r="O1130" s="69"/>
      <c r="P1130" s="69"/>
      <c r="Q1130" s="69"/>
      <c r="R1130" s="69"/>
    </row>
    <row r="1131" spans="1:18">
      <c r="A1131" s="6"/>
      <c r="B1131" s="59"/>
      <c r="C1131" s="60"/>
      <c r="D1131" s="62"/>
      <c r="E1131" s="62"/>
      <c r="F1131" s="63"/>
      <c r="G1131" s="59"/>
      <c r="H1131" s="59"/>
      <c r="I1131" s="64"/>
      <c r="J1131" s="59"/>
      <c r="K1131" s="65"/>
      <c r="L1131" s="66"/>
      <c r="M1131" s="67"/>
      <c r="N1131" s="68"/>
      <c r="O1131" s="69"/>
      <c r="P1131" s="69"/>
      <c r="Q1131" s="69"/>
      <c r="R1131" s="69"/>
    </row>
    <row r="1132" spans="1:18">
      <c r="A1132" s="6"/>
      <c r="B1132" s="59"/>
      <c r="C1132" s="60"/>
      <c r="D1132" s="62"/>
      <c r="E1132" s="62"/>
      <c r="F1132" s="63"/>
      <c r="G1132" s="59"/>
      <c r="H1132" s="59"/>
      <c r="I1132" s="64"/>
      <c r="J1132" s="59"/>
      <c r="K1132" s="65"/>
      <c r="L1132" s="66"/>
      <c r="M1132" s="67"/>
      <c r="N1132" s="68"/>
      <c r="O1132" s="69"/>
      <c r="P1132" s="69"/>
      <c r="Q1132" s="69"/>
      <c r="R1132" s="69"/>
    </row>
    <row r="1133" spans="1:18">
      <c r="A1133" s="6"/>
      <c r="B1133" s="59"/>
      <c r="C1133" s="60"/>
      <c r="D1133" s="62"/>
      <c r="E1133" s="62"/>
      <c r="F1133" s="63"/>
      <c r="G1133" s="59"/>
      <c r="H1133" s="59"/>
      <c r="I1133" s="64"/>
      <c r="J1133" s="59"/>
      <c r="K1133" s="65"/>
      <c r="L1133" s="66"/>
      <c r="M1133" s="67"/>
      <c r="N1133" s="68"/>
      <c r="O1133" s="69"/>
      <c r="P1133" s="69"/>
      <c r="Q1133" s="69"/>
      <c r="R1133" s="69"/>
    </row>
    <row r="1134" spans="1:18">
      <c r="A1134" s="6"/>
      <c r="B1134" s="59"/>
      <c r="C1134" s="60"/>
      <c r="D1134" s="62"/>
      <c r="E1134" s="62"/>
      <c r="F1134" s="63"/>
      <c r="G1134" s="59"/>
      <c r="H1134" s="59"/>
      <c r="I1134" s="64"/>
      <c r="J1134" s="59"/>
      <c r="K1134" s="65"/>
      <c r="L1134" s="66"/>
      <c r="M1134" s="67"/>
      <c r="N1134" s="68"/>
      <c r="O1134" s="69"/>
      <c r="P1134" s="69"/>
      <c r="Q1134" s="69"/>
      <c r="R1134" s="69"/>
    </row>
    <row r="1135" spans="1:18">
      <c r="A1135" s="6"/>
      <c r="B1135" s="59"/>
      <c r="C1135" s="60"/>
      <c r="D1135" s="62"/>
      <c r="E1135" s="62"/>
      <c r="F1135" s="63"/>
      <c r="G1135" s="59"/>
      <c r="H1135" s="59"/>
      <c r="I1135" s="64"/>
      <c r="J1135" s="59"/>
      <c r="K1135" s="65"/>
      <c r="L1135" s="66"/>
      <c r="M1135" s="67"/>
      <c r="N1135" s="68"/>
      <c r="O1135" s="69"/>
      <c r="P1135" s="69"/>
      <c r="Q1135" s="69"/>
      <c r="R1135" s="69"/>
    </row>
    <row r="1136" spans="1:18">
      <c r="A1136" s="6"/>
      <c r="B1136" s="59"/>
      <c r="C1136" s="60"/>
      <c r="D1136" s="62"/>
      <c r="E1136" s="62"/>
      <c r="F1136" s="63"/>
      <c r="G1136" s="59"/>
      <c r="H1136" s="59"/>
      <c r="I1136" s="64"/>
      <c r="J1136" s="59"/>
      <c r="K1136" s="65"/>
      <c r="L1136" s="66"/>
      <c r="M1136" s="67"/>
      <c r="N1136" s="68"/>
      <c r="O1136" s="69"/>
      <c r="P1136" s="69"/>
      <c r="Q1136" s="69"/>
      <c r="R1136" s="69"/>
    </row>
    <row r="1137" spans="1:18">
      <c r="A1137" s="6"/>
      <c r="B1137" s="59"/>
      <c r="C1137" s="60"/>
      <c r="D1137" s="62"/>
      <c r="E1137" s="62"/>
      <c r="F1137" s="63"/>
      <c r="G1137" s="59"/>
      <c r="H1137" s="59"/>
      <c r="I1137" s="64"/>
      <c r="J1137" s="59"/>
      <c r="K1137" s="65"/>
      <c r="L1137" s="66"/>
      <c r="M1137" s="67"/>
      <c r="N1137" s="68"/>
      <c r="O1137" s="69"/>
      <c r="P1137" s="69"/>
      <c r="Q1137" s="69"/>
      <c r="R1137" s="69"/>
    </row>
    <row r="1138" spans="1:18">
      <c r="A1138" s="6"/>
      <c r="B1138" s="59"/>
      <c r="C1138" s="60"/>
      <c r="D1138" s="62"/>
      <c r="E1138" s="62"/>
      <c r="F1138" s="63"/>
      <c r="G1138" s="59"/>
      <c r="H1138" s="59"/>
      <c r="I1138" s="64"/>
      <c r="J1138" s="59"/>
      <c r="K1138" s="65"/>
      <c r="L1138" s="66"/>
      <c r="M1138" s="67"/>
      <c r="N1138" s="68"/>
      <c r="O1138" s="69"/>
      <c r="P1138" s="69"/>
      <c r="Q1138" s="69"/>
      <c r="R1138" s="69"/>
    </row>
    <row r="1139" spans="1:18">
      <c r="A1139" s="6"/>
      <c r="B1139" s="59"/>
      <c r="C1139" s="60"/>
      <c r="D1139" s="62"/>
      <c r="E1139" s="62"/>
      <c r="F1139" s="63"/>
      <c r="G1139" s="59"/>
      <c r="H1139" s="59"/>
      <c r="I1139" s="64"/>
      <c r="J1139" s="59"/>
      <c r="K1139" s="65"/>
      <c r="L1139" s="66"/>
      <c r="M1139" s="67"/>
      <c r="N1139" s="68"/>
      <c r="O1139" s="69"/>
      <c r="P1139" s="69"/>
      <c r="Q1139" s="69"/>
      <c r="R1139" s="69"/>
    </row>
    <row r="1140" spans="1:18">
      <c r="A1140" s="6"/>
      <c r="B1140" s="59"/>
      <c r="C1140" s="60"/>
      <c r="D1140" s="62"/>
      <c r="E1140" s="62"/>
      <c r="F1140" s="63"/>
      <c r="G1140" s="59"/>
      <c r="H1140" s="59"/>
      <c r="I1140" s="64"/>
      <c r="J1140" s="59"/>
      <c r="K1140" s="65"/>
      <c r="L1140" s="66"/>
      <c r="M1140" s="67"/>
      <c r="N1140" s="68"/>
      <c r="O1140" s="69"/>
      <c r="P1140" s="69"/>
      <c r="Q1140" s="69"/>
      <c r="R1140" s="69"/>
    </row>
    <row r="1141" spans="1:18">
      <c r="A1141" s="6"/>
      <c r="B1141" s="59"/>
      <c r="C1141" s="60"/>
      <c r="D1141" s="62"/>
      <c r="E1141" s="62"/>
      <c r="F1141" s="63"/>
      <c r="G1141" s="59"/>
      <c r="H1141" s="59"/>
      <c r="I1141" s="64"/>
      <c r="J1141" s="59"/>
      <c r="K1141" s="65"/>
      <c r="L1141" s="66"/>
      <c r="M1141" s="67"/>
      <c r="N1141" s="68"/>
      <c r="O1141" s="69"/>
      <c r="P1141" s="69"/>
      <c r="Q1141" s="69"/>
      <c r="R1141" s="69"/>
    </row>
    <row r="1142" spans="1:18">
      <c r="A1142" s="6"/>
      <c r="B1142" s="59"/>
      <c r="C1142" s="60"/>
      <c r="D1142" s="62"/>
      <c r="E1142" s="62"/>
      <c r="F1142" s="63"/>
      <c r="G1142" s="59"/>
      <c r="H1142" s="59"/>
      <c r="I1142" s="64"/>
      <c r="J1142" s="59"/>
      <c r="K1142" s="65"/>
      <c r="L1142" s="66"/>
      <c r="M1142" s="67"/>
      <c r="N1142" s="68"/>
      <c r="O1142" s="69"/>
      <c r="P1142" s="69"/>
      <c r="Q1142" s="69"/>
      <c r="R1142" s="69"/>
    </row>
    <row r="1143" spans="1:18">
      <c r="A1143" s="6"/>
      <c r="B1143" s="59"/>
      <c r="C1143" s="60"/>
      <c r="D1143" s="62"/>
      <c r="E1143" s="62"/>
      <c r="F1143" s="63"/>
      <c r="G1143" s="59"/>
      <c r="H1143" s="59"/>
      <c r="I1143" s="64"/>
      <c r="J1143" s="59"/>
      <c r="K1143" s="65"/>
      <c r="L1143" s="66"/>
      <c r="M1143" s="67"/>
      <c r="N1143" s="68"/>
      <c r="O1143" s="69"/>
      <c r="P1143" s="69"/>
      <c r="Q1143" s="69"/>
      <c r="R1143" s="69"/>
    </row>
    <row r="1144" spans="1:18">
      <c r="A1144" s="6"/>
      <c r="B1144" s="59"/>
      <c r="C1144" s="60"/>
      <c r="D1144" s="62"/>
      <c r="E1144" s="62"/>
      <c r="F1144" s="63"/>
      <c r="G1144" s="59"/>
      <c r="H1144" s="59"/>
      <c r="I1144" s="64"/>
      <c r="J1144" s="59"/>
      <c r="K1144" s="65"/>
      <c r="L1144" s="66"/>
      <c r="M1144" s="67"/>
      <c r="N1144" s="68"/>
      <c r="O1144" s="69"/>
      <c r="P1144" s="69"/>
      <c r="Q1144" s="69"/>
      <c r="R1144" s="69"/>
    </row>
    <row r="1145" spans="1:18">
      <c r="A1145" s="6"/>
      <c r="B1145" s="59"/>
      <c r="C1145" s="60"/>
      <c r="D1145" s="62"/>
      <c r="E1145" s="62"/>
      <c r="F1145" s="63"/>
      <c r="G1145" s="59"/>
      <c r="H1145" s="59"/>
      <c r="I1145" s="64"/>
      <c r="J1145" s="59"/>
      <c r="K1145" s="65"/>
      <c r="L1145" s="66"/>
      <c r="M1145" s="67"/>
      <c r="N1145" s="68"/>
      <c r="O1145" s="69"/>
      <c r="P1145" s="69"/>
      <c r="Q1145" s="69"/>
      <c r="R1145" s="69"/>
    </row>
    <row r="1146" spans="1:18">
      <c r="A1146" s="6"/>
      <c r="B1146" s="59"/>
      <c r="C1146" s="60"/>
      <c r="D1146" s="62"/>
      <c r="E1146" s="62"/>
      <c r="F1146" s="63"/>
      <c r="G1146" s="59"/>
      <c r="H1146" s="59"/>
      <c r="I1146" s="64"/>
      <c r="J1146" s="59"/>
      <c r="K1146" s="65"/>
      <c r="L1146" s="66"/>
      <c r="M1146" s="67"/>
      <c r="N1146" s="68"/>
      <c r="O1146" s="69"/>
      <c r="P1146" s="69"/>
      <c r="Q1146" s="69"/>
      <c r="R1146" s="69"/>
    </row>
    <row r="1147" spans="1:18">
      <c r="A1147" s="6"/>
      <c r="B1147" s="59"/>
      <c r="C1147" s="60"/>
      <c r="D1147" s="62"/>
      <c r="E1147" s="62"/>
      <c r="F1147" s="63"/>
      <c r="G1147" s="59"/>
      <c r="H1147" s="59"/>
      <c r="I1147" s="64"/>
      <c r="J1147" s="59"/>
      <c r="K1147" s="65"/>
      <c r="L1147" s="66"/>
      <c r="M1147" s="67"/>
      <c r="N1147" s="68"/>
      <c r="O1147" s="69"/>
      <c r="P1147" s="69"/>
      <c r="Q1147" s="69"/>
      <c r="R1147" s="69"/>
    </row>
    <row r="1148" spans="1:18">
      <c r="A1148" s="6"/>
      <c r="B1148" s="59"/>
      <c r="C1148" s="60"/>
      <c r="D1148" s="62"/>
      <c r="E1148" s="62"/>
      <c r="F1148" s="63"/>
      <c r="G1148" s="59"/>
      <c r="H1148" s="59"/>
      <c r="I1148" s="64"/>
      <c r="J1148" s="59"/>
      <c r="K1148" s="65"/>
      <c r="L1148" s="66"/>
      <c r="M1148" s="67"/>
      <c r="N1148" s="68"/>
      <c r="O1148" s="69"/>
      <c r="P1148" s="69"/>
      <c r="Q1148" s="69"/>
      <c r="R1148" s="69"/>
    </row>
    <row r="1149" spans="1:18">
      <c r="A1149" s="6"/>
      <c r="B1149" s="59"/>
      <c r="C1149" s="60"/>
      <c r="D1149" s="62"/>
      <c r="E1149" s="62"/>
      <c r="F1149" s="63"/>
      <c r="G1149" s="59"/>
      <c r="H1149" s="59"/>
      <c r="I1149" s="64"/>
      <c r="J1149" s="59"/>
      <c r="K1149" s="65"/>
      <c r="L1149" s="66"/>
      <c r="M1149" s="67"/>
      <c r="N1149" s="68"/>
      <c r="O1149" s="69"/>
      <c r="P1149" s="69"/>
      <c r="Q1149" s="69"/>
      <c r="R1149" s="69"/>
    </row>
    <row r="1150" spans="1:18">
      <c r="A1150" s="6"/>
      <c r="B1150" s="59"/>
      <c r="C1150" s="60"/>
      <c r="D1150" s="62"/>
      <c r="E1150" s="62"/>
      <c r="F1150" s="63"/>
      <c r="G1150" s="59"/>
      <c r="H1150" s="59"/>
      <c r="I1150" s="64"/>
      <c r="J1150" s="59"/>
      <c r="K1150" s="65"/>
      <c r="L1150" s="66"/>
      <c r="M1150" s="67"/>
      <c r="N1150" s="68"/>
      <c r="O1150" s="69"/>
      <c r="P1150" s="69"/>
      <c r="Q1150" s="69"/>
      <c r="R1150" s="69"/>
    </row>
    <row r="1151" spans="1:18">
      <c r="A1151" s="6"/>
      <c r="B1151" s="59"/>
      <c r="C1151" s="60"/>
      <c r="D1151" s="62"/>
      <c r="E1151" s="62"/>
      <c r="F1151" s="63"/>
      <c r="G1151" s="59"/>
      <c r="H1151" s="59"/>
      <c r="I1151" s="64"/>
      <c r="J1151" s="59"/>
      <c r="K1151" s="65"/>
      <c r="L1151" s="66"/>
      <c r="M1151" s="67"/>
      <c r="N1151" s="68"/>
      <c r="O1151" s="69"/>
      <c r="P1151" s="69"/>
      <c r="Q1151" s="69"/>
      <c r="R1151" s="69"/>
    </row>
    <row r="1152" spans="1:18">
      <c r="A1152" s="6"/>
      <c r="B1152" s="59"/>
      <c r="C1152" s="60"/>
      <c r="D1152" s="62"/>
      <c r="E1152" s="62"/>
      <c r="F1152" s="63"/>
      <c r="G1152" s="59"/>
      <c r="H1152" s="59"/>
      <c r="I1152" s="64"/>
      <c r="J1152" s="59"/>
      <c r="K1152" s="65"/>
      <c r="L1152" s="66"/>
      <c r="M1152" s="67"/>
      <c r="N1152" s="68"/>
      <c r="O1152" s="69"/>
      <c r="P1152" s="69"/>
      <c r="Q1152" s="69"/>
      <c r="R1152" s="69"/>
    </row>
    <row r="1153" spans="1:18">
      <c r="A1153" s="6"/>
      <c r="B1153" s="59"/>
      <c r="C1153" s="60"/>
      <c r="D1153" s="62"/>
      <c r="E1153" s="62"/>
      <c r="F1153" s="63"/>
      <c r="G1153" s="59"/>
      <c r="H1153" s="59"/>
      <c r="I1153" s="64"/>
      <c r="J1153" s="59"/>
      <c r="K1153" s="65"/>
      <c r="L1153" s="66"/>
      <c r="M1153" s="67"/>
      <c r="N1153" s="68"/>
      <c r="O1153" s="69"/>
      <c r="P1153" s="69"/>
      <c r="Q1153" s="69"/>
      <c r="R1153" s="69"/>
    </row>
    <row r="1154" spans="1:18">
      <c r="A1154" s="6"/>
      <c r="B1154" s="59"/>
      <c r="C1154" s="60"/>
      <c r="D1154" s="62"/>
      <c r="E1154" s="62"/>
      <c r="F1154" s="63"/>
      <c r="G1154" s="59"/>
      <c r="H1154" s="59"/>
      <c r="I1154" s="64"/>
      <c r="J1154" s="59"/>
      <c r="K1154" s="65"/>
      <c r="L1154" s="66"/>
      <c r="M1154" s="67"/>
      <c r="N1154" s="68"/>
      <c r="O1154" s="69"/>
      <c r="P1154" s="69"/>
      <c r="Q1154" s="69"/>
      <c r="R1154" s="69"/>
    </row>
    <row r="1155" spans="1:18">
      <c r="A1155" s="6"/>
      <c r="B1155" s="59"/>
      <c r="C1155" s="60"/>
      <c r="D1155" s="62"/>
      <c r="E1155" s="62"/>
      <c r="F1155" s="63"/>
      <c r="G1155" s="59"/>
      <c r="H1155" s="59"/>
      <c r="I1155" s="64"/>
      <c r="J1155" s="59"/>
      <c r="K1155" s="65"/>
      <c r="L1155" s="66"/>
      <c r="M1155" s="67"/>
      <c r="N1155" s="68"/>
      <c r="O1155" s="69"/>
      <c r="P1155" s="69"/>
      <c r="Q1155" s="69"/>
      <c r="R1155" s="69"/>
    </row>
    <row r="1156" spans="1:18">
      <c r="A1156" s="6"/>
      <c r="B1156" s="59"/>
      <c r="C1156" s="60"/>
      <c r="D1156" s="62"/>
      <c r="E1156" s="62"/>
      <c r="F1156" s="63"/>
      <c r="G1156" s="59"/>
      <c r="H1156" s="59"/>
      <c r="I1156" s="64"/>
      <c r="J1156" s="59"/>
      <c r="K1156" s="65"/>
      <c r="L1156" s="66"/>
      <c r="M1156" s="67"/>
      <c r="N1156" s="68"/>
      <c r="O1156" s="69"/>
      <c r="P1156" s="69"/>
      <c r="Q1156" s="69"/>
      <c r="R1156" s="69"/>
    </row>
    <row r="1157" spans="1:18">
      <c r="A1157" s="6"/>
      <c r="B1157" s="59"/>
      <c r="C1157" s="60"/>
      <c r="D1157" s="62"/>
      <c r="E1157" s="62"/>
      <c r="F1157" s="63"/>
      <c r="G1157" s="59"/>
      <c r="H1157" s="59"/>
      <c r="I1157" s="64"/>
      <c r="J1157" s="59"/>
      <c r="K1157" s="65"/>
      <c r="L1157" s="66"/>
      <c r="M1157" s="67"/>
      <c r="N1157" s="68"/>
      <c r="O1157" s="69"/>
      <c r="P1157" s="69"/>
      <c r="Q1157" s="69"/>
      <c r="R1157" s="69"/>
    </row>
    <row r="1158" spans="1:18">
      <c r="A1158" s="6"/>
      <c r="B1158" s="59"/>
      <c r="C1158" s="60"/>
      <c r="D1158" s="62"/>
      <c r="E1158" s="62"/>
      <c r="F1158" s="63"/>
      <c r="G1158" s="59"/>
      <c r="H1158" s="59"/>
      <c r="I1158" s="64"/>
      <c r="J1158" s="59"/>
      <c r="K1158" s="65"/>
      <c r="L1158" s="66"/>
      <c r="M1158" s="67"/>
      <c r="N1158" s="68"/>
      <c r="O1158" s="69"/>
      <c r="P1158" s="69"/>
      <c r="Q1158" s="69"/>
      <c r="R1158" s="69"/>
    </row>
    <row r="1159" spans="1:18">
      <c r="A1159" s="6"/>
      <c r="B1159" s="59"/>
      <c r="C1159" s="60"/>
      <c r="D1159" s="62"/>
      <c r="E1159" s="62"/>
      <c r="F1159" s="63"/>
      <c r="G1159" s="59"/>
      <c r="H1159" s="59"/>
      <c r="I1159" s="64"/>
      <c r="J1159" s="59"/>
      <c r="K1159" s="65"/>
      <c r="L1159" s="66"/>
      <c r="M1159" s="67"/>
      <c r="N1159" s="68"/>
      <c r="O1159" s="69"/>
      <c r="P1159" s="69"/>
      <c r="Q1159" s="69"/>
      <c r="R1159" s="69"/>
    </row>
    <row r="1160" spans="1:18">
      <c r="A1160" s="6"/>
      <c r="B1160" s="59"/>
      <c r="C1160" s="60"/>
      <c r="D1160" s="62"/>
      <c r="E1160" s="62"/>
      <c r="F1160" s="63"/>
      <c r="G1160" s="59"/>
      <c r="H1160" s="59"/>
      <c r="I1160" s="64"/>
      <c r="J1160" s="59"/>
      <c r="K1160" s="65"/>
      <c r="L1160" s="66"/>
      <c r="M1160" s="67"/>
      <c r="N1160" s="68"/>
      <c r="O1160" s="69"/>
      <c r="P1160" s="69"/>
      <c r="Q1160" s="69"/>
      <c r="R1160" s="69"/>
    </row>
    <row r="1161" spans="1:18">
      <c r="A1161" s="6"/>
      <c r="B1161" s="59"/>
      <c r="C1161" s="60"/>
      <c r="D1161" s="62"/>
      <c r="E1161" s="62"/>
      <c r="F1161" s="63"/>
      <c r="G1161" s="59"/>
      <c r="H1161" s="59"/>
      <c r="I1161" s="64"/>
      <c r="J1161" s="59"/>
      <c r="K1161" s="65"/>
      <c r="L1161" s="66"/>
      <c r="M1161" s="67"/>
      <c r="N1161" s="68"/>
      <c r="O1161" s="69"/>
      <c r="P1161" s="69"/>
      <c r="Q1161" s="69"/>
      <c r="R1161" s="69"/>
    </row>
    <row r="1162" spans="1:18">
      <c r="A1162" s="6"/>
      <c r="B1162" s="59"/>
      <c r="C1162" s="60"/>
      <c r="D1162" s="62"/>
      <c r="E1162" s="62"/>
      <c r="F1162" s="63"/>
      <c r="G1162" s="59"/>
      <c r="H1162" s="59"/>
      <c r="I1162" s="64"/>
      <c r="J1162" s="59"/>
      <c r="K1162" s="65"/>
      <c r="L1162" s="66"/>
      <c r="M1162" s="67"/>
      <c r="N1162" s="68"/>
      <c r="O1162" s="69"/>
      <c r="P1162" s="69"/>
      <c r="Q1162" s="69"/>
      <c r="R1162" s="69"/>
    </row>
    <row r="1163" spans="1:18">
      <c r="A1163" s="6"/>
      <c r="B1163" s="59"/>
      <c r="C1163" s="60"/>
      <c r="D1163" s="62"/>
      <c r="E1163" s="62"/>
      <c r="F1163" s="63"/>
      <c r="G1163" s="59"/>
      <c r="H1163" s="59"/>
      <c r="I1163" s="64"/>
      <c r="J1163" s="59"/>
      <c r="K1163" s="65"/>
      <c r="L1163" s="66"/>
      <c r="M1163" s="67"/>
      <c r="N1163" s="68"/>
      <c r="O1163" s="69"/>
      <c r="P1163" s="69"/>
      <c r="Q1163" s="69"/>
      <c r="R1163" s="69"/>
    </row>
    <row r="1164" spans="1:18">
      <c r="A1164" s="6"/>
      <c r="B1164" s="59"/>
      <c r="C1164" s="60"/>
      <c r="D1164" s="62"/>
      <c r="E1164" s="62"/>
      <c r="F1164" s="63"/>
      <c r="G1164" s="59"/>
      <c r="H1164" s="59"/>
      <c r="I1164" s="64"/>
      <c r="J1164" s="59"/>
      <c r="K1164" s="65"/>
      <c r="L1164" s="66"/>
      <c r="M1164" s="67"/>
      <c r="N1164" s="68"/>
      <c r="O1164" s="69"/>
      <c r="P1164" s="69"/>
      <c r="Q1164" s="69"/>
      <c r="R1164" s="69"/>
    </row>
    <row r="1165" spans="1:18">
      <c r="A1165" s="6"/>
      <c r="B1165" s="59"/>
      <c r="C1165" s="60"/>
      <c r="D1165" s="62"/>
      <c r="E1165" s="62"/>
      <c r="F1165" s="63"/>
      <c r="G1165" s="59"/>
      <c r="H1165" s="59"/>
      <c r="I1165" s="64"/>
      <c r="J1165" s="59"/>
      <c r="K1165" s="65"/>
      <c r="L1165" s="66"/>
      <c r="M1165" s="67"/>
      <c r="N1165" s="68"/>
      <c r="O1165" s="69"/>
      <c r="P1165" s="69"/>
      <c r="Q1165" s="69"/>
      <c r="R1165" s="69"/>
    </row>
    <row r="1166" spans="1:18">
      <c r="A1166" s="6"/>
      <c r="B1166" s="59"/>
      <c r="C1166" s="60"/>
      <c r="D1166" s="62"/>
      <c r="E1166" s="62"/>
      <c r="F1166" s="63"/>
      <c r="G1166" s="59"/>
      <c r="H1166" s="59"/>
      <c r="I1166" s="64"/>
      <c r="J1166" s="59"/>
      <c r="K1166" s="65"/>
      <c r="L1166" s="66"/>
      <c r="M1166" s="67"/>
      <c r="N1166" s="68"/>
      <c r="O1166" s="69"/>
      <c r="P1166" s="69"/>
      <c r="Q1166" s="69"/>
      <c r="R1166" s="69"/>
    </row>
    <row r="1167" spans="1:18">
      <c r="A1167" s="6"/>
      <c r="B1167" s="59"/>
      <c r="C1167" s="60"/>
      <c r="D1167" s="62"/>
      <c r="E1167" s="62"/>
      <c r="F1167" s="63"/>
      <c r="G1167" s="59"/>
      <c r="H1167" s="59"/>
      <c r="I1167" s="64"/>
      <c r="J1167" s="59"/>
      <c r="K1167" s="65"/>
      <c r="L1167" s="66"/>
      <c r="M1167" s="67"/>
      <c r="N1167" s="68"/>
      <c r="O1167" s="69"/>
      <c r="P1167" s="69"/>
      <c r="Q1167" s="69"/>
      <c r="R1167" s="69"/>
    </row>
    <row r="1168" spans="1:18">
      <c r="A1168" s="6"/>
      <c r="B1168" s="59"/>
      <c r="C1168" s="60"/>
      <c r="D1168" s="62"/>
      <c r="E1168" s="62"/>
      <c r="F1168" s="63"/>
      <c r="G1168" s="59"/>
      <c r="H1168" s="59"/>
      <c r="I1168" s="64"/>
      <c r="J1168" s="59"/>
      <c r="K1168" s="65"/>
      <c r="L1168" s="66"/>
      <c r="M1168" s="67"/>
      <c r="N1168" s="68"/>
      <c r="O1168" s="69"/>
      <c r="P1168" s="69"/>
      <c r="Q1168" s="69"/>
      <c r="R1168" s="69"/>
    </row>
    <row r="1169" spans="1:18">
      <c r="A1169" s="6"/>
      <c r="B1169" s="59"/>
      <c r="C1169" s="60"/>
      <c r="D1169" s="62"/>
      <c r="E1169" s="62"/>
      <c r="F1169" s="63"/>
      <c r="G1169" s="59"/>
      <c r="H1169" s="59"/>
      <c r="I1169" s="64"/>
      <c r="J1169" s="59"/>
      <c r="K1169" s="65"/>
      <c r="L1169" s="66"/>
      <c r="M1169" s="67"/>
      <c r="N1169" s="68"/>
      <c r="O1169" s="69"/>
      <c r="P1169" s="69"/>
      <c r="Q1169" s="69"/>
      <c r="R1169" s="69"/>
    </row>
    <row r="1170" spans="1:18">
      <c r="A1170" s="6"/>
      <c r="B1170" s="59"/>
      <c r="C1170" s="60"/>
      <c r="D1170" s="62"/>
      <c r="E1170" s="62"/>
      <c r="F1170" s="63"/>
      <c r="G1170" s="59"/>
      <c r="H1170" s="59"/>
      <c r="I1170" s="64"/>
      <c r="J1170" s="59"/>
      <c r="K1170" s="65"/>
      <c r="L1170" s="66"/>
      <c r="M1170" s="67"/>
      <c r="N1170" s="68"/>
      <c r="O1170" s="69"/>
      <c r="P1170" s="69"/>
      <c r="Q1170" s="69"/>
      <c r="R1170" s="69"/>
    </row>
    <row r="1171" spans="1:18">
      <c r="A1171" s="6"/>
      <c r="B1171" s="59"/>
      <c r="C1171" s="60"/>
      <c r="D1171" s="62"/>
      <c r="E1171" s="62"/>
      <c r="F1171" s="63"/>
      <c r="G1171" s="59"/>
      <c r="H1171" s="59"/>
      <c r="I1171" s="64"/>
      <c r="J1171" s="59"/>
      <c r="K1171" s="65"/>
      <c r="L1171" s="66"/>
      <c r="M1171" s="67"/>
      <c r="N1171" s="68"/>
      <c r="O1171" s="69"/>
      <c r="P1171" s="69"/>
      <c r="Q1171" s="69"/>
      <c r="R1171" s="69"/>
    </row>
    <row r="1172" spans="1:18">
      <c r="A1172" s="6"/>
      <c r="B1172" s="59"/>
      <c r="C1172" s="60"/>
      <c r="D1172" s="62"/>
      <c r="E1172" s="62"/>
      <c r="F1172" s="63"/>
      <c r="G1172" s="59"/>
      <c r="H1172" s="59"/>
      <c r="I1172" s="64"/>
      <c r="J1172" s="59"/>
      <c r="K1172" s="65"/>
      <c r="L1172" s="66"/>
      <c r="M1172" s="67"/>
      <c r="N1172" s="68"/>
      <c r="O1172" s="69"/>
      <c r="P1172" s="69"/>
      <c r="Q1172" s="69"/>
      <c r="R1172" s="69"/>
    </row>
    <row r="1173" spans="1:18">
      <c r="A1173" s="6"/>
      <c r="B1173" s="59"/>
      <c r="C1173" s="60"/>
      <c r="D1173" s="62"/>
      <c r="E1173" s="62"/>
      <c r="F1173" s="63"/>
      <c r="G1173" s="59"/>
      <c r="H1173" s="59"/>
      <c r="I1173" s="64"/>
      <c r="J1173" s="59"/>
      <c r="K1173" s="65"/>
      <c r="L1173" s="66"/>
      <c r="M1173" s="67"/>
      <c r="N1173" s="68"/>
      <c r="O1173" s="69"/>
      <c r="P1173" s="69"/>
      <c r="Q1173" s="69"/>
      <c r="R1173" s="69"/>
    </row>
    <row r="1174" spans="1:18">
      <c r="A1174" s="6"/>
      <c r="B1174" s="59"/>
      <c r="C1174" s="60"/>
      <c r="D1174" s="62"/>
      <c r="E1174" s="62"/>
      <c r="F1174" s="63"/>
      <c r="G1174" s="59"/>
      <c r="H1174" s="59"/>
      <c r="I1174" s="64"/>
      <c r="J1174" s="59"/>
      <c r="K1174" s="65"/>
      <c r="L1174" s="66"/>
      <c r="M1174" s="67"/>
      <c r="N1174" s="68"/>
      <c r="O1174" s="69"/>
      <c r="P1174" s="69"/>
      <c r="Q1174" s="69"/>
      <c r="R1174" s="69"/>
    </row>
    <row r="1175" spans="1:18">
      <c r="A1175" s="6"/>
      <c r="B1175" s="59"/>
      <c r="C1175" s="60"/>
      <c r="D1175" s="62"/>
      <c r="E1175" s="62"/>
      <c r="F1175" s="63"/>
      <c r="G1175" s="59"/>
      <c r="H1175" s="59"/>
      <c r="I1175" s="64"/>
      <c r="J1175" s="59"/>
      <c r="K1175" s="65"/>
      <c r="L1175" s="66"/>
      <c r="M1175" s="67"/>
      <c r="N1175" s="68"/>
      <c r="O1175" s="69"/>
      <c r="P1175" s="69"/>
      <c r="Q1175" s="69"/>
      <c r="R1175" s="69"/>
    </row>
    <row r="1176" spans="1:18">
      <c r="A1176" s="6"/>
      <c r="B1176" s="59"/>
      <c r="C1176" s="60"/>
      <c r="D1176" s="62"/>
      <c r="E1176" s="62"/>
      <c r="F1176" s="63"/>
      <c r="G1176" s="59"/>
      <c r="H1176" s="59"/>
      <c r="I1176" s="64"/>
      <c r="J1176" s="59"/>
      <c r="K1176" s="65"/>
      <c r="L1176" s="66"/>
      <c r="M1176" s="67"/>
      <c r="N1176" s="68"/>
      <c r="O1176" s="69"/>
      <c r="P1176" s="69"/>
      <c r="Q1176" s="69"/>
      <c r="R1176" s="69"/>
    </row>
    <row r="1177" spans="1:18">
      <c r="A1177" s="6"/>
      <c r="B1177" s="59"/>
      <c r="C1177" s="60"/>
      <c r="D1177" s="62"/>
      <c r="E1177" s="62"/>
      <c r="F1177" s="63"/>
      <c r="G1177" s="59"/>
      <c r="H1177" s="59"/>
      <c r="I1177" s="64"/>
      <c r="J1177" s="59"/>
      <c r="K1177" s="65"/>
      <c r="L1177" s="66"/>
      <c r="M1177" s="67"/>
      <c r="N1177" s="68"/>
      <c r="O1177" s="69"/>
      <c r="P1177" s="69"/>
      <c r="Q1177" s="69"/>
      <c r="R1177" s="69"/>
    </row>
    <row r="1178" spans="1:18">
      <c r="A1178" s="6"/>
      <c r="B1178" s="59"/>
      <c r="C1178" s="60"/>
      <c r="D1178" s="62"/>
      <c r="E1178" s="62"/>
      <c r="F1178" s="63"/>
      <c r="G1178" s="59"/>
      <c r="H1178" s="59"/>
      <c r="I1178" s="64"/>
      <c r="J1178" s="59"/>
      <c r="K1178" s="65"/>
      <c r="L1178" s="66"/>
      <c r="M1178" s="67"/>
      <c r="N1178" s="68"/>
      <c r="O1178" s="69"/>
      <c r="P1178" s="69"/>
      <c r="Q1178" s="69"/>
      <c r="R1178" s="69"/>
    </row>
    <row r="1179" spans="1:18">
      <c r="A1179" s="6"/>
      <c r="B1179" s="59"/>
      <c r="C1179" s="60"/>
      <c r="D1179" s="62"/>
      <c r="E1179" s="62"/>
      <c r="F1179" s="63"/>
      <c r="G1179" s="59"/>
      <c r="H1179" s="59"/>
      <c r="I1179" s="64"/>
      <c r="J1179" s="59"/>
      <c r="K1179" s="65"/>
      <c r="L1179" s="66"/>
      <c r="M1179" s="67"/>
      <c r="N1179" s="68"/>
      <c r="O1179" s="69"/>
      <c r="P1179" s="69"/>
      <c r="Q1179" s="69"/>
      <c r="R1179" s="69"/>
    </row>
    <row r="1180" spans="1:18">
      <c r="A1180" s="6"/>
      <c r="B1180" s="59"/>
      <c r="C1180" s="60"/>
      <c r="D1180" s="62"/>
      <c r="E1180" s="62"/>
      <c r="F1180" s="63"/>
      <c r="G1180" s="59"/>
      <c r="H1180" s="59"/>
      <c r="I1180" s="64"/>
      <c r="J1180" s="59"/>
      <c r="K1180" s="65"/>
      <c r="L1180" s="66"/>
      <c r="M1180" s="67"/>
      <c r="N1180" s="68"/>
      <c r="O1180" s="69"/>
      <c r="P1180" s="69"/>
      <c r="Q1180" s="69"/>
      <c r="R1180" s="69"/>
    </row>
    <row r="1181" spans="1:18">
      <c r="A1181" s="6"/>
      <c r="B1181" s="59"/>
      <c r="C1181" s="60"/>
      <c r="D1181" s="62"/>
      <c r="E1181" s="62"/>
      <c r="F1181" s="63"/>
      <c r="G1181" s="59"/>
      <c r="H1181" s="59"/>
      <c r="I1181" s="64"/>
      <c r="J1181" s="59"/>
      <c r="K1181" s="65"/>
      <c r="L1181" s="66"/>
      <c r="M1181" s="67"/>
      <c r="N1181" s="68"/>
      <c r="O1181" s="69"/>
      <c r="P1181" s="69"/>
      <c r="Q1181" s="69"/>
      <c r="R1181" s="69"/>
    </row>
    <row r="1182" spans="1:18">
      <c r="A1182" s="6"/>
      <c r="B1182" s="59"/>
      <c r="C1182" s="60"/>
      <c r="D1182" s="62"/>
      <c r="E1182" s="62"/>
      <c r="F1182" s="63"/>
      <c r="G1182" s="59"/>
      <c r="H1182" s="59"/>
      <c r="I1182" s="64"/>
      <c r="J1182" s="59"/>
      <c r="K1182" s="65"/>
      <c r="L1182" s="66"/>
      <c r="M1182" s="67"/>
      <c r="N1182" s="68"/>
      <c r="O1182" s="69"/>
      <c r="P1182" s="69"/>
      <c r="Q1182" s="69"/>
      <c r="R1182" s="69"/>
    </row>
    <row r="1183" spans="1:18">
      <c r="A1183" s="6"/>
      <c r="B1183" s="59"/>
      <c r="C1183" s="60"/>
      <c r="D1183" s="62"/>
      <c r="E1183" s="62"/>
      <c r="F1183" s="63"/>
      <c r="G1183" s="59"/>
      <c r="H1183" s="59"/>
      <c r="I1183" s="64"/>
      <c r="J1183" s="59"/>
      <c r="K1183" s="65"/>
      <c r="L1183" s="66"/>
      <c r="M1183" s="67"/>
      <c r="N1183" s="68"/>
      <c r="O1183" s="69"/>
      <c r="P1183" s="69"/>
      <c r="Q1183" s="69"/>
      <c r="R1183" s="69"/>
    </row>
    <row r="1184" spans="1:18">
      <c r="A1184" s="6"/>
      <c r="B1184" s="59"/>
      <c r="C1184" s="60"/>
      <c r="D1184" s="62"/>
      <c r="E1184" s="62"/>
      <c r="F1184" s="63"/>
      <c r="G1184" s="59"/>
      <c r="H1184" s="59"/>
      <c r="I1184" s="64"/>
      <c r="J1184" s="59"/>
      <c r="K1184" s="65"/>
      <c r="L1184" s="66"/>
      <c r="M1184" s="67"/>
      <c r="N1184" s="68"/>
      <c r="O1184" s="69"/>
      <c r="P1184" s="69"/>
      <c r="Q1184" s="69"/>
      <c r="R1184" s="69"/>
    </row>
    <row r="1185" spans="1:18">
      <c r="A1185" s="6"/>
      <c r="B1185" s="59"/>
      <c r="C1185" s="60"/>
      <c r="D1185" s="62"/>
      <c r="E1185" s="62"/>
      <c r="F1185" s="63"/>
      <c r="G1185" s="59"/>
      <c r="H1185" s="59"/>
      <c r="I1185" s="64"/>
      <c r="J1185" s="59"/>
      <c r="K1185" s="65"/>
      <c r="L1185" s="66"/>
      <c r="M1185" s="67"/>
      <c r="N1185" s="68"/>
      <c r="O1185" s="69"/>
      <c r="P1185" s="69"/>
      <c r="Q1185" s="69"/>
      <c r="R1185" s="69"/>
    </row>
    <row r="1186" spans="1:18">
      <c r="A1186" s="6"/>
      <c r="B1186" s="59"/>
      <c r="C1186" s="60"/>
      <c r="D1186" s="62"/>
      <c r="E1186" s="62"/>
      <c r="F1186" s="63"/>
      <c r="G1186" s="59"/>
      <c r="H1186" s="59"/>
      <c r="I1186" s="64"/>
      <c r="J1186" s="59"/>
      <c r="K1186" s="65"/>
      <c r="L1186" s="66"/>
      <c r="M1186" s="67"/>
      <c r="N1186" s="68"/>
      <c r="O1186" s="69"/>
      <c r="P1186" s="69"/>
      <c r="Q1186" s="69"/>
      <c r="R1186" s="69"/>
    </row>
    <row r="1187" spans="1:18">
      <c r="A1187" s="6"/>
      <c r="B1187" s="59"/>
      <c r="C1187" s="60"/>
      <c r="D1187" s="62"/>
      <c r="E1187" s="62"/>
      <c r="F1187" s="63"/>
      <c r="G1187" s="59"/>
      <c r="H1187" s="59"/>
      <c r="I1187" s="64"/>
      <c r="J1187" s="59"/>
      <c r="K1187" s="65"/>
      <c r="L1187" s="66"/>
      <c r="M1187" s="67"/>
      <c r="N1187" s="68"/>
      <c r="O1187" s="69"/>
      <c r="P1187" s="69"/>
      <c r="Q1187" s="69"/>
      <c r="R1187" s="69"/>
    </row>
    <row r="1188" spans="1:18">
      <c r="A1188" s="6"/>
      <c r="B1188" s="59"/>
      <c r="C1188" s="60"/>
      <c r="D1188" s="62"/>
      <c r="E1188" s="62"/>
      <c r="F1188" s="63"/>
      <c r="G1188" s="59"/>
      <c r="H1188" s="59"/>
      <c r="I1188" s="64"/>
      <c r="J1188" s="59"/>
      <c r="K1188" s="65"/>
      <c r="L1188" s="66"/>
      <c r="M1188" s="67"/>
      <c r="N1188" s="68"/>
      <c r="O1188" s="69"/>
      <c r="P1188" s="69"/>
      <c r="Q1188" s="69"/>
      <c r="R1188" s="69"/>
    </row>
    <row r="1189" spans="1:18">
      <c r="A1189" s="6"/>
      <c r="B1189" s="59"/>
      <c r="C1189" s="60"/>
      <c r="D1189" s="62"/>
      <c r="E1189" s="62"/>
      <c r="F1189" s="63"/>
      <c r="G1189" s="59"/>
      <c r="H1189" s="59"/>
      <c r="I1189" s="64"/>
      <c r="J1189" s="59"/>
      <c r="K1189" s="65"/>
      <c r="L1189" s="66"/>
      <c r="M1189" s="67"/>
      <c r="N1189" s="68"/>
      <c r="O1189" s="69"/>
      <c r="P1189" s="69"/>
      <c r="Q1189" s="69"/>
      <c r="R1189" s="69"/>
    </row>
    <row r="1190" spans="1:18">
      <c r="A1190" s="6"/>
      <c r="B1190" s="59"/>
      <c r="C1190" s="60"/>
      <c r="D1190" s="62"/>
      <c r="E1190" s="62"/>
      <c r="F1190" s="63"/>
      <c r="G1190" s="59"/>
      <c r="H1190" s="59"/>
      <c r="I1190" s="64"/>
      <c r="J1190" s="59"/>
      <c r="K1190" s="65"/>
      <c r="L1190" s="66"/>
      <c r="M1190" s="67"/>
      <c r="N1190" s="68"/>
      <c r="O1190" s="69"/>
      <c r="P1190" s="69"/>
      <c r="Q1190" s="69"/>
      <c r="R1190" s="69"/>
    </row>
    <row r="1191" spans="1:18">
      <c r="A1191" s="6"/>
      <c r="B1191" s="59"/>
      <c r="C1191" s="60"/>
      <c r="D1191" s="62"/>
      <c r="E1191" s="62"/>
      <c r="F1191" s="63"/>
      <c r="G1191" s="59"/>
      <c r="H1191" s="59"/>
      <c r="I1191" s="64"/>
      <c r="J1191" s="59"/>
      <c r="K1191" s="65"/>
      <c r="L1191" s="66"/>
      <c r="M1191" s="67"/>
      <c r="N1191" s="68"/>
      <c r="O1191" s="69"/>
      <c r="P1191" s="69"/>
      <c r="Q1191" s="69"/>
      <c r="R1191" s="69"/>
    </row>
    <row r="1192" spans="1:18">
      <c r="A1192" s="6"/>
      <c r="B1192" s="59"/>
      <c r="C1192" s="60"/>
      <c r="D1192" s="62"/>
      <c r="E1192" s="62"/>
      <c r="F1192" s="63"/>
      <c r="G1192" s="59"/>
      <c r="H1192" s="59"/>
      <c r="I1192" s="64"/>
      <c r="J1192" s="59"/>
      <c r="K1192" s="65"/>
      <c r="L1192" s="66"/>
      <c r="M1192" s="67"/>
      <c r="N1192" s="68"/>
      <c r="O1192" s="69"/>
      <c r="P1192" s="69"/>
      <c r="Q1192" s="69"/>
      <c r="R1192" s="69"/>
    </row>
    <row r="1193" spans="1:18">
      <c r="A1193" s="6"/>
      <c r="B1193" s="59"/>
      <c r="C1193" s="60"/>
      <c r="D1193" s="62"/>
      <c r="E1193" s="62"/>
      <c r="F1193" s="63"/>
      <c r="G1193" s="59"/>
      <c r="H1193" s="59"/>
      <c r="I1193" s="64"/>
      <c r="J1193" s="59"/>
      <c r="K1193" s="65"/>
      <c r="L1193" s="66"/>
      <c r="M1193" s="67"/>
      <c r="N1193" s="68"/>
      <c r="O1193" s="69"/>
      <c r="P1193" s="69"/>
      <c r="Q1193" s="69"/>
      <c r="R1193" s="69"/>
    </row>
    <row r="1194" spans="1:18">
      <c r="A1194" s="6"/>
      <c r="B1194" s="59"/>
      <c r="C1194" s="60"/>
      <c r="D1194" s="62"/>
      <c r="E1194" s="62"/>
      <c r="F1194" s="63"/>
      <c r="G1194" s="59"/>
      <c r="H1194" s="59"/>
      <c r="I1194" s="64"/>
      <c r="J1194" s="59"/>
      <c r="K1194" s="65"/>
      <c r="L1194" s="66"/>
      <c r="M1194" s="67"/>
      <c r="N1194" s="68"/>
      <c r="O1194" s="69"/>
      <c r="P1194" s="69"/>
      <c r="Q1194" s="69"/>
      <c r="R1194" s="69"/>
    </row>
    <row r="1195" spans="1:18">
      <c r="A1195" s="6"/>
      <c r="B1195" s="59"/>
      <c r="C1195" s="60"/>
      <c r="D1195" s="62"/>
      <c r="E1195" s="62"/>
      <c r="F1195" s="63"/>
      <c r="G1195" s="59"/>
      <c r="H1195" s="59"/>
      <c r="I1195" s="64"/>
      <c r="J1195" s="59"/>
      <c r="K1195" s="65"/>
      <c r="L1195" s="66"/>
      <c r="M1195" s="67"/>
      <c r="N1195" s="68"/>
      <c r="O1195" s="69"/>
      <c r="P1195" s="69"/>
      <c r="Q1195" s="69"/>
      <c r="R1195" s="69"/>
    </row>
    <row r="1196" spans="1:18">
      <c r="A1196" s="6"/>
      <c r="B1196" s="59"/>
      <c r="C1196" s="60"/>
      <c r="D1196" s="62"/>
      <c r="E1196" s="62"/>
      <c r="F1196" s="63"/>
      <c r="G1196" s="59"/>
      <c r="H1196" s="59"/>
      <c r="I1196" s="64"/>
      <c r="J1196" s="59"/>
      <c r="K1196" s="65"/>
      <c r="L1196" s="66"/>
      <c r="M1196" s="67"/>
      <c r="N1196" s="68"/>
      <c r="O1196" s="69"/>
      <c r="P1196" s="69"/>
      <c r="Q1196" s="69"/>
      <c r="R1196" s="69"/>
    </row>
    <row r="1197" spans="1:18">
      <c r="A1197" s="6"/>
      <c r="B1197" s="59"/>
      <c r="C1197" s="60"/>
      <c r="D1197" s="62"/>
      <c r="E1197" s="62"/>
      <c r="F1197" s="63"/>
      <c r="G1197" s="59"/>
      <c r="H1197" s="59"/>
      <c r="I1197" s="64"/>
      <c r="J1197" s="59"/>
      <c r="K1197" s="65"/>
      <c r="L1197" s="66"/>
      <c r="M1197" s="67"/>
      <c r="N1197" s="68"/>
      <c r="O1197" s="69"/>
      <c r="P1197" s="69"/>
      <c r="Q1197" s="69"/>
      <c r="R1197" s="69"/>
    </row>
    <row r="1198" spans="1:18">
      <c r="A1198" s="6"/>
      <c r="B1198" s="59"/>
      <c r="C1198" s="60"/>
      <c r="D1198" s="62"/>
      <c r="E1198" s="62"/>
      <c r="F1198" s="63"/>
      <c r="G1198" s="59"/>
      <c r="H1198" s="59"/>
      <c r="I1198" s="64"/>
      <c r="J1198" s="59"/>
      <c r="K1198" s="65"/>
      <c r="L1198" s="66"/>
      <c r="M1198" s="67"/>
      <c r="N1198" s="68"/>
      <c r="O1198" s="69"/>
      <c r="P1198" s="69"/>
      <c r="Q1198" s="69"/>
      <c r="R1198" s="69"/>
    </row>
    <row r="1199" spans="1:18">
      <c r="A1199" s="6"/>
      <c r="B1199" s="59"/>
      <c r="C1199" s="60"/>
      <c r="D1199" s="62"/>
      <c r="E1199" s="62"/>
      <c r="F1199" s="63"/>
      <c r="G1199" s="59"/>
      <c r="H1199" s="59"/>
      <c r="I1199" s="64"/>
      <c r="J1199" s="59"/>
      <c r="K1199" s="65"/>
      <c r="L1199" s="66"/>
      <c r="M1199" s="67"/>
      <c r="N1199" s="68"/>
      <c r="O1199" s="69"/>
      <c r="P1199" s="69"/>
      <c r="Q1199" s="69"/>
      <c r="R1199" s="69"/>
    </row>
    <row r="1200" spans="1:18">
      <c r="A1200" s="6"/>
      <c r="B1200" s="59"/>
      <c r="C1200" s="60"/>
      <c r="D1200" s="62"/>
      <c r="E1200" s="62"/>
      <c r="F1200" s="63"/>
      <c r="G1200" s="59"/>
      <c r="H1200" s="59"/>
      <c r="I1200" s="64"/>
      <c r="J1200" s="59"/>
      <c r="K1200" s="65"/>
      <c r="L1200" s="66"/>
      <c r="M1200" s="67"/>
      <c r="N1200" s="68"/>
      <c r="O1200" s="69"/>
      <c r="P1200" s="69"/>
      <c r="Q1200" s="69"/>
      <c r="R1200" s="69"/>
    </row>
    <row r="1201" spans="1:18">
      <c r="A1201" s="6"/>
      <c r="B1201" s="59"/>
      <c r="C1201" s="60"/>
      <c r="D1201" s="62"/>
      <c r="E1201" s="62"/>
      <c r="F1201" s="63"/>
      <c r="G1201" s="59"/>
      <c r="H1201" s="59"/>
      <c r="I1201" s="64"/>
      <c r="J1201" s="59"/>
      <c r="K1201" s="65"/>
      <c r="L1201" s="66"/>
      <c r="M1201" s="67"/>
      <c r="N1201" s="68"/>
      <c r="O1201" s="69"/>
      <c r="P1201" s="69"/>
      <c r="Q1201" s="69"/>
      <c r="R1201" s="69"/>
    </row>
    <row r="1202" spans="1:18">
      <c r="A1202" s="6"/>
      <c r="B1202" s="59"/>
      <c r="C1202" s="60"/>
      <c r="D1202" s="62"/>
      <c r="E1202" s="62"/>
      <c r="F1202" s="63"/>
      <c r="G1202" s="59"/>
      <c r="H1202" s="59"/>
      <c r="I1202" s="64"/>
      <c r="J1202" s="59"/>
      <c r="K1202" s="65"/>
      <c r="L1202" s="66"/>
      <c r="M1202" s="67"/>
      <c r="N1202" s="68"/>
      <c r="O1202" s="69"/>
      <c r="P1202" s="69"/>
      <c r="Q1202" s="69"/>
      <c r="R1202" s="69"/>
    </row>
    <row r="1203" spans="1:18">
      <c r="A1203" s="6"/>
      <c r="B1203" s="59"/>
      <c r="C1203" s="60"/>
      <c r="D1203" s="62"/>
      <c r="E1203" s="62"/>
      <c r="F1203" s="63"/>
      <c r="G1203" s="59"/>
      <c r="H1203" s="59"/>
      <c r="I1203" s="64"/>
      <c r="J1203" s="59"/>
      <c r="K1203" s="65"/>
      <c r="L1203" s="66"/>
      <c r="M1203" s="67"/>
      <c r="N1203" s="68"/>
      <c r="O1203" s="69"/>
      <c r="P1203" s="69"/>
      <c r="Q1203" s="69"/>
      <c r="R1203" s="69"/>
    </row>
    <row r="1204" spans="1:18">
      <c r="A1204" s="6"/>
      <c r="B1204" s="59"/>
      <c r="C1204" s="60"/>
      <c r="D1204" s="62"/>
      <c r="E1204" s="62"/>
      <c r="F1204" s="63"/>
      <c r="G1204" s="59"/>
      <c r="H1204" s="59"/>
      <c r="I1204" s="64"/>
      <c r="J1204" s="59"/>
      <c r="K1204" s="65"/>
      <c r="L1204" s="66"/>
      <c r="M1204" s="67"/>
      <c r="N1204" s="68"/>
      <c r="O1204" s="69"/>
      <c r="P1204" s="69"/>
      <c r="Q1204" s="69"/>
      <c r="R1204" s="69"/>
    </row>
    <row r="1205" spans="1:18">
      <c r="A1205" s="6"/>
      <c r="B1205" s="59"/>
      <c r="C1205" s="60"/>
      <c r="D1205" s="62"/>
      <c r="E1205" s="62"/>
      <c r="F1205" s="63"/>
      <c r="G1205" s="59"/>
      <c r="H1205" s="59"/>
      <c r="I1205" s="64"/>
      <c r="J1205" s="59"/>
      <c r="K1205" s="65"/>
      <c r="L1205" s="66"/>
      <c r="M1205" s="67"/>
      <c r="N1205" s="68"/>
      <c r="O1205" s="69"/>
      <c r="P1205" s="69"/>
      <c r="Q1205" s="69"/>
      <c r="R1205" s="69"/>
    </row>
    <row r="1206" spans="1:18">
      <c r="A1206" s="6"/>
      <c r="B1206" s="59"/>
      <c r="C1206" s="60"/>
      <c r="D1206" s="62"/>
      <c r="E1206" s="62"/>
      <c r="F1206" s="63"/>
      <c r="G1206" s="59"/>
      <c r="H1206" s="59"/>
      <c r="I1206" s="64"/>
      <c r="J1206" s="59"/>
      <c r="K1206" s="65"/>
      <c r="L1206" s="66"/>
      <c r="M1206" s="67"/>
      <c r="N1206" s="68"/>
      <c r="O1206" s="69"/>
      <c r="P1206" s="69"/>
      <c r="Q1206" s="69"/>
      <c r="R1206" s="69"/>
    </row>
    <row r="1207" spans="1:18">
      <c r="A1207" s="6"/>
      <c r="B1207" s="59"/>
      <c r="C1207" s="60"/>
      <c r="D1207" s="62"/>
      <c r="E1207" s="62"/>
      <c r="F1207" s="63"/>
      <c r="G1207" s="59"/>
      <c r="H1207" s="59"/>
      <c r="I1207" s="64"/>
      <c r="J1207" s="59"/>
      <c r="K1207" s="65"/>
      <c r="L1207" s="66"/>
      <c r="M1207" s="67"/>
      <c r="N1207" s="68"/>
      <c r="O1207" s="69"/>
      <c r="P1207" s="69"/>
      <c r="Q1207" s="69"/>
      <c r="R1207" s="69"/>
    </row>
    <row r="1208" spans="1:18">
      <c r="A1208" s="6"/>
      <c r="B1208" s="59"/>
      <c r="C1208" s="60"/>
      <c r="D1208" s="62"/>
      <c r="E1208" s="62"/>
      <c r="F1208" s="63"/>
      <c r="G1208" s="59"/>
      <c r="H1208" s="59"/>
      <c r="I1208" s="64"/>
      <c r="J1208" s="59"/>
      <c r="K1208" s="65"/>
      <c r="L1208" s="66"/>
      <c r="M1208" s="67"/>
      <c r="N1208" s="68"/>
      <c r="O1208" s="69"/>
      <c r="P1208" s="69"/>
      <c r="Q1208" s="69"/>
      <c r="R1208" s="69"/>
    </row>
    <row r="1209" spans="1:18">
      <c r="A1209" s="6"/>
      <c r="B1209" s="59"/>
      <c r="C1209" s="60"/>
      <c r="D1209" s="62"/>
      <c r="E1209" s="62"/>
      <c r="F1209" s="63"/>
      <c r="G1209" s="59"/>
      <c r="H1209" s="59"/>
      <c r="I1209" s="64"/>
      <c r="J1209" s="59"/>
      <c r="K1209" s="65"/>
      <c r="L1209" s="66"/>
      <c r="M1209" s="67"/>
      <c r="N1209" s="68"/>
      <c r="O1209" s="69"/>
      <c r="P1209" s="69"/>
      <c r="Q1209" s="69"/>
      <c r="R1209" s="69"/>
    </row>
    <row r="1210" spans="1:18">
      <c r="A1210" s="6"/>
      <c r="B1210" s="59"/>
      <c r="C1210" s="60"/>
      <c r="D1210" s="62"/>
      <c r="E1210" s="62"/>
      <c r="F1210" s="63"/>
      <c r="G1210" s="59"/>
      <c r="H1210" s="59"/>
      <c r="I1210" s="64"/>
      <c r="J1210" s="59"/>
      <c r="K1210" s="65"/>
      <c r="L1210" s="66"/>
      <c r="M1210" s="67"/>
      <c r="N1210" s="68"/>
      <c r="O1210" s="69"/>
      <c r="P1210" s="69"/>
      <c r="Q1210" s="69"/>
      <c r="R1210" s="69"/>
    </row>
    <row r="1211" spans="1:18">
      <c r="A1211" s="6"/>
      <c r="B1211" s="59"/>
      <c r="C1211" s="60"/>
      <c r="D1211" s="62"/>
      <c r="E1211" s="62"/>
      <c r="F1211" s="63"/>
      <c r="G1211" s="59"/>
      <c r="H1211" s="59"/>
      <c r="I1211" s="64"/>
      <c r="J1211" s="59"/>
      <c r="K1211" s="65"/>
      <c r="L1211" s="66"/>
      <c r="M1211" s="67"/>
      <c r="N1211" s="68"/>
      <c r="O1211" s="69"/>
      <c r="P1211" s="69"/>
      <c r="Q1211" s="69"/>
      <c r="R1211" s="69"/>
    </row>
    <row r="1212" spans="1:18">
      <c r="A1212" s="6"/>
      <c r="B1212" s="59"/>
      <c r="C1212" s="60"/>
      <c r="D1212" s="62"/>
      <c r="E1212" s="62"/>
      <c r="F1212" s="63"/>
      <c r="G1212" s="59"/>
      <c r="H1212" s="59"/>
      <c r="I1212" s="64"/>
      <c r="J1212" s="59"/>
      <c r="K1212" s="65"/>
      <c r="L1212" s="66"/>
      <c r="M1212" s="67"/>
      <c r="N1212" s="68"/>
      <c r="O1212" s="69"/>
      <c r="P1212" s="69"/>
      <c r="Q1212" s="69"/>
      <c r="R1212" s="69"/>
    </row>
    <row r="1213" spans="1:18">
      <c r="A1213" s="6"/>
      <c r="B1213" s="59"/>
      <c r="C1213" s="60"/>
      <c r="D1213" s="62"/>
      <c r="E1213" s="62"/>
      <c r="F1213" s="63"/>
      <c r="G1213" s="59"/>
      <c r="H1213" s="59"/>
      <c r="I1213" s="64"/>
      <c r="J1213" s="59"/>
      <c r="K1213" s="65"/>
      <c r="L1213" s="66"/>
      <c r="M1213" s="67"/>
      <c r="N1213" s="68"/>
      <c r="O1213" s="69"/>
      <c r="P1213" s="69"/>
      <c r="Q1213" s="69"/>
      <c r="R1213" s="69"/>
    </row>
    <row r="1214" spans="1:18">
      <c r="A1214" s="6"/>
      <c r="B1214" s="59"/>
      <c r="C1214" s="60"/>
      <c r="D1214" s="62"/>
      <c r="E1214" s="62"/>
      <c r="F1214" s="63"/>
      <c r="G1214" s="59"/>
      <c r="H1214" s="59"/>
      <c r="I1214" s="64"/>
      <c r="J1214" s="59"/>
      <c r="K1214" s="65"/>
      <c r="L1214" s="66"/>
      <c r="M1214" s="67"/>
      <c r="N1214" s="68"/>
      <c r="O1214" s="69"/>
      <c r="P1214" s="69"/>
      <c r="Q1214" s="69"/>
      <c r="R1214" s="69"/>
    </row>
    <row r="1215" spans="1:18">
      <c r="A1215" s="6"/>
      <c r="B1215" s="59"/>
      <c r="C1215" s="60"/>
      <c r="D1215" s="62"/>
      <c r="E1215" s="62"/>
      <c r="F1215" s="63"/>
      <c r="G1215" s="59"/>
      <c r="H1215" s="59"/>
      <c r="I1215" s="64"/>
      <c r="J1215" s="59"/>
      <c r="K1215" s="65"/>
      <c r="L1215" s="66"/>
      <c r="M1215" s="67"/>
      <c r="N1215" s="68"/>
      <c r="O1215" s="69"/>
      <c r="P1215" s="69"/>
      <c r="Q1215" s="69"/>
      <c r="R1215" s="69"/>
    </row>
    <row r="1216" spans="1:18">
      <c r="A1216" s="6"/>
      <c r="B1216" s="59"/>
      <c r="C1216" s="60"/>
      <c r="D1216" s="62"/>
      <c r="E1216" s="62"/>
      <c r="F1216" s="63"/>
      <c r="G1216" s="59"/>
      <c r="H1216" s="59"/>
      <c r="I1216" s="64"/>
      <c r="J1216" s="59"/>
      <c r="K1216" s="65"/>
      <c r="L1216" s="66"/>
      <c r="M1216" s="67"/>
      <c r="N1216" s="68"/>
      <c r="O1216" s="69"/>
      <c r="P1216" s="69"/>
      <c r="Q1216" s="69"/>
      <c r="R1216" s="69"/>
    </row>
    <row r="1217" spans="1:18">
      <c r="A1217" s="6"/>
      <c r="B1217" s="59"/>
      <c r="C1217" s="60"/>
      <c r="D1217" s="62"/>
      <c r="E1217" s="62"/>
      <c r="F1217" s="63"/>
      <c r="G1217" s="59"/>
      <c r="H1217" s="59"/>
      <c r="I1217" s="64"/>
      <c r="J1217" s="59"/>
      <c r="K1217" s="65"/>
      <c r="L1217" s="66"/>
      <c r="M1217" s="67"/>
      <c r="N1217" s="68"/>
      <c r="O1217" s="69"/>
      <c r="P1217" s="69"/>
      <c r="Q1217" s="69"/>
      <c r="R1217" s="69"/>
    </row>
    <row r="1218" spans="1:18">
      <c r="A1218" s="6"/>
      <c r="B1218" s="59"/>
      <c r="C1218" s="60"/>
      <c r="D1218" s="62"/>
      <c r="E1218" s="62"/>
      <c r="F1218" s="63"/>
      <c r="G1218" s="59"/>
      <c r="H1218" s="59"/>
      <c r="I1218" s="64"/>
      <c r="J1218" s="59"/>
      <c r="K1218" s="65"/>
      <c r="L1218" s="66"/>
      <c r="M1218" s="67"/>
      <c r="N1218" s="68"/>
      <c r="O1218" s="69"/>
      <c r="P1218" s="69"/>
      <c r="Q1218" s="69"/>
      <c r="R1218" s="69"/>
    </row>
    <row r="1219" spans="1:18">
      <c r="A1219" s="6"/>
      <c r="B1219" s="59"/>
      <c r="C1219" s="60"/>
      <c r="D1219" s="62"/>
      <c r="E1219" s="62"/>
      <c r="F1219" s="63"/>
      <c r="G1219" s="59"/>
      <c r="H1219" s="59"/>
      <c r="I1219" s="64"/>
      <c r="J1219" s="59"/>
      <c r="K1219" s="65"/>
      <c r="L1219" s="66"/>
      <c r="M1219" s="67"/>
      <c r="N1219" s="68"/>
      <c r="O1219" s="69"/>
      <c r="P1219" s="69"/>
      <c r="Q1219" s="69"/>
      <c r="R1219" s="69"/>
    </row>
    <row r="1220" spans="1:18">
      <c r="A1220" s="6"/>
      <c r="B1220" s="59"/>
      <c r="C1220" s="60"/>
      <c r="D1220" s="62"/>
      <c r="E1220" s="62"/>
      <c r="F1220" s="63"/>
      <c r="G1220" s="59"/>
      <c r="H1220" s="59"/>
      <c r="I1220" s="64"/>
      <c r="J1220" s="59"/>
      <c r="K1220" s="65"/>
      <c r="L1220" s="66"/>
      <c r="M1220" s="67"/>
      <c r="N1220" s="68"/>
      <c r="O1220" s="69"/>
      <c r="P1220" s="69"/>
      <c r="Q1220" s="69"/>
      <c r="R1220" s="69"/>
    </row>
    <row r="1221" spans="1:18">
      <c r="A1221" s="6"/>
      <c r="B1221" s="59"/>
      <c r="C1221" s="60"/>
      <c r="D1221" s="62"/>
      <c r="E1221" s="62"/>
      <c r="F1221" s="63"/>
      <c r="G1221" s="59"/>
      <c r="H1221" s="59"/>
      <c r="I1221" s="64"/>
      <c r="J1221" s="59"/>
      <c r="K1221" s="65"/>
      <c r="L1221" s="66"/>
      <c r="M1221" s="67"/>
      <c r="N1221" s="68"/>
      <c r="O1221" s="69"/>
      <c r="P1221" s="69"/>
      <c r="Q1221" s="69"/>
      <c r="R1221" s="69"/>
    </row>
    <row r="1222" spans="1:18">
      <c r="A1222" s="6"/>
      <c r="B1222" s="59"/>
      <c r="C1222" s="60"/>
      <c r="D1222" s="62"/>
      <c r="E1222" s="62"/>
      <c r="F1222" s="63"/>
      <c r="G1222" s="59"/>
      <c r="H1222" s="59"/>
      <c r="I1222" s="64"/>
      <c r="J1222" s="59"/>
      <c r="K1222" s="65"/>
      <c r="L1222" s="66"/>
      <c r="M1222" s="67"/>
      <c r="N1222" s="68"/>
      <c r="O1222" s="69"/>
      <c r="P1222" s="69"/>
      <c r="Q1222" s="69"/>
      <c r="R1222" s="69"/>
    </row>
    <row r="1223" spans="1:18">
      <c r="A1223" s="6"/>
      <c r="B1223" s="59"/>
      <c r="C1223" s="60"/>
      <c r="D1223" s="62"/>
      <c r="E1223" s="62"/>
      <c r="F1223" s="63"/>
      <c r="G1223" s="59"/>
      <c r="H1223" s="59"/>
      <c r="I1223" s="64"/>
      <c r="J1223" s="59"/>
      <c r="K1223" s="65"/>
      <c r="L1223" s="66"/>
      <c r="M1223" s="67"/>
      <c r="N1223" s="68"/>
      <c r="O1223" s="69"/>
      <c r="P1223" s="69"/>
      <c r="Q1223" s="69"/>
      <c r="R1223" s="69"/>
    </row>
    <row r="1224" spans="1:18">
      <c r="A1224" s="6"/>
      <c r="B1224" s="59"/>
      <c r="C1224" s="60"/>
      <c r="D1224" s="62"/>
      <c r="E1224" s="62"/>
      <c r="F1224" s="63"/>
      <c r="G1224" s="59"/>
      <c r="H1224" s="59"/>
      <c r="I1224" s="64"/>
      <c r="J1224" s="59"/>
      <c r="K1224" s="65"/>
      <c r="L1224" s="66"/>
      <c r="M1224" s="67"/>
      <c r="N1224" s="68"/>
      <c r="O1224" s="69"/>
      <c r="P1224" s="69"/>
      <c r="Q1224" s="69"/>
      <c r="R1224" s="69"/>
    </row>
    <row r="1225" spans="1:18">
      <c r="A1225" s="6"/>
      <c r="B1225" s="59"/>
      <c r="C1225" s="60"/>
      <c r="D1225" s="62"/>
      <c r="E1225" s="62"/>
      <c r="F1225" s="63"/>
      <c r="G1225" s="59"/>
      <c r="H1225" s="59"/>
      <c r="I1225" s="64"/>
      <c r="J1225" s="59"/>
      <c r="K1225" s="65"/>
      <c r="L1225" s="66"/>
      <c r="M1225" s="67"/>
      <c r="N1225" s="68"/>
      <c r="O1225" s="69"/>
      <c r="P1225" s="69"/>
      <c r="Q1225" s="69"/>
      <c r="R1225" s="69"/>
    </row>
    <row r="1226" spans="1:18">
      <c r="A1226" s="6"/>
      <c r="B1226" s="59"/>
      <c r="C1226" s="60"/>
      <c r="D1226" s="62"/>
      <c r="E1226" s="62"/>
      <c r="F1226" s="63"/>
      <c r="G1226" s="59"/>
      <c r="H1226" s="59"/>
      <c r="I1226" s="64"/>
      <c r="J1226" s="59"/>
      <c r="K1226" s="65"/>
      <c r="L1226" s="66"/>
      <c r="M1226" s="67"/>
      <c r="N1226" s="68"/>
      <c r="O1226" s="69"/>
      <c r="P1226" s="69"/>
      <c r="Q1226" s="69"/>
      <c r="R1226" s="69"/>
    </row>
    <row r="1227" spans="1:18">
      <c r="A1227" s="6"/>
      <c r="B1227" s="59"/>
      <c r="C1227" s="60"/>
      <c r="D1227" s="62"/>
      <c r="E1227" s="62"/>
      <c r="F1227" s="63"/>
      <c r="G1227" s="59"/>
      <c r="H1227" s="59"/>
      <c r="I1227" s="64"/>
      <c r="J1227" s="59"/>
      <c r="K1227" s="65"/>
      <c r="L1227" s="66"/>
      <c r="M1227" s="67"/>
      <c r="N1227" s="68"/>
      <c r="O1227" s="69"/>
      <c r="P1227" s="69"/>
      <c r="Q1227" s="69"/>
      <c r="R1227" s="69"/>
    </row>
    <row r="1228" spans="1:18">
      <c r="A1228" s="6"/>
      <c r="B1228" s="59"/>
      <c r="C1228" s="60"/>
      <c r="D1228" s="62"/>
      <c r="E1228" s="62"/>
      <c r="F1228" s="63"/>
      <c r="G1228" s="59"/>
      <c r="H1228" s="59"/>
      <c r="I1228" s="64"/>
      <c r="J1228" s="59"/>
      <c r="K1228" s="65"/>
      <c r="L1228" s="66"/>
      <c r="M1228" s="67"/>
      <c r="N1228" s="68"/>
      <c r="O1228" s="69"/>
      <c r="P1228" s="69"/>
      <c r="Q1228" s="69"/>
      <c r="R1228" s="69"/>
    </row>
    <row r="1229" spans="1:18">
      <c r="A1229" s="6"/>
      <c r="B1229" s="59"/>
      <c r="C1229" s="60"/>
      <c r="D1229" s="62"/>
      <c r="E1229" s="62"/>
      <c r="F1229" s="63"/>
      <c r="G1229" s="59"/>
      <c r="H1229" s="59"/>
      <c r="I1229" s="64"/>
      <c r="J1229" s="59"/>
      <c r="K1229" s="65"/>
      <c r="L1229" s="66"/>
      <c r="M1229" s="67"/>
      <c r="N1229" s="68"/>
      <c r="O1229" s="69"/>
      <c r="P1229" s="69"/>
      <c r="Q1229" s="69"/>
      <c r="R1229" s="69"/>
    </row>
    <row r="1230" spans="1:18">
      <c r="A1230" s="6"/>
      <c r="B1230" s="59"/>
      <c r="C1230" s="60"/>
      <c r="D1230" s="62"/>
      <c r="E1230" s="62"/>
      <c r="F1230" s="63"/>
      <c r="G1230" s="59"/>
      <c r="H1230" s="59"/>
      <c r="I1230" s="64"/>
      <c r="J1230" s="59"/>
      <c r="K1230" s="65"/>
      <c r="L1230" s="66"/>
      <c r="M1230" s="67"/>
      <c r="N1230" s="68"/>
      <c r="O1230" s="69"/>
      <c r="P1230" s="69"/>
      <c r="Q1230" s="69"/>
      <c r="R1230" s="69"/>
    </row>
    <row r="1231" spans="1:18">
      <c r="A1231" s="6"/>
      <c r="B1231" s="59"/>
      <c r="C1231" s="60"/>
      <c r="D1231" s="62"/>
      <c r="E1231" s="62"/>
      <c r="F1231" s="63"/>
      <c r="G1231" s="59"/>
      <c r="H1231" s="59"/>
      <c r="I1231" s="64"/>
      <c r="J1231" s="59"/>
      <c r="K1231" s="65"/>
      <c r="L1231" s="66"/>
      <c r="M1231" s="67"/>
      <c r="N1231" s="68"/>
      <c r="O1231" s="69"/>
      <c r="P1231" s="69"/>
      <c r="Q1231" s="69"/>
      <c r="R1231" s="69"/>
    </row>
    <row r="1232" spans="1:18">
      <c r="A1232" s="6"/>
      <c r="B1232" s="59"/>
      <c r="C1232" s="60"/>
      <c r="D1232" s="62"/>
      <c r="E1232" s="62"/>
      <c r="F1232" s="63"/>
      <c r="G1232" s="59"/>
      <c r="H1232" s="59"/>
      <c r="I1232" s="64"/>
      <c r="J1232" s="59"/>
      <c r="K1232" s="65"/>
      <c r="L1232" s="66"/>
      <c r="M1232" s="67"/>
      <c r="N1232" s="68"/>
      <c r="O1232" s="69"/>
      <c r="P1232" s="69"/>
      <c r="Q1232" s="69"/>
      <c r="R1232" s="69"/>
    </row>
    <row r="1233" spans="1:18">
      <c r="A1233" s="6"/>
      <c r="B1233" s="59"/>
      <c r="C1233" s="60"/>
      <c r="D1233" s="62"/>
      <c r="E1233" s="62"/>
      <c r="F1233" s="63"/>
      <c r="G1233" s="59"/>
      <c r="H1233" s="59"/>
      <c r="I1233" s="64"/>
      <c r="J1233" s="59"/>
      <c r="K1233" s="65"/>
      <c r="L1233" s="66"/>
      <c r="M1233" s="67"/>
      <c r="N1233" s="68"/>
      <c r="O1233" s="69"/>
      <c r="P1233" s="69"/>
      <c r="Q1233" s="69"/>
      <c r="R1233" s="69"/>
    </row>
    <row r="1234" spans="1:18">
      <c r="A1234" s="6"/>
      <c r="B1234" s="59"/>
      <c r="C1234" s="60"/>
      <c r="D1234" s="62"/>
      <c r="E1234" s="62"/>
      <c r="F1234" s="63"/>
      <c r="G1234" s="59"/>
      <c r="H1234" s="59"/>
      <c r="I1234" s="64"/>
      <c r="J1234" s="59"/>
      <c r="K1234" s="65"/>
      <c r="L1234" s="66"/>
      <c r="M1234" s="67"/>
      <c r="N1234" s="68"/>
      <c r="O1234" s="69"/>
      <c r="P1234" s="69"/>
      <c r="Q1234" s="69"/>
      <c r="R1234" s="69"/>
    </row>
    <row r="1235" spans="1:18">
      <c r="A1235" s="6"/>
      <c r="B1235" s="59"/>
      <c r="C1235" s="60"/>
      <c r="D1235" s="62"/>
      <c r="E1235" s="62"/>
      <c r="F1235" s="63"/>
      <c r="G1235" s="59"/>
      <c r="H1235" s="59"/>
      <c r="I1235" s="64"/>
      <c r="J1235" s="59"/>
      <c r="K1235" s="65"/>
      <c r="L1235" s="66"/>
      <c r="M1235" s="67"/>
      <c r="N1235" s="68"/>
      <c r="O1235" s="69"/>
      <c r="P1235" s="69"/>
      <c r="Q1235" s="69"/>
      <c r="R1235" s="69"/>
    </row>
    <row r="1236" spans="1:18">
      <c r="A1236" s="6"/>
      <c r="B1236" s="59"/>
      <c r="C1236" s="60"/>
      <c r="D1236" s="62"/>
      <c r="E1236" s="62"/>
      <c r="F1236" s="63"/>
      <c r="G1236" s="59"/>
      <c r="H1236" s="59"/>
      <c r="I1236" s="64"/>
      <c r="J1236" s="59"/>
      <c r="K1236" s="65"/>
      <c r="L1236" s="66"/>
      <c r="M1236" s="67"/>
      <c r="N1236" s="68"/>
      <c r="O1236" s="69"/>
      <c r="P1236" s="69"/>
      <c r="Q1236" s="69"/>
      <c r="R1236" s="69"/>
    </row>
    <row r="1237" spans="1:18">
      <c r="A1237" s="6"/>
      <c r="B1237" s="59"/>
      <c r="C1237" s="60"/>
      <c r="D1237" s="62"/>
      <c r="E1237" s="62"/>
      <c r="F1237" s="63"/>
      <c r="G1237" s="59"/>
      <c r="H1237" s="59"/>
      <c r="I1237" s="64"/>
      <c r="J1237" s="59"/>
      <c r="K1237" s="65"/>
      <c r="L1237" s="66"/>
      <c r="M1237" s="67"/>
      <c r="N1237" s="68"/>
      <c r="O1237" s="69"/>
      <c r="P1237" s="69"/>
      <c r="Q1237" s="69"/>
      <c r="R1237" s="69"/>
    </row>
    <row r="1238" spans="1:18">
      <c r="A1238" s="6"/>
      <c r="B1238" s="59"/>
      <c r="C1238" s="60"/>
      <c r="D1238" s="62"/>
      <c r="E1238" s="62"/>
      <c r="F1238" s="63"/>
      <c r="G1238" s="59"/>
      <c r="H1238" s="59"/>
      <c r="I1238" s="64"/>
      <c r="J1238" s="59"/>
      <c r="K1238" s="65"/>
      <c r="L1238" s="66"/>
      <c r="M1238" s="67"/>
      <c r="N1238" s="68"/>
      <c r="O1238" s="69"/>
      <c r="P1238" s="69"/>
      <c r="Q1238" s="69"/>
      <c r="R1238" s="69"/>
    </row>
    <row r="1239" spans="1:18">
      <c r="A1239" s="6"/>
      <c r="B1239" s="59"/>
      <c r="C1239" s="60"/>
      <c r="D1239" s="62"/>
      <c r="E1239" s="62"/>
      <c r="F1239" s="63"/>
      <c r="G1239" s="59"/>
      <c r="H1239" s="59"/>
      <c r="I1239" s="64"/>
      <c r="J1239" s="59"/>
      <c r="K1239" s="65"/>
      <c r="L1239" s="66"/>
      <c r="M1239" s="67"/>
      <c r="N1239" s="68"/>
      <c r="O1239" s="69"/>
      <c r="P1239" s="69"/>
      <c r="Q1239" s="69"/>
      <c r="R1239" s="69"/>
    </row>
    <row r="1240" spans="1:18">
      <c r="A1240" s="6"/>
      <c r="B1240" s="59"/>
      <c r="C1240" s="60"/>
      <c r="D1240" s="62"/>
      <c r="E1240" s="62"/>
      <c r="F1240" s="63"/>
      <c r="G1240" s="59"/>
      <c r="H1240" s="59"/>
      <c r="I1240" s="64"/>
      <c r="J1240" s="59"/>
      <c r="K1240" s="65"/>
      <c r="L1240" s="66"/>
      <c r="M1240" s="67"/>
      <c r="N1240" s="68"/>
      <c r="O1240" s="69"/>
      <c r="P1240" s="69"/>
      <c r="Q1240" s="69"/>
      <c r="R1240" s="69"/>
    </row>
    <row r="1241" spans="1:18">
      <c r="A1241" s="6"/>
      <c r="B1241" s="59"/>
      <c r="C1241" s="60"/>
      <c r="D1241" s="62"/>
      <c r="E1241" s="62"/>
      <c r="F1241" s="63"/>
      <c r="G1241" s="59"/>
      <c r="H1241" s="59"/>
      <c r="I1241" s="64"/>
      <c r="J1241" s="59"/>
      <c r="K1241" s="65"/>
      <c r="L1241" s="66"/>
      <c r="M1241" s="67"/>
      <c r="N1241" s="68"/>
      <c r="O1241" s="69"/>
      <c r="P1241" s="69"/>
      <c r="Q1241" s="69"/>
      <c r="R1241" s="69"/>
    </row>
    <row r="1242" spans="1:18">
      <c r="A1242" s="6"/>
      <c r="B1242" s="59"/>
      <c r="C1242" s="60"/>
      <c r="D1242" s="62"/>
      <c r="E1242" s="62"/>
      <c r="F1242" s="63"/>
      <c r="G1242" s="59"/>
      <c r="H1242" s="59"/>
      <c r="I1242" s="64"/>
      <c r="J1242" s="59"/>
      <c r="K1242" s="65"/>
      <c r="L1242" s="66"/>
      <c r="M1242" s="67"/>
      <c r="N1242" s="68"/>
      <c r="O1242" s="69"/>
      <c r="P1242" s="69"/>
      <c r="Q1242" s="69"/>
      <c r="R1242" s="69"/>
    </row>
    <row r="1243" spans="1:18">
      <c r="A1243" s="6"/>
      <c r="B1243" s="59"/>
      <c r="C1243" s="60"/>
      <c r="D1243" s="62"/>
      <c r="E1243" s="62"/>
      <c r="F1243" s="63"/>
      <c r="G1243" s="59"/>
      <c r="H1243" s="59"/>
      <c r="I1243" s="64"/>
      <c r="J1243" s="59"/>
      <c r="K1243" s="65"/>
      <c r="L1243" s="66"/>
      <c r="M1243" s="67"/>
      <c r="N1243" s="68"/>
      <c r="O1243" s="69"/>
      <c r="P1243" s="69"/>
      <c r="Q1243" s="69"/>
      <c r="R1243" s="69"/>
    </row>
    <row r="1244" spans="1:18">
      <c r="A1244" s="6"/>
      <c r="B1244" s="59"/>
      <c r="C1244" s="60"/>
      <c r="D1244" s="62"/>
      <c r="E1244" s="62"/>
      <c r="F1244" s="63"/>
      <c r="G1244" s="59"/>
      <c r="H1244" s="59"/>
      <c r="I1244" s="64"/>
      <c r="J1244" s="59"/>
      <c r="K1244" s="65"/>
      <c r="L1244" s="66"/>
      <c r="M1244" s="67"/>
      <c r="N1244" s="68"/>
      <c r="O1244" s="69"/>
      <c r="P1244" s="69"/>
      <c r="Q1244" s="69"/>
      <c r="R1244" s="69"/>
    </row>
    <row r="1245" spans="1:18">
      <c r="A1245" s="6"/>
      <c r="B1245" s="59"/>
      <c r="C1245" s="60"/>
      <c r="D1245" s="62"/>
      <c r="E1245" s="62"/>
      <c r="F1245" s="63"/>
      <c r="G1245" s="59"/>
      <c r="H1245" s="59"/>
      <c r="I1245" s="64"/>
      <c r="J1245" s="59"/>
      <c r="K1245" s="65"/>
      <c r="L1245" s="66"/>
      <c r="M1245" s="67"/>
      <c r="N1245" s="68"/>
      <c r="O1245" s="69"/>
      <c r="P1245" s="69"/>
      <c r="Q1245" s="69"/>
      <c r="R1245" s="69"/>
    </row>
    <row r="1246" spans="1:18">
      <c r="A1246" s="6"/>
      <c r="B1246" s="59"/>
      <c r="C1246" s="60"/>
      <c r="D1246" s="62"/>
      <c r="E1246" s="62"/>
      <c r="F1246" s="63"/>
      <c r="G1246" s="59"/>
      <c r="H1246" s="59"/>
      <c r="I1246" s="64"/>
      <c r="J1246" s="59"/>
      <c r="K1246" s="65"/>
      <c r="L1246" s="66"/>
      <c r="M1246" s="67"/>
      <c r="N1246" s="68"/>
      <c r="O1246" s="69"/>
      <c r="P1246" s="69"/>
      <c r="Q1246" s="69"/>
      <c r="R1246" s="69"/>
    </row>
    <row r="1247" spans="1:18">
      <c r="A1247" s="6"/>
      <c r="B1247" s="59"/>
      <c r="C1247" s="60"/>
      <c r="D1247" s="62"/>
      <c r="E1247" s="62"/>
      <c r="F1247" s="63"/>
      <c r="G1247" s="59"/>
      <c r="H1247" s="59"/>
      <c r="I1247" s="64"/>
      <c r="J1247" s="59"/>
      <c r="K1247" s="65"/>
      <c r="L1247" s="66"/>
      <c r="M1247" s="67"/>
      <c r="N1247" s="68"/>
      <c r="O1247" s="69"/>
      <c r="P1247" s="69"/>
      <c r="Q1247" s="69"/>
      <c r="R1247" s="69"/>
    </row>
    <row r="1248" spans="1:18">
      <c r="A1248" s="6"/>
      <c r="B1248" s="59"/>
      <c r="C1248" s="60"/>
      <c r="D1248" s="62"/>
      <c r="E1248" s="62"/>
      <c r="F1248" s="63"/>
      <c r="G1248" s="59"/>
      <c r="H1248" s="59"/>
      <c r="I1248" s="64"/>
      <c r="J1248" s="59"/>
      <c r="K1248" s="65"/>
      <c r="L1248" s="66"/>
      <c r="M1248" s="67"/>
      <c r="N1248" s="68"/>
      <c r="O1248" s="69"/>
      <c r="P1248" s="69"/>
      <c r="Q1248" s="69"/>
      <c r="R1248" s="69"/>
    </row>
    <row r="1249" spans="1:18">
      <c r="A1249" s="6"/>
      <c r="B1249" s="59"/>
      <c r="C1249" s="60"/>
      <c r="D1249" s="62"/>
      <c r="E1249" s="62"/>
      <c r="F1249" s="63"/>
      <c r="G1249" s="59"/>
      <c r="H1249" s="59"/>
      <c r="I1249" s="64"/>
      <c r="J1249" s="59"/>
      <c r="K1249" s="65"/>
      <c r="L1249" s="66"/>
      <c r="M1249" s="67"/>
      <c r="N1249" s="68"/>
      <c r="O1249" s="69"/>
      <c r="P1249" s="69"/>
      <c r="Q1249" s="69"/>
      <c r="R1249" s="69"/>
    </row>
    <row r="1250" spans="1:18">
      <c r="A1250" s="6"/>
      <c r="B1250" s="59"/>
      <c r="C1250" s="60"/>
      <c r="D1250" s="62"/>
      <c r="E1250" s="62"/>
      <c r="F1250" s="63"/>
      <c r="G1250" s="59"/>
      <c r="H1250" s="59"/>
      <c r="I1250" s="64"/>
      <c r="J1250" s="59"/>
      <c r="K1250" s="65"/>
      <c r="L1250" s="66"/>
      <c r="M1250" s="67"/>
      <c r="N1250" s="68"/>
      <c r="O1250" s="69"/>
      <c r="P1250" s="69"/>
      <c r="Q1250" s="69"/>
      <c r="R1250" s="69"/>
    </row>
    <row r="1251" spans="1:18">
      <c r="A1251" s="6"/>
      <c r="B1251" s="59"/>
      <c r="C1251" s="60"/>
      <c r="D1251" s="62"/>
      <c r="E1251" s="62"/>
      <c r="F1251" s="63"/>
      <c r="G1251" s="59"/>
      <c r="H1251" s="59"/>
      <c r="I1251" s="64"/>
      <c r="J1251" s="59"/>
      <c r="K1251" s="65"/>
      <c r="L1251" s="66"/>
      <c r="M1251" s="67"/>
      <c r="N1251" s="68"/>
      <c r="O1251" s="69"/>
      <c r="P1251" s="69"/>
      <c r="Q1251" s="69"/>
      <c r="R1251" s="69"/>
    </row>
    <row r="1252" spans="1:18">
      <c r="A1252" s="6"/>
      <c r="B1252" s="59"/>
      <c r="C1252" s="60"/>
      <c r="D1252" s="62"/>
      <c r="E1252" s="62"/>
      <c r="F1252" s="63"/>
      <c r="G1252" s="59"/>
      <c r="H1252" s="59"/>
      <c r="I1252" s="64"/>
      <c r="J1252" s="59"/>
      <c r="K1252" s="65"/>
      <c r="L1252" s="66"/>
      <c r="M1252" s="67"/>
      <c r="N1252" s="68"/>
      <c r="O1252" s="69"/>
      <c r="P1252" s="69"/>
      <c r="Q1252" s="69"/>
      <c r="R1252" s="69"/>
    </row>
    <row r="1253" spans="1:18">
      <c r="A1253" s="6"/>
      <c r="B1253" s="59"/>
      <c r="C1253" s="60"/>
      <c r="D1253" s="62"/>
      <c r="E1253" s="62"/>
      <c r="F1253" s="63"/>
      <c r="G1253" s="59"/>
      <c r="H1253" s="59"/>
      <c r="I1253" s="64"/>
      <c r="J1253" s="59"/>
      <c r="K1253" s="65"/>
      <c r="L1253" s="66"/>
      <c r="M1253" s="67"/>
      <c r="N1253" s="68"/>
      <c r="O1253" s="69"/>
      <c r="P1253" s="69"/>
      <c r="Q1253" s="69"/>
      <c r="R1253" s="69"/>
    </row>
    <row r="1254" spans="1:18">
      <c r="A1254" s="6"/>
      <c r="B1254" s="59"/>
      <c r="C1254" s="60"/>
      <c r="D1254" s="62"/>
      <c r="E1254" s="62"/>
      <c r="F1254" s="63"/>
      <c r="G1254" s="59"/>
      <c r="H1254" s="59"/>
      <c r="I1254" s="64"/>
      <c r="J1254" s="59"/>
      <c r="K1254" s="65"/>
      <c r="L1254" s="66"/>
      <c r="M1254" s="67"/>
      <c r="N1254" s="68"/>
      <c r="O1254" s="69"/>
      <c r="P1254" s="69"/>
      <c r="Q1254" s="69"/>
      <c r="R1254" s="69"/>
    </row>
    <row r="1255" spans="1:18">
      <c r="A1255" s="6"/>
      <c r="B1255" s="59"/>
      <c r="C1255" s="60"/>
      <c r="D1255" s="62"/>
      <c r="E1255" s="62"/>
      <c r="F1255" s="63"/>
      <c r="G1255" s="59"/>
      <c r="H1255" s="59"/>
      <c r="I1255" s="64"/>
      <c r="J1255" s="59"/>
      <c r="K1255" s="65"/>
      <c r="L1255" s="66"/>
      <c r="M1255" s="67"/>
      <c r="N1255" s="68"/>
      <c r="O1255" s="69"/>
      <c r="P1255" s="69"/>
      <c r="Q1255" s="69"/>
      <c r="R1255" s="69"/>
    </row>
    <row r="1256" spans="1:18">
      <c r="A1256" s="6"/>
      <c r="B1256" s="59"/>
      <c r="C1256" s="60"/>
      <c r="D1256" s="62"/>
      <c r="E1256" s="62"/>
      <c r="F1256" s="63"/>
      <c r="G1256" s="59"/>
      <c r="H1256" s="59"/>
      <c r="I1256" s="64"/>
      <c r="J1256" s="59"/>
      <c r="K1256" s="65"/>
      <c r="L1256" s="66"/>
      <c r="M1256" s="67"/>
      <c r="N1256" s="68"/>
      <c r="O1256" s="69"/>
      <c r="P1256" s="69"/>
      <c r="Q1256" s="69"/>
      <c r="R1256" s="69"/>
    </row>
    <row r="1257" spans="1:18">
      <c r="A1257" s="6"/>
      <c r="B1257" s="59"/>
      <c r="C1257" s="60"/>
      <c r="D1257" s="62"/>
      <c r="E1257" s="62"/>
      <c r="F1257" s="63"/>
      <c r="G1257" s="59"/>
      <c r="H1257" s="59"/>
      <c r="I1257" s="64"/>
      <c r="J1257" s="59"/>
      <c r="K1257" s="65"/>
      <c r="L1257" s="66"/>
      <c r="M1257" s="67"/>
      <c r="N1257" s="68"/>
      <c r="O1257" s="69"/>
      <c r="P1257" s="69"/>
      <c r="Q1257" s="69"/>
      <c r="R1257" s="69"/>
    </row>
    <row r="1258" spans="1:18">
      <c r="A1258" s="6"/>
      <c r="B1258" s="59"/>
      <c r="C1258" s="60"/>
      <c r="D1258" s="62"/>
      <c r="E1258" s="62"/>
      <c r="F1258" s="63"/>
      <c r="G1258" s="59"/>
      <c r="H1258" s="59"/>
      <c r="I1258" s="64"/>
      <c r="J1258" s="59"/>
      <c r="K1258" s="65"/>
      <c r="L1258" s="66"/>
      <c r="M1258" s="67"/>
      <c r="N1258" s="68"/>
      <c r="O1258" s="69"/>
      <c r="P1258" s="69"/>
      <c r="Q1258" s="69"/>
      <c r="R1258" s="69"/>
    </row>
    <row r="1259" spans="1:18">
      <c r="A1259" s="6"/>
      <c r="B1259" s="59"/>
      <c r="C1259" s="60"/>
      <c r="D1259" s="62"/>
      <c r="E1259" s="62"/>
      <c r="F1259" s="63"/>
      <c r="G1259" s="59"/>
      <c r="H1259" s="59"/>
      <c r="I1259" s="64"/>
      <c r="J1259" s="59"/>
      <c r="K1259" s="65"/>
      <c r="L1259" s="66"/>
      <c r="M1259" s="67"/>
      <c r="N1259" s="68"/>
      <c r="O1259" s="69"/>
      <c r="P1259" s="69"/>
      <c r="Q1259" s="69"/>
      <c r="R1259" s="69"/>
    </row>
    <row r="1260" spans="1:18">
      <c r="A1260" s="6"/>
      <c r="B1260" s="59"/>
      <c r="C1260" s="60"/>
      <c r="D1260" s="62"/>
      <c r="E1260" s="62"/>
      <c r="F1260" s="63"/>
      <c r="G1260" s="59"/>
      <c r="H1260" s="59"/>
      <c r="I1260" s="64"/>
      <c r="J1260" s="59"/>
      <c r="K1260" s="65"/>
      <c r="L1260" s="66"/>
      <c r="M1260" s="67"/>
      <c r="N1260" s="68"/>
      <c r="O1260" s="69"/>
      <c r="P1260" s="69"/>
      <c r="Q1260" s="69"/>
      <c r="R1260" s="69"/>
    </row>
    <row r="1261" spans="1:18">
      <c r="A1261" s="6"/>
      <c r="B1261" s="59"/>
      <c r="C1261" s="60"/>
      <c r="D1261" s="62"/>
      <c r="E1261" s="62"/>
      <c r="F1261" s="63"/>
      <c r="G1261" s="59"/>
      <c r="H1261" s="59"/>
      <c r="I1261" s="64"/>
      <c r="J1261" s="59"/>
      <c r="K1261" s="65"/>
      <c r="L1261" s="66"/>
      <c r="M1261" s="67"/>
      <c r="N1261" s="68"/>
      <c r="O1261" s="69"/>
      <c r="P1261" s="69"/>
      <c r="Q1261" s="69"/>
      <c r="R1261" s="69"/>
    </row>
    <row r="1262" spans="1:18">
      <c r="A1262" s="6"/>
      <c r="B1262" s="59"/>
      <c r="C1262" s="60"/>
      <c r="D1262" s="62"/>
      <c r="E1262" s="62"/>
      <c r="F1262" s="63"/>
      <c r="G1262" s="59"/>
      <c r="H1262" s="59"/>
      <c r="I1262" s="64"/>
      <c r="J1262" s="59"/>
      <c r="K1262" s="65"/>
      <c r="L1262" s="66"/>
      <c r="M1262" s="67"/>
      <c r="N1262" s="68"/>
      <c r="O1262" s="69"/>
      <c r="P1262" s="69"/>
      <c r="Q1262" s="69"/>
      <c r="R1262" s="69"/>
    </row>
    <row r="1263" spans="1:18">
      <c r="A1263" s="6"/>
      <c r="B1263" s="59"/>
      <c r="C1263" s="60"/>
      <c r="D1263" s="62"/>
      <c r="E1263" s="62"/>
      <c r="F1263" s="63"/>
      <c r="G1263" s="59"/>
      <c r="H1263" s="59"/>
      <c r="I1263" s="64"/>
      <c r="J1263" s="59"/>
      <c r="K1263" s="65"/>
      <c r="L1263" s="66"/>
      <c r="M1263" s="67"/>
      <c r="N1263" s="68"/>
      <c r="O1263" s="69"/>
      <c r="P1263" s="69"/>
      <c r="Q1263" s="69"/>
      <c r="R1263" s="69"/>
    </row>
    <row r="1264" spans="1:18">
      <c r="A1264" s="6"/>
      <c r="B1264" s="59"/>
      <c r="C1264" s="60"/>
      <c r="D1264" s="62"/>
      <c r="E1264" s="62"/>
      <c r="F1264" s="63"/>
      <c r="G1264" s="59"/>
      <c r="H1264" s="59"/>
      <c r="I1264" s="64"/>
      <c r="J1264" s="59"/>
      <c r="K1264" s="65"/>
      <c r="L1264" s="66"/>
      <c r="M1264" s="67"/>
      <c r="N1264" s="68"/>
      <c r="O1264" s="69"/>
      <c r="P1264" s="69"/>
      <c r="Q1264" s="69"/>
      <c r="R1264" s="69"/>
    </row>
    <row r="1265" spans="1:18">
      <c r="A1265" s="6"/>
      <c r="B1265" s="59"/>
      <c r="C1265" s="60"/>
      <c r="D1265" s="62"/>
      <c r="E1265" s="62"/>
      <c r="F1265" s="63"/>
      <c r="G1265" s="59"/>
      <c r="H1265" s="59"/>
      <c r="I1265" s="64"/>
      <c r="J1265" s="59"/>
      <c r="K1265" s="65"/>
      <c r="L1265" s="66"/>
      <c r="M1265" s="67"/>
      <c r="N1265" s="68"/>
      <c r="O1265" s="69"/>
      <c r="P1265" s="69"/>
      <c r="Q1265" s="69"/>
      <c r="R1265" s="69"/>
    </row>
    <row r="1266" spans="1:18">
      <c r="A1266" s="6"/>
      <c r="B1266" s="59"/>
      <c r="C1266" s="60"/>
      <c r="D1266" s="62"/>
      <c r="E1266" s="62"/>
      <c r="F1266" s="63"/>
      <c r="G1266" s="59"/>
      <c r="H1266" s="59"/>
      <c r="I1266" s="64"/>
      <c r="J1266" s="59"/>
      <c r="K1266" s="65"/>
      <c r="L1266" s="66"/>
      <c r="M1266" s="67"/>
      <c r="N1266" s="68"/>
      <c r="O1266" s="69"/>
      <c r="P1266" s="69"/>
      <c r="Q1266" s="69"/>
      <c r="R1266" s="69"/>
    </row>
    <row r="1267" spans="1:18">
      <c r="A1267" s="6"/>
      <c r="B1267" s="59"/>
      <c r="C1267" s="60"/>
      <c r="D1267" s="62"/>
      <c r="E1267" s="62"/>
      <c r="F1267" s="63"/>
      <c r="G1267" s="59"/>
      <c r="H1267" s="59"/>
      <c r="I1267" s="64"/>
      <c r="J1267" s="59"/>
      <c r="K1267" s="65"/>
      <c r="L1267" s="66"/>
      <c r="M1267" s="67"/>
      <c r="N1267" s="68"/>
      <c r="O1267" s="69"/>
      <c r="P1267" s="69"/>
      <c r="Q1267" s="69"/>
      <c r="R1267" s="69"/>
    </row>
    <row r="1268" spans="1:18">
      <c r="A1268" s="6"/>
      <c r="B1268" s="59"/>
      <c r="C1268" s="60"/>
      <c r="D1268" s="62"/>
      <c r="E1268" s="62"/>
      <c r="F1268" s="63"/>
      <c r="G1268" s="59"/>
      <c r="H1268" s="59"/>
      <c r="I1268" s="64"/>
      <c r="J1268" s="59"/>
      <c r="K1268" s="65"/>
      <c r="L1268" s="66"/>
      <c r="M1268" s="67"/>
      <c r="N1268" s="68"/>
      <c r="O1268" s="69"/>
      <c r="P1268" s="69"/>
      <c r="Q1268" s="69"/>
      <c r="R1268" s="69"/>
    </row>
    <row r="1269" spans="1:18">
      <c r="A1269" s="6"/>
      <c r="B1269" s="59"/>
      <c r="C1269" s="60"/>
      <c r="D1269" s="62"/>
      <c r="E1269" s="62"/>
      <c r="F1269" s="63"/>
      <c r="G1269" s="59"/>
      <c r="H1269" s="59"/>
      <c r="I1269" s="64"/>
      <c r="J1269" s="59"/>
      <c r="K1269" s="65"/>
      <c r="L1269" s="66"/>
      <c r="M1269" s="67"/>
      <c r="N1269" s="68"/>
      <c r="O1269" s="69"/>
      <c r="P1269" s="69"/>
      <c r="Q1269" s="69"/>
      <c r="R1269" s="69"/>
    </row>
    <row r="1270" spans="1:18">
      <c r="A1270" s="6"/>
      <c r="B1270" s="59"/>
      <c r="C1270" s="60"/>
      <c r="D1270" s="62"/>
      <c r="E1270" s="62"/>
      <c r="F1270" s="63"/>
      <c r="G1270" s="59"/>
      <c r="H1270" s="59"/>
      <c r="I1270" s="64"/>
      <c r="J1270" s="59"/>
      <c r="K1270" s="65"/>
      <c r="L1270" s="66"/>
      <c r="M1270" s="67"/>
      <c r="N1270" s="68"/>
      <c r="O1270" s="69"/>
      <c r="P1270" s="69"/>
      <c r="Q1270" s="69"/>
      <c r="R1270" s="69"/>
    </row>
    <row r="1271" spans="1:18">
      <c r="A1271" s="6"/>
      <c r="B1271" s="59"/>
      <c r="C1271" s="60"/>
      <c r="D1271" s="62"/>
      <c r="E1271" s="62"/>
      <c r="F1271" s="63"/>
      <c r="G1271" s="59"/>
      <c r="H1271" s="59"/>
      <c r="I1271" s="64"/>
      <c r="J1271" s="59"/>
      <c r="K1271" s="65"/>
      <c r="L1271" s="66"/>
      <c r="M1271" s="67"/>
      <c r="N1271" s="68"/>
      <c r="O1271" s="69"/>
      <c r="P1271" s="69"/>
      <c r="Q1271" s="69"/>
      <c r="R1271" s="69"/>
    </row>
    <row r="1272" spans="1:18">
      <c r="A1272" s="6"/>
      <c r="B1272" s="59"/>
      <c r="C1272" s="60"/>
      <c r="D1272" s="62"/>
      <c r="E1272" s="62"/>
      <c r="F1272" s="63"/>
      <c r="G1272" s="59"/>
      <c r="H1272" s="59"/>
      <c r="I1272" s="64"/>
      <c r="J1272" s="59"/>
      <c r="K1272" s="65"/>
      <c r="L1272" s="66"/>
      <c r="M1272" s="67"/>
      <c r="N1272" s="68"/>
      <c r="O1272" s="69"/>
      <c r="P1272" s="69"/>
      <c r="Q1272" s="69"/>
      <c r="R1272" s="69"/>
    </row>
    <row r="1273" spans="1:18">
      <c r="A1273" s="6"/>
      <c r="B1273" s="59"/>
      <c r="C1273" s="60"/>
      <c r="D1273" s="62"/>
      <c r="E1273" s="62"/>
      <c r="F1273" s="63"/>
      <c r="G1273" s="59"/>
      <c r="H1273" s="59"/>
      <c r="I1273" s="64"/>
      <c r="J1273" s="59"/>
      <c r="K1273" s="65"/>
      <c r="L1273" s="66"/>
      <c r="M1273" s="67"/>
      <c r="N1273" s="68"/>
      <c r="O1273" s="69"/>
      <c r="P1273" s="69"/>
      <c r="Q1273" s="69"/>
      <c r="R1273" s="69"/>
    </row>
    <row r="1274" spans="1:18">
      <c r="A1274" s="6"/>
      <c r="B1274" s="59"/>
      <c r="C1274" s="60"/>
      <c r="D1274" s="62"/>
      <c r="E1274" s="62"/>
      <c r="F1274" s="63"/>
      <c r="G1274" s="59"/>
      <c r="H1274" s="59"/>
      <c r="I1274" s="64"/>
      <c r="J1274" s="59"/>
      <c r="K1274" s="65"/>
      <c r="L1274" s="66"/>
      <c r="M1274" s="67"/>
      <c r="N1274" s="68"/>
      <c r="O1274" s="69"/>
      <c r="P1274" s="69"/>
      <c r="Q1274" s="69"/>
      <c r="R1274" s="69"/>
    </row>
    <row r="1275" spans="1:18">
      <c r="A1275" s="6"/>
      <c r="B1275" s="59"/>
      <c r="C1275" s="60"/>
      <c r="D1275" s="62"/>
      <c r="E1275" s="62"/>
      <c r="F1275" s="63"/>
      <c r="G1275" s="59"/>
      <c r="H1275" s="59"/>
      <c r="I1275" s="64"/>
      <c r="J1275" s="59"/>
      <c r="K1275" s="65"/>
      <c r="L1275" s="66"/>
      <c r="M1275" s="67"/>
      <c r="N1275" s="68"/>
      <c r="O1275" s="69"/>
      <c r="P1275" s="69"/>
      <c r="Q1275" s="69"/>
      <c r="R1275" s="69"/>
    </row>
    <row r="1276" spans="1:18">
      <c r="A1276" s="6"/>
      <c r="B1276" s="59"/>
      <c r="C1276" s="60"/>
      <c r="D1276" s="62"/>
      <c r="E1276" s="62"/>
      <c r="F1276" s="63"/>
      <c r="G1276" s="59"/>
      <c r="H1276" s="59"/>
      <c r="I1276" s="64"/>
      <c r="J1276" s="59"/>
      <c r="K1276" s="65"/>
      <c r="L1276" s="66"/>
      <c r="M1276" s="67"/>
      <c r="N1276" s="68"/>
      <c r="O1276" s="69"/>
      <c r="P1276" s="69"/>
      <c r="Q1276" s="69"/>
      <c r="R1276" s="69"/>
    </row>
    <row r="1277" spans="1:18">
      <c r="A1277" s="6"/>
      <c r="B1277" s="59"/>
      <c r="C1277" s="60"/>
      <c r="D1277" s="62"/>
      <c r="E1277" s="62"/>
      <c r="F1277" s="63"/>
      <c r="G1277" s="59"/>
      <c r="H1277" s="59"/>
      <c r="I1277" s="64"/>
      <c r="J1277" s="59"/>
      <c r="K1277" s="65"/>
      <c r="L1277" s="66"/>
      <c r="M1277" s="67"/>
      <c r="N1277" s="68"/>
      <c r="O1277" s="69"/>
      <c r="P1277" s="69"/>
      <c r="Q1277" s="69"/>
      <c r="R1277" s="69"/>
    </row>
    <row r="1278" spans="1:18">
      <c r="A1278" s="6"/>
      <c r="B1278" s="59"/>
      <c r="C1278" s="60"/>
      <c r="D1278" s="62"/>
      <c r="E1278" s="62"/>
      <c r="F1278" s="63"/>
      <c r="G1278" s="59"/>
      <c r="H1278" s="59"/>
      <c r="I1278" s="64"/>
      <c r="J1278" s="59"/>
      <c r="K1278" s="65"/>
      <c r="L1278" s="66"/>
      <c r="M1278" s="67"/>
      <c r="N1278" s="68"/>
      <c r="O1278" s="69"/>
      <c r="P1278" s="69"/>
      <c r="Q1278" s="69"/>
      <c r="R1278" s="69"/>
    </row>
    <row r="1279" spans="1:18">
      <c r="A1279" s="6"/>
      <c r="B1279" s="59"/>
      <c r="C1279" s="60"/>
      <c r="D1279" s="62"/>
      <c r="E1279" s="62"/>
      <c r="F1279" s="63"/>
      <c r="G1279" s="59"/>
      <c r="H1279" s="59"/>
      <c r="I1279" s="64"/>
      <c r="J1279" s="59"/>
      <c r="K1279" s="65"/>
      <c r="L1279" s="66"/>
      <c r="M1279" s="67"/>
      <c r="N1279" s="68"/>
      <c r="O1279" s="69"/>
      <c r="P1279" s="69"/>
      <c r="Q1279" s="69"/>
      <c r="R1279" s="69"/>
    </row>
    <row r="1280" spans="1:18">
      <c r="A1280" s="6"/>
      <c r="B1280" s="59"/>
      <c r="C1280" s="60"/>
      <c r="D1280" s="62"/>
      <c r="E1280" s="62"/>
      <c r="F1280" s="63"/>
      <c r="G1280" s="59"/>
      <c r="H1280" s="59"/>
      <c r="I1280" s="64"/>
      <c r="J1280" s="59"/>
      <c r="K1280" s="65"/>
      <c r="L1280" s="66"/>
      <c r="M1280" s="67"/>
      <c r="N1280" s="68"/>
      <c r="O1280" s="69"/>
      <c r="P1280" s="69"/>
      <c r="Q1280" s="69"/>
      <c r="R1280" s="69"/>
    </row>
    <row r="1281" spans="1:18">
      <c r="A1281" s="6"/>
      <c r="B1281" s="59"/>
      <c r="C1281" s="60"/>
      <c r="D1281" s="62"/>
      <c r="E1281" s="62"/>
      <c r="F1281" s="63"/>
      <c r="G1281" s="59"/>
      <c r="H1281" s="59"/>
      <c r="I1281" s="64"/>
      <c r="J1281" s="59"/>
      <c r="K1281" s="65"/>
      <c r="L1281" s="66"/>
      <c r="M1281" s="67"/>
      <c r="N1281" s="68"/>
      <c r="O1281" s="69"/>
      <c r="P1281" s="69"/>
      <c r="Q1281" s="69"/>
      <c r="R1281" s="69"/>
    </row>
    <row r="1282" spans="1:18">
      <c r="A1282" s="6"/>
      <c r="B1282" s="59"/>
      <c r="C1282" s="60"/>
      <c r="D1282" s="62"/>
      <c r="E1282" s="62"/>
      <c r="F1282" s="63"/>
      <c r="G1282" s="59"/>
      <c r="H1282" s="59"/>
      <c r="I1282" s="64"/>
      <c r="J1282" s="59"/>
      <c r="K1282" s="65"/>
      <c r="L1282" s="66"/>
      <c r="M1282" s="67"/>
      <c r="N1282" s="68"/>
      <c r="O1282" s="69"/>
      <c r="P1282" s="69"/>
      <c r="Q1282" s="69"/>
      <c r="R1282" s="69"/>
    </row>
    <row r="1283" spans="1:18">
      <c r="A1283" s="6"/>
      <c r="B1283" s="59"/>
      <c r="C1283" s="60"/>
      <c r="D1283" s="62"/>
      <c r="E1283" s="62"/>
      <c r="F1283" s="63"/>
      <c r="G1283" s="59"/>
      <c r="H1283" s="59"/>
      <c r="I1283" s="64"/>
      <c r="J1283" s="59"/>
      <c r="K1283" s="65"/>
      <c r="L1283" s="66"/>
      <c r="M1283" s="67"/>
      <c r="N1283" s="68"/>
      <c r="O1283" s="69"/>
      <c r="P1283" s="69"/>
      <c r="Q1283" s="69"/>
      <c r="R1283" s="69"/>
    </row>
    <row r="1284" spans="1:18">
      <c r="A1284" s="6"/>
      <c r="B1284" s="59"/>
      <c r="C1284" s="60"/>
      <c r="D1284" s="62"/>
      <c r="E1284" s="62"/>
      <c r="F1284" s="63"/>
      <c r="G1284" s="59"/>
      <c r="H1284" s="59"/>
      <c r="I1284" s="64"/>
      <c r="J1284" s="59"/>
      <c r="K1284" s="65"/>
      <c r="L1284" s="66"/>
      <c r="M1284" s="67"/>
      <c r="N1284" s="68"/>
      <c r="O1284" s="69"/>
      <c r="P1284" s="69"/>
      <c r="Q1284" s="69"/>
      <c r="R1284" s="69"/>
    </row>
    <row r="1285" spans="1:18">
      <c r="A1285" s="6"/>
      <c r="B1285" s="59"/>
      <c r="C1285" s="60"/>
      <c r="D1285" s="62"/>
      <c r="E1285" s="62"/>
      <c r="F1285" s="63"/>
      <c r="G1285" s="59"/>
      <c r="H1285" s="59"/>
      <c r="I1285" s="64"/>
      <c r="J1285" s="59"/>
      <c r="K1285" s="65"/>
      <c r="L1285" s="66"/>
      <c r="M1285" s="67"/>
      <c r="N1285" s="68"/>
      <c r="O1285" s="69"/>
      <c r="P1285" s="69"/>
      <c r="Q1285" s="69"/>
      <c r="R1285" s="69"/>
    </row>
    <row r="1286" spans="1:18">
      <c r="A1286" s="6"/>
      <c r="B1286" s="59"/>
      <c r="C1286" s="60"/>
      <c r="D1286" s="62"/>
      <c r="E1286" s="62"/>
      <c r="F1286" s="63"/>
      <c r="G1286" s="59"/>
      <c r="H1286" s="59"/>
      <c r="I1286" s="64"/>
      <c r="J1286" s="59"/>
      <c r="K1286" s="65"/>
      <c r="L1286" s="66"/>
      <c r="M1286" s="67"/>
      <c r="N1286" s="68"/>
      <c r="O1286" s="69"/>
      <c r="P1286" s="69"/>
      <c r="Q1286" s="69"/>
      <c r="R1286" s="69"/>
    </row>
    <row r="1287" spans="1:18">
      <c r="A1287" s="6"/>
      <c r="B1287" s="59"/>
      <c r="C1287" s="60"/>
      <c r="D1287" s="62"/>
      <c r="E1287" s="62"/>
      <c r="F1287" s="63"/>
      <c r="G1287" s="59"/>
      <c r="H1287" s="59"/>
      <c r="I1287" s="64"/>
      <c r="J1287" s="59"/>
      <c r="K1287" s="65"/>
      <c r="L1287" s="66"/>
      <c r="M1287" s="67"/>
      <c r="N1287" s="68"/>
      <c r="O1287" s="69"/>
      <c r="P1287" s="69"/>
      <c r="Q1287" s="69"/>
      <c r="R1287" s="69"/>
    </row>
    <row r="1288" spans="1:18">
      <c r="A1288" s="6"/>
      <c r="B1288" s="59"/>
      <c r="C1288" s="60"/>
      <c r="D1288" s="62"/>
      <c r="E1288" s="62"/>
      <c r="F1288" s="63"/>
      <c r="G1288" s="59"/>
      <c r="H1288" s="59"/>
      <c r="I1288" s="64"/>
      <c r="J1288" s="59"/>
      <c r="K1288" s="65"/>
      <c r="L1288" s="66"/>
      <c r="M1288" s="67"/>
      <c r="N1288" s="68"/>
      <c r="O1288" s="69"/>
      <c r="P1288" s="69"/>
      <c r="Q1288" s="69"/>
      <c r="R1288" s="69"/>
    </row>
    <row r="1289" spans="1:18">
      <c r="A1289" s="6"/>
      <c r="B1289" s="59"/>
      <c r="C1289" s="60"/>
      <c r="D1289" s="62"/>
      <c r="E1289" s="62"/>
      <c r="F1289" s="63"/>
      <c r="G1289" s="59"/>
      <c r="H1289" s="59"/>
      <c r="I1289" s="64"/>
      <c r="J1289" s="59"/>
      <c r="K1289" s="65"/>
      <c r="L1289" s="66"/>
      <c r="M1289" s="67"/>
      <c r="N1289" s="68"/>
      <c r="O1289" s="69"/>
      <c r="P1289" s="69"/>
      <c r="Q1289" s="69"/>
      <c r="R1289" s="69"/>
    </row>
    <row r="1290" spans="1:18">
      <c r="A1290" s="6"/>
      <c r="B1290" s="59"/>
      <c r="C1290" s="60"/>
      <c r="D1290" s="62"/>
      <c r="E1290" s="62"/>
      <c r="F1290" s="63"/>
      <c r="G1290" s="59"/>
      <c r="H1290" s="59"/>
      <c r="I1290" s="64"/>
      <c r="J1290" s="59"/>
      <c r="K1290" s="65"/>
      <c r="L1290" s="66"/>
      <c r="M1290" s="67"/>
      <c r="N1290" s="68"/>
      <c r="O1290" s="69"/>
      <c r="P1290" s="69"/>
      <c r="Q1290" s="69"/>
      <c r="R1290" s="69"/>
    </row>
    <row r="1291" spans="1:18">
      <c r="A1291" s="6"/>
      <c r="B1291" s="59"/>
      <c r="C1291" s="60"/>
      <c r="D1291" s="62"/>
      <c r="E1291" s="62"/>
      <c r="F1291" s="63"/>
      <c r="G1291" s="59"/>
      <c r="H1291" s="59"/>
      <c r="I1291" s="64"/>
      <c r="J1291" s="59"/>
      <c r="K1291" s="65"/>
      <c r="L1291" s="66"/>
      <c r="M1291" s="67"/>
      <c r="N1291" s="68"/>
      <c r="O1291" s="69"/>
      <c r="P1291" s="69"/>
      <c r="Q1291" s="69"/>
      <c r="R1291" s="69"/>
    </row>
    <row r="1292" spans="1:18">
      <c r="A1292" s="6"/>
      <c r="B1292" s="59"/>
      <c r="C1292" s="60"/>
      <c r="D1292" s="62"/>
      <c r="E1292" s="62"/>
      <c r="F1292" s="63"/>
      <c r="G1292" s="59"/>
      <c r="H1292" s="59"/>
      <c r="I1292" s="64"/>
      <c r="J1292" s="59"/>
      <c r="K1292" s="65"/>
      <c r="L1292" s="66"/>
      <c r="M1292" s="67"/>
      <c r="N1292" s="68"/>
      <c r="O1292" s="69"/>
      <c r="P1292" s="69"/>
      <c r="Q1292" s="69"/>
      <c r="R1292" s="69"/>
    </row>
    <row r="1293" spans="1:18">
      <c r="A1293" s="6"/>
      <c r="B1293" s="59"/>
      <c r="C1293" s="60"/>
      <c r="D1293" s="62"/>
      <c r="E1293" s="62"/>
      <c r="F1293" s="63"/>
      <c r="G1293" s="59"/>
      <c r="H1293" s="59"/>
      <c r="I1293" s="64"/>
      <c r="J1293" s="59"/>
      <c r="K1293" s="65"/>
      <c r="L1293" s="66"/>
      <c r="M1293" s="67"/>
      <c r="N1293" s="68"/>
      <c r="O1293" s="69"/>
      <c r="P1293" s="69"/>
      <c r="Q1293" s="69"/>
      <c r="R1293" s="69"/>
    </row>
    <row r="1294" spans="1:18">
      <c r="A1294" s="6"/>
      <c r="B1294" s="59"/>
      <c r="C1294" s="60"/>
      <c r="D1294" s="62"/>
      <c r="E1294" s="62"/>
      <c r="F1294" s="63"/>
      <c r="G1294" s="59"/>
      <c r="H1294" s="59"/>
      <c r="I1294" s="64"/>
      <c r="J1294" s="59"/>
      <c r="K1294" s="65"/>
      <c r="L1294" s="66"/>
      <c r="M1294" s="67"/>
      <c r="N1294" s="68"/>
      <c r="O1294" s="69"/>
      <c r="P1294" s="69"/>
      <c r="Q1294" s="69"/>
      <c r="R1294" s="69"/>
    </row>
    <row r="1295" spans="1:18">
      <c r="A1295" s="6"/>
      <c r="B1295" s="59"/>
      <c r="C1295" s="60"/>
      <c r="D1295" s="62"/>
      <c r="E1295" s="62"/>
      <c r="F1295" s="63"/>
      <c r="G1295" s="59"/>
      <c r="H1295" s="59"/>
      <c r="I1295" s="64"/>
      <c r="J1295" s="59"/>
      <c r="K1295" s="65"/>
      <c r="L1295" s="66"/>
      <c r="M1295" s="67"/>
      <c r="N1295" s="68"/>
      <c r="O1295" s="69"/>
      <c r="P1295" s="69"/>
      <c r="Q1295" s="69"/>
      <c r="R1295" s="69"/>
    </row>
    <row r="1296" spans="1:18">
      <c r="A1296" s="6"/>
      <c r="B1296" s="59"/>
      <c r="C1296" s="60"/>
      <c r="D1296" s="62"/>
      <c r="E1296" s="62"/>
      <c r="F1296" s="63"/>
      <c r="G1296" s="59"/>
      <c r="H1296" s="59"/>
      <c r="I1296" s="64"/>
      <c r="J1296" s="59"/>
      <c r="K1296" s="65"/>
      <c r="L1296" s="66"/>
      <c r="M1296" s="67"/>
      <c r="N1296" s="68"/>
      <c r="O1296" s="69"/>
      <c r="P1296" s="69"/>
      <c r="Q1296" s="69"/>
      <c r="R1296" s="69"/>
    </row>
    <row r="1297" spans="1:18">
      <c r="A1297" s="6"/>
      <c r="B1297" s="59"/>
      <c r="C1297" s="60"/>
      <c r="D1297" s="62"/>
      <c r="E1297" s="62"/>
      <c r="F1297" s="63"/>
      <c r="G1297" s="59"/>
      <c r="H1297" s="59"/>
      <c r="I1297" s="64"/>
      <c r="J1297" s="59"/>
      <c r="K1297" s="65"/>
      <c r="L1297" s="66"/>
      <c r="M1297" s="67"/>
      <c r="N1297" s="68"/>
      <c r="O1297" s="69"/>
      <c r="P1297" s="69"/>
      <c r="Q1297" s="69"/>
      <c r="R1297" s="69"/>
    </row>
    <row r="1298" spans="1:18">
      <c r="A1298" s="6"/>
      <c r="B1298" s="59"/>
      <c r="C1298" s="60"/>
      <c r="D1298" s="62"/>
      <c r="E1298" s="62"/>
      <c r="F1298" s="63"/>
      <c r="G1298" s="59"/>
      <c r="H1298" s="59"/>
      <c r="I1298" s="64"/>
      <c r="J1298" s="59"/>
      <c r="K1298" s="65"/>
      <c r="L1298" s="66"/>
      <c r="M1298" s="67"/>
      <c r="N1298" s="68"/>
      <c r="O1298" s="69"/>
      <c r="P1298" s="69"/>
      <c r="Q1298" s="69"/>
      <c r="R1298" s="69"/>
    </row>
    <row r="1299" spans="1:18">
      <c r="A1299" s="6"/>
      <c r="B1299" s="59"/>
      <c r="C1299" s="60"/>
      <c r="D1299" s="62"/>
      <c r="E1299" s="62"/>
      <c r="F1299" s="63"/>
      <c r="G1299" s="59"/>
      <c r="H1299" s="59"/>
      <c r="I1299" s="64"/>
      <c r="J1299" s="59"/>
      <c r="K1299" s="65"/>
      <c r="L1299" s="66"/>
      <c r="M1299" s="67"/>
      <c r="N1299" s="68"/>
      <c r="O1299" s="69"/>
      <c r="P1299" s="69"/>
      <c r="Q1299" s="69"/>
      <c r="R1299" s="69"/>
    </row>
    <row r="1300" spans="1:18">
      <c r="A1300" s="6"/>
      <c r="B1300" s="59"/>
      <c r="C1300" s="60"/>
      <c r="D1300" s="62"/>
      <c r="E1300" s="62"/>
      <c r="F1300" s="63"/>
      <c r="G1300" s="59"/>
      <c r="H1300" s="59"/>
      <c r="I1300" s="64"/>
      <c r="J1300" s="59"/>
      <c r="K1300" s="65"/>
      <c r="L1300" s="66"/>
      <c r="M1300" s="67"/>
      <c r="N1300" s="68"/>
      <c r="O1300" s="69"/>
      <c r="P1300" s="69"/>
      <c r="Q1300" s="69"/>
      <c r="R1300" s="69"/>
    </row>
    <row r="1301" spans="1:18">
      <c r="A1301" s="6"/>
      <c r="B1301" s="59"/>
      <c r="C1301" s="60"/>
      <c r="D1301" s="62"/>
      <c r="E1301" s="62"/>
      <c r="F1301" s="63"/>
      <c r="G1301" s="59"/>
      <c r="H1301" s="59"/>
      <c r="I1301" s="64"/>
      <c r="J1301" s="59"/>
      <c r="K1301" s="65"/>
      <c r="L1301" s="66"/>
      <c r="M1301" s="67"/>
      <c r="N1301" s="68"/>
      <c r="O1301" s="69"/>
      <c r="P1301" s="69"/>
      <c r="Q1301" s="69"/>
      <c r="R1301" s="69"/>
    </row>
    <row r="1302" spans="1:18">
      <c r="A1302" s="6"/>
      <c r="B1302" s="59"/>
      <c r="C1302" s="60"/>
      <c r="D1302" s="62"/>
      <c r="E1302" s="62"/>
      <c r="F1302" s="63"/>
      <c r="G1302" s="59"/>
      <c r="H1302" s="59"/>
      <c r="I1302" s="64"/>
      <c r="J1302" s="59"/>
      <c r="K1302" s="65"/>
      <c r="L1302" s="66"/>
      <c r="M1302" s="67"/>
      <c r="N1302" s="68"/>
      <c r="O1302" s="69"/>
      <c r="P1302" s="69"/>
      <c r="Q1302" s="69"/>
      <c r="R1302" s="69"/>
    </row>
    <row r="1303" spans="1:18">
      <c r="A1303" s="6"/>
      <c r="B1303" s="59"/>
      <c r="C1303" s="60"/>
      <c r="D1303" s="62"/>
      <c r="E1303" s="62"/>
      <c r="F1303" s="63"/>
      <c r="G1303" s="59"/>
      <c r="H1303" s="59"/>
      <c r="I1303" s="64"/>
      <c r="J1303" s="59"/>
      <c r="K1303" s="65"/>
      <c r="L1303" s="66"/>
      <c r="M1303" s="67"/>
      <c r="N1303" s="68"/>
      <c r="O1303" s="69"/>
      <c r="P1303" s="69"/>
      <c r="Q1303" s="69"/>
      <c r="R1303" s="69"/>
    </row>
    <row r="1304" spans="1:18">
      <c r="A1304" s="6"/>
      <c r="B1304" s="59"/>
      <c r="C1304" s="60"/>
      <c r="D1304" s="62"/>
      <c r="E1304" s="62"/>
      <c r="F1304" s="63"/>
      <c r="G1304" s="59"/>
      <c r="H1304" s="59"/>
      <c r="I1304" s="64"/>
      <c r="J1304" s="59"/>
      <c r="K1304" s="65"/>
      <c r="L1304" s="66"/>
      <c r="M1304" s="67"/>
      <c r="N1304" s="68"/>
      <c r="O1304" s="69"/>
      <c r="P1304" s="69"/>
      <c r="Q1304" s="69"/>
      <c r="R1304" s="69"/>
    </row>
    <row r="1305" spans="1:18">
      <c r="A1305" s="6"/>
      <c r="B1305" s="59"/>
      <c r="C1305" s="60"/>
      <c r="D1305" s="62"/>
      <c r="E1305" s="62"/>
      <c r="F1305" s="63"/>
      <c r="G1305" s="59"/>
      <c r="H1305" s="59"/>
      <c r="I1305" s="64"/>
      <c r="J1305" s="59"/>
      <c r="K1305" s="65"/>
      <c r="L1305" s="66"/>
      <c r="M1305" s="67"/>
      <c r="N1305" s="68"/>
      <c r="O1305" s="69"/>
      <c r="P1305" s="69"/>
      <c r="Q1305" s="69"/>
      <c r="R1305" s="69"/>
    </row>
    <row r="1306" spans="1:18">
      <c r="A1306" s="6"/>
      <c r="B1306" s="59"/>
      <c r="C1306" s="60"/>
      <c r="D1306" s="62"/>
      <c r="E1306" s="62"/>
      <c r="F1306" s="63"/>
      <c r="G1306" s="59"/>
      <c r="H1306" s="59"/>
      <c r="I1306" s="64"/>
      <c r="J1306" s="59"/>
      <c r="K1306" s="65"/>
      <c r="L1306" s="66"/>
      <c r="M1306" s="67"/>
      <c r="N1306" s="68"/>
      <c r="O1306" s="69"/>
      <c r="P1306" s="69"/>
      <c r="Q1306" s="69"/>
      <c r="R1306" s="69"/>
    </row>
    <row r="1307" spans="1:18">
      <c r="A1307" s="6"/>
      <c r="B1307" s="59"/>
      <c r="C1307" s="60"/>
      <c r="D1307" s="62"/>
      <c r="E1307" s="62"/>
      <c r="F1307" s="63"/>
      <c r="G1307" s="59"/>
      <c r="H1307" s="59"/>
      <c r="I1307" s="64"/>
      <c r="J1307" s="59"/>
      <c r="K1307" s="65"/>
      <c r="L1307" s="66"/>
      <c r="M1307" s="67"/>
      <c r="N1307" s="68"/>
      <c r="O1307" s="69"/>
      <c r="P1307" s="69"/>
      <c r="Q1307" s="69"/>
      <c r="R1307" s="69"/>
    </row>
    <row r="1308" spans="1:18">
      <c r="A1308" s="6"/>
      <c r="B1308" s="59"/>
      <c r="C1308" s="60"/>
      <c r="D1308" s="62"/>
      <c r="E1308" s="62"/>
      <c r="F1308" s="63"/>
      <c r="G1308" s="59"/>
      <c r="H1308" s="59"/>
      <c r="I1308" s="64"/>
      <c r="J1308" s="59"/>
      <c r="K1308" s="65"/>
      <c r="L1308" s="66"/>
      <c r="M1308" s="67"/>
      <c r="N1308" s="68"/>
      <c r="O1308" s="69"/>
      <c r="P1308" s="69"/>
      <c r="Q1308" s="69"/>
      <c r="R1308" s="69"/>
    </row>
    <row r="1309" spans="1:18">
      <c r="A1309" s="6"/>
      <c r="B1309" s="59"/>
      <c r="C1309" s="60"/>
      <c r="D1309" s="62"/>
      <c r="E1309" s="62"/>
      <c r="F1309" s="63"/>
      <c r="G1309" s="59"/>
      <c r="H1309" s="59"/>
      <c r="I1309" s="64"/>
      <c r="J1309" s="59"/>
      <c r="K1309" s="65"/>
      <c r="L1309" s="66"/>
      <c r="M1309" s="67"/>
      <c r="N1309" s="68"/>
      <c r="O1309" s="69"/>
      <c r="P1309" s="69"/>
      <c r="Q1309" s="69"/>
      <c r="R1309" s="69"/>
    </row>
    <row r="1310" spans="1:18">
      <c r="A1310" s="6"/>
      <c r="B1310" s="59"/>
      <c r="C1310" s="60"/>
      <c r="D1310" s="62"/>
      <c r="E1310" s="62"/>
      <c r="F1310" s="63"/>
      <c r="G1310" s="59"/>
      <c r="H1310" s="59"/>
      <c r="I1310" s="64"/>
      <c r="J1310" s="59"/>
      <c r="K1310" s="65"/>
      <c r="L1310" s="66"/>
      <c r="M1310" s="67"/>
      <c r="N1310" s="68"/>
      <c r="O1310" s="69"/>
      <c r="P1310" s="69"/>
      <c r="Q1310" s="69"/>
      <c r="R1310" s="69"/>
    </row>
    <row r="1311" spans="1:18">
      <c r="A1311" s="6"/>
      <c r="B1311" s="59"/>
      <c r="C1311" s="60"/>
      <c r="D1311" s="62"/>
      <c r="E1311" s="62"/>
      <c r="F1311" s="63"/>
      <c r="G1311" s="59"/>
      <c r="H1311" s="59"/>
      <c r="I1311" s="64"/>
      <c r="J1311" s="59"/>
      <c r="K1311" s="65"/>
      <c r="L1311" s="66"/>
      <c r="M1311" s="67"/>
      <c r="N1311" s="68"/>
      <c r="O1311" s="69"/>
      <c r="P1311" s="69"/>
      <c r="Q1311" s="69"/>
      <c r="R1311" s="69"/>
    </row>
    <row r="1312" spans="1:18">
      <c r="A1312" s="6"/>
      <c r="B1312" s="59"/>
      <c r="C1312" s="60"/>
      <c r="D1312" s="62"/>
      <c r="E1312" s="62"/>
      <c r="F1312" s="63"/>
      <c r="G1312" s="59"/>
      <c r="H1312" s="59"/>
      <c r="I1312" s="64"/>
      <c r="J1312" s="59"/>
      <c r="K1312" s="65"/>
      <c r="L1312" s="66"/>
      <c r="M1312" s="67"/>
      <c r="N1312" s="68"/>
      <c r="O1312" s="69"/>
      <c r="P1312" s="69"/>
      <c r="Q1312" s="69"/>
      <c r="R1312" s="69"/>
    </row>
    <row r="1313" spans="1:18">
      <c r="A1313" s="6"/>
      <c r="B1313" s="59"/>
      <c r="C1313" s="60"/>
      <c r="D1313" s="62"/>
      <c r="E1313" s="62"/>
      <c r="F1313" s="63"/>
      <c r="G1313" s="59"/>
      <c r="H1313" s="59"/>
      <c r="I1313" s="64"/>
      <c r="J1313" s="59"/>
      <c r="K1313" s="65"/>
      <c r="L1313" s="66"/>
      <c r="M1313" s="67"/>
      <c r="N1313" s="68"/>
      <c r="O1313" s="69"/>
      <c r="P1313" s="69"/>
      <c r="Q1313" s="69"/>
      <c r="R1313" s="69"/>
    </row>
    <row r="1314" spans="1:18">
      <c r="A1314" s="6"/>
      <c r="B1314" s="59"/>
      <c r="C1314" s="60"/>
      <c r="D1314" s="62"/>
      <c r="E1314" s="62"/>
      <c r="F1314" s="63"/>
      <c r="G1314" s="59"/>
      <c r="H1314" s="59"/>
      <c r="I1314" s="64"/>
      <c r="J1314" s="59"/>
      <c r="K1314" s="65"/>
      <c r="L1314" s="66"/>
      <c r="M1314" s="67"/>
      <c r="N1314" s="68"/>
      <c r="O1314" s="69"/>
      <c r="P1314" s="69"/>
      <c r="Q1314" s="69"/>
      <c r="R1314" s="69"/>
    </row>
    <row r="1315" spans="1:18">
      <c r="A1315" s="6"/>
      <c r="B1315" s="59"/>
      <c r="C1315" s="60"/>
      <c r="D1315" s="62"/>
      <c r="E1315" s="62"/>
      <c r="F1315" s="63"/>
      <c r="G1315" s="59"/>
      <c r="H1315" s="59"/>
      <c r="I1315" s="64"/>
      <c r="J1315" s="59"/>
      <c r="K1315" s="65"/>
      <c r="L1315" s="66"/>
      <c r="M1315" s="67"/>
      <c r="N1315" s="68"/>
      <c r="O1315" s="69"/>
      <c r="P1315" s="69"/>
      <c r="Q1315" s="69"/>
      <c r="R1315" s="69"/>
    </row>
    <row r="1316" spans="1:18">
      <c r="A1316" s="6"/>
      <c r="B1316" s="59"/>
      <c r="C1316" s="60"/>
      <c r="D1316" s="62"/>
      <c r="E1316" s="62"/>
      <c r="F1316" s="63"/>
      <c r="G1316" s="59"/>
      <c r="H1316" s="59"/>
      <c r="I1316" s="64"/>
      <c r="J1316" s="59"/>
      <c r="K1316" s="65"/>
      <c r="L1316" s="66"/>
      <c r="M1316" s="67"/>
      <c r="N1316" s="68"/>
      <c r="O1316" s="69"/>
      <c r="P1316" s="69"/>
      <c r="Q1316" s="69"/>
      <c r="R1316" s="69"/>
    </row>
    <row r="1317" spans="1:18">
      <c r="A1317" s="6"/>
      <c r="B1317" s="59"/>
      <c r="C1317" s="60"/>
      <c r="D1317" s="62"/>
      <c r="E1317" s="62"/>
      <c r="F1317" s="63"/>
      <c r="G1317" s="59"/>
      <c r="H1317" s="59"/>
      <c r="I1317" s="64"/>
      <c r="J1317" s="59"/>
      <c r="K1317" s="65"/>
      <c r="L1317" s="66"/>
      <c r="M1317" s="67"/>
      <c r="N1317" s="68"/>
      <c r="O1317" s="69"/>
      <c r="P1317" s="69"/>
      <c r="Q1317" s="69"/>
      <c r="R1317" s="69"/>
    </row>
    <row r="1318" spans="1:18">
      <c r="A1318" s="6"/>
      <c r="B1318" s="59"/>
      <c r="C1318" s="60"/>
      <c r="D1318" s="62"/>
      <c r="E1318" s="62"/>
      <c r="F1318" s="63"/>
      <c r="G1318" s="59"/>
      <c r="H1318" s="59"/>
      <c r="I1318" s="64"/>
      <c r="J1318" s="59"/>
      <c r="K1318" s="65"/>
      <c r="L1318" s="66"/>
      <c r="M1318" s="67"/>
      <c r="N1318" s="68"/>
      <c r="O1318" s="69"/>
      <c r="P1318" s="69"/>
      <c r="Q1318" s="69"/>
      <c r="R1318" s="69"/>
    </row>
    <row r="1319" spans="1:18">
      <c r="A1319" s="6"/>
      <c r="B1319" s="59"/>
      <c r="C1319" s="60"/>
      <c r="D1319" s="62"/>
      <c r="E1319" s="62"/>
      <c r="F1319" s="63"/>
      <c r="G1319" s="59"/>
      <c r="H1319" s="59"/>
      <c r="I1319" s="64"/>
      <c r="J1319" s="59"/>
      <c r="K1319" s="65"/>
      <c r="L1319" s="66"/>
      <c r="M1319" s="67"/>
      <c r="N1319" s="68"/>
      <c r="O1319" s="69"/>
      <c r="P1319" s="69"/>
      <c r="Q1319" s="69"/>
      <c r="R1319" s="69"/>
    </row>
    <row r="1320" spans="1:18">
      <c r="A1320" s="6"/>
      <c r="B1320" s="59"/>
      <c r="C1320" s="60"/>
      <c r="D1320" s="62"/>
      <c r="E1320" s="62"/>
      <c r="F1320" s="63"/>
      <c r="G1320" s="59"/>
      <c r="H1320" s="59"/>
      <c r="I1320" s="64"/>
      <c r="J1320" s="59"/>
      <c r="K1320" s="65"/>
      <c r="L1320" s="66"/>
      <c r="M1320" s="67"/>
      <c r="N1320" s="68"/>
      <c r="O1320" s="69"/>
      <c r="P1320" s="69"/>
      <c r="Q1320" s="69"/>
      <c r="R1320" s="69"/>
    </row>
    <row r="1321" spans="1:18">
      <c r="A1321" s="6"/>
      <c r="B1321" s="59"/>
      <c r="C1321" s="60"/>
      <c r="D1321" s="62"/>
      <c r="E1321" s="62"/>
      <c r="F1321" s="63"/>
      <c r="G1321" s="59"/>
      <c r="H1321" s="59"/>
      <c r="I1321" s="64"/>
      <c r="J1321" s="59"/>
      <c r="K1321" s="65"/>
      <c r="L1321" s="66"/>
      <c r="M1321" s="67"/>
      <c r="N1321" s="68"/>
      <c r="O1321" s="69"/>
      <c r="P1321" s="69"/>
      <c r="Q1321" s="69"/>
      <c r="R1321" s="69"/>
    </row>
    <row r="1322" spans="1:18">
      <c r="A1322" s="6"/>
      <c r="B1322" s="59"/>
      <c r="C1322" s="60"/>
      <c r="D1322" s="62"/>
      <c r="E1322" s="62"/>
      <c r="F1322" s="63"/>
      <c r="G1322" s="59"/>
      <c r="H1322" s="59"/>
      <c r="I1322" s="64"/>
      <c r="J1322" s="59"/>
      <c r="K1322" s="65"/>
      <c r="L1322" s="66"/>
      <c r="M1322" s="67"/>
      <c r="N1322" s="68"/>
      <c r="O1322" s="69"/>
      <c r="P1322" s="69"/>
      <c r="Q1322" s="69"/>
      <c r="R1322" s="69"/>
    </row>
    <row r="1323" spans="1:18">
      <c r="A1323" s="6"/>
      <c r="B1323" s="59"/>
      <c r="C1323" s="60"/>
      <c r="D1323" s="62"/>
      <c r="E1323" s="62"/>
      <c r="F1323" s="63"/>
      <c r="G1323" s="59"/>
      <c r="H1323" s="59"/>
      <c r="I1323" s="64"/>
      <c r="J1323" s="59"/>
      <c r="K1323" s="65"/>
      <c r="L1323" s="66"/>
      <c r="M1323" s="67"/>
      <c r="N1323" s="68"/>
      <c r="O1323" s="69"/>
      <c r="P1323" s="69"/>
      <c r="Q1323" s="69"/>
      <c r="R1323" s="69"/>
    </row>
    <row r="1324" spans="1:18">
      <c r="A1324" s="6"/>
      <c r="B1324" s="59"/>
      <c r="C1324" s="60"/>
      <c r="D1324" s="62"/>
      <c r="E1324" s="62"/>
      <c r="F1324" s="63"/>
      <c r="G1324" s="59"/>
      <c r="H1324" s="59"/>
      <c r="I1324" s="64"/>
      <c r="J1324" s="59"/>
      <c r="K1324" s="65"/>
      <c r="L1324" s="66"/>
      <c r="M1324" s="67"/>
      <c r="N1324" s="68"/>
      <c r="O1324" s="69"/>
      <c r="P1324" s="69"/>
      <c r="Q1324" s="69"/>
      <c r="R1324" s="69"/>
    </row>
    <row r="1325" spans="1:18">
      <c r="A1325" s="6"/>
      <c r="B1325" s="59"/>
      <c r="C1325" s="60"/>
      <c r="D1325" s="62"/>
      <c r="E1325" s="62"/>
      <c r="F1325" s="63"/>
      <c r="G1325" s="59"/>
      <c r="H1325" s="59"/>
      <c r="I1325" s="64"/>
      <c r="J1325" s="59"/>
      <c r="K1325" s="65"/>
      <c r="L1325" s="66"/>
      <c r="M1325" s="67"/>
      <c r="N1325" s="68"/>
      <c r="O1325" s="69"/>
      <c r="P1325" s="69"/>
      <c r="Q1325" s="69"/>
      <c r="R1325" s="69"/>
    </row>
    <row r="1326" spans="1:18">
      <c r="A1326" s="6"/>
      <c r="B1326" s="59"/>
      <c r="C1326" s="60"/>
      <c r="D1326" s="62"/>
      <c r="E1326" s="62"/>
      <c r="F1326" s="63"/>
      <c r="G1326" s="59"/>
      <c r="H1326" s="59"/>
      <c r="I1326" s="64"/>
      <c r="J1326" s="59"/>
      <c r="K1326" s="65"/>
      <c r="L1326" s="66"/>
      <c r="M1326" s="67"/>
      <c r="N1326" s="68"/>
      <c r="O1326" s="69"/>
      <c r="P1326" s="69"/>
      <c r="Q1326" s="69"/>
      <c r="R1326" s="69"/>
    </row>
    <row r="1327" spans="1:18">
      <c r="A1327" s="6"/>
      <c r="B1327" s="59"/>
      <c r="C1327" s="60"/>
      <c r="D1327" s="62"/>
      <c r="E1327" s="62"/>
      <c r="F1327" s="63"/>
      <c r="G1327" s="59"/>
      <c r="H1327" s="59"/>
      <c r="I1327" s="64"/>
      <c r="J1327" s="59"/>
      <c r="K1327" s="65"/>
      <c r="L1327" s="66"/>
      <c r="M1327" s="67"/>
      <c r="N1327" s="68"/>
      <c r="O1327" s="69"/>
      <c r="P1327" s="69"/>
      <c r="Q1327" s="69"/>
      <c r="R1327" s="69"/>
    </row>
    <row r="1328" spans="1:18">
      <c r="A1328" s="6"/>
      <c r="B1328" s="59"/>
      <c r="C1328" s="60"/>
      <c r="D1328" s="62"/>
      <c r="E1328" s="62"/>
      <c r="F1328" s="63"/>
      <c r="G1328" s="59"/>
      <c r="H1328" s="59"/>
      <c r="I1328" s="64"/>
      <c r="J1328" s="59"/>
      <c r="K1328" s="65"/>
      <c r="L1328" s="66"/>
      <c r="M1328" s="67"/>
      <c r="N1328" s="68"/>
      <c r="O1328" s="69"/>
      <c r="P1328" s="69"/>
      <c r="Q1328" s="69"/>
      <c r="R1328" s="69"/>
    </row>
    <row r="1329" spans="1:18">
      <c r="A1329" s="6"/>
      <c r="B1329" s="59"/>
      <c r="C1329" s="60"/>
      <c r="D1329" s="62"/>
      <c r="E1329" s="62"/>
      <c r="F1329" s="63"/>
      <c r="G1329" s="59"/>
      <c r="H1329" s="59"/>
      <c r="I1329" s="64"/>
      <c r="J1329" s="59"/>
      <c r="K1329" s="65"/>
      <c r="L1329" s="66"/>
      <c r="M1329" s="67"/>
      <c r="N1329" s="68"/>
      <c r="O1329" s="69"/>
      <c r="P1329" s="69"/>
      <c r="Q1329" s="69"/>
      <c r="R1329" s="69"/>
    </row>
    <row r="1330" spans="1:18">
      <c r="A1330" s="6"/>
      <c r="B1330" s="59"/>
      <c r="C1330" s="60"/>
      <c r="D1330" s="62"/>
      <c r="E1330" s="62"/>
      <c r="F1330" s="63"/>
      <c r="G1330" s="59"/>
      <c r="H1330" s="59"/>
      <c r="I1330" s="64"/>
      <c r="J1330" s="59"/>
      <c r="K1330" s="65"/>
      <c r="L1330" s="66"/>
      <c r="M1330" s="67"/>
      <c r="N1330" s="68"/>
      <c r="O1330" s="69"/>
      <c r="P1330" s="69"/>
      <c r="Q1330" s="69"/>
      <c r="R1330" s="69"/>
    </row>
    <row r="1331" spans="1:18">
      <c r="A1331" s="6"/>
      <c r="B1331" s="59"/>
      <c r="C1331" s="60"/>
      <c r="D1331" s="62"/>
      <c r="E1331" s="62"/>
      <c r="F1331" s="63"/>
      <c r="G1331" s="59"/>
      <c r="H1331" s="59"/>
      <c r="I1331" s="64"/>
      <c r="J1331" s="59"/>
      <c r="K1331" s="65"/>
      <c r="L1331" s="66"/>
      <c r="M1331" s="67"/>
      <c r="N1331" s="68"/>
      <c r="O1331" s="69"/>
      <c r="P1331" s="69"/>
      <c r="Q1331" s="69"/>
      <c r="R1331" s="69"/>
    </row>
    <row r="1332" spans="1:18">
      <c r="A1332" s="6"/>
      <c r="B1332" s="59"/>
      <c r="C1332" s="60"/>
      <c r="D1332" s="62"/>
      <c r="E1332" s="62"/>
      <c r="F1332" s="63"/>
      <c r="G1332" s="59"/>
      <c r="H1332" s="59"/>
      <c r="I1332" s="64"/>
      <c r="J1332" s="59"/>
      <c r="K1332" s="65"/>
      <c r="L1332" s="66"/>
      <c r="M1332" s="67"/>
      <c r="N1332" s="68"/>
      <c r="O1332" s="69"/>
      <c r="P1332" s="69"/>
      <c r="Q1332" s="69"/>
      <c r="R1332" s="69"/>
    </row>
    <row r="1333" spans="1:18">
      <c r="A1333" s="6"/>
      <c r="B1333" s="59"/>
      <c r="C1333" s="60"/>
      <c r="D1333" s="62"/>
      <c r="E1333" s="62"/>
      <c r="F1333" s="63"/>
      <c r="G1333" s="59"/>
      <c r="H1333" s="59"/>
      <c r="I1333" s="64"/>
      <c r="J1333" s="59"/>
      <c r="K1333" s="65"/>
      <c r="L1333" s="66"/>
      <c r="M1333" s="67"/>
      <c r="N1333" s="68"/>
      <c r="O1333" s="69"/>
      <c r="P1333" s="69"/>
      <c r="Q1333" s="69"/>
      <c r="R1333" s="69"/>
    </row>
    <row r="1334" spans="1:18">
      <c r="A1334" s="6"/>
      <c r="B1334" s="59"/>
      <c r="C1334" s="60"/>
      <c r="D1334" s="62"/>
      <c r="E1334" s="62"/>
      <c r="F1334" s="63"/>
      <c r="G1334" s="59"/>
      <c r="H1334" s="59"/>
      <c r="I1334" s="64"/>
      <c r="J1334" s="59"/>
      <c r="K1334" s="65"/>
      <c r="L1334" s="66"/>
      <c r="M1334" s="67"/>
      <c r="N1334" s="68"/>
      <c r="O1334" s="69"/>
      <c r="P1334" s="69"/>
      <c r="Q1334" s="69"/>
      <c r="R1334" s="69"/>
    </row>
    <row r="1335" spans="1:18">
      <c r="A1335" s="6"/>
      <c r="B1335" s="59"/>
      <c r="C1335" s="60"/>
      <c r="D1335" s="62"/>
      <c r="E1335" s="62"/>
      <c r="F1335" s="63"/>
      <c r="G1335" s="59"/>
      <c r="H1335" s="59"/>
      <c r="I1335" s="64"/>
      <c r="J1335" s="59"/>
      <c r="K1335" s="65"/>
      <c r="L1335" s="66"/>
      <c r="M1335" s="67"/>
      <c r="N1335" s="68"/>
      <c r="O1335" s="69"/>
      <c r="P1335" s="69"/>
      <c r="Q1335" s="69"/>
      <c r="R1335" s="69"/>
    </row>
    <row r="1336" spans="1:18">
      <c r="A1336" s="6"/>
      <c r="B1336" s="59"/>
      <c r="C1336" s="60"/>
      <c r="D1336" s="62"/>
      <c r="E1336" s="62"/>
      <c r="F1336" s="63"/>
      <c r="G1336" s="59"/>
      <c r="H1336" s="59"/>
      <c r="I1336" s="64"/>
      <c r="J1336" s="59"/>
      <c r="K1336" s="65"/>
      <c r="L1336" s="66"/>
      <c r="M1336" s="67"/>
      <c r="N1336" s="68"/>
      <c r="O1336" s="69"/>
      <c r="P1336" s="69"/>
      <c r="Q1336" s="69"/>
      <c r="R1336" s="69"/>
    </row>
    <row r="1337" spans="1:18">
      <c r="A1337" s="6"/>
      <c r="B1337" s="59"/>
      <c r="C1337" s="60"/>
      <c r="D1337" s="62"/>
      <c r="E1337" s="62"/>
      <c r="F1337" s="63"/>
      <c r="G1337" s="59"/>
      <c r="H1337" s="59"/>
      <c r="I1337" s="64"/>
      <c r="J1337" s="59"/>
      <c r="K1337" s="65"/>
      <c r="L1337" s="66"/>
      <c r="M1337" s="67"/>
      <c r="N1337" s="68"/>
      <c r="O1337" s="69"/>
      <c r="P1337" s="69"/>
      <c r="Q1337" s="69"/>
      <c r="R1337" s="69"/>
    </row>
    <row r="1338" spans="1:18">
      <c r="A1338" s="6"/>
      <c r="B1338" s="59"/>
      <c r="C1338" s="60"/>
      <c r="D1338" s="62"/>
      <c r="E1338" s="62"/>
      <c r="F1338" s="63"/>
      <c r="G1338" s="59"/>
      <c r="H1338" s="59"/>
      <c r="I1338" s="64"/>
      <c r="J1338" s="59"/>
      <c r="K1338" s="65"/>
      <c r="L1338" s="66"/>
      <c r="M1338" s="67"/>
      <c r="N1338" s="68"/>
      <c r="O1338" s="69"/>
      <c r="P1338" s="69"/>
      <c r="Q1338" s="69"/>
      <c r="R1338" s="69"/>
    </row>
    <row r="1339" spans="1:18">
      <c r="A1339" s="6"/>
      <c r="B1339" s="59"/>
      <c r="C1339" s="60"/>
      <c r="D1339" s="62"/>
      <c r="E1339" s="62"/>
      <c r="F1339" s="63"/>
      <c r="G1339" s="59"/>
      <c r="H1339" s="59"/>
      <c r="I1339" s="64"/>
      <c r="J1339" s="59"/>
      <c r="K1339" s="65"/>
      <c r="L1339" s="66"/>
      <c r="M1339" s="67"/>
      <c r="N1339" s="68"/>
      <c r="O1339" s="69"/>
      <c r="P1339" s="69"/>
      <c r="Q1339" s="69"/>
      <c r="R1339" s="69"/>
    </row>
    <row r="1340" spans="1:18">
      <c r="A1340" s="6"/>
      <c r="B1340" s="59"/>
      <c r="C1340" s="60"/>
      <c r="D1340" s="62"/>
      <c r="E1340" s="62"/>
      <c r="F1340" s="63"/>
      <c r="G1340" s="59"/>
      <c r="H1340" s="59"/>
      <c r="I1340" s="64"/>
      <c r="J1340" s="59"/>
      <c r="K1340" s="65"/>
      <c r="L1340" s="66"/>
      <c r="M1340" s="67"/>
      <c r="N1340" s="68"/>
      <c r="O1340" s="69"/>
      <c r="P1340" s="69"/>
      <c r="Q1340" s="69"/>
      <c r="R1340" s="69"/>
    </row>
    <row r="1341" spans="1:18">
      <c r="A1341" s="6"/>
      <c r="B1341" s="59"/>
      <c r="C1341" s="60"/>
      <c r="D1341" s="62"/>
      <c r="E1341" s="62"/>
      <c r="F1341" s="63"/>
      <c r="G1341" s="59"/>
      <c r="H1341" s="59"/>
      <c r="I1341" s="64"/>
      <c r="J1341" s="59"/>
      <c r="K1341" s="65"/>
      <c r="L1341" s="66"/>
      <c r="M1341" s="67"/>
      <c r="N1341" s="68"/>
      <c r="O1341" s="69"/>
      <c r="P1341" s="69"/>
      <c r="Q1341" s="69"/>
      <c r="R1341" s="69"/>
    </row>
    <row r="1342" spans="1:18">
      <c r="A1342" s="6"/>
      <c r="B1342" s="59"/>
      <c r="C1342" s="60"/>
      <c r="D1342" s="62"/>
      <c r="E1342" s="62"/>
      <c r="F1342" s="63"/>
      <c r="G1342" s="59"/>
      <c r="H1342" s="59"/>
      <c r="I1342" s="64"/>
      <c r="J1342" s="59"/>
      <c r="K1342" s="65"/>
      <c r="L1342" s="66"/>
      <c r="M1342" s="67"/>
      <c r="N1342" s="68"/>
      <c r="O1342" s="69"/>
      <c r="P1342" s="69"/>
      <c r="Q1342" s="69"/>
      <c r="R1342" s="69"/>
    </row>
    <row r="1343" spans="1:18">
      <c r="A1343" s="6"/>
      <c r="B1343" s="59"/>
      <c r="C1343" s="60"/>
      <c r="D1343" s="62"/>
      <c r="E1343" s="62"/>
      <c r="F1343" s="63"/>
      <c r="G1343" s="59"/>
      <c r="H1343" s="59"/>
      <c r="I1343" s="64"/>
      <c r="J1343" s="59"/>
      <c r="K1343" s="65"/>
      <c r="L1343" s="66"/>
      <c r="M1343" s="67"/>
      <c r="N1343" s="68"/>
      <c r="O1343" s="69"/>
      <c r="P1343" s="69"/>
      <c r="Q1343" s="69"/>
      <c r="R1343" s="69"/>
    </row>
    <row r="1344" spans="1:18">
      <c r="A1344" s="6"/>
      <c r="B1344" s="59"/>
      <c r="C1344" s="60"/>
      <c r="D1344" s="62"/>
      <c r="E1344" s="62"/>
      <c r="F1344" s="63"/>
      <c r="G1344" s="59"/>
      <c r="H1344" s="59"/>
      <c r="I1344" s="64"/>
      <c r="J1344" s="59"/>
      <c r="K1344" s="65"/>
      <c r="L1344" s="66"/>
      <c r="M1344" s="67"/>
      <c r="N1344" s="68"/>
      <c r="O1344" s="69"/>
      <c r="P1344" s="69"/>
      <c r="Q1344" s="69"/>
      <c r="R1344" s="69"/>
    </row>
    <row r="1345" spans="1:18">
      <c r="A1345" s="6"/>
      <c r="B1345" s="59"/>
      <c r="C1345" s="60"/>
      <c r="D1345" s="62"/>
      <c r="E1345" s="62"/>
      <c r="F1345" s="63"/>
      <c r="G1345" s="59"/>
      <c r="H1345" s="59"/>
      <c r="I1345" s="64"/>
      <c r="J1345" s="59"/>
      <c r="K1345" s="65"/>
      <c r="L1345" s="66"/>
      <c r="M1345" s="67"/>
      <c r="N1345" s="68"/>
      <c r="O1345" s="69"/>
      <c r="P1345" s="69"/>
      <c r="Q1345" s="69"/>
      <c r="R1345" s="69"/>
    </row>
    <row r="1346" spans="1:18">
      <c r="A1346" s="6"/>
      <c r="B1346" s="59"/>
      <c r="C1346" s="60"/>
      <c r="D1346" s="62"/>
      <c r="E1346" s="62"/>
      <c r="F1346" s="63"/>
      <c r="G1346" s="59"/>
      <c r="H1346" s="59"/>
      <c r="I1346" s="64"/>
      <c r="J1346" s="59"/>
      <c r="K1346" s="65"/>
      <c r="L1346" s="66"/>
      <c r="M1346" s="67"/>
      <c r="N1346" s="68"/>
      <c r="O1346" s="69"/>
      <c r="P1346" s="69"/>
      <c r="Q1346" s="69"/>
      <c r="R1346" s="69"/>
    </row>
    <row r="1347" spans="1:18">
      <c r="A1347" s="6"/>
      <c r="B1347" s="59"/>
      <c r="C1347" s="60"/>
      <c r="D1347" s="62"/>
      <c r="E1347" s="62"/>
      <c r="F1347" s="63"/>
      <c r="G1347" s="59"/>
      <c r="H1347" s="59"/>
      <c r="I1347" s="64"/>
      <c r="J1347" s="59"/>
      <c r="K1347" s="65"/>
      <c r="L1347" s="66"/>
      <c r="M1347" s="67"/>
      <c r="N1347" s="68"/>
      <c r="O1347" s="69"/>
      <c r="P1347" s="69"/>
      <c r="Q1347" s="69"/>
      <c r="R1347" s="69"/>
    </row>
    <row r="1348" spans="1:18">
      <c r="A1348" s="6"/>
      <c r="B1348" s="59"/>
      <c r="C1348" s="60"/>
      <c r="D1348" s="62"/>
      <c r="E1348" s="62"/>
      <c r="F1348" s="63"/>
      <c r="G1348" s="59"/>
      <c r="H1348" s="59"/>
      <c r="I1348" s="64"/>
      <c r="J1348" s="59"/>
      <c r="K1348" s="65"/>
      <c r="L1348" s="66"/>
      <c r="M1348" s="67"/>
      <c r="N1348" s="68"/>
      <c r="O1348" s="69"/>
      <c r="P1348" s="69"/>
      <c r="Q1348" s="69"/>
      <c r="R1348" s="69"/>
    </row>
    <row r="1349" spans="1:18">
      <c r="A1349" s="6"/>
      <c r="B1349" s="59"/>
      <c r="C1349" s="60"/>
      <c r="D1349" s="62"/>
      <c r="E1349" s="62"/>
      <c r="F1349" s="63"/>
      <c r="G1349" s="59"/>
      <c r="H1349" s="59"/>
      <c r="I1349" s="64"/>
      <c r="J1349" s="59"/>
      <c r="K1349" s="65"/>
      <c r="L1349" s="66"/>
      <c r="M1349" s="67"/>
      <c r="N1349" s="68"/>
      <c r="O1349" s="69"/>
      <c r="P1349" s="69"/>
      <c r="Q1349" s="69"/>
      <c r="R1349" s="69"/>
    </row>
    <row r="1350" spans="1:18">
      <c r="A1350" s="6"/>
      <c r="B1350" s="59"/>
      <c r="C1350" s="60"/>
      <c r="D1350" s="62"/>
      <c r="E1350" s="62"/>
      <c r="F1350" s="63"/>
      <c r="G1350" s="59"/>
      <c r="H1350" s="59"/>
      <c r="I1350" s="64"/>
      <c r="J1350" s="59"/>
      <c r="K1350" s="65"/>
      <c r="L1350" s="66"/>
      <c r="M1350" s="67"/>
      <c r="N1350" s="68"/>
      <c r="O1350" s="69"/>
      <c r="P1350" s="69"/>
      <c r="Q1350" s="69"/>
      <c r="R1350" s="69"/>
    </row>
    <row r="1351" spans="1:18">
      <c r="A1351" s="6"/>
      <c r="B1351" s="59"/>
      <c r="C1351" s="60"/>
      <c r="D1351" s="62"/>
      <c r="E1351" s="62"/>
      <c r="F1351" s="63"/>
      <c r="G1351" s="59"/>
      <c r="H1351" s="59"/>
      <c r="I1351" s="64"/>
      <c r="J1351" s="59"/>
      <c r="K1351" s="65"/>
      <c r="L1351" s="66"/>
      <c r="M1351" s="67"/>
      <c r="N1351" s="68"/>
      <c r="O1351" s="69"/>
      <c r="P1351" s="69"/>
      <c r="Q1351" s="69"/>
      <c r="R1351" s="69"/>
    </row>
    <row r="1352" spans="1:18">
      <c r="A1352" s="6"/>
      <c r="B1352" s="59"/>
      <c r="C1352" s="60"/>
      <c r="D1352" s="62"/>
      <c r="E1352" s="62"/>
      <c r="F1352" s="63"/>
      <c r="G1352" s="59"/>
      <c r="H1352" s="59"/>
      <c r="I1352" s="64"/>
      <c r="J1352" s="59"/>
      <c r="K1352" s="65"/>
      <c r="L1352" s="66"/>
      <c r="M1352" s="67"/>
      <c r="N1352" s="68"/>
      <c r="O1352" s="69"/>
      <c r="P1352" s="69"/>
      <c r="Q1352" s="69"/>
      <c r="R1352" s="69"/>
    </row>
    <row r="1353" spans="1:18">
      <c r="A1353" s="6"/>
      <c r="B1353" s="59"/>
      <c r="C1353" s="60"/>
      <c r="D1353" s="62"/>
      <c r="E1353" s="62"/>
      <c r="F1353" s="63"/>
      <c r="G1353" s="59"/>
      <c r="H1353" s="59"/>
      <c r="I1353" s="64"/>
      <c r="J1353" s="59"/>
      <c r="K1353" s="65"/>
      <c r="L1353" s="66"/>
      <c r="M1353" s="67"/>
      <c r="N1353" s="68"/>
      <c r="O1353" s="69"/>
      <c r="P1353" s="69"/>
      <c r="Q1353" s="69"/>
      <c r="R1353" s="69"/>
    </row>
    <row r="1354" spans="1:18">
      <c r="A1354" s="6"/>
      <c r="B1354" s="59"/>
      <c r="C1354" s="60"/>
      <c r="D1354" s="62"/>
      <c r="E1354" s="62"/>
      <c r="F1354" s="63"/>
      <c r="G1354" s="59"/>
      <c r="H1354" s="59"/>
      <c r="I1354" s="64"/>
      <c r="J1354" s="59"/>
      <c r="K1354" s="65"/>
      <c r="L1354" s="66"/>
      <c r="M1354" s="67"/>
      <c r="N1354" s="68"/>
      <c r="O1354" s="69"/>
      <c r="P1354" s="69"/>
      <c r="Q1354" s="69"/>
      <c r="R1354" s="69"/>
    </row>
    <row r="1355" spans="1:18">
      <c r="A1355" s="6"/>
      <c r="B1355" s="59"/>
      <c r="C1355" s="60"/>
      <c r="D1355" s="62"/>
      <c r="E1355" s="62"/>
      <c r="F1355" s="63"/>
      <c r="G1355" s="59"/>
      <c r="H1355" s="59"/>
      <c r="I1355" s="64"/>
      <c r="J1355" s="59"/>
      <c r="K1355" s="65"/>
      <c r="L1355" s="66"/>
      <c r="M1355" s="67"/>
      <c r="N1355" s="68"/>
      <c r="O1355" s="69"/>
      <c r="P1355" s="69"/>
      <c r="Q1355" s="69"/>
      <c r="R1355" s="69"/>
    </row>
    <row r="1356" spans="1:18">
      <c r="A1356" s="6"/>
      <c r="B1356" s="59"/>
      <c r="C1356" s="60"/>
      <c r="D1356" s="62"/>
      <c r="E1356" s="62"/>
      <c r="F1356" s="63"/>
      <c r="G1356" s="59"/>
      <c r="H1356" s="59"/>
      <c r="I1356" s="64"/>
      <c r="J1356" s="59"/>
      <c r="K1356" s="65"/>
      <c r="L1356" s="66"/>
      <c r="M1356" s="67"/>
      <c r="N1356" s="68"/>
      <c r="O1356" s="69"/>
      <c r="P1356" s="69"/>
      <c r="Q1356" s="69"/>
      <c r="R1356" s="69"/>
    </row>
    <row r="1357" spans="1:18">
      <c r="A1357" s="6"/>
      <c r="B1357" s="59"/>
      <c r="C1357" s="60"/>
      <c r="D1357" s="62"/>
      <c r="E1357" s="62"/>
      <c r="F1357" s="63"/>
      <c r="G1357" s="59"/>
      <c r="H1357" s="59"/>
      <c r="I1357" s="64"/>
      <c r="J1357" s="59"/>
      <c r="K1357" s="65"/>
      <c r="L1357" s="66"/>
      <c r="M1357" s="67"/>
      <c r="N1357" s="68"/>
      <c r="O1357" s="69"/>
      <c r="P1357" s="69"/>
      <c r="Q1357" s="69"/>
      <c r="R1357" s="69"/>
    </row>
    <row r="1358" spans="1:18">
      <c r="A1358" s="6"/>
      <c r="B1358" s="59"/>
      <c r="C1358" s="60"/>
      <c r="D1358" s="62"/>
      <c r="E1358" s="62"/>
      <c r="F1358" s="63"/>
      <c r="G1358" s="59"/>
      <c r="H1358" s="59"/>
      <c r="I1358" s="64"/>
      <c r="J1358" s="59"/>
      <c r="K1358" s="65"/>
      <c r="L1358" s="66"/>
      <c r="M1358" s="67"/>
      <c r="N1358" s="68"/>
      <c r="O1358" s="69"/>
      <c r="P1358" s="69"/>
      <c r="Q1358" s="69"/>
      <c r="R1358" s="69"/>
    </row>
    <row r="1359" spans="1:18">
      <c r="A1359" s="6"/>
      <c r="B1359" s="59"/>
      <c r="C1359" s="60"/>
      <c r="D1359" s="62"/>
      <c r="E1359" s="62"/>
      <c r="F1359" s="63"/>
      <c r="G1359" s="59"/>
      <c r="H1359" s="59"/>
      <c r="I1359" s="64"/>
      <c r="J1359" s="59"/>
      <c r="K1359" s="65"/>
      <c r="L1359" s="66"/>
      <c r="M1359" s="67"/>
      <c r="N1359" s="68"/>
      <c r="O1359" s="69"/>
      <c r="P1359" s="69"/>
      <c r="Q1359" s="69"/>
      <c r="R1359" s="69"/>
    </row>
    <row r="1360" spans="1:18">
      <c r="A1360" s="6"/>
      <c r="B1360" s="59"/>
      <c r="C1360" s="60"/>
      <c r="D1360" s="62"/>
      <c r="E1360" s="62"/>
      <c r="F1360" s="63"/>
      <c r="G1360" s="59"/>
      <c r="H1360" s="59"/>
      <c r="I1360" s="64"/>
      <c r="J1360" s="59"/>
      <c r="K1360" s="65"/>
      <c r="L1360" s="66"/>
      <c r="M1360" s="67"/>
      <c r="N1360" s="68"/>
      <c r="O1360" s="69"/>
      <c r="P1360" s="69"/>
      <c r="Q1360" s="69"/>
      <c r="R1360" s="69"/>
    </row>
    <row r="1361" spans="1:18">
      <c r="A1361" s="6"/>
      <c r="B1361" s="59"/>
      <c r="C1361" s="60"/>
      <c r="D1361" s="62"/>
      <c r="E1361" s="62"/>
      <c r="F1361" s="63"/>
      <c r="G1361" s="59"/>
      <c r="H1361" s="59"/>
      <c r="I1361" s="64"/>
      <c r="J1361" s="59"/>
      <c r="K1361" s="65"/>
      <c r="L1361" s="66"/>
      <c r="M1361" s="67"/>
      <c r="N1361" s="68"/>
      <c r="O1361" s="69"/>
      <c r="P1361" s="69"/>
      <c r="Q1361" s="69"/>
      <c r="R1361" s="69"/>
    </row>
    <row r="1362" spans="1:18">
      <c r="A1362" s="6"/>
      <c r="B1362" s="59"/>
      <c r="C1362" s="60"/>
      <c r="D1362" s="62"/>
      <c r="E1362" s="62"/>
      <c r="F1362" s="63"/>
      <c r="G1362" s="59"/>
      <c r="H1362" s="59"/>
      <c r="I1362" s="64"/>
      <c r="J1362" s="59"/>
      <c r="K1362" s="65"/>
      <c r="L1362" s="66"/>
      <c r="M1362" s="67"/>
      <c r="N1362" s="68"/>
      <c r="O1362" s="69"/>
      <c r="P1362" s="69"/>
      <c r="Q1362" s="69"/>
      <c r="R1362" s="69"/>
    </row>
    <row r="1363" spans="1:18">
      <c r="A1363" s="6"/>
      <c r="B1363" s="59"/>
      <c r="C1363" s="60"/>
      <c r="D1363" s="62"/>
      <c r="E1363" s="62"/>
      <c r="F1363" s="63"/>
      <c r="G1363" s="59"/>
      <c r="H1363" s="59"/>
      <c r="I1363" s="64"/>
      <c r="J1363" s="59"/>
      <c r="K1363" s="65"/>
      <c r="L1363" s="66"/>
      <c r="M1363" s="67"/>
      <c r="N1363" s="68"/>
      <c r="O1363" s="69"/>
      <c r="P1363" s="69"/>
      <c r="Q1363" s="69"/>
      <c r="R1363" s="69"/>
    </row>
    <row r="1364" spans="1:18">
      <c r="A1364" s="6"/>
      <c r="B1364" s="59"/>
      <c r="C1364" s="60"/>
      <c r="D1364" s="62"/>
      <c r="E1364" s="62"/>
      <c r="F1364" s="63"/>
      <c r="G1364" s="59"/>
      <c r="H1364" s="59"/>
      <c r="I1364" s="64"/>
      <c r="J1364" s="59"/>
      <c r="K1364" s="65"/>
      <c r="L1364" s="66"/>
      <c r="M1364" s="67"/>
      <c r="N1364" s="68"/>
      <c r="O1364" s="69"/>
      <c r="P1364" s="69"/>
      <c r="Q1364" s="69"/>
      <c r="R1364" s="69"/>
    </row>
    <row r="1365" spans="1:18">
      <c r="A1365" s="6"/>
      <c r="B1365" s="59"/>
      <c r="C1365" s="60"/>
      <c r="D1365" s="62"/>
      <c r="E1365" s="62"/>
      <c r="F1365" s="63"/>
      <c r="G1365" s="59"/>
      <c r="H1365" s="59"/>
      <c r="I1365" s="64"/>
      <c r="J1365" s="59"/>
      <c r="K1365" s="65"/>
      <c r="L1365" s="66"/>
      <c r="M1365" s="67"/>
      <c r="N1365" s="68"/>
      <c r="O1365" s="69"/>
      <c r="P1365" s="69"/>
      <c r="Q1365" s="69"/>
      <c r="R1365" s="69"/>
    </row>
    <row r="1366" spans="1:18">
      <c r="A1366" s="6"/>
      <c r="B1366" s="59"/>
      <c r="C1366" s="60"/>
      <c r="D1366" s="62"/>
      <c r="E1366" s="62"/>
      <c r="F1366" s="63"/>
      <c r="G1366" s="59"/>
      <c r="H1366" s="59"/>
      <c r="I1366" s="64"/>
      <c r="J1366" s="59"/>
      <c r="K1366" s="65"/>
      <c r="L1366" s="66"/>
      <c r="M1366" s="67"/>
      <c r="N1366" s="68"/>
      <c r="O1366" s="69"/>
      <c r="P1366" s="69"/>
      <c r="Q1366" s="69"/>
      <c r="R1366" s="69"/>
    </row>
    <row r="1367" spans="1:18">
      <c r="A1367" s="6"/>
      <c r="B1367" s="59"/>
      <c r="C1367" s="60"/>
      <c r="D1367" s="62"/>
      <c r="E1367" s="62"/>
      <c r="F1367" s="63"/>
      <c r="G1367" s="59"/>
      <c r="H1367" s="59"/>
      <c r="I1367" s="64"/>
      <c r="J1367" s="59"/>
      <c r="K1367" s="65"/>
      <c r="L1367" s="66"/>
      <c r="M1367" s="67"/>
      <c r="N1367" s="68"/>
      <c r="O1367" s="69"/>
      <c r="P1367" s="69"/>
      <c r="Q1367" s="69"/>
      <c r="R1367" s="69"/>
    </row>
    <row r="1368" spans="1:18">
      <c r="A1368" s="6"/>
      <c r="B1368" s="59"/>
      <c r="C1368" s="60"/>
      <c r="D1368" s="62"/>
      <c r="E1368" s="62"/>
      <c r="F1368" s="63"/>
      <c r="G1368" s="59"/>
      <c r="H1368" s="59"/>
      <c r="I1368" s="64"/>
      <c r="J1368" s="59"/>
      <c r="K1368" s="65"/>
      <c r="L1368" s="66"/>
      <c r="M1368" s="67"/>
      <c r="N1368" s="68"/>
      <c r="O1368" s="69"/>
      <c r="P1368" s="69"/>
      <c r="Q1368" s="69"/>
      <c r="R1368" s="69"/>
    </row>
    <row r="1369" spans="1:18">
      <c r="A1369" s="6"/>
      <c r="B1369" s="59"/>
      <c r="C1369" s="60"/>
      <c r="D1369" s="62"/>
      <c r="E1369" s="62"/>
      <c r="F1369" s="63"/>
      <c r="G1369" s="59"/>
      <c r="H1369" s="59"/>
      <c r="I1369" s="64"/>
      <c r="J1369" s="59"/>
      <c r="K1369" s="65"/>
      <c r="L1369" s="66"/>
      <c r="M1369" s="67"/>
      <c r="N1369" s="68"/>
      <c r="O1369" s="69"/>
      <c r="P1369" s="69"/>
      <c r="Q1369" s="69"/>
      <c r="R1369" s="69"/>
    </row>
    <row r="1370" spans="1:18">
      <c r="A1370" s="6"/>
      <c r="B1370" s="59"/>
      <c r="C1370" s="60"/>
      <c r="D1370" s="62"/>
      <c r="E1370" s="62"/>
      <c r="F1370" s="63"/>
      <c r="G1370" s="59"/>
      <c r="H1370" s="59"/>
      <c r="I1370" s="64"/>
      <c r="J1370" s="59"/>
      <c r="K1370" s="65"/>
      <c r="L1370" s="66"/>
      <c r="M1370" s="67"/>
      <c r="N1370" s="68"/>
      <c r="O1370" s="69"/>
      <c r="P1370" s="69"/>
      <c r="Q1370" s="69"/>
      <c r="R1370" s="69"/>
    </row>
    <row r="1371" spans="1:18">
      <c r="A1371" s="6"/>
      <c r="B1371" s="59"/>
      <c r="C1371" s="60"/>
      <c r="D1371" s="62"/>
      <c r="E1371" s="62"/>
      <c r="F1371" s="63"/>
      <c r="G1371" s="59"/>
      <c r="H1371" s="59"/>
      <c r="I1371" s="64"/>
      <c r="J1371" s="59"/>
      <c r="K1371" s="65"/>
      <c r="L1371" s="66"/>
      <c r="M1371" s="67"/>
      <c r="N1371" s="68"/>
      <c r="O1371" s="69"/>
      <c r="P1371" s="69"/>
      <c r="Q1371" s="69"/>
      <c r="R1371" s="69"/>
    </row>
    <row r="1372" spans="1:18">
      <c r="A1372" s="6"/>
      <c r="B1372" s="59"/>
      <c r="C1372" s="60"/>
      <c r="D1372" s="62"/>
      <c r="E1372" s="62"/>
      <c r="F1372" s="63"/>
      <c r="G1372" s="59"/>
      <c r="H1372" s="59"/>
      <c r="I1372" s="64"/>
      <c r="J1372" s="59"/>
      <c r="K1372" s="65"/>
      <c r="L1372" s="66"/>
      <c r="M1372" s="67"/>
      <c r="N1372" s="68"/>
      <c r="O1372" s="69"/>
      <c r="P1372" s="69"/>
      <c r="Q1372" s="69"/>
      <c r="R1372" s="69"/>
    </row>
    <row r="1373" spans="1:18">
      <c r="A1373" s="6"/>
      <c r="B1373" s="59"/>
      <c r="C1373" s="60"/>
      <c r="D1373" s="62"/>
      <c r="E1373" s="62"/>
      <c r="F1373" s="63"/>
      <c r="G1373" s="59"/>
      <c r="H1373" s="59"/>
      <c r="I1373" s="64"/>
      <c r="J1373" s="59"/>
      <c r="K1373" s="65"/>
      <c r="L1373" s="66"/>
      <c r="M1373" s="67"/>
      <c r="N1373" s="68"/>
      <c r="O1373" s="69"/>
      <c r="P1373" s="69"/>
      <c r="Q1373" s="69"/>
      <c r="R1373" s="69"/>
    </row>
    <row r="1374" spans="1:18">
      <c r="A1374" s="6"/>
      <c r="B1374" s="59"/>
      <c r="C1374" s="60"/>
      <c r="D1374" s="62"/>
      <c r="E1374" s="62"/>
      <c r="F1374" s="63"/>
      <c r="G1374" s="59"/>
      <c r="H1374" s="59"/>
      <c r="I1374" s="64"/>
      <c r="J1374" s="59"/>
      <c r="K1374" s="65"/>
      <c r="L1374" s="66"/>
      <c r="M1374" s="67"/>
      <c r="N1374" s="68"/>
      <c r="O1374" s="69"/>
      <c r="P1374" s="69"/>
      <c r="Q1374" s="69"/>
      <c r="R1374" s="69"/>
    </row>
    <row r="1375" spans="1:18">
      <c r="A1375" s="6"/>
      <c r="B1375" s="59"/>
      <c r="C1375" s="60"/>
      <c r="D1375" s="62"/>
      <c r="E1375" s="62"/>
      <c r="F1375" s="63"/>
      <c r="G1375" s="59"/>
      <c r="H1375" s="59"/>
      <c r="I1375" s="64"/>
      <c r="J1375" s="59"/>
      <c r="K1375" s="65"/>
      <c r="L1375" s="66"/>
      <c r="M1375" s="67"/>
      <c r="N1375" s="68"/>
      <c r="O1375" s="69"/>
      <c r="P1375" s="69"/>
      <c r="Q1375" s="69"/>
      <c r="R1375" s="69"/>
    </row>
    <row r="1376" spans="1:18">
      <c r="A1376" s="6"/>
      <c r="B1376" s="59"/>
      <c r="C1376" s="60"/>
      <c r="D1376" s="62"/>
      <c r="E1376" s="62"/>
      <c r="F1376" s="63"/>
      <c r="G1376" s="59"/>
      <c r="H1376" s="59"/>
      <c r="I1376" s="64"/>
      <c r="J1376" s="59"/>
      <c r="K1376" s="65"/>
      <c r="L1376" s="66"/>
      <c r="M1376" s="67"/>
      <c r="N1376" s="68"/>
      <c r="O1376" s="69"/>
      <c r="P1376" s="69"/>
      <c r="Q1376" s="69"/>
      <c r="R1376" s="69"/>
    </row>
    <row r="1377" spans="1:18">
      <c r="A1377" s="6"/>
      <c r="B1377" s="59"/>
      <c r="C1377" s="60"/>
      <c r="D1377" s="62"/>
      <c r="E1377" s="62"/>
      <c r="F1377" s="63"/>
      <c r="G1377" s="59"/>
      <c r="H1377" s="59"/>
      <c r="I1377" s="64"/>
      <c r="J1377" s="59"/>
      <c r="K1377" s="65"/>
      <c r="L1377" s="66"/>
      <c r="M1377" s="67"/>
      <c r="N1377" s="68"/>
      <c r="O1377" s="69"/>
      <c r="P1377" s="69"/>
      <c r="Q1377" s="69"/>
      <c r="R1377" s="69"/>
    </row>
    <row r="1378" spans="1:18">
      <c r="A1378" s="6"/>
      <c r="B1378" s="59"/>
      <c r="C1378" s="60"/>
      <c r="D1378" s="62"/>
      <c r="E1378" s="62"/>
      <c r="F1378" s="63"/>
      <c r="G1378" s="59"/>
      <c r="H1378" s="59"/>
      <c r="I1378" s="64"/>
      <c r="J1378" s="59"/>
      <c r="K1378" s="65"/>
      <c r="L1378" s="66"/>
      <c r="M1378" s="67"/>
      <c r="N1378" s="68"/>
      <c r="O1378" s="69"/>
      <c r="P1378" s="69"/>
      <c r="Q1378" s="69"/>
      <c r="R1378" s="69"/>
    </row>
    <row r="1379" spans="1:18">
      <c r="A1379" s="6"/>
      <c r="B1379" s="59"/>
      <c r="C1379" s="60"/>
      <c r="D1379" s="62"/>
      <c r="E1379" s="62"/>
      <c r="F1379" s="63"/>
      <c r="G1379" s="59"/>
      <c r="H1379" s="59"/>
      <c r="I1379" s="64"/>
      <c r="J1379" s="59"/>
      <c r="K1379" s="65"/>
      <c r="L1379" s="66"/>
      <c r="M1379" s="67"/>
      <c r="N1379" s="68"/>
      <c r="O1379" s="69"/>
      <c r="P1379" s="69"/>
      <c r="Q1379" s="69"/>
      <c r="R1379" s="69"/>
    </row>
    <row r="1380" spans="1:18">
      <c r="A1380" s="6"/>
      <c r="B1380" s="59"/>
      <c r="C1380" s="60"/>
      <c r="D1380" s="62"/>
      <c r="E1380" s="62"/>
      <c r="F1380" s="63"/>
      <c r="G1380" s="59"/>
      <c r="H1380" s="59"/>
      <c r="I1380" s="64"/>
      <c r="J1380" s="59"/>
      <c r="K1380" s="65"/>
      <c r="L1380" s="66"/>
      <c r="M1380" s="67"/>
      <c r="N1380" s="68"/>
      <c r="O1380" s="69"/>
      <c r="P1380" s="69"/>
      <c r="Q1380" s="69"/>
      <c r="R1380" s="69"/>
    </row>
    <row r="1381" spans="1:18">
      <c r="A1381" s="6"/>
      <c r="B1381" s="59"/>
      <c r="C1381" s="60"/>
      <c r="D1381" s="62"/>
      <c r="E1381" s="62"/>
      <c r="F1381" s="63"/>
      <c r="G1381" s="59"/>
      <c r="H1381" s="59"/>
      <c r="I1381" s="64"/>
      <c r="J1381" s="59"/>
      <c r="K1381" s="65"/>
      <c r="L1381" s="66"/>
      <c r="M1381" s="67"/>
      <c r="N1381" s="68"/>
      <c r="O1381" s="69"/>
      <c r="P1381" s="69"/>
      <c r="Q1381" s="69"/>
      <c r="R1381" s="69"/>
    </row>
    <row r="1382" spans="1:18">
      <c r="A1382" s="6"/>
      <c r="B1382" s="59"/>
      <c r="C1382" s="60"/>
      <c r="D1382" s="62"/>
      <c r="E1382" s="62"/>
      <c r="F1382" s="63"/>
      <c r="G1382" s="59"/>
      <c r="H1382" s="59"/>
      <c r="I1382" s="64"/>
      <c r="J1382" s="59"/>
      <c r="K1382" s="65"/>
      <c r="L1382" s="66"/>
      <c r="M1382" s="67"/>
      <c r="N1382" s="68"/>
      <c r="O1382" s="69"/>
      <c r="P1382" s="69"/>
      <c r="Q1382" s="69"/>
      <c r="R1382" s="69"/>
    </row>
    <row r="1383" spans="1:18">
      <c r="A1383" s="6"/>
      <c r="B1383" s="59"/>
      <c r="C1383" s="60"/>
      <c r="D1383" s="62"/>
      <c r="E1383" s="62"/>
      <c r="F1383" s="63"/>
      <c r="G1383" s="59"/>
      <c r="H1383" s="59"/>
      <c r="I1383" s="64"/>
      <c r="J1383" s="59"/>
      <c r="K1383" s="65"/>
      <c r="L1383" s="66"/>
      <c r="M1383" s="67"/>
      <c r="N1383" s="68"/>
      <c r="O1383" s="69"/>
      <c r="P1383" s="69"/>
      <c r="Q1383" s="69"/>
      <c r="R1383" s="69"/>
    </row>
    <row r="1384" spans="1:18">
      <c r="A1384" s="6"/>
      <c r="B1384" s="59"/>
      <c r="C1384" s="60"/>
      <c r="D1384" s="62"/>
      <c r="E1384" s="62"/>
      <c r="F1384" s="63"/>
      <c r="G1384" s="59"/>
      <c r="H1384" s="59"/>
      <c r="I1384" s="64"/>
      <c r="J1384" s="59"/>
      <c r="K1384" s="65"/>
      <c r="L1384" s="66"/>
      <c r="M1384" s="67"/>
      <c r="N1384" s="68"/>
      <c r="O1384" s="69"/>
      <c r="P1384" s="69"/>
      <c r="Q1384" s="69"/>
      <c r="R1384" s="69"/>
    </row>
    <row r="1385" spans="1:18">
      <c r="A1385" s="6"/>
      <c r="B1385" s="59"/>
      <c r="C1385" s="60"/>
      <c r="D1385" s="62"/>
      <c r="E1385" s="62"/>
      <c r="F1385" s="63"/>
      <c r="G1385" s="59"/>
      <c r="H1385" s="59"/>
      <c r="I1385" s="64"/>
      <c r="J1385" s="59"/>
      <c r="K1385" s="65"/>
      <c r="L1385" s="66"/>
      <c r="M1385" s="67"/>
      <c r="N1385" s="68"/>
      <c r="O1385" s="69"/>
      <c r="P1385" s="69"/>
      <c r="Q1385" s="69"/>
      <c r="R1385" s="69"/>
    </row>
    <row r="1386" spans="1:18">
      <c r="A1386" s="6"/>
      <c r="B1386" s="59"/>
      <c r="C1386" s="60"/>
      <c r="D1386" s="62"/>
      <c r="E1386" s="62"/>
      <c r="F1386" s="63"/>
      <c r="G1386" s="59"/>
      <c r="H1386" s="59"/>
      <c r="I1386" s="64"/>
      <c r="J1386" s="59"/>
      <c r="K1386" s="65"/>
      <c r="L1386" s="66"/>
      <c r="M1386" s="67"/>
      <c r="N1386" s="68"/>
      <c r="O1386" s="69"/>
      <c r="P1386" s="69"/>
      <c r="Q1386" s="69"/>
      <c r="R1386" s="69"/>
    </row>
    <row r="1387" spans="1:18">
      <c r="A1387" s="6"/>
      <c r="B1387" s="59"/>
      <c r="C1387" s="60"/>
      <c r="D1387" s="62"/>
      <c r="E1387" s="62"/>
      <c r="F1387" s="63"/>
      <c r="G1387" s="59"/>
      <c r="H1387" s="59"/>
      <c r="I1387" s="64"/>
      <c r="J1387" s="59"/>
      <c r="K1387" s="65"/>
      <c r="L1387" s="66"/>
      <c r="M1387" s="67"/>
      <c r="N1387" s="68"/>
      <c r="O1387" s="69"/>
      <c r="P1387" s="69"/>
      <c r="Q1387" s="69"/>
      <c r="R1387" s="69"/>
    </row>
    <row r="1388" spans="1:18">
      <c r="A1388" s="6"/>
      <c r="B1388" s="59"/>
      <c r="C1388" s="60"/>
      <c r="D1388" s="62"/>
      <c r="E1388" s="62"/>
      <c r="F1388" s="63"/>
      <c r="G1388" s="59"/>
      <c r="H1388" s="59"/>
      <c r="I1388" s="64"/>
      <c r="J1388" s="59"/>
      <c r="K1388" s="65"/>
      <c r="L1388" s="66"/>
      <c r="M1388" s="67"/>
      <c r="N1388" s="68"/>
      <c r="O1388" s="69"/>
      <c r="P1388" s="69"/>
      <c r="Q1388" s="69"/>
      <c r="R1388" s="69"/>
    </row>
    <row r="1389" spans="1:18">
      <c r="A1389" s="6"/>
      <c r="B1389" s="59"/>
      <c r="C1389" s="60"/>
      <c r="D1389" s="62"/>
      <c r="E1389" s="62"/>
      <c r="F1389" s="63"/>
      <c r="G1389" s="59"/>
      <c r="H1389" s="59"/>
      <c r="I1389" s="64"/>
      <c r="J1389" s="59"/>
      <c r="K1389" s="65"/>
      <c r="L1389" s="66"/>
      <c r="M1389" s="67"/>
      <c r="N1389" s="68"/>
      <c r="O1389" s="69"/>
      <c r="P1389" s="69"/>
      <c r="Q1389" s="69"/>
      <c r="R1389" s="69"/>
    </row>
    <row r="1390" spans="1:18">
      <c r="A1390" s="6"/>
      <c r="B1390" s="59"/>
      <c r="C1390" s="60"/>
      <c r="D1390" s="62"/>
      <c r="E1390" s="62"/>
      <c r="F1390" s="63"/>
      <c r="G1390" s="59"/>
      <c r="H1390" s="59"/>
      <c r="I1390" s="64"/>
      <c r="J1390" s="59"/>
      <c r="K1390" s="65"/>
      <c r="L1390" s="66"/>
      <c r="M1390" s="67"/>
      <c r="N1390" s="68"/>
      <c r="O1390" s="69"/>
      <c r="P1390" s="69"/>
      <c r="Q1390" s="69"/>
      <c r="R1390" s="69"/>
    </row>
    <row r="1391" spans="1:18">
      <c r="A1391" s="6"/>
      <c r="B1391" s="59"/>
      <c r="C1391" s="60"/>
      <c r="D1391" s="62"/>
      <c r="E1391" s="62"/>
      <c r="F1391" s="63"/>
      <c r="G1391" s="59"/>
      <c r="H1391" s="59"/>
      <c r="I1391" s="64"/>
      <c r="J1391" s="59"/>
      <c r="K1391" s="65"/>
      <c r="L1391" s="66"/>
      <c r="M1391" s="67"/>
      <c r="N1391" s="68"/>
      <c r="O1391" s="69"/>
      <c r="P1391" s="69"/>
      <c r="Q1391" s="69"/>
      <c r="R1391" s="69"/>
    </row>
    <row r="1392" spans="1:18">
      <c r="A1392" s="6"/>
      <c r="B1392" s="59"/>
      <c r="C1392" s="60"/>
      <c r="D1392" s="62"/>
      <c r="E1392" s="62"/>
      <c r="F1392" s="63"/>
      <c r="G1392" s="59"/>
      <c r="H1392" s="59"/>
      <c r="I1392" s="64"/>
      <c r="J1392" s="59"/>
      <c r="K1392" s="65"/>
      <c r="L1392" s="66"/>
      <c r="M1392" s="67"/>
      <c r="N1392" s="68"/>
      <c r="O1392" s="69"/>
      <c r="P1392" s="69"/>
      <c r="Q1392" s="69"/>
      <c r="R1392" s="69"/>
    </row>
    <row r="1393" spans="1:18">
      <c r="A1393" s="6"/>
      <c r="B1393" s="59"/>
      <c r="C1393" s="60"/>
      <c r="D1393" s="62"/>
      <c r="E1393" s="62"/>
      <c r="F1393" s="63"/>
      <c r="G1393" s="59"/>
      <c r="H1393" s="59"/>
      <c r="I1393" s="64"/>
      <c r="J1393" s="59"/>
      <c r="K1393" s="65"/>
      <c r="L1393" s="66"/>
      <c r="M1393" s="67"/>
      <c r="N1393" s="68"/>
      <c r="O1393" s="69"/>
      <c r="P1393" s="69"/>
      <c r="Q1393" s="69"/>
      <c r="R1393" s="69"/>
    </row>
    <row r="1394" spans="1:18">
      <c r="A1394" s="6"/>
      <c r="B1394" s="59"/>
      <c r="C1394" s="60"/>
      <c r="D1394" s="62"/>
      <c r="E1394" s="62"/>
      <c r="F1394" s="63"/>
      <c r="G1394" s="59"/>
      <c r="H1394" s="59"/>
      <c r="I1394" s="64"/>
      <c r="J1394" s="59"/>
      <c r="K1394" s="65"/>
      <c r="L1394" s="66"/>
      <c r="M1394" s="67"/>
      <c r="N1394" s="68"/>
      <c r="O1394" s="69"/>
      <c r="P1394" s="69"/>
      <c r="Q1394" s="69"/>
      <c r="R1394" s="69"/>
    </row>
    <row r="1395" spans="1:18">
      <c r="A1395" s="6"/>
      <c r="B1395" s="59"/>
      <c r="C1395" s="60"/>
      <c r="D1395" s="62"/>
      <c r="E1395" s="62"/>
      <c r="F1395" s="63"/>
      <c r="G1395" s="59"/>
      <c r="H1395" s="59"/>
      <c r="I1395" s="64"/>
      <c r="J1395" s="59"/>
      <c r="K1395" s="65"/>
      <c r="L1395" s="66"/>
      <c r="M1395" s="67"/>
      <c r="N1395" s="68"/>
      <c r="O1395" s="69"/>
      <c r="P1395" s="69"/>
      <c r="Q1395" s="69"/>
      <c r="R1395" s="69"/>
    </row>
    <row r="1396" spans="1:18">
      <c r="A1396" s="6"/>
      <c r="B1396" s="59"/>
      <c r="C1396" s="60"/>
      <c r="D1396" s="62"/>
      <c r="E1396" s="62"/>
      <c r="F1396" s="63"/>
      <c r="G1396" s="59"/>
      <c r="H1396" s="59"/>
      <c r="I1396" s="64"/>
      <c r="J1396" s="59"/>
      <c r="K1396" s="65"/>
      <c r="L1396" s="66"/>
      <c r="M1396" s="67"/>
      <c r="N1396" s="68"/>
      <c r="O1396" s="69"/>
      <c r="P1396" s="69"/>
      <c r="Q1396" s="69"/>
      <c r="R1396" s="69"/>
    </row>
    <row r="1397" spans="1:18">
      <c r="A1397" s="6"/>
      <c r="B1397" s="59"/>
      <c r="C1397" s="60"/>
      <c r="D1397" s="62"/>
      <c r="E1397" s="62"/>
      <c r="F1397" s="63"/>
      <c r="G1397" s="59"/>
      <c r="H1397" s="59"/>
      <c r="I1397" s="64"/>
      <c r="J1397" s="59"/>
      <c r="K1397" s="65"/>
      <c r="L1397" s="66"/>
      <c r="M1397" s="67"/>
      <c r="N1397" s="68"/>
      <c r="O1397" s="69"/>
      <c r="P1397" s="69"/>
      <c r="Q1397" s="69"/>
      <c r="R1397" s="69"/>
    </row>
    <row r="1398" spans="1:18">
      <c r="A1398" s="6"/>
      <c r="B1398" s="59"/>
      <c r="C1398" s="60"/>
      <c r="D1398" s="62"/>
      <c r="E1398" s="62"/>
      <c r="F1398" s="63"/>
      <c r="G1398" s="59"/>
      <c r="H1398" s="59"/>
      <c r="I1398" s="64"/>
      <c r="J1398" s="59"/>
      <c r="K1398" s="65"/>
      <c r="L1398" s="66"/>
      <c r="M1398" s="67"/>
      <c r="N1398" s="68"/>
      <c r="O1398" s="69"/>
      <c r="P1398" s="69"/>
      <c r="Q1398" s="69"/>
      <c r="R1398" s="69"/>
    </row>
    <row r="1399" spans="1:18">
      <c r="A1399" s="6"/>
      <c r="B1399" s="59"/>
      <c r="C1399" s="60"/>
      <c r="D1399" s="62"/>
      <c r="E1399" s="62"/>
      <c r="F1399" s="63"/>
      <c r="G1399" s="59"/>
      <c r="H1399" s="59"/>
      <c r="I1399" s="64"/>
      <c r="J1399" s="59"/>
      <c r="K1399" s="65"/>
      <c r="L1399" s="66"/>
      <c r="M1399" s="67"/>
      <c r="N1399" s="68"/>
      <c r="O1399" s="69"/>
      <c r="P1399" s="69"/>
      <c r="Q1399" s="69"/>
      <c r="R1399" s="69"/>
    </row>
    <row r="1400" spans="1:18">
      <c r="A1400" s="6"/>
      <c r="B1400" s="59"/>
      <c r="C1400" s="60"/>
      <c r="D1400" s="62"/>
      <c r="E1400" s="62"/>
      <c r="F1400" s="63"/>
      <c r="G1400" s="59"/>
      <c r="H1400" s="59"/>
      <c r="I1400" s="64"/>
      <c r="J1400" s="59"/>
      <c r="K1400" s="65"/>
      <c r="L1400" s="66"/>
      <c r="M1400" s="67"/>
      <c r="N1400" s="68"/>
      <c r="O1400" s="69"/>
      <c r="P1400" s="69"/>
      <c r="Q1400" s="69"/>
      <c r="R1400" s="69"/>
    </row>
    <row r="1401" spans="1:18">
      <c r="A1401" s="6"/>
      <c r="B1401" s="59"/>
      <c r="C1401" s="60"/>
      <c r="D1401" s="62"/>
      <c r="E1401" s="62"/>
      <c r="F1401" s="63"/>
      <c r="G1401" s="59"/>
      <c r="H1401" s="59"/>
      <c r="I1401" s="64"/>
      <c r="J1401" s="59"/>
      <c r="K1401" s="65"/>
      <c r="L1401" s="66"/>
      <c r="M1401" s="67"/>
      <c r="N1401" s="68"/>
      <c r="O1401" s="69"/>
      <c r="P1401" s="69"/>
      <c r="Q1401" s="69"/>
      <c r="R1401" s="69"/>
    </row>
    <row r="1402" spans="1:18">
      <c r="A1402" s="6"/>
      <c r="B1402" s="59"/>
      <c r="C1402" s="60"/>
      <c r="D1402" s="62"/>
      <c r="E1402" s="62"/>
      <c r="F1402" s="63"/>
      <c r="G1402" s="59"/>
      <c r="H1402" s="59"/>
      <c r="I1402" s="64"/>
      <c r="J1402" s="59"/>
      <c r="K1402" s="65"/>
      <c r="L1402" s="66"/>
      <c r="M1402" s="67"/>
      <c r="N1402" s="68"/>
      <c r="O1402" s="69"/>
      <c r="P1402" s="69"/>
      <c r="Q1402" s="69"/>
      <c r="R1402" s="69"/>
    </row>
    <row r="1403" spans="1:18">
      <c r="A1403" s="6"/>
      <c r="B1403" s="59"/>
      <c r="C1403" s="60"/>
      <c r="D1403" s="62"/>
      <c r="E1403" s="62"/>
      <c r="F1403" s="63"/>
      <c r="G1403" s="59"/>
      <c r="H1403" s="59"/>
      <c r="I1403" s="64"/>
      <c r="J1403" s="59"/>
      <c r="K1403" s="65"/>
      <c r="L1403" s="66"/>
      <c r="M1403" s="67"/>
      <c r="N1403" s="68"/>
      <c r="O1403" s="69"/>
      <c r="P1403" s="69"/>
      <c r="Q1403" s="69"/>
      <c r="R1403" s="69"/>
    </row>
    <row r="1404" spans="1:18">
      <c r="A1404" s="6"/>
      <c r="B1404" s="59"/>
      <c r="C1404" s="60"/>
      <c r="D1404" s="62"/>
      <c r="E1404" s="62"/>
      <c r="F1404" s="63"/>
      <c r="G1404" s="59"/>
      <c r="H1404" s="59"/>
      <c r="I1404" s="64"/>
      <c r="J1404" s="59"/>
      <c r="K1404" s="65"/>
      <c r="L1404" s="66"/>
      <c r="M1404" s="67"/>
      <c r="N1404" s="68"/>
      <c r="O1404" s="69"/>
      <c r="P1404" s="69"/>
      <c r="Q1404" s="69"/>
      <c r="R1404" s="69"/>
    </row>
    <row r="1405" spans="1:18">
      <c r="A1405" s="6"/>
      <c r="B1405" s="59"/>
      <c r="C1405" s="60"/>
      <c r="D1405" s="62"/>
      <c r="E1405" s="62"/>
      <c r="F1405" s="63"/>
      <c r="G1405" s="59"/>
      <c r="H1405" s="59"/>
      <c r="I1405" s="64"/>
      <c r="J1405" s="59"/>
      <c r="K1405" s="65"/>
      <c r="L1405" s="66"/>
      <c r="M1405" s="67"/>
      <c r="N1405" s="68"/>
      <c r="O1405" s="69"/>
      <c r="P1405" s="69"/>
      <c r="Q1405" s="69"/>
      <c r="R1405" s="69"/>
    </row>
    <row r="1406" spans="1:18">
      <c r="A1406" s="6"/>
      <c r="B1406" s="59"/>
      <c r="C1406" s="60"/>
      <c r="D1406" s="62"/>
      <c r="E1406" s="62"/>
      <c r="F1406" s="63"/>
      <c r="G1406" s="59"/>
      <c r="H1406" s="59"/>
      <c r="I1406" s="64"/>
      <c r="J1406" s="59"/>
      <c r="K1406" s="65"/>
      <c r="L1406" s="66"/>
      <c r="M1406" s="67"/>
      <c r="N1406" s="68"/>
      <c r="O1406" s="69"/>
      <c r="P1406" s="69"/>
      <c r="Q1406" s="69"/>
      <c r="R1406" s="69"/>
    </row>
    <row r="1407" spans="1:18">
      <c r="A1407" s="6"/>
      <c r="B1407" s="59"/>
      <c r="C1407" s="60"/>
      <c r="D1407" s="62"/>
      <c r="E1407" s="62"/>
      <c r="F1407" s="63"/>
      <c r="G1407" s="59"/>
      <c r="H1407" s="59"/>
      <c r="I1407" s="64"/>
      <c r="J1407" s="59"/>
      <c r="K1407" s="65"/>
      <c r="L1407" s="66"/>
      <c r="M1407" s="67"/>
      <c r="N1407" s="68"/>
      <c r="O1407" s="69"/>
      <c r="P1407" s="69"/>
      <c r="Q1407" s="69"/>
      <c r="R1407" s="69"/>
    </row>
    <row r="1408" spans="1:18">
      <c r="A1408" s="6"/>
      <c r="B1408" s="59"/>
      <c r="C1408" s="60"/>
      <c r="D1408" s="62"/>
      <c r="E1408" s="62"/>
      <c r="F1408" s="63"/>
      <c r="G1408" s="59"/>
      <c r="H1408" s="59"/>
      <c r="I1408" s="64"/>
      <c r="J1408" s="59"/>
      <c r="K1408" s="65"/>
      <c r="L1408" s="66"/>
      <c r="M1408" s="67"/>
      <c r="N1408" s="68"/>
      <c r="O1408" s="69"/>
      <c r="P1408" s="69"/>
      <c r="Q1408" s="69"/>
      <c r="R1408" s="69"/>
    </row>
    <row r="1409" spans="1:18">
      <c r="A1409" s="6"/>
      <c r="B1409" s="59"/>
      <c r="C1409" s="60"/>
      <c r="D1409" s="62"/>
      <c r="E1409" s="62"/>
      <c r="F1409" s="63"/>
      <c r="G1409" s="59"/>
      <c r="H1409" s="59"/>
      <c r="I1409" s="64"/>
      <c r="J1409" s="59"/>
      <c r="K1409" s="65"/>
      <c r="L1409" s="66"/>
      <c r="M1409" s="67"/>
      <c r="N1409" s="68"/>
      <c r="O1409" s="69"/>
      <c r="P1409" s="69"/>
      <c r="Q1409" s="69"/>
      <c r="R1409" s="69"/>
    </row>
    <row r="1410" spans="1:18">
      <c r="A1410" s="6"/>
      <c r="B1410" s="59"/>
      <c r="C1410" s="60"/>
      <c r="D1410" s="62"/>
      <c r="E1410" s="62"/>
      <c r="F1410" s="63"/>
      <c r="G1410" s="59"/>
      <c r="H1410" s="59"/>
      <c r="I1410" s="64"/>
      <c r="J1410" s="59"/>
      <c r="K1410" s="65"/>
      <c r="L1410" s="66"/>
      <c r="M1410" s="67"/>
      <c r="N1410" s="68"/>
      <c r="O1410" s="69"/>
      <c r="P1410" s="69"/>
      <c r="Q1410" s="69"/>
      <c r="R1410" s="69"/>
    </row>
    <row r="1411" spans="1:18">
      <c r="A1411" s="6"/>
      <c r="B1411" s="59"/>
      <c r="C1411" s="60"/>
      <c r="D1411" s="62"/>
      <c r="E1411" s="62"/>
      <c r="F1411" s="63"/>
      <c r="G1411" s="59"/>
      <c r="H1411" s="59"/>
      <c r="I1411" s="64"/>
      <c r="J1411" s="59"/>
      <c r="K1411" s="65"/>
      <c r="L1411" s="66"/>
      <c r="M1411" s="67"/>
      <c r="N1411" s="68"/>
      <c r="O1411" s="69"/>
      <c r="P1411" s="69"/>
      <c r="Q1411" s="69"/>
      <c r="R1411" s="69"/>
    </row>
    <row r="1412" spans="1:18">
      <c r="A1412" s="6"/>
      <c r="B1412" s="59"/>
      <c r="C1412" s="60"/>
      <c r="D1412" s="62"/>
      <c r="E1412" s="62"/>
      <c r="F1412" s="63"/>
      <c r="G1412" s="59"/>
      <c r="H1412" s="59"/>
      <c r="I1412" s="64"/>
      <c r="J1412" s="59"/>
      <c r="K1412" s="65"/>
      <c r="L1412" s="66"/>
      <c r="M1412" s="67"/>
      <c r="N1412" s="68"/>
      <c r="O1412" s="69"/>
      <c r="P1412" s="69"/>
      <c r="Q1412" s="69"/>
      <c r="R1412" s="69"/>
    </row>
    <row r="1413" spans="1:18">
      <c r="A1413" s="6"/>
      <c r="B1413" s="59"/>
      <c r="C1413" s="60"/>
      <c r="D1413" s="62"/>
      <c r="E1413" s="62"/>
      <c r="F1413" s="63"/>
      <c r="G1413" s="59"/>
      <c r="H1413" s="59"/>
      <c r="I1413" s="64"/>
      <c r="J1413" s="59"/>
      <c r="K1413" s="65"/>
      <c r="L1413" s="66"/>
      <c r="M1413" s="67"/>
      <c r="N1413" s="68"/>
      <c r="O1413" s="69"/>
      <c r="P1413" s="69"/>
      <c r="Q1413" s="69"/>
      <c r="R1413" s="69"/>
    </row>
    <row r="1414" spans="1:18">
      <c r="A1414" s="6"/>
      <c r="B1414" s="59"/>
      <c r="C1414" s="60"/>
      <c r="D1414" s="62"/>
      <c r="E1414" s="62"/>
      <c r="F1414" s="63"/>
      <c r="G1414" s="59"/>
      <c r="H1414" s="59"/>
      <c r="I1414" s="64"/>
      <c r="J1414" s="59"/>
      <c r="K1414" s="65"/>
      <c r="L1414" s="66"/>
      <c r="M1414" s="67"/>
      <c r="N1414" s="68"/>
      <c r="O1414" s="69"/>
      <c r="P1414" s="69"/>
      <c r="Q1414" s="69"/>
      <c r="R1414" s="69"/>
    </row>
    <row r="1415" spans="1:18">
      <c r="A1415" s="6"/>
      <c r="B1415" s="59"/>
      <c r="C1415" s="60"/>
      <c r="D1415" s="62"/>
      <c r="E1415" s="62"/>
      <c r="F1415" s="63"/>
      <c r="G1415" s="59"/>
      <c r="H1415" s="59"/>
      <c r="I1415" s="64"/>
      <c r="J1415" s="59"/>
      <c r="K1415" s="65"/>
      <c r="L1415" s="66"/>
      <c r="M1415" s="67"/>
      <c r="N1415" s="68"/>
      <c r="O1415" s="69"/>
      <c r="P1415" s="69"/>
      <c r="Q1415" s="69"/>
      <c r="R1415" s="69"/>
    </row>
    <row r="1416" spans="1:18">
      <c r="A1416" s="6"/>
      <c r="B1416" s="59"/>
      <c r="C1416" s="60"/>
      <c r="D1416" s="62"/>
      <c r="E1416" s="62"/>
      <c r="F1416" s="63"/>
      <c r="G1416" s="59"/>
      <c r="H1416" s="59"/>
      <c r="I1416" s="64"/>
      <c r="J1416" s="59"/>
      <c r="K1416" s="65"/>
      <c r="L1416" s="66"/>
      <c r="M1416" s="67"/>
      <c r="N1416" s="68"/>
      <c r="O1416" s="69"/>
      <c r="P1416" s="69"/>
      <c r="Q1416" s="69"/>
      <c r="R1416" s="69"/>
    </row>
    <row r="1417" spans="1:18">
      <c r="A1417" s="6"/>
      <c r="B1417" s="59"/>
      <c r="C1417" s="60"/>
      <c r="D1417" s="62"/>
      <c r="E1417" s="62"/>
      <c r="F1417" s="63"/>
      <c r="G1417" s="59"/>
      <c r="H1417" s="59"/>
      <c r="I1417" s="64"/>
      <c r="J1417" s="59"/>
      <c r="K1417" s="65"/>
      <c r="L1417" s="66"/>
      <c r="M1417" s="67"/>
      <c r="N1417" s="68"/>
      <c r="O1417" s="69"/>
      <c r="P1417" s="69"/>
      <c r="Q1417" s="69"/>
      <c r="R1417" s="69"/>
    </row>
    <row r="1418" spans="1:18">
      <c r="A1418" s="6"/>
      <c r="B1418" s="59"/>
      <c r="C1418" s="60"/>
      <c r="D1418" s="62"/>
      <c r="E1418" s="62"/>
      <c r="F1418" s="63"/>
      <c r="G1418" s="59"/>
      <c r="H1418" s="59"/>
      <c r="I1418" s="64"/>
      <c r="J1418" s="59"/>
      <c r="K1418" s="65"/>
      <c r="L1418" s="66"/>
      <c r="M1418" s="67"/>
      <c r="N1418" s="68"/>
      <c r="O1418" s="69"/>
      <c r="P1418" s="69"/>
      <c r="Q1418" s="69"/>
      <c r="R1418" s="69"/>
    </row>
    <row r="1419" spans="1:18">
      <c r="A1419" s="6"/>
      <c r="B1419" s="59"/>
      <c r="C1419" s="60"/>
      <c r="D1419" s="62"/>
      <c r="E1419" s="62"/>
      <c r="F1419" s="63"/>
      <c r="G1419" s="59"/>
      <c r="H1419" s="59"/>
      <c r="I1419" s="64"/>
      <c r="J1419" s="59"/>
      <c r="K1419" s="65"/>
      <c r="L1419" s="66"/>
      <c r="M1419" s="67"/>
      <c r="N1419" s="68"/>
      <c r="O1419" s="69"/>
      <c r="P1419" s="69"/>
      <c r="Q1419" s="69"/>
      <c r="R1419" s="69"/>
    </row>
    <row r="1420" spans="1:18">
      <c r="A1420" s="6"/>
      <c r="B1420" s="59"/>
      <c r="C1420" s="60"/>
      <c r="D1420" s="62"/>
      <c r="E1420" s="62"/>
      <c r="F1420" s="63"/>
      <c r="G1420" s="59"/>
      <c r="H1420" s="59"/>
      <c r="I1420" s="64"/>
      <c r="J1420" s="59"/>
      <c r="K1420" s="65"/>
      <c r="L1420" s="66"/>
      <c r="M1420" s="67"/>
      <c r="N1420" s="68"/>
      <c r="O1420" s="69"/>
      <c r="P1420" s="69"/>
      <c r="Q1420" s="69"/>
      <c r="R1420" s="69"/>
    </row>
    <row r="1421" spans="1:18">
      <c r="A1421" s="6"/>
      <c r="B1421" s="59"/>
      <c r="C1421" s="60"/>
      <c r="D1421" s="62"/>
      <c r="E1421" s="62"/>
      <c r="F1421" s="63"/>
      <c r="G1421" s="59"/>
      <c r="H1421" s="59"/>
      <c r="I1421" s="64"/>
      <c r="J1421" s="59"/>
      <c r="K1421" s="65"/>
      <c r="L1421" s="66"/>
      <c r="M1421" s="67"/>
      <c r="N1421" s="68"/>
      <c r="O1421" s="69"/>
      <c r="P1421" s="69"/>
      <c r="Q1421" s="69"/>
      <c r="R1421" s="69"/>
    </row>
    <row r="1422" spans="1:18">
      <c r="A1422" s="6"/>
      <c r="B1422" s="59"/>
      <c r="C1422" s="60"/>
      <c r="D1422" s="62"/>
      <c r="E1422" s="62"/>
      <c r="F1422" s="63"/>
      <c r="G1422" s="59"/>
      <c r="H1422" s="59"/>
      <c r="I1422" s="64"/>
      <c r="J1422" s="59"/>
      <c r="K1422" s="65"/>
      <c r="L1422" s="66"/>
      <c r="M1422" s="67"/>
      <c r="N1422" s="68"/>
      <c r="O1422" s="69"/>
      <c r="P1422" s="69"/>
      <c r="Q1422" s="69"/>
      <c r="R1422" s="69"/>
    </row>
    <row r="1423" spans="1:18">
      <c r="A1423" s="6"/>
      <c r="B1423" s="59"/>
      <c r="C1423" s="60"/>
      <c r="D1423" s="62"/>
      <c r="E1423" s="62"/>
      <c r="F1423" s="63"/>
      <c r="G1423" s="59"/>
      <c r="H1423" s="59"/>
      <c r="I1423" s="64"/>
      <c r="J1423" s="59"/>
      <c r="K1423" s="65"/>
      <c r="L1423" s="66"/>
      <c r="M1423" s="67"/>
      <c r="N1423" s="68"/>
      <c r="O1423" s="69"/>
      <c r="P1423" s="69"/>
      <c r="Q1423" s="69"/>
      <c r="R1423" s="69"/>
    </row>
    <row r="1424" spans="1:18">
      <c r="A1424" s="6"/>
      <c r="B1424" s="59"/>
      <c r="C1424" s="60"/>
      <c r="D1424" s="62"/>
      <c r="E1424" s="62"/>
      <c r="F1424" s="63"/>
      <c r="G1424" s="59"/>
      <c r="H1424" s="59"/>
      <c r="I1424" s="64"/>
      <c r="J1424" s="59"/>
      <c r="K1424" s="65"/>
      <c r="L1424" s="66"/>
      <c r="M1424" s="67"/>
      <c r="N1424" s="68"/>
      <c r="O1424" s="69"/>
      <c r="P1424" s="69"/>
      <c r="Q1424" s="69"/>
      <c r="R1424" s="69"/>
    </row>
    <row r="1425" spans="1:18">
      <c r="A1425" s="6"/>
      <c r="B1425" s="59"/>
      <c r="C1425" s="60"/>
      <c r="D1425" s="62"/>
      <c r="E1425" s="62"/>
      <c r="F1425" s="63"/>
      <c r="G1425" s="59"/>
      <c r="H1425" s="59"/>
      <c r="I1425" s="64"/>
      <c r="J1425" s="59"/>
      <c r="K1425" s="65"/>
      <c r="L1425" s="66"/>
      <c r="M1425" s="67"/>
      <c r="N1425" s="68"/>
      <c r="O1425" s="69"/>
      <c r="P1425" s="69"/>
      <c r="Q1425" s="69"/>
      <c r="R1425" s="69"/>
    </row>
    <row r="1426" spans="1:18">
      <c r="A1426" s="6"/>
      <c r="B1426" s="59"/>
      <c r="C1426" s="60"/>
      <c r="D1426" s="62"/>
      <c r="E1426" s="62"/>
      <c r="F1426" s="63"/>
      <c r="G1426" s="59"/>
      <c r="H1426" s="59"/>
      <c r="I1426" s="64"/>
      <c r="J1426" s="59"/>
      <c r="K1426" s="65"/>
      <c r="L1426" s="66"/>
      <c r="M1426" s="67"/>
      <c r="N1426" s="68"/>
      <c r="O1426" s="69"/>
      <c r="P1426" s="69"/>
      <c r="Q1426" s="69"/>
      <c r="R1426" s="69"/>
    </row>
    <row r="1427" spans="1:18">
      <c r="A1427" s="6"/>
      <c r="B1427" s="59"/>
      <c r="C1427" s="60"/>
      <c r="D1427" s="62"/>
      <c r="E1427" s="62"/>
      <c r="F1427" s="63"/>
      <c r="G1427" s="59"/>
      <c r="H1427" s="59"/>
      <c r="I1427" s="64"/>
      <c r="J1427" s="59"/>
      <c r="K1427" s="65"/>
      <c r="L1427" s="66"/>
      <c r="M1427" s="67"/>
      <c r="N1427" s="68"/>
      <c r="O1427" s="69"/>
      <c r="P1427" s="69"/>
      <c r="Q1427" s="69"/>
      <c r="R1427" s="69"/>
    </row>
    <row r="1428" spans="1:18">
      <c r="A1428" s="6"/>
      <c r="B1428" s="59"/>
      <c r="C1428" s="60"/>
      <c r="D1428" s="62"/>
      <c r="E1428" s="62"/>
      <c r="F1428" s="63"/>
      <c r="G1428" s="59"/>
      <c r="H1428" s="59"/>
      <c r="I1428" s="64"/>
      <c r="J1428" s="59"/>
      <c r="K1428" s="65"/>
      <c r="L1428" s="66"/>
      <c r="M1428" s="67"/>
      <c r="N1428" s="68"/>
      <c r="O1428" s="69"/>
      <c r="P1428" s="69"/>
      <c r="Q1428" s="69"/>
      <c r="R1428" s="69"/>
    </row>
    <row r="1429" spans="1:18">
      <c r="A1429" s="6"/>
      <c r="B1429" s="59"/>
      <c r="C1429" s="60"/>
      <c r="D1429" s="62"/>
      <c r="E1429" s="62"/>
      <c r="F1429" s="63"/>
      <c r="G1429" s="59"/>
      <c r="H1429" s="59"/>
      <c r="I1429" s="64"/>
      <c r="J1429" s="59"/>
      <c r="K1429" s="65"/>
      <c r="L1429" s="66"/>
      <c r="M1429" s="67"/>
      <c r="N1429" s="68"/>
      <c r="O1429" s="69"/>
      <c r="P1429" s="69"/>
      <c r="Q1429" s="69"/>
      <c r="R1429" s="69"/>
    </row>
    <row r="1430" spans="1:18">
      <c r="A1430" s="6"/>
      <c r="B1430" s="59"/>
      <c r="C1430" s="60"/>
      <c r="D1430" s="62"/>
      <c r="E1430" s="62"/>
      <c r="F1430" s="63"/>
      <c r="G1430" s="59"/>
      <c r="H1430" s="59"/>
      <c r="I1430" s="64"/>
      <c r="J1430" s="59"/>
      <c r="K1430" s="65"/>
      <c r="L1430" s="66"/>
      <c r="M1430" s="67"/>
      <c r="N1430" s="68"/>
      <c r="O1430" s="69"/>
      <c r="P1430" s="69"/>
      <c r="Q1430" s="69"/>
      <c r="R1430" s="69"/>
    </row>
    <row r="1431" spans="1:18">
      <c r="A1431" s="6"/>
      <c r="B1431" s="59"/>
      <c r="C1431" s="60"/>
      <c r="D1431" s="62"/>
      <c r="E1431" s="62"/>
      <c r="F1431" s="63"/>
      <c r="G1431" s="59"/>
      <c r="H1431" s="59"/>
      <c r="I1431" s="64"/>
      <c r="J1431" s="59"/>
      <c r="K1431" s="65"/>
      <c r="L1431" s="66"/>
      <c r="M1431" s="67"/>
      <c r="N1431" s="68"/>
      <c r="O1431" s="69"/>
      <c r="P1431" s="69"/>
      <c r="Q1431" s="69"/>
      <c r="R1431" s="69"/>
    </row>
    <row r="1432" spans="1:18">
      <c r="A1432" s="6"/>
      <c r="B1432" s="59"/>
      <c r="C1432" s="60"/>
      <c r="D1432" s="62"/>
      <c r="E1432" s="62"/>
      <c r="F1432" s="63"/>
      <c r="G1432" s="59"/>
      <c r="H1432" s="59"/>
      <c r="I1432" s="64"/>
      <c r="J1432" s="59"/>
      <c r="K1432" s="65"/>
      <c r="L1432" s="66"/>
      <c r="M1432" s="67"/>
      <c r="N1432" s="68"/>
      <c r="O1432" s="69"/>
      <c r="P1432" s="69"/>
      <c r="Q1432" s="69"/>
      <c r="R1432" s="69"/>
    </row>
    <row r="1433" spans="1:18">
      <c r="A1433" s="6"/>
      <c r="B1433" s="59"/>
      <c r="C1433" s="60"/>
      <c r="D1433" s="62"/>
      <c r="E1433" s="62"/>
      <c r="F1433" s="63"/>
      <c r="G1433" s="59"/>
      <c r="H1433" s="59"/>
      <c r="I1433" s="64"/>
      <c r="J1433" s="59"/>
      <c r="K1433" s="65"/>
      <c r="L1433" s="66"/>
      <c r="M1433" s="67"/>
      <c r="N1433" s="68"/>
      <c r="O1433" s="69"/>
      <c r="P1433" s="69"/>
      <c r="Q1433" s="69"/>
      <c r="R1433" s="69"/>
    </row>
    <row r="1434" spans="1:18">
      <c r="A1434" s="6"/>
      <c r="B1434" s="59"/>
      <c r="C1434" s="60"/>
      <c r="D1434" s="62"/>
      <c r="E1434" s="62"/>
      <c r="F1434" s="63"/>
      <c r="G1434" s="59"/>
      <c r="H1434" s="59"/>
      <c r="I1434" s="64"/>
      <c r="J1434" s="59"/>
      <c r="K1434" s="65"/>
      <c r="L1434" s="66"/>
      <c r="M1434" s="67"/>
      <c r="N1434" s="68"/>
      <c r="O1434" s="69"/>
      <c r="P1434" s="69"/>
      <c r="Q1434" s="69"/>
      <c r="R1434" s="69"/>
    </row>
    <row r="1435" spans="1:18">
      <c r="A1435" s="6"/>
      <c r="B1435" s="59"/>
      <c r="C1435" s="60"/>
      <c r="D1435" s="62"/>
      <c r="E1435" s="62"/>
      <c r="F1435" s="63"/>
      <c r="G1435" s="59"/>
      <c r="H1435" s="59"/>
      <c r="I1435" s="64"/>
      <c r="J1435" s="59"/>
      <c r="K1435" s="65"/>
      <c r="L1435" s="66"/>
      <c r="M1435" s="67"/>
      <c r="N1435" s="68"/>
      <c r="O1435" s="69"/>
      <c r="P1435" s="69"/>
      <c r="Q1435" s="69"/>
      <c r="R1435" s="69"/>
    </row>
    <row r="1436" spans="1:18">
      <c r="A1436" s="6"/>
      <c r="B1436" s="59"/>
      <c r="C1436" s="60"/>
      <c r="D1436" s="62"/>
      <c r="E1436" s="62"/>
      <c r="F1436" s="63"/>
      <c r="G1436" s="59"/>
      <c r="H1436" s="59"/>
      <c r="I1436" s="64"/>
      <c r="J1436" s="59"/>
      <c r="K1436" s="65"/>
      <c r="L1436" s="66"/>
      <c r="M1436" s="67"/>
      <c r="N1436" s="68"/>
      <c r="O1436" s="69"/>
      <c r="P1436" s="69"/>
      <c r="Q1436" s="69"/>
      <c r="R1436" s="69"/>
    </row>
    <row r="1437" spans="1:18">
      <c r="A1437" s="6"/>
      <c r="B1437" s="59"/>
      <c r="C1437" s="60"/>
      <c r="D1437" s="62"/>
      <c r="E1437" s="62"/>
      <c r="F1437" s="63"/>
      <c r="G1437" s="59"/>
      <c r="H1437" s="59"/>
      <c r="I1437" s="64"/>
      <c r="J1437" s="59"/>
      <c r="K1437" s="65"/>
      <c r="L1437" s="66"/>
      <c r="M1437" s="67"/>
      <c r="N1437" s="68"/>
      <c r="O1437" s="69"/>
      <c r="P1437" s="69"/>
      <c r="Q1437" s="69"/>
      <c r="R1437" s="69"/>
    </row>
    <row r="1438" spans="1:18">
      <c r="A1438" s="6"/>
      <c r="B1438" s="59"/>
      <c r="C1438" s="60"/>
      <c r="D1438" s="62"/>
      <c r="E1438" s="62"/>
      <c r="F1438" s="63"/>
      <c r="G1438" s="59"/>
      <c r="H1438" s="59"/>
      <c r="I1438" s="64"/>
      <c r="J1438" s="59"/>
      <c r="K1438" s="65"/>
      <c r="L1438" s="66"/>
      <c r="M1438" s="67"/>
      <c r="N1438" s="68"/>
      <c r="O1438" s="69"/>
      <c r="P1438" s="69"/>
      <c r="Q1438" s="69"/>
      <c r="R1438" s="69"/>
    </row>
    <row r="1439" spans="1:18">
      <c r="A1439" s="6"/>
      <c r="B1439" s="59"/>
      <c r="C1439" s="60"/>
      <c r="D1439" s="62"/>
      <c r="E1439" s="62"/>
      <c r="F1439" s="63"/>
      <c r="G1439" s="59"/>
      <c r="H1439" s="59"/>
      <c r="I1439" s="64"/>
      <c r="J1439" s="59"/>
      <c r="K1439" s="65"/>
      <c r="L1439" s="66"/>
      <c r="M1439" s="67"/>
      <c r="N1439" s="68"/>
      <c r="O1439" s="69"/>
      <c r="P1439" s="69"/>
      <c r="Q1439" s="69"/>
      <c r="R1439" s="69"/>
    </row>
    <row r="1440" spans="1:18">
      <c r="A1440" s="6"/>
      <c r="B1440" s="59"/>
      <c r="C1440" s="60"/>
      <c r="D1440" s="62"/>
      <c r="E1440" s="62"/>
      <c r="F1440" s="63"/>
      <c r="G1440" s="59"/>
      <c r="H1440" s="59"/>
      <c r="I1440" s="64"/>
      <c r="J1440" s="59"/>
      <c r="K1440" s="65"/>
      <c r="L1440" s="66"/>
      <c r="M1440" s="67"/>
      <c r="N1440" s="68"/>
      <c r="O1440" s="69"/>
      <c r="P1440" s="69"/>
      <c r="Q1440" s="69"/>
      <c r="R1440" s="69"/>
    </row>
    <row r="1441" spans="1:18">
      <c r="A1441" s="6"/>
      <c r="B1441" s="59"/>
      <c r="C1441" s="60"/>
      <c r="D1441" s="62"/>
      <c r="E1441" s="62"/>
      <c r="F1441" s="63"/>
      <c r="G1441" s="59"/>
      <c r="H1441" s="59"/>
      <c r="I1441" s="64"/>
      <c r="J1441" s="59"/>
      <c r="K1441" s="65"/>
      <c r="L1441" s="66"/>
      <c r="M1441" s="67"/>
      <c r="N1441" s="68"/>
      <c r="O1441" s="69"/>
      <c r="P1441" s="69"/>
      <c r="Q1441" s="69"/>
      <c r="R1441" s="69"/>
    </row>
    <row r="1442" spans="1:18">
      <c r="A1442" s="6"/>
      <c r="B1442" s="59"/>
      <c r="C1442" s="60"/>
      <c r="D1442" s="62"/>
      <c r="E1442" s="62"/>
      <c r="F1442" s="63"/>
      <c r="G1442" s="59"/>
      <c r="H1442" s="59"/>
      <c r="I1442" s="64"/>
      <c r="J1442" s="59"/>
      <c r="K1442" s="65"/>
      <c r="L1442" s="66"/>
      <c r="M1442" s="67"/>
      <c r="N1442" s="68"/>
      <c r="O1442" s="69"/>
      <c r="P1442" s="69"/>
      <c r="Q1442" s="69"/>
      <c r="R1442" s="69"/>
    </row>
    <row r="1443" spans="1:18">
      <c r="A1443" s="6"/>
      <c r="B1443" s="59"/>
      <c r="C1443" s="60"/>
      <c r="D1443" s="62"/>
      <c r="E1443" s="62"/>
      <c r="F1443" s="63"/>
      <c r="G1443" s="59"/>
      <c r="H1443" s="59"/>
      <c r="I1443" s="64"/>
      <c r="J1443" s="59"/>
      <c r="K1443" s="65"/>
      <c r="L1443" s="66"/>
      <c r="M1443" s="67"/>
      <c r="N1443" s="68"/>
      <c r="O1443" s="69"/>
      <c r="P1443" s="69"/>
      <c r="Q1443" s="69"/>
      <c r="R1443" s="69"/>
    </row>
    <row r="1444" spans="1:18">
      <c r="A1444" s="6"/>
      <c r="B1444" s="59"/>
      <c r="C1444" s="60"/>
      <c r="D1444" s="62"/>
      <c r="E1444" s="62"/>
      <c r="F1444" s="63"/>
      <c r="G1444" s="59"/>
      <c r="H1444" s="59"/>
      <c r="I1444" s="64"/>
      <c r="J1444" s="59"/>
      <c r="K1444" s="65"/>
      <c r="L1444" s="66"/>
      <c r="M1444" s="67"/>
      <c r="N1444" s="68"/>
      <c r="O1444" s="69"/>
      <c r="P1444" s="69"/>
      <c r="Q1444" s="69"/>
      <c r="R1444" s="69"/>
    </row>
    <row r="1445" spans="1:18">
      <c r="A1445" s="6"/>
      <c r="B1445" s="59"/>
      <c r="C1445" s="60"/>
      <c r="D1445" s="62"/>
      <c r="E1445" s="62"/>
      <c r="F1445" s="63"/>
      <c r="G1445" s="59"/>
      <c r="H1445" s="59"/>
      <c r="I1445" s="64"/>
      <c r="J1445" s="59"/>
      <c r="K1445" s="65"/>
      <c r="L1445" s="66"/>
      <c r="M1445" s="67"/>
      <c r="N1445" s="68"/>
      <c r="O1445" s="69"/>
      <c r="P1445" s="69"/>
      <c r="Q1445" s="69"/>
      <c r="R1445" s="69"/>
    </row>
    <row r="1446" spans="1:18">
      <c r="A1446" s="6"/>
      <c r="B1446" s="59"/>
      <c r="C1446" s="60"/>
      <c r="D1446" s="62"/>
      <c r="E1446" s="62"/>
      <c r="F1446" s="63"/>
      <c r="G1446" s="59"/>
      <c r="H1446" s="59"/>
      <c r="I1446" s="64"/>
      <c r="J1446" s="59"/>
      <c r="K1446" s="65"/>
      <c r="L1446" s="66"/>
      <c r="M1446" s="67"/>
      <c r="N1446" s="68"/>
      <c r="O1446" s="69"/>
      <c r="P1446" s="69"/>
      <c r="Q1446" s="69"/>
      <c r="R1446" s="69"/>
    </row>
    <row r="1447" spans="1:18">
      <c r="A1447" s="6"/>
      <c r="B1447" s="59"/>
      <c r="C1447" s="60"/>
      <c r="D1447" s="62"/>
      <c r="E1447" s="62"/>
      <c r="F1447" s="63"/>
      <c r="G1447" s="59"/>
      <c r="H1447" s="59"/>
      <c r="I1447" s="64"/>
      <c r="J1447" s="59"/>
      <c r="K1447" s="65"/>
      <c r="L1447" s="66"/>
      <c r="M1447" s="67"/>
      <c r="N1447" s="68"/>
      <c r="O1447" s="69"/>
      <c r="P1447" s="69"/>
      <c r="Q1447" s="69"/>
      <c r="R1447" s="69"/>
    </row>
    <row r="1448" spans="1:18">
      <c r="A1448" s="6"/>
      <c r="B1448" s="59"/>
      <c r="C1448" s="60"/>
      <c r="D1448" s="62"/>
      <c r="E1448" s="62"/>
      <c r="F1448" s="63"/>
      <c r="G1448" s="59"/>
      <c r="H1448" s="59"/>
      <c r="I1448" s="64"/>
      <c r="J1448" s="59"/>
      <c r="K1448" s="65"/>
      <c r="L1448" s="66"/>
      <c r="M1448" s="67"/>
      <c r="N1448" s="68"/>
      <c r="O1448" s="69"/>
      <c r="P1448" s="69"/>
      <c r="Q1448" s="69"/>
      <c r="R1448" s="69"/>
    </row>
    <row r="1449" spans="1:18">
      <c r="A1449" s="6"/>
      <c r="B1449" s="59"/>
      <c r="C1449" s="60"/>
      <c r="D1449" s="62"/>
      <c r="E1449" s="62"/>
      <c r="F1449" s="63"/>
      <c r="G1449" s="59"/>
      <c r="H1449" s="59"/>
      <c r="I1449" s="64"/>
      <c r="J1449" s="59"/>
      <c r="K1449" s="65"/>
      <c r="L1449" s="66"/>
      <c r="M1449" s="67"/>
      <c r="N1449" s="68"/>
      <c r="O1449" s="69"/>
      <c r="P1449" s="69"/>
      <c r="Q1449" s="69"/>
      <c r="R1449" s="69"/>
    </row>
    <row r="1450" spans="1:18">
      <c r="A1450" s="6"/>
      <c r="B1450" s="59"/>
      <c r="C1450" s="60"/>
      <c r="D1450" s="62"/>
      <c r="E1450" s="62"/>
      <c r="F1450" s="63"/>
      <c r="G1450" s="59"/>
      <c r="H1450" s="59"/>
      <c r="I1450" s="64"/>
      <c r="J1450" s="59"/>
      <c r="K1450" s="65"/>
      <c r="L1450" s="66"/>
      <c r="M1450" s="67"/>
      <c r="N1450" s="68"/>
      <c r="O1450" s="69"/>
      <c r="P1450" s="69"/>
      <c r="Q1450" s="69"/>
      <c r="R1450" s="69"/>
    </row>
    <row r="1451" spans="1:18">
      <c r="A1451" s="6"/>
      <c r="B1451" s="59"/>
      <c r="C1451" s="60"/>
      <c r="D1451" s="62"/>
      <c r="E1451" s="62"/>
      <c r="F1451" s="63"/>
      <c r="G1451" s="59"/>
      <c r="H1451" s="59"/>
      <c r="I1451" s="64"/>
      <c r="J1451" s="59"/>
      <c r="K1451" s="65"/>
      <c r="L1451" s="66"/>
      <c r="M1451" s="67"/>
      <c r="N1451" s="68"/>
      <c r="O1451" s="69"/>
      <c r="P1451" s="69"/>
      <c r="Q1451" s="69"/>
      <c r="R1451" s="69"/>
    </row>
    <row r="1452" spans="1:18">
      <c r="A1452" s="6"/>
      <c r="B1452" s="59"/>
      <c r="C1452" s="60"/>
      <c r="D1452" s="62"/>
      <c r="E1452" s="62"/>
      <c r="F1452" s="63"/>
      <c r="G1452" s="59"/>
      <c r="H1452" s="59"/>
      <c r="I1452" s="64"/>
      <c r="J1452" s="59"/>
      <c r="K1452" s="65"/>
      <c r="L1452" s="66"/>
      <c r="M1452" s="67"/>
      <c r="N1452" s="68"/>
      <c r="O1452" s="69"/>
      <c r="P1452" s="69"/>
      <c r="Q1452" s="69"/>
      <c r="R1452" s="69"/>
    </row>
    <row r="1453" spans="1:18">
      <c r="A1453" s="6"/>
      <c r="B1453" s="59"/>
      <c r="C1453" s="60"/>
      <c r="D1453" s="62"/>
      <c r="E1453" s="62"/>
      <c r="F1453" s="63"/>
      <c r="G1453" s="59"/>
      <c r="H1453" s="59"/>
      <c r="I1453" s="64"/>
      <c r="J1453" s="59"/>
      <c r="K1453" s="65"/>
      <c r="L1453" s="66"/>
      <c r="M1453" s="67"/>
      <c r="N1453" s="68"/>
      <c r="O1453" s="69"/>
      <c r="P1453" s="69"/>
      <c r="Q1453" s="69"/>
      <c r="R1453" s="69"/>
    </row>
    <row r="1454" spans="1:18">
      <c r="A1454" s="6"/>
      <c r="B1454" s="59"/>
      <c r="C1454" s="60"/>
      <c r="D1454" s="62"/>
      <c r="E1454" s="62"/>
      <c r="F1454" s="63"/>
      <c r="G1454" s="59"/>
      <c r="H1454" s="59"/>
      <c r="I1454" s="64"/>
      <c r="J1454" s="59"/>
      <c r="K1454" s="65"/>
      <c r="L1454" s="66"/>
      <c r="M1454" s="67"/>
      <c r="N1454" s="68"/>
      <c r="O1454" s="69"/>
      <c r="P1454" s="69"/>
      <c r="Q1454" s="69"/>
      <c r="R1454" s="69"/>
    </row>
    <row r="1455" spans="1:18">
      <c r="A1455" s="6"/>
      <c r="B1455" s="59"/>
      <c r="C1455" s="60"/>
      <c r="D1455" s="62"/>
      <c r="E1455" s="62"/>
      <c r="F1455" s="63"/>
      <c r="G1455" s="59"/>
      <c r="H1455" s="59"/>
      <c r="I1455" s="64"/>
      <c r="J1455" s="59"/>
      <c r="K1455" s="65"/>
      <c r="L1455" s="66"/>
      <c r="M1455" s="67"/>
      <c r="N1455" s="68"/>
      <c r="O1455" s="69"/>
      <c r="P1455" s="69"/>
      <c r="Q1455" s="69"/>
      <c r="R1455" s="69"/>
    </row>
    <row r="1456" spans="1:18">
      <c r="A1456" s="6"/>
      <c r="B1456" s="59"/>
      <c r="C1456" s="60"/>
      <c r="D1456" s="62"/>
      <c r="E1456" s="62"/>
      <c r="F1456" s="63"/>
      <c r="G1456" s="59"/>
      <c r="H1456" s="59"/>
      <c r="I1456" s="64"/>
      <c r="J1456" s="59"/>
      <c r="K1456" s="65"/>
      <c r="L1456" s="66"/>
      <c r="M1456" s="67"/>
      <c r="N1456" s="68"/>
      <c r="O1456" s="69"/>
      <c r="P1456" s="69"/>
      <c r="Q1456" s="69"/>
      <c r="R1456" s="69"/>
    </row>
    <row r="1457" spans="1:18">
      <c r="A1457" s="6"/>
      <c r="B1457" s="59"/>
      <c r="C1457" s="60"/>
      <c r="D1457" s="62"/>
      <c r="E1457" s="62"/>
      <c r="F1457" s="63"/>
      <c r="G1457" s="59"/>
      <c r="H1457" s="59"/>
      <c r="I1457" s="64"/>
      <c r="J1457" s="59"/>
      <c r="K1457" s="65"/>
      <c r="L1457" s="66"/>
      <c r="M1457" s="67"/>
      <c r="N1457" s="68"/>
      <c r="O1457" s="69"/>
      <c r="P1457" s="69"/>
      <c r="Q1457" s="69"/>
      <c r="R1457" s="69"/>
    </row>
    <row r="1458" spans="1:18">
      <c r="A1458" s="6"/>
      <c r="B1458" s="59"/>
      <c r="C1458" s="60"/>
      <c r="D1458" s="62"/>
      <c r="E1458" s="62"/>
      <c r="F1458" s="63"/>
      <c r="G1458" s="59"/>
      <c r="H1458" s="59"/>
      <c r="I1458" s="64"/>
      <c r="J1458" s="59"/>
      <c r="K1458" s="65"/>
      <c r="L1458" s="66"/>
      <c r="M1458" s="67"/>
      <c r="N1458" s="68"/>
      <c r="O1458" s="69"/>
      <c r="P1458" s="69"/>
      <c r="Q1458" s="69"/>
      <c r="R1458" s="69"/>
    </row>
    <row r="1459" spans="1:18">
      <c r="A1459" s="6"/>
      <c r="B1459" s="59"/>
      <c r="C1459" s="60"/>
      <c r="D1459" s="62"/>
      <c r="E1459" s="62"/>
      <c r="F1459" s="63"/>
      <c r="G1459" s="59"/>
      <c r="H1459" s="59"/>
      <c r="I1459" s="64"/>
      <c r="J1459" s="59"/>
      <c r="K1459" s="65"/>
      <c r="L1459" s="66"/>
      <c r="M1459" s="67"/>
      <c r="N1459" s="68"/>
      <c r="O1459" s="69"/>
      <c r="P1459" s="69"/>
      <c r="Q1459" s="69"/>
      <c r="R1459" s="69"/>
    </row>
    <row r="1460" spans="1:18">
      <c r="A1460" s="6"/>
      <c r="B1460" s="59"/>
      <c r="C1460" s="60"/>
      <c r="D1460" s="62"/>
      <c r="E1460" s="62"/>
      <c r="F1460" s="63"/>
      <c r="G1460" s="59"/>
      <c r="H1460" s="59"/>
      <c r="I1460" s="64"/>
      <c r="J1460" s="59"/>
      <c r="K1460" s="65"/>
      <c r="L1460" s="66"/>
      <c r="M1460" s="67"/>
      <c r="N1460" s="68"/>
      <c r="O1460" s="69"/>
      <c r="P1460" s="69"/>
      <c r="Q1460" s="69"/>
      <c r="R1460" s="69"/>
    </row>
    <row r="1461" spans="1:18">
      <c r="A1461" s="6"/>
      <c r="B1461" s="59"/>
      <c r="C1461" s="60"/>
      <c r="D1461" s="62"/>
      <c r="E1461" s="62"/>
      <c r="F1461" s="63"/>
      <c r="G1461" s="59"/>
      <c r="H1461" s="59"/>
      <c r="I1461" s="64"/>
      <c r="J1461" s="59"/>
      <c r="K1461" s="65"/>
      <c r="L1461" s="66"/>
      <c r="M1461" s="67"/>
      <c r="N1461" s="68"/>
      <c r="O1461" s="69"/>
      <c r="P1461" s="69"/>
      <c r="Q1461" s="69"/>
      <c r="R1461" s="69"/>
    </row>
    <row r="1462" spans="1:18">
      <c r="A1462" s="6"/>
      <c r="B1462" s="59"/>
      <c r="C1462" s="60"/>
      <c r="D1462" s="62"/>
      <c r="E1462" s="62"/>
      <c r="F1462" s="63"/>
      <c r="G1462" s="59"/>
      <c r="H1462" s="59"/>
      <c r="I1462" s="64"/>
      <c r="J1462" s="59"/>
      <c r="K1462" s="65"/>
      <c r="L1462" s="66"/>
      <c r="M1462" s="67"/>
      <c r="N1462" s="68"/>
      <c r="O1462" s="69"/>
      <c r="P1462" s="69"/>
      <c r="Q1462" s="69"/>
      <c r="R1462" s="69"/>
    </row>
    <row r="1463" spans="1:18">
      <c r="A1463" s="6"/>
      <c r="B1463" s="59"/>
      <c r="C1463" s="60"/>
      <c r="D1463" s="62"/>
      <c r="E1463" s="62"/>
      <c r="F1463" s="63"/>
      <c r="G1463" s="59"/>
      <c r="H1463" s="59"/>
      <c r="I1463" s="64"/>
      <c r="J1463" s="59"/>
      <c r="K1463" s="65"/>
      <c r="L1463" s="66"/>
      <c r="M1463" s="67"/>
      <c r="N1463" s="68"/>
      <c r="O1463" s="69"/>
      <c r="P1463" s="69"/>
      <c r="Q1463" s="69"/>
      <c r="R1463" s="69"/>
    </row>
    <row r="1464" spans="1:18">
      <c r="A1464" s="6"/>
      <c r="B1464" s="59"/>
      <c r="C1464" s="60"/>
      <c r="D1464" s="62"/>
      <c r="E1464" s="62"/>
      <c r="F1464" s="63"/>
      <c r="G1464" s="59"/>
      <c r="H1464" s="59"/>
      <c r="I1464" s="64"/>
      <c r="J1464" s="59"/>
      <c r="K1464" s="65"/>
      <c r="L1464" s="66"/>
      <c r="M1464" s="67"/>
      <c r="N1464" s="68"/>
      <c r="O1464" s="69"/>
      <c r="P1464" s="69"/>
      <c r="Q1464" s="69"/>
      <c r="R1464" s="69"/>
    </row>
    <row r="1465" spans="1:18">
      <c r="A1465" s="6"/>
      <c r="B1465" s="59"/>
      <c r="C1465" s="60"/>
      <c r="D1465" s="62"/>
      <c r="E1465" s="62"/>
      <c r="F1465" s="63"/>
      <c r="G1465" s="59"/>
      <c r="H1465" s="59"/>
      <c r="I1465" s="64"/>
      <c r="J1465" s="59"/>
      <c r="K1465" s="65"/>
      <c r="L1465" s="66"/>
      <c r="M1465" s="67"/>
      <c r="N1465" s="68"/>
      <c r="O1465" s="69"/>
      <c r="P1465" s="69"/>
      <c r="Q1465" s="69"/>
      <c r="R1465" s="69"/>
    </row>
    <row r="1466" spans="1:18">
      <c r="A1466" s="6"/>
      <c r="B1466" s="59"/>
      <c r="C1466" s="60"/>
      <c r="D1466" s="62"/>
      <c r="E1466" s="62"/>
      <c r="F1466" s="63"/>
      <c r="G1466" s="59"/>
      <c r="H1466" s="59"/>
      <c r="I1466" s="64"/>
      <c r="J1466" s="59"/>
      <c r="K1466" s="65"/>
      <c r="L1466" s="66"/>
      <c r="M1466" s="67"/>
      <c r="N1466" s="68"/>
      <c r="O1466" s="69"/>
      <c r="P1466" s="69"/>
      <c r="Q1466" s="69"/>
      <c r="R1466" s="69"/>
    </row>
    <row r="1467" spans="1:18">
      <c r="A1467" s="6"/>
      <c r="B1467" s="59"/>
      <c r="C1467" s="60"/>
      <c r="D1467" s="62"/>
      <c r="E1467" s="62"/>
      <c r="F1467" s="63"/>
      <c r="G1467" s="59"/>
      <c r="H1467" s="59"/>
      <c r="I1467" s="64"/>
      <c r="J1467" s="59"/>
      <c r="K1467" s="65"/>
      <c r="L1467" s="66"/>
      <c r="M1467" s="67"/>
      <c r="N1467" s="68"/>
      <c r="O1467" s="69"/>
      <c r="P1467" s="69"/>
      <c r="Q1467" s="69"/>
      <c r="R1467" s="69"/>
    </row>
    <row r="1468" spans="1:18">
      <c r="A1468" s="6"/>
      <c r="B1468" s="59"/>
      <c r="C1468" s="60"/>
      <c r="D1468" s="62"/>
      <c r="E1468" s="62"/>
      <c r="F1468" s="63"/>
      <c r="G1468" s="59"/>
      <c r="H1468" s="59"/>
      <c r="I1468" s="64"/>
      <c r="J1468" s="59"/>
      <c r="K1468" s="65"/>
      <c r="L1468" s="66"/>
      <c r="M1468" s="67"/>
      <c r="N1468" s="68"/>
      <c r="O1468" s="69"/>
      <c r="P1468" s="69"/>
      <c r="Q1468" s="69"/>
      <c r="R1468" s="69"/>
    </row>
    <row r="1469" spans="1:18">
      <c r="A1469" s="6"/>
      <c r="B1469" s="59"/>
      <c r="C1469" s="60"/>
      <c r="D1469" s="62"/>
      <c r="E1469" s="62"/>
      <c r="F1469" s="63"/>
      <c r="G1469" s="59"/>
      <c r="H1469" s="59"/>
      <c r="I1469" s="64"/>
      <c r="J1469" s="59"/>
      <c r="K1469" s="65"/>
      <c r="L1469" s="66"/>
      <c r="M1469" s="67"/>
      <c r="N1469" s="68"/>
      <c r="O1469" s="69"/>
      <c r="P1469" s="69"/>
      <c r="Q1469" s="69"/>
      <c r="R1469" s="69"/>
    </row>
    <row r="1470" spans="1:18">
      <c r="A1470" s="6"/>
      <c r="B1470" s="59"/>
      <c r="C1470" s="60"/>
      <c r="D1470" s="62"/>
      <c r="E1470" s="62"/>
      <c r="F1470" s="63"/>
      <c r="G1470" s="59"/>
      <c r="H1470" s="59"/>
      <c r="I1470" s="64"/>
      <c r="J1470" s="59"/>
      <c r="K1470" s="65"/>
      <c r="L1470" s="66"/>
      <c r="M1470" s="67"/>
      <c r="N1470" s="68"/>
      <c r="O1470" s="69"/>
      <c r="P1470" s="69"/>
      <c r="Q1470" s="69"/>
      <c r="R1470" s="69"/>
    </row>
    <row r="1471" spans="1:18">
      <c r="A1471" s="6"/>
      <c r="B1471" s="59"/>
      <c r="C1471" s="60"/>
      <c r="D1471" s="62"/>
      <c r="E1471" s="62"/>
      <c r="F1471" s="63"/>
      <c r="G1471" s="59"/>
      <c r="H1471" s="59"/>
      <c r="I1471" s="64"/>
      <c r="J1471" s="59"/>
      <c r="K1471" s="65"/>
      <c r="L1471" s="66"/>
      <c r="M1471" s="67"/>
      <c r="N1471" s="68"/>
      <c r="O1471" s="69"/>
      <c r="P1471" s="69"/>
      <c r="Q1471" s="69"/>
      <c r="R1471" s="69"/>
    </row>
    <row r="1472" spans="1:18">
      <c r="A1472" s="6"/>
      <c r="B1472" s="59"/>
      <c r="C1472" s="60"/>
      <c r="D1472" s="62"/>
      <c r="E1472" s="62"/>
      <c r="F1472" s="63"/>
      <c r="G1472" s="59"/>
      <c r="H1472" s="59"/>
      <c r="I1472" s="64"/>
      <c r="J1472" s="59"/>
      <c r="K1472" s="65"/>
      <c r="L1472" s="66"/>
      <c r="M1472" s="67"/>
      <c r="N1472" s="68"/>
      <c r="O1472" s="69"/>
      <c r="P1472" s="69"/>
      <c r="Q1472" s="69"/>
      <c r="R1472" s="69"/>
    </row>
    <row r="1473" spans="1:18">
      <c r="A1473" s="6"/>
      <c r="B1473" s="59"/>
      <c r="C1473" s="60"/>
      <c r="D1473" s="62"/>
      <c r="E1473" s="62"/>
      <c r="F1473" s="63"/>
      <c r="G1473" s="59"/>
      <c r="H1473" s="59"/>
      <c r="I1473" s="64"/>
      <c r="J1473" s="59"/>
      <c r="K1473" s="65"/>
      <c r="L1473" s="66"/>
      <c r="M1473" s="67"/>
      <c r="N1473" s="68"/>
      <c r="O1473" s="69"/>
      <c r="P1473" s="69"/>
      <c r="Q1473" s="69"/>
      <c r="R1473" s="69"/>
    </row>
    <row r="1474" spans="1:18">
      <c r="A1474" s="6"/>
      <c r="B1474" s="59"/>
      <c r="C1474" s="60"/>
      <c r="D1474" s="62"/>
      <c r="E1474" s="62"/>
      <c r="F1474" s="63"/>
      <c r="G1474" s="59"/>
      <c r="H1474" s="59"/>
      <c r="I1474" s="64"/>
      <c r="J1474" s="59"/>
      <c r="K1474" s="65"/>
      <c r="L1474" s="66"/>
      <c r="M1474" s="67"/>
      <c r="N1474" s="68"/>
      <c r="O1474" s="69"/>
      <c r="P1474" s="69"/>
      <c r="Q1474" s="69"/>
      <c r="R1474" s="69"/>
    </row>
    <row r="1475" spans="1:18">
      <c r="A1475" s="6"/>
      <c r="B1475" s="59"/>
      <c r="C1475" s="60"/>
      <c r="D1475" s="62"/>
      <c r="E1475" s="62"/>
      <c r="F1475" s="63"/>
      <c r="G1475" s="59"/>
      <c r="H1475" s="59"/>
      <c r="I1475" s="64"/>
      <c r="J1475" s="59"/>
      <c r="K1475" s="65"/>
      <c r="L1475" s="66"/>
      <c r="M1475" s="67"/>
      <c r="N1475" s="68"/>
      <c r="O1475" s="69"/>
      <c r="P1475" s="69"/>
      <c r="Q1475" s="69"/>
      <c r="R1475" s="69"/>
    </row>
    <row r="1476" spans="1:18">
      <c r="A1476" s="6"/>
      <c r="B1476" s="59"/>
      <c r="C1476" s="60"/>
      <c r="D1476" s="62"/>
      <c r="E1476" s="62"/>
      <c r="F1476" s="63"/>
      <c r="G1476" s="59"/>
      <c r="H1476" s="59"/>
      <c r="I1476" s="64"/>
      <c r="J1476" s="59"/>
      <c r="K1476" s="65"/>
      <c r="L1476" s="66"/>
      <c r="M1476" s="67"/>
      <c r="N1476" s="68"/>
      <c r="O1476" s="69"/>
      <c r="P1476" s="69"/>
      <c r="Q1476" s="69"/>
      <c r="R1476" s="69"/>
    </row>
    <row r="1477" spans="1:18">
      <c r="A1477" s="6"/>
      <c r="B1477" s="59"/>
      <c r="C1477" s="60"/>
      <c r="D1477" s="62"/>
      <c r="E1477" s="62"/>
      <c r="F1477" s="63"/>
      <c r="G1477" s="59"/>
      <c r="H1477" s="59"/>
      <c r="I1477" s="64"/>
      <c r="J1477" s="59"/>
      <c r="K1477" s="65"/>
      <c r="L1477" s="66"/>
      <c r="M1477" s="67"/>
      <c r="N1477" s="68"/>
      <c r="O1477" s="69"/>
      <c r="P1477" s="69"/>
      <c r="Q1477" s="69"/>
      <c r="R1477" s="69"/>
    </row>
    <row r="1478" spans="1:18">
      <c r="A1478" s="6"/>
      <c r="B1478" s="59"/>
      <c r="C1478" s="60"/>
      <c r="D1478" s="62"/>
      <c r="E1478" s="62"/>
      <c r="F1478" s="63"/>
      <c r="G1478" s="59"/>
      <c r="H1478" s="59"/>
      <c r="I1478" s="64"/>
      <c r="J1478" s="59"/>
      <c r="K1478" s="65"/>
      <c r="L1478" s="66"/>
      <c r="M1478" s="67"/>
      <c r="N1478" s="68"/>
      <c r="O1478" s="69"/>
      <c r="P1478" s="69"/>
      <c r="Q1478" s="69"/>
      <c r="R1478" s="69"/>
    </row>
    <row r="1479" spans="1:18">
      <c r="A1479" s="6"/>
      <c r="B1479" s="59"/>
      <c r="C1479" s="60"/>
      <c r="D1479" s="62"/>
      <c r="E1479" s="62"/>
      <c r="F1479" s="63"/>
      <c r="G1479" s="59"/>
      <c r="H1479" s="59"/>
      <c r="I1479" s="64"/>
      <c r="J1479" s="59"/>
      <c r="K1479" s="65"/>
      <c r="L1479" s="66"/>
      <c r="M1479" s="67"/>
      <c r="N1479" s="68"/>
      <c r="O1479" s="69"/>
      <c r="P1479" s="69"/>
      <c r="Q1479" s="69"/>
      <c r="R1479" s="69"/>
    </row>
    <row r="1480" spans="1:18">
      <c r="A1480" s="6"/>
      <c r="B1480" s="59"/>
      <c r="C1480" s="60"/>
      <c r="D1480" s="62"/>
      <c r="E1480" s="62"/>
      <c r="F1480" s="63"/>
      <c r="G1480" s="59"/>
      <c r="H1480" s="59"/>
      <c r="I1480" s="64"/>
      <c r="J1480" s="59"/>
      <c r="K1480" s="65"/>
      <c r="L1480" s="66"/>
      <c r="M1480" s="67"/>
      <c r="N1480" s="68"/>
      <c r="O1480" s="69"/>
      <c r="P1480" s="69"/>
      <c r="Q1480" s="69"/>
      <c r="R1480" s="69"/>
    </row>
    <row r="1481" spans="1:18">
      <c r="A1481" s="6"/>
      <c r="B1481" s="59"/>
      <c r="C1481" s="60"/>
      <c r="D1481" s="62"/>
      <c r="E1481" s="62"/>
      <c r="F1481" s="63"/>
      <c r="G1481" s="59"/>
      <c r="H1481" s="59"/>
      <c r="I1481" s="64"/>
      <c r="J1481" s="59"/>
      <c r="K1481" s="65"/>
      <c r="L1481" s="66"/>
      <c r="M1481" s="67"/>
      <c r="N1481" s="68"/>
      <c r="O1481" s="69"/>
      <c r="P1481" s="69"/>
      <c r="Q1481" s="69"/>
      <c r="R1481" s="69"/>
    </row>
    <row r="1482" spans="1:18">
      <c r="A1482" s="6"/>
      <c r="B1482" s="59"/>
      <c r="C1482" s="60"/>
      <c r="D1482" s="62"/>
      <c r="E1482" s="62"/>
      <c r="F1482" s="63"/>
      <c r="G1482" s="59"/>
      <c r="H1482" s="59"/>
      <c r="I1482" s="64"/>
      <c r="J1482" s="59"/>
      <c r="K1482" s="65"/>
      <c r="L1482" s="66"/>
      <c r="M1482" s="67"/>
      <c r="N1482" s="68"/>
      <c r="O1482" s="69"/>
      <c r="P1482" s="69"/>
      <c r="Q1482" s="69"/>
      <c r="R1482" s="69"/>
    </row>
    <row r="1483" spans="1:18">
      <c r="A1483" s="6"/>
      <c r="B1483" s="59"/>
      <c r="C1483" s="60"/>
      <c r="D1483" s="62"/>
      <c r="E1483" s="62"/>
      <c r="F1483" s="63"/>
      <c r="G1483" s="59"/>
      <c r="H1483" s="59"/>
      <c r="I1483" s="64"/>
      <c r="J1483" s="59"/>
      <c r="K1483" s="65"/>
      <c r="L1483" s="66"/>
      <c r="M1483" s="67"/>
      <c r="N1483" s="68"/>
      <c r="O1483" s="69"/>
      <c r="P1483" s="69"/>
      <c r="Q1483" s="69"/>
      <c r="R1483" s="69"/>
    </row>
    <row r="1484" spans="1:18">
      <c r="A1484" s="6"/>
      <c r="B1484" s="59"/>
      <c r="C1484" s="60"/>
      <c r="D1484" s="62"/>
      <c r="E1484" s="62"/>
      <c r="F1484" s="63"/>
      <c r="G1484" s="59"/>
      <c r="H1484" s="59"/>
      <c r="I1484" s="64"/>
      <c r="J1484" s="59"/>
      <c r="K1484" s="65"/>
      <c r="L1484" s="66"/>
      <c r="M1484" s="67"/>
      <c r="N1484" s="68"/>
      <c r="O1484" s="69"/>
      <c r="P1484" s="69"/>
      <c r="Q1484" s="69"/>
      <c r="R1484" s="69"/>
    </row>
    <row r="1485" spans="1:18">
      <c r="A1485" s="6"/>
      <c r="B1485" s="59"/>
      <c r="C1485" s="60"/>
      <c r="D1485" s="62"/>
      <c r="E1485" s="62"/>
      <c r="F1485" s="63"/>
      <c r="G1485" s="59"/>
      <c r="H1485" s="59"/>
      <c r="I1485" s="64"/>
      <c r="J1485" s="59"/>
      <c r="K1485" s="65"/>
      <c r="L1485" s="66"/>
      <c r="M1485" s="67"/>
      <c r="N1485" s="68"/>
      <c r="O1485" s="69"/>
      <c r="P1485" s="69"/>
      <c r="Q1485" s="69"/>
      <c r="R1485" s="69"/>
    </row>
    <row r="1486" spans="1:18">
      <c r="A1486" s="6"/>
      <c r="B1486" s="59"/>
      <c r="C1486" s="60"/>
      <c r="D1486" s="62"/>
      <c r="E1486" s="62"/>
      <c r="F1486" s="63"/>
      <c r="G1486" s="59"/>
      <c r="H1486" s="59"/>
      <c r="I1486" s="64"/>
      <c r="J1486" s="59"/>
      <c r="K1486" s="65"/>
      <c r="L1486" s="66"/>
      <c r="M1486" s="67"/>
      <c r="N1486" s="68"/>
      <c r="O1486" s="69"/>
      <c r="P1486" s="69"/>
      <c r="Q1486" s="69"/>
      <c r="R1486" s="69"/>
    </row>
    <row r="1487" spans="1:18">
      <c r="A1487" s="6"/>
      <c r="B1487" s="59"/>
      <c r="C1487" s="60"/>
      <c r="D1487" s="62"/>
      <c r="E1487" s="62"/>
      <c r="F1487" s="63"/>
      <c r="G1487" s="59"/>
      <c r="H1487" s="59"/>
      <c r="I1487" s="64"/>
      <c r="J1487" s="59"/>
      <c r="K1487" s="65"/>
      <c r="L1487" s="66"/>
      <c r="M1487" s="67"/>
      <c r="N1487" s="68"/>
      <c r="O1487" s="69"/>
      <c r="P1487" s="69"/>
      <c r="Q1487" s="69"/>
      <c r="R1487" s="69"/>
    </row>
    <row r="1488" spans="1:18">
      <c r="A1488" s="6"/>
      <c r="B1488" s="59"/>
      <c r="C1488" s="60"/>
      <c r="D1488" s="62"/>
      <c r="E1488" s="62"/>
      <c r="F1488" s="63"/>
      <c r="G1488" s="59"/>
      <c r="H1488" s="59"/>
      <c r="I1488" s="64"/>
      <c r="J1488" s="59"/>
      <c r="K1488" s="65"/>
      <c r="L1488" s="66"/>
      <c r="M1488" s="67"/>
      <c r="N1488" s="68"/>
      <c r="O1488" s="69"/>
      <c r="P1488" s="69"/>
      <c r="Q1488" s="69"/>
      <c r="R1488" s="69"/>
    </row>
    <row r="1489" spans="1:18">
      <c r="A1489" s="6"/>
      <c r="B1489" s="59"/>
      <c r="C1489" s="60"/>
      <c r="D1489" s="62"/>
      <c r="E1489" s="62"/>
      <c r="F1489" s="63"/>
      <c r="G1489" s="59"/>
      <c r="H1489" s="59"/>
      <c r="I1489" s="64"/>
      <c r="J1489" s="59"/>
      <c r="K1489" s="65"/>
      <c r="L1489" s="66"/>
      <c r="M1489" s="67"/>
      <c r="N1489" s="68"/>
      <c r="O1489" s="69"/>
      <c r="P1489" s="69"/>
      <c r="Q1489" s="69"/>
      <c r="R1489" s="69"/>
    </row>
    <row r="1490" spans="1:18">
      <c r="A1490" s="6"/>
      <c r="B1490" s="59"/>
      <c r="C1490" s="60"/>
      <c r="D1490" s="62"/>
      <c r="E1490" s="62"/>
      <c r="F1490" s="63"/>
      <c r="G1490" s="59"/>
      <c r="H1490" s="59"/>
      <c r="I1490" s="64"/>
      <c r="J1490" s="59"/>
      <c r="K1490" s="65"/>
      <c r="L1490" s="66"/>
      <c r="M1490" s="67"/>
      <c r="N1490" s="68"/>
      <c r="O1490" s="69"/>
      <c r="P1490" s="69"/>
      <c r="Q1490" s="69"/>
      <c r="R1490" s="69"/>
    </row>
    <row r="1491" spans="1:18">
      <c r="A1491" s="6"/>
      <c r="B1491" s="59"/>
      <c r="C1491" s="60"/>
      <c r="D1491" s="62"/>
      <c r="E1491" s="62"/>
      <c r="F1491" s="63"/>
      <c r="G1491" s="59"/>
      <c r="H1491" s="59"/>
      <c r="I1491" s="64"/>
      <c r="J1491" s="59"/>
      <c r="K1491" s="65"/>
      <c r="L1491" s="66"/>
      <c r="M1491" s="67"/>
      <c r="N1491" s="68"/>
      <c r="O1491" s="69"/>
      <c r="P1491" s="69"/>
      <c r="Q1491" s="69"/>
      <c r="R1491" s="69"/>
    </row>
    <row r="1492" spans="1:18">
      <c r="A1492" s="6"/>
      <c r="B1492" s="59"/>
      <c r="C1492" s="60"/>
      <c r="D1492" s="62"/>
      <c r="E1492" s="62"/>
      <c r="F1492" s="63"/>
      <c r="G1492" s="59"/>
      <c r="H1492" s="59"/>
      <c r="I1492" s="64"/>
      <c r="J1492" s="59"/>
      <c r="K1492" s="65"/>
      <c r="L1492" s="66"/>
      <c r="M1492" s="67"/>
      <c r="N1492" s="68"/>
      <c r="O1492" s="69"/>
      <c r="P1492" s="69"/>
      <c r="Q1492" s="69"/>
      <c r="R1492" s="69"/>
    </row>
    <row r="1493" spans="1:18">
      <c r="A1493" s="6"/>
      <c r="B1493" s="59"/>
      <c r="C1493" s="60"/>
      <c r="D1493" s="62"/>
      <c r="E1493" s="62"/>
      <c r="F1493" s="63"/>
      <c r="G1493" s="59"/>
      <c r="H1493" s="59"/>
      <c r="I1493" s="64"/>
      <c r="J1493" s="59"/>
      <c r="K1493" s="65"/>
      <c r="L1493" s="66"/>
      <c r="M1493" s="67"/>
      <c r="N1493" s="68"/>
      <c r="O1493" s="69"/>
      <c r="P1493" s="69"/>
      <c r="Q1493" s="69"/>
      <c r="R1493" s="69"/>
    </row>
    <row r="1494" spans="1:18">
      <c r="A1494" s="6"/>
      <c r="B1494" s="59"/>
      <c r="C1494" s="60"/>
      <c r="D1494" s="62"/>
      <c r="E1494" s="62"/>
      <c r="F1494" s="63"/>
      <c r="G1494" s="59"/>
      <c r="H1494" s="59"/>
      <c r="I1494" s="64"/>
      <c r="J1494" s="59"/>
      <c r="K1494" s="65"/>
      <c r="L1494" s="66"/>
      <c r="M1494" s="67"/>
      <c r="N1494" s="68"/>
      <c r="O1494" s="69"/>
      <c r="P1494" s="69"/>
      <c r="Q1494" s="69"/>
      <c r="R1494" s="69"/>
    </row>
    <row r="1495" spans="1:18">
      <c r="A1495" s="6"/>
      <c r="B1495" s="59"/>
      <c r="C1495" s="60"/>
      <c r="D1495" s="62"/>
      <c r="E1495" s="62"/>
      <c r="F1495" s="63"/>
      <c r="G1495" s="59"/>
      <c r="H1495" s="59"/>
      <c r="I1495" s="64"/>
      <c r="J1495" s="59"/>
      <c r="K1495" s="65"/>
      <c r="L1495" s="66"/>
      <c r="M1495" s="67"/>
      <c r="N1495" s="68"/>
      <c r="O1495" s="69"/>
      <c r="P1495" s="69"/>
      <c r="Q1495" s="69"/>
      <c r="R1495" s="69"/>
    </row>
    <row r="1496" spans="1:18">
      <c r="A1496" s="6"/>
      <c r="B1496" s="59"/>
      <c r="C1496" s="60"/>
      <c r="D1496" s="62"/>
      <c r="E1496" s="62"/>
      <c r="F1496" s="63"/>
      <c r="G1496" s="59"/>
      <c r="H1496" s="59"/>
      <c r="I1496" s="64"/>
      <c r="J1496" s="59"/>
      <c r="K1496" s="65"/>
      <c r="L1496" s="66"/>
      <c r="M1496" s="67"/>
      <c r="N1496" s="68"/>
      <c r="O1496" s="69"/>
      <c r="P1496" s="69"/>
      <c r="Q1496" s="69"/>
      <c r="R1496" s="69"/>
    </row>
    <row r="1497" spans="1:18">
      <c r="A1497" s="6"/>
      <c r="B1497" s="59"/>
      <c r="C1497" s="60"/>
      <c r="D1497" s="62"/>
      <c r="E1497" s="62"/>
      <c r="F1497" s="63"/>
      <c r="G1497" s="59"/>
      <c r="H1497" s="59"/>
      <c r="I1497" s="64"/>
      <c r="J1497" s="59"/>
      <c r="K1497" s="65"/>
      <c r="L1497" s="66"/>
      <c r="M1497" s="67"/>
      <c r="N1497" s="68"/>
      <c r="O1497" s="69"/>
      <c r="P1497" s="69"/>
      <c r="Q1497" s="69"/>
      <c r="R1497" s="69"/>
    </row>
    <row r="1498" spans="1:18">
      <c r="A1498" s="6"/>
      <c r="B1498" s="59"/>
      <c r="C1498" s="60"/>
      <c r="D1498" s="62"/>
      <c r="E1498" s="62"/>
      <c r="F1498" s="63"/>
      <c r="G1498" s="59"/>
      <c r="H1498" s="59"/>
      <c r="I1498" s="64"/>
      <c r="J1498" s="59"/>
      <c r="K1498" s="65"/>
      <c r="L1498" s="66"/>
      <c r="M1498" s="67"/>
      <c r="N1498" s="68"/>
      <c r="O1498" s="69"/>
      <c r="P1498" s="69"/>
      <c r="Q1498" s="69"/>
      <c r="R1498" s="69"/>
    </row>
    <row r="1499" spans="1:18">
      <c r="A1499" s="6"/>
      <c r="B1499" s="59"/>
      <c r="C1499" s="60"/>
      <c r="D1499" s="62"/>
      <c r="E1499" s="62"/>
      <c r="F1499" s="63"/>
      <c r="G1499" s="59"/>
      <c r="H1499" s="59"/>
      <c r="I1499" s="64"/>
      <c r="J1499" s="59"/>
      <c r="K1499" s="65"/>
      <c r="L1499" s="66"/>
      <c r="M1499" s="67"/>
      <c r="N1499" s="68"/>
      <c r="O1499" s="69"/>
      <c r="P1499" s="69"/>
      <c r="Q1499" s="69"/>
      <c r="R1499" s="69"/>
    </row>
    <row r="1500" spans="1:18">
      <c r="A1500" s="6"/>
      <c r="B1500" s="59"/>
      <c r="C1500" s="60"/>
      <c r="D1500" s="62"/>
      <c r="E1500" s="62"/>
      <c r="F1500" s="63"/>
      <c r="G1500" s="59"/>
      <c r="H1500" s="59"/>
      <c r="I1500" s="64"/>
      <c r="J1500" s="59"/>
      <c r="K1500" s="65"/>
      <c r="L1500" s="66"/>
      <c r="M1500" s="67"/>
      <c r="N1500" s="68"/>
      <c r="O1500" s="69"/>
      <c r="P1500" s="69"/>
      <c r="Q1500" s="69"/>
      <c r="R1500" s="69"/>
    </row>
    <row r="1501" spans="1:18">
      <c r="A1501" s="6"/>
      <c r="B1501" s="59"/>
      <c r="C1501" s="60"/>
      <c r="D1501" s="62"/>
      <c r="E1501" s="62"/>
      <c r="F1501" s="63"/>
      <c r="G1501" s="59"/>
      <c r="H1501" s="59"/>
      <c r="I1501" s="64"/>
      <c r="J1501" s="59"/>
      <c r="K1501" s="65"/>
      <c r="L1501" s="66"/>
      <c r="M1501" s="67"/>
      <c r="N1501" s="68"/>
      <c r="O1501" s="69"/>
      <c r="P1501" s="69"/>
      <c r="Q1501" s="69"/>
      <c r="R1501" s="69"/>
    </row>
    <row r="1502" spans="1:18">
      <c r="A1502" s="6"/>
      <c r="B1502" s="59"/>
      <c r="C1502" s="60"/>
      <c r="D1502" s="62"/>
      <c r="E1502" s="62"/>
      <c r="F1502" s="63"/>
      <c r="G1502" s="59"/>
      <c r="H1502" s="59"/>
      <c r="I1502" s="64"/>
      <c r="J1502" s="59"/>
      <c r="K1502" s="65"/>
      <c r="L1502" s="66"/>
      <c r="M1502" s="67"/>
      <c r="N1502" s="68"/>
      <c r="O1502" s="69"/>
      <c r="P1502" s="69"/>
      <c r="Q1502" s="69"/>
      <c r="R1502" s="69"/>
    </row>
    <row r="1503" spans="1:18">
      <c r="A1503" s="6"/>
      <c r="B1503" s="59"/>
      <c r="C1503" s="60"/>
      <c r="D1503" s="62"/>
      <c r="E1503" s="62"/>
      <c r="F1503" s="63"/>
      <c r="G1503" s="59"/>
      <c r="H1503" s="59"/>
      <c r="I1503" s="64"/>
      <c r="J1503" s="59"/>
      <c r="K1503" s="65"/>
      <c r="L1503" s="66"/>
      <c r="M1503" s="67"/>
      <c r="N1503" s="68"/>
      <c r="O1503" s="69"/>
      <c r="P1503" s="69"/>
      <c r="Q1503" s="69"/>
      <c r="R1503" s="69"/>
    </row>
    <row r="1504" spans="1:18">
      <c r="A1504" s="6"/>
      <c r="B1504" s="59"/>
      <c r="C1504" s="60"/>
      <c r="D1504" s="62"/>
      <c r="E1504" s="62"/>
      <c r="F1504" s="63"/>
      <c r="G1504" s="59"/>
      <c r="H1504" s="59"/>
      <c r="I1504" s="64"/>
      <c r="J1504" s="59"/>
      <c r="K1504" s="65"/>
      <c r="L1504" s="66"/>
      <c r="M1504" s="67"/>
      <c r="N1504" s="68"/>
      <c r="O1504" s="69"/>
      <c r="P1504" s="69"/>
      <c r="Q1504" s="69"/>
      <c r="R1504" s="69"/>
    </row>
    <row r="1505" spans="1:18">
      <c r="A1505" s="6"/>
      <c r="B1505" s="59"/>
      <c r="C1505" s="60"/>
      <c r="D1505" s="62"/>
      <c r="E1505" s="62"/>
      <c r="F1505" s="63"/>
      <c r="G1505" s="59"/>
      <c r="H1505" s="59"/>
      <c r="I1505" s="64"/>
      <c r="J1505" s="59"/>
      <c r="K1505" s="65"/>
      <c r="L1505" s="66"/>
      <c r="M1505" s="67"/>
      <c r="N1505" s="68"/>
      <c r="O1505" s="69"/>
      <c r="P1505" s="69"/>
      <c r="Q1505" s="69"/>
      <c r="R1505" s="69"/>
    </row>
    <row r="1506" spans="1:18">
      <c r="A1506" s="6"/>
      <c r="B1506" s="59"/>
      <c r="C1506" s="60"/>
      <c r="D1506" s="62"/>
      <c r="E1506" s="62"/>
      <c r="F1506" s="63"/>
      <c r="G1506" s="59"/>
      <c r="H1506" s="59"/>
      <c r="I1506" s="64"/>
      <c r="J1506" s="59"/>
      <c r="K1506" s="65"/>
      <c r="L1506" s="66"/>
      <c r="M1506" s="67"/>
      <c r="N1506" s="68"/>
      <c r="O1506" s="69"/>
      <c r="P1506" s="69"/>
      <c r="Q1506" s="69"/>
      <c r="R1506" s="69"/>
    </row>
    <row r="1507" spans="1:18">
      <c r="A1507" s="6"/>
      <c r="B1507" s="59"/>
      <c r="C1507" s="60"/>
      <c r="D1507" s="62"/>
      <c r="E1507" s="62"/>
      <c r="F1507" s="63"/>
      <c r="G1507" s="59"/>
      <c r="H1507" s="59"/>
      <c r="I1507" s="64"/>
      <c r="J1507" s="59"/>
      <c r="K1507" s="65"/>
      <c r="L1507" s="66"/>
      <c r="M1507" s="67"/>
      <c r="N1507" s="68"/>
      <c r="O1507" s="69"/>
      <c r="P1507" s="69"/>
      <c r="Q1507" s="69"/>
      <c r="R1507" s="69"/>
    </row>
    <row r="1508" spans="1:18">
      <c r="A1508" s="6"/>
      <c r="B1508" s="59"/>
      <c r="C1508" s="60"/>
      <c r="D1508" s="62"/>
      <c r="E1508" s="62"/>
      <c r="F1508" s="63"/>
      <c r="G1508" s="59"/>
      <c r="H1508" s="59"/>
      <c r="I1508" s="64"/>
      <c r="J1508" s="59"/>
      <c r="K1508" s="65"/>
      <c r="L1508" s="66"/>
      <c r="M1508" s="67"/>
      <c r="N1508" s="68"/>
      <c r="O1508" s="69"/>
      <c r="P1508" s="69"/>
      <c r="Q1508" s="69"/>
      <c r="R1508" s="69"/>
    </row>
    <row r="1509" spans="1:18">
      <c r="A1509" s="6"/>
      <c r="B1509" s="59"/>
      <c r="C1509" s="60"/>
      <c r="D1509" s="62"/>
      <c r="E1509" s="62"/>
      <c r="F1509" s="63"/>
      <c r="G1509" s="59"/>
      <c r="H1509" s="59"/>
      <c r="I1509" s="64"/>
      <c r="J1509" s="59"/>
      <c r="K1509" s="65"/>
      <c r="L1509" s="66"/>
      <c r="M1509" s="67"/>
      <c r="N1509" s="68"/>
      <c r="O1509" s="69"/>
      <c r="P1509" s="69"/>
      <c r="Q1509" s="69"/>
      <c r="R1509" s="69"/>
    </row>
    <row r="1510" spans="1:18">
      <c r="A1510" s="6"/>
      <c r="B1510" s="59"/>
      <c r="C1510" s="60"/>
      <c r="D1510" s="62"/>
      <c r="E1510" s="62"/>
      <c r="F1510" s="63"/>
      <c r="G1510" s="59"/>
      <c r="H1510" s="59"/>
      <c r="I1510" s="64"/>
      <c r="J1510" s="59"/>
      <c r="K1510" s="65"/>
      <c r="L1510" s="66"/>
      <c r="M1510" s="67"/>
      <c r="N1510" s="68"/>
      <c r="O1510" s="69"/>
      <c r="P1510" s="69"/>
      <c r="Q1510" s="69"/>
      <c r="R1510" s="69"/>
    </row>
    <row r="1511" spans="1:18">
      <c r="A1511" s="6"/>
      <c r="B1511" s="59"/>
      <c r="C1511" s="60"/>
      <c r="D1511" s="62"/>
      <c r="E1511" s="62"/>
      <c r="F1511" s="63"/>
      <c r="G1511" s="59"/>
      <c r="H1511" s="59"/>
      <c r="I1511" s="64"/>
      <c r="J1511" s="59"/>
      <c r="K1511" s="65"/>
      <c r="L1511" s="66"/>
      <c r="M1511" s="67"/>
      <c r="N1511" s="68"/>
      <c r="O1511" s="69"/>
      <c r="P1511" s="69"/>
      <c r="Q1511" s="69"/>
      <c r="R1511" s="69"/>
    </row>
    <row r="1512" spans="1:18">
      <c r="A1512" s="6"/>
      <c r="B1512" s="59"/>
      <c r="C1512" s="60"/>
      <c r="D1512" s="62"/>
      <c r="E1512" s="62"/>
      <c r="F1512" s="63"/>
      <c r="G1512" s="59"/>
      <c r="H1512" s="59"/>
      <c r="I1512" s="64"/>
      <c r="J1512" s="59"/>
      <c r="K1512" s="65"/>
      <c r="L1512" s="66"/>
      <c r="M1512" s="67"/>
      <c r="N1512" s="68"/>
      <c r="O1512" s="69"/>
      <c r="P1512" s="69"/>
      <c r="Q1512" s="69"/>
      <c r="R1512" s="69"/>
    </row>
    <row r="1513" spans="1:18">
      <c r="A1513" s="6"/>
      <c r="B1513" s="59"/>
      <c r="C1513" s="60"/>
      <c r="D1513" s="62"/>
      <c r="E1513" s="62"/>
      <c r="F1513" s="63"/>
      <c r="G1513" s="59"/>
      <c r="H1513" s="59"/>
      <c r="I1513" s="64"/>
      <c r="J1513" s="59"/>
      <c r="K1513" s="65"/>
      <c r="L1513" s="66"/>
      <c r="M1513" s="67"/>
      <c r="N1513" s="68"/>
      <c r="O1513" s="69"/>
      <c r="P1513" s="69"/>
      <c r="Q1513" s="69"/>
      <c r="R1513" s="69"/>
    </row>
    <row r="1514" spans="1:18">
      <c r="A1514" s="6"/>
      <c r="B1514" s="59"/>
      <c r="C1514" s="60"/>
      <c r="D1514" s="62"/>
      <c r="E1514" s="62"/>
      <c r="F1514" s="63"/>
      <c r="G1514" s="59"/>
      <c r="H1514" s="59"/>
      <c r="I1514" s="64"/>
      <c r="J1514" s="59"/>
      <c r="K1514" s="65"/>
      <c r="L1514" s="66"/>
      <c r="M1514" s="67"/>
      <c r="N1514" s="68"/>
      <c r="O1514" s="69"/>
      <c r="P1514" s="69"/>
      <c r="Q1514" s="69"/>
      <c r="R1514" s="69"/>
    </row>
    <row r="1515" spans="1:18">
      <c r="A1515" s="6"/>
      <c r="B1515" s="59"/>
      <c r="C1515" s="60"/>
      <c r="D1515" s="62"/>
      <c r="E1515" s="62"/>
      <c r="F1515" s="63"/>
      <c r="G1515" s="59"/>
      <c r="H1515" s="59"/>
      <c r="I1515" s="64"/>
      <c r="J1515" s="59"/>
      <c r="K1515" s="65"/>
      <c r="L1515" s="66"/>
      <c r="M1515" s="67"/>
      <c r="N1515" s="68"/>
      <c r="O1515" s="69"/>
      <c r="P1515" s="69"/>
      <c r="Q1515" s="69"/>
      <c r="R1515" s="69"/>
    </row>
    <row r="1516" spans="1:18">
      <c r="A1516" s="6"/>
      <c r="B1516" s="59"/>
      <c r="C1516" s="60"/>
      <c r="D1516" s="62"/>
      <c r="E1516" s="62"/>
      <c r="F1516" s="63"/>
      <c r="G1516" s="59"/>
      <c r="H1516" s="59"/>
      <c r="I1516" s="64"/>
      <c r="J1516" s="59"/>
      <c r="K1516" s="65"/>
      <c r="L1516" s="66"/>
      <c r="M1516" s="67"/>
      <c r="N1516" s="68"/>
      <c r="O1516" s="69"/>
      <c r="P1516" s="69"/>
      <c r="Q1516" s="69"/>
      <c r="R1516" s="69"/>
    </row>
    <row r="1517" spans="1:18">
      <c r="A1517" s="6"/>
      <c r="B1517" s="59"/>
      <c r="C1517" s="60"/>
      <c r="D1517" s="62"/>
      <c r="E1517" s="62"/>
      <c r="F1517" s="63"/>
      <c r="G1517" s="59"/>
      <c r="H1517" s="59"/>
      <c r="I1517" s="64"/>
      <c r="J1517" s="59"/>
      <c r="K1517" s="65"/>
      <c r="L1517" s="66"/>
      <c r="M1517" s="67"/>
      <c r="N1517" s="68"/>
      <c r="O1517" s="69"/>
      <c r="P1517" s="69"/>
      <c r="Q1517" s="69"/>
      <c r="R1517" s="69"/>
    </row>
    <row r="1518" spans="1:18">
      <c r="A1518" s="6"/>
      <c r="B1518" s="59"/>
      <c r="C1518" s="60"/>
      <c r="D1518" s="62"/>
      <c r="E1518" s="62"/>
      <c r="F1518" s="63"/>
      <c r="G1518" s="59"/>
      <c r="H1518" s="59"/>
      <c r="I1518" s="64"/>
      <c r="J1518" s="59"/>
      <c r="K1518" s="65"/>
      <c r="L1518" s="66"/>
      <c r="M1518" s="67"/>
      <c r="N1518" s="68"/>
      <c r="O1518" s="69"/>
      <c r="P1518" s="69"/>
      <c r="Q1518" s="69"/>
      <c r="R1518" s="69"/>
    </row>
    <row r="1519" spans="1:18">
      <c r="A1519" s="6"/>
      <c r="B1519" s="59"/>
      <c r="C1519" s="60"/>
      <c r="D1519" s="62"/>
      <c r="E1519" s="62"/>
      <c r="F1519" s="63"/>
      <c r="G1519" s="59"/>
      <c r="H1519" s="59"/>
      <c r="I1519" s="64"/>
      <c r="J1519" s="59"/>
      <c r="K1519" s="65"/>
      <c r="L1519" s="66"/>
      <c r="M1519" s="67"/>
      <c r="N1519" s="68"/>
      <c r="O1519" s="69"/>
      <c r="P1519" s="69"/>
      <c r="Q1519" s="69"/>
      <c r="R1519" s="69"/>
    </row>
    <row r="1520" spans="1:18">
      <c r="A1520" s="6"/>
      <c r="B1520" s="59"/>
      <c r="C1520" s="60"/>
      <c r="D1520" s="62"/>
      <c r="E1520" s="62"/>
      <c r="F1520" s="63"/>
      <c r="G1520" s="59"/>
      <c r="H1520" s="59"/>
      <c r="I1520" s="64"/>
      <c r="J1520" s="59"/>
      <c r="K1520" s="65"/>
      <c r="L1520" s="66"/>
      <c r="M1520" s="67"/>
      <c r="N1520" s="68"/>
      <c r="O1520" s="69"/>
      <c r="P1520" s="69"/>
      <c r="Q1520" s="69"/>
      <c r="R1520" s="69"/>
    </row>
    <row r="1521" spans="1:18">
      <c r="A1521" s="6"/>
      <c r="B1521" s="59"/>
      <c r="C1521" s="60"/>
      <c r="D1521" s="62"/>
      <c r="E1521" s="62"/>
      <c r="F1521" s="63"/>
      <c r="G1521" s="59"/>
      <c r="H1521" s="59"/>
      <c r="I1521" s="64"/>
      <c r="J1521" s="59"/>
      <c r="K1521" s="65"/>
      <c r="L1521" s="66"/>
      <c r="M1521" s="67"/>
      <c r="N1521" s="68"/>
      <c r="O1521" s="69"/>
      <c r="P1521" s="69"/>
      <c r="Q1521" s="69"/>
      <c r="R1521" s="69"/>
    </row>
    <row r="1522" spans="1:18">
      <c r="A1522" s="6"/>
      <c r="B1522" s="59"/>
      <c r="C1522" s="60"/>
      <c r="D1522" s="62"/>
      <c r="E1522" s="62"/>
      <c r="F1522" s="63"/>
      <c r="G1522" s="59"/>
      <c r="H1522" s="59"/>
      <c r="I1522" s="64"/>
      <c r="J1522" s="59"/>
      <c r="K1522" s="65"/>
      <c r="L1522" s="66"/>
      <c r="M1522" s="67"/>
      <c r="N1522" s="68"/>
      <c r="O1522" s="69"/>
      <c r="P1522" s="69"/>
      <c r="Q1522" s="69"/>
      <c r="R1522" s="69"/>
    </row>
    <row r="1523" spans="1:18">
      <c r="A1523" s="6"/>
      <c r="B1523" s="59"/>
      <c r="C1523" s="60"/>
      <c r="D1523" s="62"/>
      <c r="E1523" s="62"/>
      <c r="F1523" s="63"/>
      <c r="G1523" s="59"/>
      <c r="H1523" s="59"/>
      <c r="I1523" s="64"/>
      <c r="J1523" s="59"/>
      <c r="K1523" s="65"/>
      <c r="L1523" s="66"/>
      <c r="M1523" s="67"/>
      <c r="N1523" s="68"/>
      <c r="O1523" s="69"/>
      <c r="P1523" s="69"/>
      <c r="Q1523" s="69"/>
      <c r="R1523" s="69"/>
    </row>
    <row r="1524" spans="1:18">
      <c r="A1524" s="6"/>
      <c r="B1524" s="59"/>
      <c r="C1524" s="60"/>
      <c r="D1524" s="62"/>
      <c r="E1524" s="62"/>
      <c r="F1524" s="63"/>
      <c r="G1524" s="59"/>
      <c r="H1524" s="59"/>
      <c r="I1524" s="64"/>
      <c r="J1524" s="59"/>
      <c r="K1524" s="65"/>
      <c r="L1524" s="66"/>
      <c r="M1524" s="67"/>
      <c r="N1524" s="68"/>
      <c r="O1524" s="69"/>
      <c r="P1524" s="69"/>
      <c r="Q1524" s="69"/>
      <c r="R1524" s="69"/>
    </row>
    <row r="1525" spans="1:18">
      <c r="A1525" s="6"/>
      <c r="B1525" s="59"/>
      <c r="C1525" s="60"/>
      <c r="D1525" s="62"/>
      <c r="E1525" s="62"/>
      <c r="F1525" s="63"/>
      <c r="G1525" s="59"/>
      <c r="H1525" s="59"/>
      <c r="I1525" s="64"/>
      <c r="J1525" s="59"/>
      <c r="K1525" s="65"/>
      <c r="L1525" s="66"/>
      <c r="M1525" s="67"/>
      <c r="N1525" s="68"/>
      <c r="O1525" s="69"/>
      <c r="P1525" s="69"/>
      <c r="Q1525" s="69"/>
      <c r="R1525" s="69"/>
    </row>
    <row r="1526" spans="1:18">
      <c r="A1526" s="6"/>
      <c r="B1526" s="59"/>
      <c r="C1526" s="60"/>
      <c r="D1526" s="62"/>
      <c r="E1526" s="62"/>
      <c r="F1526" s="63"/>
      <c r="G1526" s="59"/>
      <c r="H1526" s="59"/>
      <c r="I1526" s="64"/>
      <c r="J1526" s="59"/>
      <c r="K1526" s="65"/>
      <c r="L1526" s="66"/>
      <c r="M1526" s="67"/>
      <c r="N1526" s="68"/>
      <c r="O1526" s="69"/>
      <c r="P1526" s="69"/>
      <c r="Q1526" s="69"/>
      <c r="R1526" s="69"/>
    </row>
    <row r="1527" spans="1:18">
      <c r="A1527" s="6"/>
      <c r="B1527" s="59"/>
      <c r="C1527" s="60"/>
      <c r="D1527" s="62"/>
      <c r="E1527" s="62"/>
      <c r="F1527" s="63"/>
      <c r="G1527" s="59"/>
      <c r="H1527" s="59"/>
      <c r="I1527" s="64"/>
      <c r="J1527" s="59"/>
      <c r="K1527" s="65"/>
      <c r="L1527" s="66"/>
      <c r="M1527" s="67"/>
      <c r="N1527" s="68"/>
      <c r="O1527" s="69"/>
      <c r="P1527" s="69"/>
      <c r="Q1527" s="69"/>
      <c r="R1527" s="69"/>
    </row>
    <row r="1528" spans="1:18">
      <c r="A1528" s="6"/>
      <c r="B1528" s="59"/>
      <c r="C1528" s="60"/>
      <c r="D1528" s="62"/>
      <c r="E1528" s="62"/>
      <c r="F1528" s="63"/>
      <c r="G1528" s="59"/>
      <c r="H1528" s="120"/>
      <c r="I1528" s="64"/>
      <c r="J1528" s="59"/>
      <c r="K1528" s="65"/>
      <c r="L1528" s="66"/>
      <c r="M1528" s="67"/>
      <c r="N1528" s="68"/>
      <c r="O1528" s="69"/>
      <c r="P1528" s="69"/>
      <c r="Q1528" s="69"/>
      <c r="R1528" s="69"/>
    </row>
    <row r="1529" spans="1:18">
      <c r="A1529" s="6"/>
      <c r="B1529" s="59"/>
      <c r="C1529" s="60"/>
      <c r="D1529" s="62"/>
      <c r="E1529" s="62"/>
      <c r="F1529" s="63"/>
      <c r="G1529" s="59"/>
      <c r="H1529" s="59"/>
      <c r="I1529" s="64"/>
      <c r="J1529" s="59"/>
      <c r="K1529" s="65"/>
      <c r="L1529" s="66"/>
      <c r="M1529" s="67"/>
      <c r="N1529" s="68"/>
      <c r="O1529" s="69"/>
      <c r="P1529" s="69"/>
      <c r="Q1529" s="69"/>
      <c r="R1529" s="69"/>
    </row>
    <row r="1530" spans="1:18">
      <c r="A1530" s="6"/>
      <c r="B1530" s="59"/>
      <c r="C1530" s="60"/>
      <c r="D1530" s="62"/>
      <c r="E1530" s="62"/>
      <c r="F1530" s="63"/>
      <c r="G1530" s="59"/>
      <c r="H1530" s="120"/>
      <c r="I1530" s="64"/>
      <c r="J1530" s="59"/>
      <c r="K1530" s="65"/>
      <c r="L1530" s="66"/>
      <c r="M1530" s="67"/>
      <c r="N1530" s="68"/>
      <c r="O1530" s="69"/>
      <c r="P1530" s="69"/>
      <c r="Q1530" s="69"/>
      <c r="R1530" s="69"/>
    </row>
    <row r="1531" spans="1:18">
      <c r="A1531" s="6"/>
      <c r="B1531" s="59"/>
      <c r="C1531" s="60"/>
      <c r="D1531" s="62"/>
      <c r="E1531" s="62"/>
      <c r="F1531" s="63"/>
      <c r="G1531" s="59"/>
      <c r="H1531" s="59"/>
      <c r="I1531" s="64"/>
      <c r="J1531" s="59"/>
      <c r="K1531" s="65"/>
      <c r="L1531" s="66"/>
      <c r="M1531" s="67"/>
      <c r="N1531" s="68"/>
      <c r="O1531" s="69"/>
      <c r="P1531" s="69"/>
      <c r="Q1531" s="69"/>
      <c r="R1531" s="69"/>
    </row>
    <row r="1532" spans="1:18">
      <c r="A1532" s="6"/>
      <c r="B1532" s="59"/>
      <c r="C1532" s="60"/>
      <c r="D1532" s="62"/>
      <c r="E1532" s="62"/>
      <c r="F1532" s="63"/>
      <c r="G1532" s="59"/>
      <c r="H1532" s="59"/>
      <c r="I1532" s="64"/>
      <c r="J1532" s="59"/>
      <c r="K1532" s="65"/>
      <c r="L1532" s="66"/>
      <c r="M1532" s="67"/>
      <c r="N1532" s="68"/>
      <c r="O1532" s="69"/>
      <c r="P1532" s="69"/>
      <c r="Q1532" s="69"/>
      <c r="R1532" s="69"/>
    </row>
    <row r="1533" spans="1:18">
      <c r="A1533" s="6"/>
      <c r="B1533" s="59"/>
      <c r="C1533" s="60"/>
      <c r="D1533" s="62"/>
      <c r="E1533" s="62"/>
      <c r="F1533" s="63"/>
      <c r="G1533" s="59"/>
      <c r="H1533" s="120"/>
      <c r="I1533" s="64"/>
      <c r="J1533" s="59"/>
      <c r="K1533" s="65"/>
      <c r="L1533" s="66"/>
      <c r="M1533" s="67"/>
      <c r="N1533" s="68"/>
      <c r="O1533" s="69"/>
      <c r="P1533" s="69"/>
      <c r="Q1533" s="69"/>
      <c r="R1533" s="69"/>
    </row>
    <row r="1534" spans="1:18">
      <c r="A1534" s="6"/>
      <c r="B1534" s="59"/>
      <c r="C1534" s="60"/>
      <c r="D1534" s="62"/>
      <c r="E1534" s="62"/>
      <c r="F1534" s="63"/>
      <c r="G1534" s="59"/>
      <c r="H1534" s="59"/>
      <c r="I1534" s="64"/>
      <c r="J1534" s="59"/>
      <c r="K1534" s="65"/>
      <c r="L1534" s="66"/>
      <c r="M1534" s="67"/>
      <c r="N1534" s="68"/>
      <c r="O1534" s="69"/>
      <c r="P1534" s="69"/>
      <c r="Q1534" s="69"/>
      <c r="R1534" s="69"/>
    </row>
    <row r="1535" spans="1:18">
      <c r="A1535" s="6"/>
      <c r="B1535" s="59"/>
      <c r="C1535" s="60"/>
      <c r="D1535" s="62"/>
      <c r="E1535" s="62"/>
      <c r="F1535" s="63"/>
      <c r="G1535" s="59"/>
      <c r="H1535" s="59"/>
      <c r="I1535" s="64"/>
      <c r="J1535" s="59"/>
      <c r="K1535" s="65"/>
      <c r="L1535" s="66"/>
      <c r="M1535" s="67"/>
      <c r="N1535" s="68"/>
      <c r="O1535" s="69"/>
      <c r="P1535" s="69"/>
      <c r="Q1535" s="69"/>
      <c r="R1535" s="69"/>
    </row>
    <row r="1536" spans="1:18">
      <c r="A1536" s="6"/>
      <c r="B1536" s="59"/>
      <c r="C1536" s="60"/>
      <c r="D1536" s="62"/>
      <c r="E1536" s="62"/>
      <c r="F1536" s="63"/>
      <c r="G1536" s="59"/>
      <c r="H1536" s="120"/>
      <c r="I1536" s="64"/>
      <c r="J1536" s="59"/>
      <c r="K1536" s="65"/>
      <c r="L1536" s="66"/>
      <c r="M1536" s="67"/>
      <c r="N1536" s="68"/>
      <c r="O1536" s="69"/>
      <c r="P1536" s="69"/>
      <c r="Q1536" s="69"/>
      <c r="R1536" s="69"/>
    </row>
    <row r="1537" spans="1:18">
      <c r="A1537" s="6"/>
      <c r="B1537" s="59"/>
      <c r="C1537" s="60"/>
      <c r="D1537" s="62"/>
      <c r="E1537" s="62"/>
      <c r="F1537" s="63"/>
      <c r="G1537" s="59"/>
      <c r="H1537" s="59"/>
      <c r="I1537" s="64"/>
      <c r="J1537" s="59"/>
      <c r="K1537" s="65"/>
      <c r="L1537" s="66"/>
      <c r="M1537" s="67"/>
      <c r="N1537" s="68"/>
      <c r="O1537" s="69"/>
      <c r="P1537" s="69"/>
      <c r="Q1537" s="69"/>
      <c r="R1537" s="69"/>
    </row>
    <row r="1538" spans="1:18">
      <c r="A1538" s="6"/>
      <c r="B1538" s="59"/>
      <c r="C1538" s="60"/>
      <c r="D1538" s="62"/>
      <c r="E1538" s="62"/>
      <c r="F1538" s="63"/>
      <c r="G1538" s="59"/>
      <c r="H1538" s="120"/>
      <c r="I1538" s="64"/>
      <c r="J1538" s="59"/>
      <c r="K1538" s="65"/>
      <c r="L1538" s="66"/>
      <c r="M1538" s="67"/>
      <c r="N1538" s="68"/>
      <c r="O1538" s="69"/>
      <c r="P1538" s="69"/>
      <c r="Q1538" s="69"/>
      <c r="R1538" s="69"/>
    </row>
    <row r="1539" spans="1:18">
      <c r="A1539" s="6"/>
      <c r="B1539" s="59"/>
      <c r="C1539" s="60"/>
      <c r="D1539" s="62"/>
      <c r="E1539" s="62"/>
      <c r="F1539" s="63"/>
      <c r="G1539" s="59"/>
      <c r="H1539" s="120"/>
      <c r="I1539" s="64"/>
      <c r="J1539" s="59"/>
      <c r="K1539" s="65"/>
      <c r="L1539" s="66"/>
      <c r="M1539" s="67"/>
      <c r="N1539" s="68"/>
      <c r="O1539" s="69"/>
      <c r="P1539" s="69"/>
      <c r="Q1539" s="69"/>
      <c r="R1539" s="69"/>
    </row>
    <row r="1540" spans="1:18">
      <c r="A1540" s="6"/>
      <c r="B1540" s="59"/>
      <c r="C1540" s="60"/>
      <c r="D1540" s="62"/>
      <c r="E1540" s="62"/>
      <c r="F1540" s="63"/>
      <c r="G1540" s="59"/>
      <c r="H1540" s="120"/>
      <c r="I1540" s="64"/>
      <c r="J1540" s="59"/>
      <c r="K1540" s="65"/>
      <c r="L1540" s="66"/>
      <c r="M1540" s="67"/>
      <c r="N1540" s="68"/>
      <c r="O1540" s="69"/>
      <c r="P1540" s="69"/>
      <c r="Q1540" s="69"/>
      <c r="R1540" s="69"/>
    </row>
    <row r="1541" spans="1:18">
      <c r="A1541" s="6"/>
      <c r="B1541" s="59"/>
      <c r="C1541" s="60"/>
      <c r="D1541" s="62"/>
      <c r="E1541" s="62"/>
      <c r="F1541" s="63"/>
      <c r="G1541" s="59"/>
      <c r="H1541" s="120"/>
      <c r="I1541" s="64"/>
      <c r="J1541" s="59"/>
      <c r="K1541" s="65"/>
      <c r="L1541" s="66"/>
      <c r="M1541" s="67"/>
      <c r="N1541" s="68"/>
      <c r="O1541" s="69"/>
      <c r="P1541" s="69"/>
      <c r="Q1541" s="69"/>
      <c r="R1541" s="69"/>
    </row>
    <row r="1542" spans="1:18">
      <c r="A1542" s="6"/>
      <c r="B1542" s="59"/>
      <c r="C1542" s="60"/>
      <c r="D1542" s="62"/>
      <c r="E1542" s="62"/>
      <c r="F1542" s="63"/>
      <c r="G1542" s="59"/>
      <c r="H1542" s="59"/>
      <c r="I1542" s="64"/>
      <c r="J1542" s="59"/>
      <c r="K1542" s="65"/>
      <c r="L1542" s="66"/>
      <c r="M1542" s="67"/>
      <c r="N1542" s="68"/>
      <c r="O1542" s="69"/>
      <c r="P1542" s="69"/>
      <c r="Q1542" s="69"/>
      <c r="R1542" s="69"/>
    </row>
    <row r="1543" spans="1:18">
      <c r="A1543" s="6"/>
      <c r="B1543" s="59"/>
      <c r="C1543" s="60"/>
      <c r="D1543" s="62"/>
      <c r="E1543" s="62"/>
      <c r="F1543" s="63"/>
      <c r="G1543" s="59"/>
      <c r="H1543" s="120"/>
      <c r="I1543" s="64"/>
      <c r="J1543" s="59"/>
      <c r="K1543" s="65"/>
      <c r="L1543" s="66"/>
      <c r="M1543" s="67"/>
      <c r="N1543" s="68"/>
      <c r="O1543" s="69"/>
      <c r="P1543" s="69"/>
      <c r="Q1543" s="69"/>
      <c r="R1543" s="69"/>
    </row>
    <row r="1544" spans="1:18">
      <c r="A1544" s="6"/>
      <c r="B1544" s="59"/>
      <c r="C1544" s="60"/>
      <c r="D1544" s="62"/>
      <c r="E1544" s="62"/>
      <c r="F1544" s="63"/>
      <c r="G1544" s="59"/>
      <c r="H1544" s="120"/>
      <c r="I1544" s="64"/>
      <c r="J1544" s="59"/>
      <c r="K1544" s="65"/>
      <c r="L1544" s="66"/>
      <c r="M1544" s="67"/>
      <c r="N1544" s="68"/>
      <c r="O1544" s="69"/>
      <c r="P1544" s="69"/>
      <c r="Q1544" s="69"/>
      <c r="R1544" s="69"/>
    </row>
    <row r="1545" spans="1:18">
      <c r="A1545" s="6"/>
      <c r="B1545" s="59"/>
      <c r="C1545" s="60"/>
      <c r="D1545" s="62"/>
      <c r="E1545" s="62"/>
      <c r="F1545" s="63"/>
      <c r="G1545" s="59"/>
      <c r="H1545" s="120"/>
      <c r="I1545" s="64"/>
      <c r="J1545" s="59"/>
      <c r="K1545" s="65"/>
      <c r="L1545" s="66"/>
      <c r="M1545" s="67"/>
      <c r="N1545" s="68"/>
      <c r="O1545" s="69"/>
      <c r="P1545" s="69"/>
      <c r="Q1545" s="69"/>
      <c r="R1545" s="69"/>
    </row>
    <row r="1546" spans="1:18">
      <c r="A1546" s="6"/>
      <c r="B1546" s="59"/>
      <c r="C1546" s="60"/>
      <c r="D1546" s="62"/>
      <c r="E1546" s="62"/>
      <c r="F1546" s="63"/>
      <c r="G1546" s="59"/>
      <c r="H1546" s="120"/>
      <c r="I1546" s="64"/>
      <c r="J1546" s="59"/>
      <c r="K1546" s="65"/>
      <c r="L1546" s="66"/>
      <c r="M1546" s="67"/>
      <c r="N1546" s="68"/>
      <c r="O1546" s="69"/>
      <c r="P1546" s="69"/>
      <c r="Q1546" s="69"/>
      <c r="R1546" s="69"/>
    </row>
    <row r="1547" spans="1:18">
      <c r="A1547" s="6"/>
      <c r="B1547" s="59"/>
      <c r="C1547" s="60"/>
      <c r="D1547" s="62"/>
      <c r="E1547" s="62"/>
      <c r="F1547" s="63"/>
      <c r="G1547" s="59"/>
      <c r="H1547" s="120"/>
      <c r="I1547" s="64"/>
      <c r="J1547" s="59"/>
      <c r="K1547" s="65"/>
      <c r="L1547" s="66"/>
      <c r="M1547" s="67"/>
      <c r="N1547" s="68"/>
      <c r="O1547" s="69"/>
      <c r="P1547" s="69"/>
      <c r="Q1547" s="69"/>
      <c r="R1547" s="69"/>
    </row>
    <row r="1548" spans="1:18">
      <c r="A1548" s="6"/>
      <c r="B1548" s="59"/>
      <c r="C1548" s="60"/>
      <c r="D1548" s="62"/>
      <c r="E1548" s="62"/>
      <c r="F1548" s="63"/>
      <c r="G1548" s="59"/>
      <c r="H1548" s="120"/>
      <c r="I1548" s="64"/>
      <c r="J1548" s="59"/>
      <c r="K1548" s="65"/>
      <c r="L1548" s="66"/>
      <c r="M1548" s="67"/>
      <c r="N1548" s="68"/>
      <c r="O1548" s="69"/>
      <c r="P1548" s="69"/>
      <c r="Q1548" s="69"/>
      <c r="R1548" s="69"/>
    </row>
    <row r="1549" spans="1:18">
      <c r="A1549" s="6"/>
      <c r="B1549" s="59"/>
      <c r="C1549" s="60"/>
      <c r="D1549" s="62"/>
      <c r="E1549" s="62"/>
      <c r="F1549" s="63"/>
      <c r="G1549" s="59"/>
      <c r="H1549" s="120"/>
      <c r="I1549" s="64"/>
      <c r="J1549" s="59"/>
      <c r="K1549" s="65"/>
      <c r="L1549" s="66"/>
      <c r="M1549" s="67"/>
      <c r="N1549" s="68"/>
      <c r="O1549" s="69"/>
      <c r="P1549" s="69"/>
      <c r="Q1549" s="69"/>
      <c r="R1549" s="69"/>
    </row>
    <row r="1550" spans="1:18">
      <c r="A1550" s="6"/>
      <c r="B1550" s="59"/>
      <c r="C1550" s="60"/>
      <c r="D1550" s="62"/>
      <c r="E1550" s="62"/>
      <c r="F1550" s="63"/>
      <c r="G1550" s="59"/>
      <c r="H1550" s="120"/>
      <c r="I1550" s="64"/>
      <c r="J1550" s="59"/>
      <c r="K1550" s="65"/>
      <c r="L1550" s="66"/>
      <c r="M1550" s="67"/>
      <c r="N1550" s="68"/>
      <c r="O1550" s="69"/>
      <c r="P1550" s="69"/>
      <c r="Q1550" s="69"/>
      <c r="R1550" s="69"/>
    </row>
    <row r="1551" spans="1:18">
      <c r="A1551" s="6"/>
      <c r="B1551" s="59"/>
      <c r="C1551" s="60"/>
      <c r="D1551" s="62"/>
      <c r="E1551" s="62"/>
      <c r="F1551" s="63"/>
      <c r="G1551" s="59"/>
      <c r="H1551" s="120"/>
      <c r="I1551" s="64"/>
      <c r="J1551" s="59"/>
      <c r="K1551" s="65"/>
      <c r="L1551" s="66"/>
      <c r="M1551" s="67"/>
      <c r="N1551" s="68"/>
      <c r="O1551" s="69"/>
      <c r="P1551" s="69"/>
      <c r="Q1551" s="69"/>
      <c r="R1551" s="69"/>
    </row>
    <row r="1552" spans="1:18">
      <c r="A1552" s="6"/>
      <c r="B1552" s="59"/>
      <c r="C1552" s="60"/>
      <c r="D1552" s="62"/>
      <c r="E1552" s="62"/>
      <c r="F1552" s="63"/>
      <c r="G1552" s="59"/>
      <c r="H1552" s="120"/>
      <c r="I1552" s="64"/>
      <c r="J1552" s="59"/>
      <c r="K1552" s="65"/>
      <c r="L1552" s="66"/>
      <c r="M1552" s="67"/>
      <c r="N1552" s="68"/>
      <c r="O1552" s="69"/>
      <c r="P1552" s="69"/>
      <c r="Q1552" s="69"/>
      <c r="R1552" s="69"/>
    </row>
    <row r="1553" spans="1:18">
      <c r="A1553" s="6"/>
      <c r="B1553" s="59"/>
      <c r="C1553" s="60"/>
      <c r="D1553" s="62"/>
      <c r="E1553" s="62"/>
      <c r="F1553" s="63"/>
      <c r="G1553" s="59"/>
      <c r="H1553" s="120"/>
      <c r="I1553" s="64"/>
      <c r="J1553" s="59"/>
      <c r="K1553" s="65"/>
      <c r="L1553" s="66"/>
      <c r="M1553" s="67"/>
      <c r="N1553" s="68"/>
      <c r="O1553" s="69"/>
      <c r="P1553" s="69"/>
      <c r="Q1553" s="69"/>
      <c r="R1553" s="69"/>
    </row>
    <row r="1554" spans="1:18">
      <c r="A1554" s="6"/>
      <c r="B1554" s="59"/>
      <c r="C1554" s="60"/>
      <c r="D1554" s="62"/>
      <c r="E1554" s="62"/>
      <c r="F1554" s="63"/>
      <c r="G1554" s="59"/>
      <c r="H1554" s="120"/>
      <c r="I1554" s="64"/>
      <c r="J1554" s="59"/>
      <c r="K1554" s="65"/>
      <c r="L1554" s="66"/>
      <c r="M1554" s="67"/>
      <c r="N1554" s="68"/>
      <c r="O1554" s="69"/>
      <c r="P1554" s="69"/>
      <c r="Q1554" s="69"/>
      <c r="R1554" s="69"/>
    </row>
    <row r="1555" spans="1:18">
      <c r="A1555" s="6"/>
      <c r="B1555" s="59"/>
      <c r="C1555" s="60"/>
      <c r="D1555" s="62"/>
      <c r="E1555" s="62"/>
      <c r="F1555" s="63"/>
      <c r="G1555" s="59"/>
      <c r="H1555" s="120"/>
      <c r="I1555" s="64"/>
      <c r="J1555" s="59"/>
      <c r="K1555" s="65"/>
      <c r="L1555" s="66"/>
      <c r="M1555" s="67"/>
      <c r="N1555" s="68"/>
      <c r="O1555" s="69"/>
      <c r="P1555" s="69"/>
      <c r="Q1555" s="69"/>
      <c r="R1555" s="69"/>
    </row>
    <row r="1556" spans="1:18">
      <c r="A1556" s="6"/>
      <c r="B1556" s="59"/>
      <c r="C1556" s="60"/>
      <c r="D1556" s="62"/>
      <c r="E1556" s="62"/>
      <c r="F1556" s="63"/>
      <c r="G1556" s="59"/>
      <c r="H1556" s="120"/>
      <c r="I1556" s="64"/>
      <c r="J1556" s="59"/>
      <c r="K1556" s="65"/>
      <c r="L1556" s="66"/>
      <c r="M1556" s="67"/>
      <c r="N1556" s="68"/>
      <c r="O1556" s="69"/>
      <c r="P1556" s="69"/>
      <c r="Q1556" s="69"/>
      <c r="R1556" s="69"/>
    </row>
    <row r="1557" spans="1:18">
      <c r="A1557" s="6"/>
      <c r="B1557" s="59"/>
      <c r="C1557" s="60"/>
      <c r="D1557" s="62"/>
      <c r="E1557" s="62"/>
      <c r="F1557" s="63"/>
      <c r="G1557" s="59"/>
      <c r="H1557" s="59"/>
      <c r="I1557" s="64"/>
      <c r="J1557" s="59"/>
      <c r="K1557" s="65"/>
      <c r="L1557" s="66"/>
      <c r="M1557" s="67"/>
      <c r="N1557" s="68"/>
      <c r="O1557" s="69"/>
      <c r="P1557" s="69"/>
      <c r="Q1557" s="69"/>
      <c r="R1557" s="69"/>
    </row>
    <row r="1558" spans="1:18">
      <c r="A1558" s="6"/>
      <c r="B1558" s="59"/>
      <c r="C1558" s="60"/>
      <c r="D1558" s="62"/>
      <c r="E1558" s="62"/>
      <c r="F1558" s="63"/>
      <c r="G1558" s="59"/>
      <c r="H1558" s="59"/>
      <c r="I1558" s="64"/>
      <c r="J1558" s="59"/>
      <c r="K1558" s="65"/>
      <c r="L1558" s="66"/>
      <c r="M1558" s="67"/>
      <c r="N1558" s="68"/>
      <c r="O1558" s="69"/>
      <c r="P1558" s="69"/>
      <c r="Q1558" s="69"/>
      <c r="R1558" s="69"/>
    </row>
    <row r="1559" spans="1:18">
      <c r="A1559" s="6"/>
      <c r="B1559" s="59"/>
      <c r="C1559" s="60"/>
      <c r="D1559" s="62"/>
      <c r="E1559" s="62"/>
      <c r="F1559" s="63"/>
      <c r="G1559" s="59"/>
      <c r="H1559" s="120"/>
      <c r="I1559" s="64"/>
      <c r="J1559" s="59"/>
      <c r="K1559" s="65"/>
      <c r="L1559" s="66"/>
      <c r="M1559" s="67"/>
      <c r="N1559" s="68"/>
      <c r="O1559" s="69"/>
      <c r="P1559" s="69"/>
      <c r="Q1559" s="69"/>
      <c r="R1559" s="69"/>
    </row>
    <row r="1560" spans="1:18">
      <c r="A1560" s="6"/>
      <c r="B1560" s="59"/>
      <c r="C1560" s="60"/>
      <c r="D1560" s="62"/>
      <c r="E1560" s="62"/>
      <c r="F1560" s="63"/>
      <c r="G1560" s="59"/>
      <c r="H1560" s="120"/>
      <c r="I1560" s="64"/>
      <c r="J1560" s="59"/>
      <c r="K1560" s="65"/>
      <c r="L1560" s="66"/>
      <c r="M1560" s="67"/>
      <c r="N1560" s="68"/>
      <c r="O1560" s="69"/>
      <c r="P1560" s="69"/>
      <c r="Q1560" s="69"/>
      <c r="R1560" s="69"/>
    </row>
    <row r="1561" spans="1:18">
      <c r="A1561" s="6"/>
      <c r="B1561" s="59"/>
      <c r="C1561" s="60"/>
      <c r="D1561" s="62"/>
      <c r="E1561" s="62"/>
      <c r="F1561" s="63"/>
      <c r="G1561" s="59"/>
      <c r="H1561" s="120"/>
      <c r="I1561" s="64"/>
      <c r="J1561" s="59"/>
      <c r="K1561" s="65"/>
      <c r="L1561" s="66"/>
      <c r="M1561" s="67"/>
      <c r="N1561" s="68"/>
      <c r="O1561" s="69"/>
      <c r="P1561" s="69"/>
      <c r="Q1561" s="69"/>
      <c r="R1561" s="69"/>
    </row>
    <row r="1562" spans="1:18">
      <c r="A1562" s="6"/>
      <c r="B1562" s="59"/>
      <c r="C1562" s="60"/>
      <c r="D1562" s="62"/>
      <c r="E1562" s="62"/>
      <c r="F1562" s="63"/>
      <c r="G1562" s="59"/>
      <c r="H1562" s="120"/>
      <c r="I1562" s="64"/>
      <c r="J1562" s="59"/>
      <c r="K1562" s="65"/>
      <c r="L1562" s="66"/>
      <c r="M1562" s="67"/>
      <c r="N1562" s="68"/>
      <c r="O1562" s="69"/>
      <c r="P1562" s="69"/>
      <c r="Q1562" s="69"/>
      <c r="R1562" s="69"/>
    </row>
    <row r="1563" spans="1:18">
      <c r="A1563" s="6"/>
      <c r="B1563" s="59"/>
      <c r="C1563" s="60"/>
      <c r="D1563" s="62"/>
      <c r="E1563" s="62"/>
      <c r="F1563" s="63"/>
      <c r="G1563" s="59"/>
      <c r="H1563" s="120"/>
      <c r="I1563" s="64"/>
      <c r="J1563" s="59"/>
      <c r="K1563" s="65"/>
      <c r="L1563" s="66"/>
      <c r="M1563" s="67"/>
      <c r="N1563" s="68"/>
      <c r="O1563" s="69"/>
      <c r="P1563" s="69"/>
      <c r="Q1563" s="69"/>
      <c r="R1563" s="69"/>
    </row>
    <row r="1564" spans="1:18">
      <c r="A1564" s="6"/>
      <c r="B1564" s="59"/>
      <c r="C1564" s="60"/>
      <c r="D1564" s="62"/>
      <c r="E1564" s="62"/>
      <c r="F1564" s="63"/>
      <c r="G1564" s="59"/>
      <c r="H1564" s="120"/>
      <c r="I1564" s="64"/>
      <c r="J1564" s="59"/>
      <c r="K1564" s="65"/>
      <c r="L1564" s="66"/>
      <c r="M1564" s="67"/>
      <c r="N1564" s="68"/>
      <c r="O1564" s="69"/>
      <c r="P1564" s="69"/>
      <c r="Q1564" s="69"/>
      <c r="R1564" s="69"/>
    </row>
    <row r="1565" spans="1:18">
      <c r="A1565" s="6"/>
      <c r="B1565" s="59"/>
      <c r="C1565" s="60"/>
      <c r="D1565" s="62"/>
      <c r="E1565" s="62"/>
      <c r="F1565" s="63"/>
      <c r="G1565" s="59"/>
      <c r="H1565" s="120"/>
      <c r="I1565" s="64"/>
      <c r="J1565" s="59"/>
      <c r="K1565" s="65"/>
      <c r="L1565" s="66"/>
      <c r="M1565" s="67"/>
      <c r="N1565" s="68"/>
      <c r="O1565" s="69"/>
      <c r="P1565" s="69"/>
      <c r="Q1565" s="69"/>
      <c r="R1565" s="69"/>
    </row>
    <row r="1566" spans="1:18">
      <c r="A1566" s="6"/>
      <c r="B1566" s="59"/>
      <c r="C1566" s="60"/>
      <c r="D1566" s="62"/>
      <c r="E1566" s="62"/>
      <c r="F1566" s="63"/>
      <c r="G1566" s="59"/>
      <c r="H1566" s="120"/>
      <c r="I1566" s="64"/>
      <c r="J1566" s="59"/>
      <c r="K1566" s="65"/>
      <c r="L1566" s="66"/>
      <c r="M1566" s="67"/>
      <c r="N1566" s="68"/>
      <c r="O1566" s="69"/>
      <c r="P1566" s="69"/>
      <c r="Q1566" s="69"/>
      <c r="R1566" s="69"/>
    </row>
    <row r="1567" spans="1:18">
      <c r="A1567" s="6"/>
      <c r="B1567" s="59"/>
      <c r="C1567" s="60"/>
      <c r="D1567" s="62"/>
      <c r="E1567" s="62"/>
      <c r="F1567" s="63"/>
      <c r="G1567" s="59"/>
      <c r="H1567" s="120"/>
      <c r="I1567" s="64"/>
      <c r="J1567" s="59"/>
      <c r="K1567" s="65"/>
      <c r="L1567" s="66"/>
      <c r="M1567" s="67"/>
      <c r="N1567" s="68"/>
      <c r="O1567" s="69"/>
      <c r="P1567" s="69"/>
      <c r="Q1567" s="69"/>
      <c r="R1567" s="69"/>
    </row>
    <row r="1568" spans="1:18">
      <c r="A1568" s="6"/>
      <c r="B1568" s="59"/>
      <c r="C1568" s="60"/>
      <c r="D1568" s="62"/>
      <c r="E1568" s="62"/>
      <c r="F1568" s="63"/>
      <c r="G1568" s="59"/>
      <c r="H1568" s="120"/>
      <c r="I1568" s="64"/>
      <c r="J1568" s="59"/>
      <c r="K1568" s="65"/>
      <c r="L1568" s="66"/>
      <c r="M1568" s="67"/>
      <c r="N1568" s="68"/>
      <c r="O1568" s="69"/>
      <c r="P1568" s="69"/>
      <c r="Q1568" s="69"/>
      <c r="R1568" s="69"/>
    </row>
    <row r="1569" spans="1:18">
      <c r="A1569" s="6"/>
      <c r="B1569" s="59"/>
      <c r="C1569" s="60"/>
      <c r="D1569" s="62"/>
      <c r="E1569" s="62"/>
      <c r="F1569" s="63"/>
      <c r="G1569" s="59"/>
      <c r="H1569" s="120"/>
      <c r="I1569" s="64"/>
      <c r="J1569" s="59"/>
      <c r="K1569" s="65"/>
      <c r="L1569" s="66"/>
      <c r="M1569" s="67"/>
      <c r="N1569" s="68"/>
      <c r="O1569" s="69"/>
      <c r="P1569" s="69"/>
      <c r="Q1569" s="69"/>
      <c r="R1569" s="69"/>
    </row>
    <row r="1570" spans="1:18">
      <c r="A1570" s="6"/>
      <c r="B1570" s="59"/>
      <c r="C1570" s="60"/>
      <c r="D1570" s="62"/>
      <c r="E1570" s="62"/>
      <c r="F1570" s="63"/>
      <c r="G1570" s="59"/>
      <c r="H1570" s="120"/>
      <c r="I1570" s="64"/>
      <c r="J1570" s="59"/>
      <c r="K1570" s="65"/>
      <c r="L1570" s="66"/>
      <c r="M1570" s="67"/>
      <c r="N1570" s="68"/>
      <c r="O1570" s="69"/>
      <c r="P1570" s="69"/>
      <c r="Q1570" s="69"/>
      <c r="R1570" s="69"/>
    </row>
    <row r="1571" spans="1:18">
      <c r="A1571" s="6"/>
      <c r="B1571" s="59"/>
      <c r="C1571" s="60"/>
      <c r="D1571" s="62"/>
      <c r="E1571" s="62"/>
      <c r="F1571" s="63"/>
      <c r="G1571" s="59"/>
      <c r="H1571" s="120"/>
      <c r="I1571" s="64"/>
      <c r="J1571" s="59"/>
      <c r="K1571" s="65"/>
      <c r="L1571" s="66"/>
      <c r="M1571" s="67"/>
      <c r="N1571" s="68"/>
      <c r="O1571" s="69"/>
      <c r="P1571" s="69"/>
      <c r="Q1571" s="69"/>
      <c r="R1571" s="69"/>
    </row>
    <row r="1572" spans="1:18">
      <c r="A1572" s="6"/>
      <c r="B1572" s="59"/>
      <c r="C1572" s="60"/>
      <c r="D1572" s="62"/>
      <c r="E1572" s="62"/>
      <c r="F1572" s="63"/>
      <c r="G1572" s="59"/>
      <c r="H1572" s="120"/>
      <c r="I1572" s="64"/>
      <c r="J1572" s="59"/>
      <c r="K1572" s="65"/>
      <c r="L1572" s="66"/>
      <c r="M1572" s="67"/>
      <c r="N1572" s="68"/>
      <c r="O1572" s="69"/>
      <c r="P1572" s="69"/>
      <c r="Q1572" s="69"/>
      <c r="R1572" s="69"/>
    </row>
    <row r="1573" spans="1:18">
      <c r="A1573" s="6"/>
      <c r="B1573" s="59"/>
      <c r="C1573" s="60"/>
      <c r="D1573" s="62"/>
      <c r="E1573" s="62"/>
      <c r="F1573" s="63"/>
      <c r="G1573" s="59"/>
      <c r="H1573" s="120"/>
      <c r="I1573" s="64"/>
      <c r="J1573" s="59"/>
      <c r="K1573" s="65"/>
      <c r="L1573" s="66"/>
      <c r="M1573" s="67"/>
      <c r="N1573" s="68"/>
      <c r="O1573" s="69"/>
      <c r="P1573" s="69"/>
      <c r="Q1573" s="69"/>
      <c r="R1573" s="69"/>
    </row>
    <row r="1574" spans="1:18">
      <c r="A1574" s="6"/>
      <c r="B1574" s="59"/>
      <c r="C1574" s="60"/>
      <c r="D1574" s="62"/>
      <c r="E1574" s="62"/>
      <c r="F1574" s="63"/>
      <c r="G1574" s="59"/>
      <c r="H1574" s="120"/>
      <c r="I1574" s="64"/>
      <c r="J1574" s="59"/>
      <c r="K1574" s="65"/>
      <c r="L1574" s="66"/>
      <c r="M1574" s="67"/>
      <c r="N1574" s="68"/>
      <c r="O1574" s="69"/>
      <c r="P1574" s="69"/>
      <c r="Q1574" s="69"/>
      <c r="R1574" s="69"/>
    </row>
    <row r="1575" spans="1:18">
      <c r="A1575" s="6"/>
      <c r="B1575" s="59"/>
      <c r="C1575" s="60"/>
      <c r="D1575" s="62"/>
      <c r="E1575" s="62"/>
      <c r="F1575" s="63"/>
      <c r="G1575" s="59"/>
      <c r="H1575" s="120"/>
      <c r="I1575" s="64"/>
      <c r="J1575" s="59"/>
      <c r="K1575" s="65"/>
      <c r="L1575" s="66"/>
      <c r="M1575" s="67"/>
      <c r="N1575" s="68"/>
      <c r="O1575" s="69"/>
      <c r="P1575" s="69"/>
      <c r="Q1575" s="69"/>
      <c r="R1575" s="69"/>
    </row>
    <row r="1576" spans="1:18">
      <c r="A1576" s="6"/>
      <c r="B1576" s="59"/>
      <c r="C1576" s="60"/>
      <c r="D1576" s="62"/>
      <c r="E1576" s="62"/>
      <c r="F1576" s="63"/>
      <c r="G1576" s="59"/>
      <c r="H1576" s="120"/>
      <c r="I1576" s="64"/>
      <c r="J1576" s="59"/>
      <c r="K1576" s="65"/>
      <c r="L1576" s="66"/>
      <c r="M1576" s="67"/>
      <c r="N1576" s="68"/>
      <c r="O1576" s="69"/>
      <c r="P1576" s="69"/>
      <c r="Q1576" s="69"/>
      <c r="R1576" s="69"/>
    </row>
    <row r="1577" spans="1:18">
      <c r="A1577" s="6"/>
      <c r="B1577" s="59"/>
      <c r="C1577" s="60"/>
      <c r="D1577" s="62"/>
      <c r="E1577" s="62"/>
      <c r="F1577" s="63"/>
      <c r="G1577" s="59"/>
      <c r="H1577" s="120"/>
      <c r="I1577" s="64"/>
      <c r="J1577" s="59"/>
      <c r="K1577" s="65"/>
      <c r="L1577" s="66"/>
      <c r="M1577" s="67"/>
      <c r="N1577" s="68"/>
      <c r="O1577" s="69"/>
      <c r="P1577" s="69"/>
      <c r="Q1577" s="69"/>
      <c r="R1577" s="69"/>
    </row>
    <row r="1578" spans="1:18">
      <c r="A1578" s="6"/>
      <c r="B1578" s="59"/>
      <c r="C1578" s="60"/>
      <c r="D1578" s="62"/>
      <c r="E1578" s="62"/>
      <c r="F1578" s="63"/>
      <c r="G1578" s="59"/>
      <c r="H1578" s="120"/>
      <c r="I1578" s="64"/>
      <c r="J1578" s="59"/>
      <c r="K1578" s="65"/>
      <c r="L1578" s="66"/>
      <c r="M1578" s="67"/>
      <c r="N1578" s="68"/>
      <c r="O1578" s="69"/>
      <c r="P1578" s="69"/>
      <c r="Q1578" s="69"/>
      <c r="R1578" s="69"/>
    </row>
    <row r="1579" spans="1:18">
      <c r="A1579" s="6"/>
      <c r="B1579" s="59"/>
      <c r="C1579" s="60"/>
      <c r="D1579" s="62"/>
      <c r="E1579" s="62"/>
      <c r="F1579" s="63"/>
      <c r="G1579" s="59"/>
      <c r="H1579" s="120"/>
      <c r="I1579" s="64"/>
      <c r="J1579" s="59"/>
      <c r="K1579" s="65"/>
      <c r="L1579" s="66"/>
      <c r="M1579" s="67"/>
      <c r="N1579" s="68"/>
      <c r="O1579" s="69"/>
      <c r="P1579" s="69"/>
      <c r="Q1579" s="69"/>
      <c r="R1579" s="69"/>
    </row>
    <row r="1580" spans="1:18">
      <c r="A1580" s="6"/>
      <c r="B1580" s="59"/>
      <c r="C1580" s="60"/>
      <c r="D1580" s="62"/>
      <c r="E1580" s="62"/>
      <c r="F1580" s="63"/>
      <c r="G1580" s="59"/>
      <c r="H1580" s="120"/>
      <c r="I1580" s="64"/>
      <c r="J1580" s="59"/>
      <c r="K1580" s="65"/>
      <c r="L1580" s="66"/>
      <c r="M1580" s="67"/>
      <c r="N1580" s="68"/>
      <c r="O1580" s="69"/>
      <c r="P1580" s="69"/>
      <c r="Q1580" s="69"/>
      <c r="R1580" s="69"/>
    </row>
    <row r="1581" spans="1:18">
      <c r="A1581" s="6"/>
      <c r="B1581" s="59"/>
      <c r="C1581" s="60"/>
      <c r="D1581" s="62"/>
      <c r="E1581" s="62"/>
      <c r="F1581" s="63"/>
      <c r="G1581" s="59"/>
      <c r="H1581" s="120"/>
      <c r="I1581" s="64"/>
      <c r="J1581" s="59"/>
      <c r="K1581" s="65"/>
      <c r="L1581" s="66"/>
      <c r="M1581" s="67"/>
      <c r="N1581" s="68"/>
      <c r="O1581" s="69"/>
      <c r="P1581" s="69"/>
      <c r="Q1581" s="69"/>
      <c r="R1581" s="69"/>
    </row>
    <row r="1582" spans="1:18">
      <c r="A1582" s="6"/>
      <c r="B1582" s="59"/>
      <c r="C1582" s="60"/>
      <c r="D1582" s="62"/>
      <c r="E1582" s="62"/>
      <c r="F1582" s="63"/>
      <c r="G1582" s="59"/>
      <c r="H1582" s="120"/>
      <c r="I1582" s="64"/>
      <c r="J1582" s="59"/>
      <c r="K1582" s="65"/>
      <c r="L1582" s="66"/>
      <c r="M1582" s="67"/>
      <c r="N1582" s="68"/>
      <c r="O1582" s="69"/>
      <c r="P1582" s="69"/>
      <c r="Q1582" s="69"/>
      <c r="R1582" s="69"/>
    </row>
    <row r="1583" spans="1:18">
      <c r="A1583" s="6"/>
      <c r="B1583" s="6"/>
      <c r="C1583" s="60"/>
      <c r="D1583" s="62"/>
      <c r="E1583" s="62"/>
      <c r="F1583" s="63"/>
      <c r="G1583" s="59"/>
      <c r="H1583" s="120"/>
      <c r="I1583" s="64"/>
      <c r="J1583" s="59"/>
      <c r="K1583" s="65"/>
      <c r="L1583" s="66"/>
      <c r="M1583" s="67"/>
      <c r="N1583" s="68"/>
      <c r="O1583" s="69"/>
      <c r="P1583" s="69"/>
      <c r="Q1583" s="69"/>
      <c r="R1583" s="69"/>
    </row>
    <row r="1584" spans="1:18">
      <c r="A1584" s="6"/>
      <c r="B1584" s="6"/>
      <c r="C1584" s="60"/>
      <c r="D1584" s="62"/>
      <c r="E1584" s="62"/>
      <c r="F1584" s="63"/>
      <c r="G1584" s="59"/>
      <c r="H1584" s="120"/>
      <c r="I1584" s="64"/>
      <c r="J1584" s="59"/>
      <c r="K1584" s="65"/>
      <c r="L1584" s="66"/>
      <c r="M1584" s="67"/>
      <c r="N1584" s="68"/>
      <c r="O1584" s="69"/>
      <c r="P1584" s="69"/>
      <c r="Q1584" s="69"/>
      <c r="R1584" s="69"/>
    </row>
    <row r="1585" spans="1:18">
      <c r="A1585" s="6"/>
      <c r="B1585" s="59"/>
      <c r="C1585" s="60"/>
      <c r="D1585" s="62"/>
      <c r="E1585" s="62"/>
      <c r="F1585" s="63"/>
      <c r="G1585" s="59"/>
      <c r="H1585" s="120"/>
      <c r="I1585" s="64"/>
      <c r="J1585" s="59"/>
      <c r="K1585" s="65"/>
      <c r="L1585" s="66"/>
      <c r="M1585" s="67"/>
      <c r="N1585" s="68"/>
      <c r="O1585" s="69"/>
      <c r="P1585" s="69"/>
      <c r="Q1585" s="69"/>
      <c r="R1585" s="69"/>
    </row>
    <row r="1586" spans="1:18">
      <c r="A1586" s="6"/>
      <c r="B1586" s="59"/>
      <c r="C1586" s="60"/>
      <c r="D1586" s="62"/>
      <c r="E1586" s="62"/>
      <c r="F1586" s="63"/>
      <c r="G1586" s="59"/>
      <c r="H1586" s="120"/>
      <c r="I1586" s="64"/>
      <c r="J1586" s="59"/>
      <c r="K1586" s="65"/>
      <c r="L1586" s="66"/>
      <c r="M1586" s="67"/>
      <c r="N1586" s="68"/>
      <c r="O1586" s="69"/>
      <c r="P1586" s="69"/>
      <c r="Q1586" s="69"/>
      <c r="R1586" s="69"/>
    </row>
    <row r="1587" spans="1:18">
      <c r="A1587" s="6"/>
      <c r="B1587" s="59"/>
      <c r="C1587" s="60"/>
      <c r="D1587" s="62"/>
      <c r="E1587" s="62"/>
      <c r="F1587" s="63"/>
      <c r="G1587" s="59"/>
      <c r="H1587" s="120"/>
      <c r="I1587" s="64"/>
      <c r="J1587" s="59"/>
      <c r="K1587" s="65"/>
      <c r="L1587" s="66"/>
      <c r="M1587" s="67"/>
      <c r="N1587" s="68"/>
      <c r="O1587" s="69"/>
      <c r="P1587" s="69"/>
      <c r="Q1587" s="69"/>
      <c r="R1587" s="69"/>
    </row>
    <row r="1588" spans="1:18">
      <c r="A1588" s="6"/>
      <c r="B1588" s="59"/>
      <c r="C1588" s="60"/>
      <c r="D1588" s="62"/>
      <c r="E1588" s="62"/>
      <c r="F1588" s="63"/>
      <c r="G1588" s="59"/>
      <c r="H1588" s="120"/>
      <c r="I1588" s="64"/>
      <c r="J1588" s="59"/>
      <c r="K1588" s="65"/>
      <c r="L1588" s="66"/>
      <c r="M1588" s="67"/>
      <c r="N1588" s="68"/>
      <c r="O1588" s="69"/>
      <c r="P1588" s="69"/>
      <c r="Q1588" s="69"/>
      <c r="R1588" s="69"/>
    </row>
    <row r="1589" spans="1:18">
      <c r="A1589" s="6"/>
      <c r="B1589" s="59"/>
      <c r="C1589" s="60"/>
      <c r="D1589" s="62"/>
      <c r="E1589" s="62"/>
      <c r="F1589" s="63"/>
      <c r="G1589" s="59"/>
      <c r="H1589" s="120"/>
      <c r="I1589" s="64"/>
      <c r="J1589" s="59"/>
      <c r="K1589" s="65"/>
      <c r="L1589" s="66"/>
      <c r="M1589" s="67"/>
      <c r="N1589" s="68"/>
      <c r="O1589" s="69"/>
      <c r="P1589" s="69"/>
      <c r="Q1589" s="69"/>
      <c r="R1589" s="69"/>
    </row>
    <row r="1590" spans="1:18">
      <c r="A1590" s="6"/>
      <c r="B1590" s="59"/>
      <c r="C1590" s="60"/>
      <c r="D1590" s="62"/>
      <c r="E1590" s="62"/>
      <c r="F1590" s="63"/>
      <c r="G1590" s="59"/>
      <c r="H1590" s="120"/>
      <c r="I1590" s="64"/>
      <c r="J1590" s="59"/>
      <c r="K1590" s="65"/>
      <c r="L1590" s="66"/>
      <c r="M1590" s="67"/>
      <c r="N1590" s="68"/>
      <c r="O1590" s="69"/>
      <c r="P1590" s="69"/>
      <c r="Q1590" s="69"/>
      <c r="R1590" s="69"/>
    </row>
    <row r="1591" spans="1:18">
      <c r="A1591" s="6"/>
      <c r="B1591" s="59"/>
      <c r="C1591" s="60"/>
      <c r="D1591" s="62"/>
      <c r="E1591" s="62"/>
      <c r="F1591" s="63"/>
      <c r="G1591" s="59"/>
      <c r="H1591" s="120"/>
      <c r="I1591" s="64"/>
      <c r="J1591" s="59"/>
      <c r="K1591" s="65"/>
      <c r="L1591" s="66"/>
      <c r="M1591" s="67"/>
      <c r="N1591" s="68"/>
      <c r="O1591" s="69"/>
      <c r="P1591" s="69"/>
      <c r="Q1591" s="69"/>
      <c r="R1591" s="69"/>
    </row>
    <row r="1592" spans="1:18">
      <c r="A1592" s="6"/>
      <c r="B1592" s="59"/>
      <c r="C1592" s="60"/>
      <c r="D1592" s="62"/>
      <c r="E1592" s="62"/>
      <c r="F1592" s="63"/>
      <c r="G1592" s="59"/>
      <c r="H1592" s="120"/>
      <c r="I1592" s="64"/>
      <c r="J1592" s="59"/>
      <c r="K1592" s="65"/>
      <c r="L1592" s="66"/>
      <c r="M1592" s="67"/>
      <c r="N1592" s="68"/>
      <c r="O1592" s="69"/>
      <c r="P1592" s="69"/>
      <c r="Q1592" s="69"/>
      <c r="R1592" s="69"/>
    </row>
    <row r="1593" spans="1:18">
      <c r="A1593" s="6"/>
      <c r="B1593" s="59"/>
      <c r="C1593" s="60"/>
      <c r="D1593" s="62"/>
      <c r="E1593" s="62"/>
      <c r="F1593" s="63"/>
      <c r="G1593" s="59"/>
      <c r="H1593" s="120"/>
      <c r="I1593" s="64"/>
      <c r="J1593" s="59"/>
      <c r="K1593" s="65"/>
      <c r="L1593" s="66"/>
      <c r="M1593" s="67"/>
      <c r="N1593" s="68"/>
      <c r="O1593" s="69"/>
      <c r="P1593" s="69"/>
      <c r="Q1593" s="69"/>
      <c r="R1593" s="69"/>
    </row>
    <row r="1594" spans="1:18">
      <c r="A1594" s="6"/>
      <c r="B1594" s="59"/>
      <c r="C1594" s="60"/>
      <c r="D1594" s="62"/>
      <c r="E1594" s="62"/>
      <c r="F1594" s="63"/>
      <c r="G1594" s="59"/>
      <c r="H1594" s="120"/>
      <c r="I1594" s="64"/>
      <c r="J1594" s="59"/>
      <c r="K1594" s="65"/>
      <c r="L1594" s="66"/>
      <c r="M1594" s="67"/>
      <c r="N1594" s="68"/>
      <c r="O1594" s="69"/>
      <c r="P1594" s="69"/>
      <c r="Q1594" s="69"/>
      <c r="R1594" s="69"/>
    </row>
    <row r="1595" spans="1:18">
      <c r="A1595" s="6"/>
      <c r="B1595" s="59"/>
      <c r="C1595" s="60"/>
      <c r="D1595" s="62"/>
      <c r="E1595" s="62"/>
      <c r="F1595" s="63"/>
      <c r="G1595" s="59"/>
      <c r="H1595" s="120"/>
      <c r="I1595" s="64"/>
      <c r="J1595" s="59"/>
      <c r="K1595" s="65"/>
      <c r="L1595" s="66"/>
      <c r="M1595" s="67"/>
      <c r="N1595" s="68"/>
      <c r="O1595" s="69"/>
      <c r="P1595" s="69"/>
      <c r="Q1595" s="69"/>
      <c r="R1595" s="69"/>
    </row>
    <row r="1596" spans="1:18">
      <c r="A1596" s="6"/>
      <c r="B1596" s="59"/>
      <c r="C1596" s="60"/>
      <c r="D1596" s="62"/>
      <c r="E1596" s="62"/>
      <c r="F1596" s="63"/>
      <c r="G1596" s="59"/>
      <c r="H1596" s="120"/>
      <c r="I1596" s="64"/>
      <c r="J1596" s="59"/>
      <c r="K1596" s="65"/>
      <c r="L1596" s="66"/>
      <c r="M1596" s="67"/>
      <c r="N1596" s="68"/>
      <c r="O1596" s="69"/>
      <c r="P1596" s="69"/>
      <c r="Q1596" s="69"/>
      <c r="R1596" s="69"/>
    </row>
    <row r="1597" spans="1:18">
      <c r="A1597" s="6"/>
      <c r="B1597" s="59"/>
      <c r="C1597" s="60"/>
      <c r="D1597" s="62"/>
      <c r="E1597" s="62"/>
      <c r="F1597" s="63"/>
      <c r="G1597" s="59"/>
      <c r="H1597" s="120"/>
      <c r="I1597" s="64"/>
      <c r="J1597" s="59"/>
      <c r="K1597" s="65"/>
      <c r="L1597" s="66"/>
      <c r="M1597" s="67"/>
      <c r="N1597" s="68"/>
      <c r="O1597" s="69"/>
      <c r="P1597" s="69"/>
      <c r="Q1597" s="69"/>
      <c r="R1597" s="69"/>
    </row>
    <row r="1598" spans="1:18">
      <c r="A1598" s="6"/>
      <c r="B1598" s="59"/>
      <c r="C1598" s="60"/>
      <c r="D1598" s="62"/>
      <c r="E1598" s="62"/>
      <c r="F1598" s="63"/>
      <c r="G1598" s="59"/>
      <c r="H1598" s="120"/>
      <c r="I1598" s="64"/>
      <c r="J1598" s="59"/>
      <c r="K1598" s="65"/>
      <c r="L1598" s="66"/>
      <c r="M1598" s="67"/>
      <c r="N1598" s="68"/>
      <c r="O1598" s="69"/>
      <c r="P1598" s="69"/>
      <c r="Q1598" s="69"/>
      <c r="R1598" s="69"/>
    </row>
    <row r="1599" spans="1:18">
      <c r="A1599" s="6"/>
      <c r="B1599" s="59"/>
      <c r="C1599" s="60"/>
      <c r="D1599" s="62"/>
      <c r="E1599" s="62"/>
      <c r="F1599" s="63"/>
      <c r="G1599" s="59"/>
      <c r="H1599" s="120"/>
      <c r="I1599" s="64"/>
      <c r="J1599" s="59"/>
      <c r="K1599" s="65"/>
      <c r="L1599" s="66"/>
      <c r="M1599" s="67"/>
      <c r="N1599" s="68"/>
      <c r="O1599" s="69"/>
      <c r="P1599" s="69"/>
      <c r="Q1599" s="69"/>
      <c r="R1599" s="69"/>
    </row>
    <row r="1600" spans="1:18">
      <c r="A1600" s="6"/>
      <c r="B1600" s="60"/>
      <c r="C1600" s="60"/>
      <c r="D1600" s="62"/>
      <c r="E1600" s="62"/>
      <c r="F1600" s="63"/>
      <c r="G1600" s="59"/>
      <c r="H1600" s="120"/>
      <c r="I1600" s="64"/>
      <c r="J1600" s="59"/>
      <c r="K1600" s="65"/>
      <c r="L1600" s="66"/>
      <c r="M1600" s="67"/>
      <c r="N1600" s="68"/>
      <c r="O1600" s="69"/>
      <c r="P1600" s="69"/>
      <c r="Q1600" s="69"/>
      <c r="R1600" s="69"/>
    </row>
    <row r="1601" spans="1:18">
      <c r="A1601" s="6"/>
      <c r="B1601" s="59"/>
      <c r="C1601" s="60"/>
      <c r="D1601" s="62"/>
      <c r="E1601" s="62"/>
      <c r="F1601" s="63"/>
      <c r="G1601" s="59"/>
      <c r="H1601" s="120"/>
      <c r="I1601" s="64"/>
      <c r="J1601" s="59"/>
      <c r="K1601" s="65"/>
      <c r="L1601" s="66"/>
      <c r="M1601" s="67"/>
      <c r="N1601" s="68"/>
      <c r="O1601" s="69"/>
      <c r="P1601" s="69"/>
      <c r="Q1601" s="69"/>
      <c r="R1601" s="69"/>
    </row>
    <row r="1602" spans="1:18">
      <c r="A1602" s="6"/>
      <c r="B1602" s="59"/>
      <c r="C1602" s="60"/>
      <c r="D1602" s="62"/>
      <c r="E1602" s="62"/>
      <c r="F1602" s="63"/>
      <c r="G1602" s="59"/>
      <c r="H1602" s="120"/>
      <c r="I1602" s="64"/>
      <c r="J1602" s="59"/>
      <c r="K1602" s="65"/>
      <c r="L1602" s="66"/>
      <c r="M1602" s="67"/>
      <c r="N1602" s="68"/>
      <c r="O1602" s="69"/>
      <c r="P1602" s="69"/>
      <c r="Q1602" s="69"/>
      <c r="R1602" s="69"/>
    </row>
    <row r="1603" spans="1:18">
      <c r="A1603" s="6"/>
      <c r="B1603" s="59"/>
      <c r="C1603" s="60"/>
      <c r="D1603" s="62"/>
      <c r="E1603" s="62"/>
      <c r="F1603" s="63"/>
      <c r="G1603" s="59"/>
      <c r="H1603" s="120"/>
      <c r="I1603" s="64"/>
      <c r="J1603" s="59"/>
      <c r="K1603" s="65"/>
      <c r="L1603" s="66"/>
      <c r="M1603" s="67"/>
      <c r="N1603" s="68"/>
      <c r="O1603" s="69"/>
      <c r="P1603" s="69"/>
      <c r="Q1603" s="69"/>
      <c r="R1603" s="69"/>
    </row>
    <row r="1604" spans="1:18">
      <c r="A1604" s="6"/>
      <c r="B1604" s="59"/>
      <c r="C1604" s="60"/>
      <c r="D1604" s="62"/>
      <c r="E1604" s="62"/>
      <c r="F1604" s="63"/>
      <c r="G1604" s="59"/>
      <c r="H1604" s="120"/>
      <c r="I1604" s="64"/>
      <c r="J1604" s="59"/>
      <c r="K1604" s="65"/>
      <c r="L1604" s="66"/>
      <c r="M1604" s="67"/>
      <c r="N1604" s="68"/>
      <c r="O1604" s="69"/>
      <c r="P1604" s="69"/>
      <c r="Q1604" s="69"/>
      <c r="R1604" s="69"/>
    </row>
    <row r="1605" spans="1:18">
      <c r="A1605" s="6"/>
      <c r="B1605" s="59"/>
      <c r="C1605" s="60"/>
      <c r="D1605" s="62"/>
      <c r="E1605" s="62"/>
      <c r="F1605" s="63"/>
      <c r="G1605" s="59"/>
      <c r="H1605" s="120"/>
      <c r="I1605" s="64"/>
      <c r="J1605" s="59"/>
      <c r="K1605" s="65"/>
      <c r="L1605" s="66"/>
      <c r="M1605" s="67"/>
      <c r="N1605" s="68"/>
      <c r="O1605" s="69"/>
      <c r="P1605" s="69"/>
      <c r="Q1605" s="69"/>
      <c r="R1605" s="69"/>
    </row>
    <row r="1606" spans="1:18">
      <c r="A1606" s="6"/>
      <c r="B1606" s="59"/>
      <c r="C1606" s="60"/>
      <c r="D1606" s="62"/>
      <c r="E1606" s="62"/>
      <c r="F1606" s="63"/>
      <c r="G1606" s="59"/>
      <c r="H1606" s="120"/>
      <c r="I1606" s="64"/>
      <c r="J1606" s="59"/>
      <c r="K1606" s="65"/>
      <c r="L1606" s="66"/>
      <c r="M1606" s="67"/>
      <c r="N1606" s="68"/>
      <c r="O1606" s="69"/>
      <c r="P1606" s="69"/>
      <c r="Q1606" s="69"/>
      <c r="R1606" s="69"/>
    </row>
    <row r="1607" spans="1:18">
      <c r="A1607" s="6"/>
      <c r="B1607" s="59"/>
      <c r="C1607" s="60"/>
      <c r="D1607" s="62"/>
      <c r="E1607" s="62"/>
      <c r="F1607" s="63"/>
      <c r="G1607" s="59"/>
      <c r="H1607" s="120"/>
      <c r="I1607" s="64"/>
      <c r="J1607" s="59"/>
      <c r="K1607" s="65"/>
      <c r="L1607" s="66"/>
      <c r="M1607" s="67"/>
      <c r="N1607" s="68"/>
      <c r="O1607" s="69"/>
      <c r="P1607" s="69"/>
      <c r="Q1607" s="69"/>
      <c r="R1607" s="69"/>
    </row>
    <row r="1608" spans="1:18">
      <c r="A1608" s="6"/>
      <c r="B1608" s="59"/>
      <c r="C1608" s="60"/>
      <c r="D1608" s="62"/>
      <c r="E1608" s="62"/>
      <c r="F1608" s="63"/>
      <c r="G1608" s="59"/>
      <c r="H1608" s="120"/>
      <c r="I1608" s="64"/>
      <c r="J1608" s="59"/>
      <c r="K1608" s="65"/>
      <c r="L1608" s="66"/>
      <c r="M1608" s="67"/>
      <c r="N1608" s="68"/>
      <c r="O1608" s="69"/>
      <c r="P1608" s="69"/>
      <c r="Q1608" s="69"/>
      <c r="R1608" s="69"/>
    </row>
    <row r="1609" spans="1:18">
      <c r="A1609" s="6"/>
      <c r="B1609" s="59"/>
      <c r="C1609" s="60"/>
      <c r="D1609" s="62"/>
      <c r="E1609" s="62"/>
      <c r="F1609" s="63"/>
      <c r="G1609" s="59"/>
      <c r="H1609" s="120"/>
      <c r="I1609" s="64"/>
      <c r="J1609" s="59"/>
      <c r="K1609" s="65"/>
      <c r="L1609" s="66"/>
      <c r="M1609" s="67"/>
      <c r="N1609" s="68"/>
      <c r="O1609" s="69"/>
      <c r="P1609" s="69"/>
      <c r="Q1609" s="69"/>
      <c r="R1609" s="69"/>
    </row>
    <row r="1610" spans="1:18">
      <c r="A1610" s="6"/>
      <c r="B1610" s="59"/>
      <c r="C1610" s="60"/>
      <c r="D1610" s="62"/>
      <c r="E1610" s="62"/>
      <c r="F1610" s="63"/>
      <c r="G1610" s="59"/>
      <c r="H1610" s="120"/>
      <c r="I1610" s="64"/>
      <c r="J1610" s="59"/>
      <c r="K1610" s="65"/>
      <c r="L1610" s="66"/>
      <c r="M1610" s="67"/>
      <c r="N1610" s="68"/>
      <c r="O1610" s="69"/>
      <c r="P1610" s="69"/>
      <c r="Q1610" s="69"/>
      <c r="R1610" s="69"/>
    </row>
    <row r="1611" spans="1:18">
      <c r="A1611" s="6"/>
      <c r="B1611" s="59"/>
      <c r="C1611" s="60"/>
      <c r="D1611" s="62"/>
      <c r="E1611" s="62"/>
      <c r="F1611" s="63"/>
      <c r="G1611" s="59"/>
      <c r="H1611" s="120"/>
      <c r="I1611" s="64"/>
      <c r="J1611" s="59"/>
      <c r="K1611" s="65"/>
      <c r="L1611" s="66"/>
      <c r="M1611" s="67"/>
      <c r="N1611" s="68"/>
      <c r="O1611" s="69"/>
      <c r="P1611" s="69"/>
      <c r="Q1611" s="69"/>
      <c r="R1611" s="69"/>
    </row>
    <row r="1612" spans="1:18">
      <c r="A1612" s="6"/>
      <c r="B1612" s="59"/>
      <c r="C1612" s="60"/>
      <c r="D1612" s="62"/>
      <c r="E1612" s="62"/>
      <c r="F1612" s="63"/>
      <c r="G1612" s="59"/>
      <c r="H1612" s="120"/>
      <c r="I1612" s="64"/>
      <c r="J1612" s="59"/>
      <c r="K1612" s="65"/>
      <c r="L1612" s="66"/>
      <c r="M1612" s="67"/>
      <c r="N1612" s="68"/>
      <c r="O1612" s="69"/>
      <c r="P1612" s="69"/>
      <c r="Q1612" s="69"/>
      <c r="R1612" s="69"/>
    </row>
    <row r="1613" spans="1:18">
      <c r="A1613" s="6"/>
      <c r="B1613" s="59"/>
      <c r="C1613" s="60"/>
      <c r="D1613" s="62"/>
      <c r="E1613" s="62"/>
      <c r="F1613" s="63"/>
      <c r="G1613" s="59"/>
      <c r="H1613" s="120"/>
      <c r="I1613" s="64"/>
      <c r="J1613" s="59"/>
      <c r="K1613" s="65"/>
      <c r="L1613" s="66"/>
      <c r="M1613" s="67"/>
      <c r="N1613" s="68"/>
      <c r="O1613" s="69"/>
      <c r="P1613" s="69"/>
      <c r="Q1613" s="69"/>
      <c r="R1613" s="69"/>
    </row>
    <row r="1614" spans="1:18">
      <c r="A1614" s="6"/>
      <c r="B1614" s="59"/>
      <c r="C1614" s="60"/>
      <c r="D1614" s="62"/>
      <c r="E1614" s="62"/>
      <c r="F1614" s="63"/>
      <c r="G1614" s="59"/>
      <c r="H1614" s="120"/>
      <c r="I1614" s="64"/>
      <c r="J1614" s="59"/>
      <c r="K1614" s="65"/>
      <c r="L1614" s="66"/>
      <c r="M1614" s="67"/>
      <c r="N1614" s="68"/>
      <c r="O1614" s="69"/>
      <c r="P1614" s="69"/>
      <c r="Q1614" s="69"/>
      <c r="R1614" s="69"/>
    </row>
    <row r="1615" spans="1:18">
      <c r="A1615" s="6"/>
      <c r="B1615" s="59"/>
      <c r="C1615" s="60"/>
      <c r="D1615" s="62"/>
      <c r="E1615" s="62"/>
      <c r="F1615" s="63"/>
      <c r="G1615" s="59"/>
      <c r="H1615" s="120"/>
      <c r="I1615" s="64"/>
      <c r="J1615" s="59"/>
      <c r="K1615" s="65"/>
      <c r="L1615" s="66"/>
      <c r="M1615" s="67"/>
      <c r="N1615" s="68"/>
      <c r="O1615" s="69"/>
      <c r="P1615" s="69"/>
      <c r="Q1615" s="69"/>
      <c r="R1615" s="69"/>
    </row>
    <row r="1616" spans="1:18">
      <c r="A1616" s="6"/>
      <c r="B1616" s="59"/>
      <c r="C1616" s="60"/>
      <c r="D1616" s="62"/>
      <c r="E1616" s="62"/>
      <c r="F1616" s="63"/>
      <c r="G1616" s="59"/>
      <c r="H1616" s="120"/>
      <c r="I1616" s="64"/>
      <c r="J1616" s="59"/>
      <c r="K1616" s="65"/>
      <c r="L1616" s="66"/>
      <c r="M1616" s="67"/>
      <c r="N1616" s="68"/>
      <c r="O1616" s="69"/>
      <c r="P1616" s="69"/>
      <c r="Q1616" s="69"/>
      <c r="R1616" s="69"/>
    </row>
    <row r="1617" spans="1:18">
      <c r="A1617" s="6"/>
      <c r="B1617" s="59"/>
      <c r="C1617" s="60"/>
      <c r="D1617" s="62"/>
      <c r="E1617" s="62"/>
      <c r="F1617" s="63"/>
      <c r="G1617" s="59"/>
      <c r="H1617" s="120"/>
      <c r="I1617" s="64"/>
      <c r="J1617" s="59"/>
      <c r="K1617" s="65"/>
      <c r="L1617" s="66"/>
      <c r="M1617" s="67"/>
      <c r="N1617" s="68"/>
      <c r="O1617" s="69"/>
      <c r="P1617" s="69"/>
      <c r="Q1617" s="69"/>
      <c r="R1617" s="69"/>
    </row>
    <row r="1618" spans="1:18">
      <c r="A1618" s="6"/>
      <c r="B1618" s="59"/>
      <c r="C1618" s="60"/>
      <c r="D1618" s="62"/>
      <c r="E1618" s="62"/>
      <c r="F1618" s="63"/>
      <c r="G1618" s="59"/>
      <c r="H1618" s="120"/>
      <c r="I1618" s="64"/>
      <c r="J1618" s="59"/>
      <c r="K1618" s="65"/>
      <c r="L1618" s="66"/>
      <c r="M1618" s="67"/>
      <c r="N1618" s="68"/>
      <c r="O1618" s="69"/>
      <c r="P1618" s="69"/>
      <c r="Q1618" s="69"/>
      <c r="R1618" s="69"/>
    </row>
    <row r="1619" spans="1:18">
      <c r="A1619" s="6"/>
      <c r="B1619" s="59"/>
      <c r="C1619" s="60"/>
      <c r="D1619" s="62"/>
      <c r="E1619" s="62"/>
      <c r="F1619" s="63"/>
      <c r="G1619" s="59"/>
      <c r="H1619" s="120"/>
      <c r="I1619" s="64"/>
      <c r="J1619" s="59"/>
      <c r="K1619" s="65"/>
      <c r="L1619" s="66"/>
      <c r="M1619" s="67"/>
      <c r="N1619" s="68"/>
      <c r="O1619" s="69"/>
      <c r="P1619" s="69"/>
      <c r="Q1619" s="69"/>
      <c r="R1619" s="69"/>
    </row>
    <row r="1620" spans="1:18">
      <c r="A1620" s="6"/>
      <c r="B1620" s="121"/>
      <c r="C1620" s="122"/>
      <c r="D1620" s="123"/>
      <c r="E1620" s="123"/>
      <c r="F1620" s="124"/>
      <c r="G1620" s="121"/>
      <c r="H1620" s="125"/>
      <c r="I1620" s="126"/>
      <c r="J1620" s="121"/>
      <c r="K1620" s="127"/>
      <c r="L1620" s="128"/>
      <c r="M1620" s="129"/>
      <c r="N1620" s="68"/>
      <c r="O1620" s="69"/>
      <c r="P1620" s="69"/>
      <c r="Q1620" s="69"/>
      <c r="R1620" s="69"/>
    </row>
    <row r="1621" spans="1:18">
      <c r="A1621" s="6"/>
      <c r="B1621" s="121"/>
      <c r="C1621" s="122"/>
      <c r="D1621" s="123"/>
      <c r="E1621" s="123"/>
      <c r="F1621" s="124"/>
      <c r="G1621" s="121"/>
      <c r="H1621" s="125"/>
      <c r="I1621" s="126"/>
      <c r="J1621" s="121"/>
      <c r="K1621" s="127"/>
      <c r="L1621" s="128"/>
      <c r="M1621" s="129"/>
      <c r="N1621" s="68"/>
      <c r="O1621" s="69"/>
      <c r="P1621" s="69"/>
      <c r="Q1621" s="69"/>
      <c r="R1621" s="69"/>
    </row>
    <row r="1622" spans="1:18">
      <c r="A1622" s="14"/>
      <c r="B1622" s="121"/>
      <c r="C1622" s="122"/>
      <c r="D1622" s="123"/>
      <c r="E1622" s="123"/>
      <c r="F1622" s="124"/>
      <c r="G1622" s="121"/>
      <c r="H1622" s="125"/>
      <c r="I1622" s="126"/>
      <c r="J1622" s="121"/>
      <c r="K1622" s="127"/>
      <c r="L1622" s="128"/>
      <c r="M1622" s="129"/>
      <c r="N1622" s="68"/>
      <c r="O1622" s="69"/>
      <c r="P1622" s="69"/>
      <c r="Q1622" s="69"/>
      <c r="R1622" s="69"/>
    </row>
    <row r="1623" spans="1:18">
      <c r="A1623" s="14"/>
      <c r="B1623" s="121"/>
      <c r="C1623" s="122"/>
      <c r="D1623" s="123"/>
      <c r="E1623" s="123"/>
      <c r="F1623" s="124"/>
      <c r="G1623" s="121"/>
      <c r="H1623" s="125"/>
      <c r="I1623" s="126"/>
      <c r="J1623" s="121"/>
      <c r="K1623" s="127"/>
      <c r="L1623" s="128"/>
      <c r="M1623" s="129"/>
      <c r="N1623" s="68"/>
      <c r="O1623" s="69"/>
      <c r="P1623" s="69"/>
      <c r="Q1623" s="69"/>
      <c r="R1623" s="69"/>
    </row>
    <row r="1624" spans="1:18">
      <c r="A1624" s="14"/>
      <c r="B1624" s="121"/>
      <c r="C1624" s="122"/>
      <c r="D1624" s="123"/>
      <c r="E1624" s="123"/>
      <c r="F1624" s="124"/>
      <c r="G1624" s="121"/>
      <c r="H1624" s="125"/>
      <c r="I1624" s="126"/>
      <c r="J1624" s="121"/>
      <c r="K1624" s="127"/>
      <c r="L1624" s="128"/>
      <c r="M1624" s="129"/>
      <c r="N1624" s="68"/>
      <c r="O1624" s="69"/>
      <c r="P1624" s="69"/>
      <c r="Q1624" s="69"/>
      <c r="R1624" s="69"/>
    </row>
    <row r="1625" spans="1:18">
      <c r="A1625" s="14"/>
      <c r="B1625" s="121"/>
      <c r="C1625" s="122"/>
      <c r="D1625" s="123"/>
      <c r="E1625" s="123"/>
      <c r="F1625" s="124"/>
      <c r="G1625" s="121"/>
      <c r="H1625" s="125"/>
      <c r="I1625" s="126"/>
      <c r="J1625" s="121"/>
      <c r="K1625" s="127"/>
      <c r="L1625" s="128"/>
      <c r="M1625" s="129"/>
      <c r="N1625" s="68"/>
      <c r="O1625" s="69"/>
      <c r="P1625" s="69"/>
      <c r="Q1625" s="69"/>
      <c r="R1625" s="69"/>
    </row>
    <row r="1626" spans="1:18">
      <c r="A1626" s="14"/>
      <c r="B1626" s="121"/>
      <c r="C1626" s="122"/>
      <c r="D1626" s="123"/>
      <c r="E1626" s="123"/>
      <c r="F1626" s="124"/>
      <c r="G1626" s="121"/>
      <c r="H1626" s="125"/>
      <c r="I1626" s="126"/>
      <c r="J1626" s="121"/>
      <c r="K1626" s="127"/>
      <c r="L1626" s="128"/>
      <c r="M1626" s="129"/>
      <c r="N1626" s="68"/>
      <c r="O1626" s="69"/>
      <c r="P1626" s="69"/>
      <c r="Q1626" s="69"/>
      <c r="R1626" s="69"/>
    </row>
    <row r="1627" spans="1:18">
      <c r="A1627" s="14"/>
      <c r="B1627" s="121"/>
      <c r="C1627" s="122"/>
      <c r="D1627" s="123"/>
      <c r="E1627" s="123"/>
      <c r="F1627" s="124"/>
      <c r="G1627" s="121"/>
      <c r="H1627" s="125"/>
      <c r="I1627" s="126"/>
      <c r="J1627" s="121"/>
      <c r="K1627" s="127"/>
      <c r="L1627" s="128"/>
      <c r="M1627" s="129"/>
      <c r="N1627" s="68"/>
      <c r="O1627" s="69"/>
      <c r="P1627" s="69"/>
      <c r="Q1627" s="69"/>
      <c r="R1627" s="69"/>
    </row>
    <row r="1628" spans="1:18">
      <c r="A1628" s="14"/>
      <c r="B1628" s="121"/>
      <c r="C1628" s="122"/>
      <c r="D1628" s="123"/>
      <c r="E1628" s="123"/>
      <c r="F1628" s="124"/>
      <c r="G1628" s="121"/>
      <c r="H1628" s="125"/>
      <c r="I1628" s="126"/>
      <c r="J1628" s="121"/>
      <c r="K1628" s="127"/>
      <c r="L1628" s="128"/>
      <c r="M1628" s="129"/>
      <c r="N1628" s="68"/>
      <c r="O1628" s="69"/>
      <c r="P1628" s="69"/>
      <c r="Q1628" s="69"/>
      <c r="R1628" s="69"/>
    </row>
    <row r="1629" spans="1:18">
      <c r="A1629" s="14"/>
      <c r="B1629" s="121"/>
      <c r="C1629" s="122"/>
      <c r="D1629" s="123"/>
      <c r="E1629" s="123"/>
      <c r="F1629" s="124"/>
      <c r="G1629" s="121"/>
      <c r="H1629" s="125"/>
      <c r="I1629" s="126"/>
      <c r="J1629" s="121"/>
      <c r="K1629" s="127"/>
      <c r="L1629" s="128"/>
      <c r="M1629" s="129"/>
      <c r="N1629" s="68"/>
      <c r="O1629" s="69"/>
      <c r="P1629" s="69"/>
      <c r="Q1629" s="69"/>
      <c r="R1629" s="69"/>
    </row>
    <row r="1630" spans="1:18">
      <c r="A1630" s="14"/>
      <c r="B1630" s="121"/>
      <c r="C1630" s="122"/>
      <c r="D1630" s="123"/>
      <c r="E1630" s="123"/>
      <c r="F1630" s="124"/>
      <c r="G1630" s="121"/>
      <c r="H1630" s="125"/>
      <c r="I1630" s="126"/>
      <c r="J1630" s="121"/>
      <c r="K1630" s="127"/>
      <c r="L1630" s="128"/>
      <c r="M1630" s="129"/>
      <c r="N1630" s="68"/>
      <c r="O1630" s="69"/>
      <c r="P1630" s="69"/>
      <c r="Q1630" s="69"/>
      <c r="R1630" s="69"/>
    </row>
    <row r="1631" spans="1:18">
      <c r="A1631" s="14"/>
      <c r="B1631" s="121"/>
      <c r="C1631" s="122"/>
      <c r="D1631" s="123"/>
      <c r="E1631" s="123"/>
      <c r="F1631" s="124"/>
      <c r="G1631" s="121"/>
      <c r="H1631" s="125"/>
      <c r="I1631" s="126"/>
      <c r="J1631" s="121"/>
      <c r="K1631" s="127"/>
      <c r="L1631" s="128"/>
      <c r="M1631" s="129"/>
      <c r="N1631" s="68"/>
      <c r="O1631" s="69"/>
      <c r="P1631" s="69"/>
      <c r="Q1631" s="69"/>
      <c r="R1631" s="69"/>
    </row>
    <row r="1632" spans="1:18">
      <c r="A1632" s="14"/>
      <c r="B1632" s="121"/>
      <c r="C1632" s="122"/>
      <c r="D1632" s="123"/>
      <c r="E1632" s="123"/>
      <c r="F1632" s="124"/>
      <c r="G1632" s="121"/>
      <c r="H1632" s="125"/>
      <c r="I1632" s="126"/>
      <c r="J1632" s="121"/>
      <c r="K1632" s="127"/>
      <c r="L1632" s="128"/>
      <c r="M1632" s="129"/>
      <c r="N1632" s="68"/>
      <c r="O1632" s="69"/>
      <c r="P1632" s="69"/>
      <c r="Q1632" s="69"/>
      <c r="R1632" s="69"/>
    </row>
    <row r="1633" spans="1:18">
      <c r="A1633" s="14"/>
      <c r="B1633" s="121"/>
      <c r="C1633" s="122"/>
      <c r="D1633" s="123"/>
      <c r="E1633" s="123"/>
      <c r="F1633" s="124"/>
      <c r="G1633" s="121"/>
      <c r="H1633" s="125"/>
      <c r="I1633" s="126"/>
      <c r="J1633" s="121"/>
      <c r="K1633" s="127"/>
      <c r="L1633" s="128"/>
      <c r="M1633" s="129"/>
      <c r="N1633" s="130"/>
      <c r="O1633" s="131"/>
      <c r="P1633" s="131"/>
      <c r="Q1633" s="131"/>
      <c r="R1633" s="131"/>
    </row>
    <row r="1634" spans="1:18">
      <c r="A1634" s="14"/>
      <c r="B1634" s="121"/>
      <c r="C1634" s="122"/>
      <c r="D1634" s="123"/>
      <c r="E1634" s="123"/>
      <c r="F1634" s="124"/>
      <c r="G1634" s="121"/>
      <c r="H1634" s="125"/>
      <c r="I1634" s="126"/>
      <c r="J1634" s="121"/>
      <c r="K1634" s="127"/>
      <c r="L1634" s="128"/>
      <c r="M1634" s="129"/>
      <c r="N1634" s="68"/>
      <c r="O1634" s="69"/>
      <c r="P1634" s="69"/>
      <c r="Q1634" s="69"/>
      <c r="R1634" s="69"/>
    </row>
    <row r="1635" spans="1:18">
      <c r="A1635" s="14"/>
      <c r="B1635" s="121"/>
      <c r="C1635" s="122"/>
      <c r="D1635" s="123"/>
      <c r="E1635" s="123"/>
      <c r="F1635" s="124"/>
      <c r="G1635" s="121"/>
      <c r="H1635" s="125"/>
      <c r="I1635" s="126"/>
      <c r="J1635" s="121"/>
      <c r="K1635" s="127"/>
      <c r="L1635" s="128"/>
      <c r="M1635" s="129"/>
      <c r="N1635" s="68"/>
      <c r="O1635" s="69"/>
      <c r="P1635" s="69"/>
      <c r="Q1635" s="69"/>
      <c r="R1635" s="69"/>
    </row>
    <row r="1636" spans="1:18">
      <c r="A1636" s="14"/>
      <c r="B1636" s="121"/>
      <c r="C1636" s="122"/>
      <c r="D1636" s="123"/>
      <c r="E1636" s="123"/>
      <c r="F1636" s="124"/>
      <c r="G1636" s="121"/>
      <c r="H1636" s="125"/>
      <c r="I1636" s="126"/>
      <c r="J1636" s="121"/>
      <c r="K1636" s="127"/>
      <c r="L1636" s="128"/>
      <c r="M1636" s="129"/>
      <c r="N1636" s="68"/>
      <c r="O1636" s="69"/>
      <c r="P1636" s="69"/>
      <c r="Q1636" s="69"/>
      <c r="R1636" s="69"/>
    </row>
    <row r="1637" spans="1:18">
      <c r="A1637" s="14"/>
      <c r="B1637" s="121"/>
      <c r="C1637" s="122"/>
      <c r="D1637" s="123"/>
      <c r="E1637" s="123"/>
      <c r="F1637" s="124"/>
      <c r="G1637" s="121"/>
      <c r="H1637" s="125"/>
      <c r="I1637" s="126"/>
      <c r="J1637" s="121"/>
      <c r="K1637" s="127"/>
      <c r="L1637" s="128"/>
      <c r="M1637" s="129"/>
      <c r="N1637" s="68"/>
      <c r="O1637" s="69"/>
      <c r="P1637" s="69"/>
      <c r="Q1637" s="69"/>
      <c r="R1637" s="69"/>
    </row>
    <row r="1638" spans="1:18">
      <c r="A1638" s="14"/>
      <c r="B1638" s="121"/>
      <c r="C1638" s="122"/>
      <c r="D1638" s="123"/>
      <c r="E1638" s="123"/>
      <c r="F1638" s="124"/>
      <c r="G1638" s="121"/>
      <c r="H1638" s="125"/>
      <c r="I1638" s="126"/>
      <c r="J1638" s="121"/>
      <c r="K1638" s="127"/>
      <c r="L1638" s="128"/>
      <c r="M1638" s="129"/>
      <c r="N1638" s="68"/>
      <c r="O1638" s="69"/>
      <c r="P1638" s="69"/>
      <c r="Q1638" s="69"/>
      <c r="R1638" s="69"/>
    </row>
    <row r="1639" spans="1:18">
      <c r="A1639" s="14"/>
      <c r="B1639" s="121"/>
      <c r="C1639" s="122"/>
      <c r="D1639" s="123"/>
      <c r="E1639" s="123"/>
      <c r="F1639" s="124"/>
      <c r="G1639" s="121"/>
      <c r="H1639" s="125"/>
      <c r="I1639" s="126"/>
      <c r="J1639" s="121"/>
      <c r="K1639" s="127"/>
      <c r="L1639" s="128"/>
      <c r="M1639" s="129"/>
      <c r="N1639" s="68"/>
      <c r="O1639" s="69"/>
      <c r="P1639" s="69"/>
      <c r="Q1639" s="69"/>
      <c r="R1639" s="69"/>
    </row>
    <row r="1640" spans="1:18">
      <c r="A1640" s="14"/>
      <c r="B1640" s="121"/>
      <c r="C1640" s="122"/>
      <c r="D1640" s="123"/>
      <c r="E1640" s="123"/>
      <c r="F1640" s="124"/>
      <c r="G1640" s="121"/>
      <c r="H1640" s="125"/>
      <c r="I1640" s="126"/>
      <c r="J1640" s="121"/>
      <c r="K1640" s="127"/>
      <c r="L1640" s="128"/>
      <c r="M1640" s="129"/>
      <c r="N1640" s="68"/>
      <c r="O1640" s="69"/>
      <c r="P1640" s="69"/>
      <c r="Q1640" s="69"/>
      <c r="R1640" s="69"/>
    </row>
    <row r="1641" spans="1:18">
      <c r="A1641" s="14"/>
      <c r="B1641" s="121"/>
      <c r="C1641" s="122"/>
      <c r="D1641" s="123"/>
      <c r="E1641" s="123"/>
      <c r="F1641" s="124"/>
      <c r="G1641" s="121"/>
      <c r="H1641" s="125"/>
      <c r="I1641" s="126"/>
      <c r="J1641" s="121"/>
      <c r="K1641" s="127"/>
      <c r="L1641" s="128"/>
      <c r="M1641" s="129"/>
      <c r="N1641" s="68"/>
      <c r="O1641" s="69"/>
      <c r="P1641" s="69"/>
      <c r="Q1641" s="69"/>
      <c r="R1641" s="69"/>
    </row>
    <row r="1642" spans="1:18">
      <c r="A1642" s="14"/>
      <c r="B1642" s="121"/>
      <c r="C1642" s="122"/>
      <c r="D1642" s="123"/>
      <c r="E1642" s="123"/>
      <c r="F1642" s="124"/>
      <c r="G1642" s="121"/>
      <c r="H1642" s="125"/>
      <c r="I1642" s="126"/>
      <c r="J1642" s="121"/>
      <c r="K1642" s="127"/>
      <c r="L1642" s="128"/>
      <c r="M1642" s="129"/>
      <c r="N1642" s="130"/>
      <c r="O1642" s="131"/>
      <c r="P1642" s="131"/>
      <c r="Q1642" s="131"/>
      <c r="R1642" s="131"/>
    </row>
    <row r="1643" spans="1:18">
      <c r="A1643" s="14"/>
      <c r="B1643" s="121"/>
      <c r="C1643" s="122"/>
      <c r="D1643" s="123"/>
      <c r="E1643" s="123"/>
      <c r="F1643" s="124"/>
      <c r="G1643" s="121"/>
      <c r="H1643" s="125"/>
      <c r="I1643" s="126"/>
      <c r="J1643" s="121"/>
      <c r="K1643" s="127"/>
      <c r="L1643" s="128"/>
      <c r="M1643" s="129"/>
      <c r="N1643" s="68"/>
      <c r="O1643" s="69"/>
      <c r="P1643" s="69"/>
      <c r="Q1643" s="69"/>
      <c r="R1643" s="69"/>
    </row>
    <row r="1644" spans="1:18">
      <c r="A1644" s="14"/>
      <c r="B1644" s="121"/>
      <c r="C1644" s="122"/>
      <c r="D1644" s="123"/>
      <c r="E1644" s="123"/>
      <c r="F1644" s="124"/>
      <c r="G1644" s="121"/>
      <c r="H1644" s="125"/>
      <c r="I1644" s="126"/>
      <c r="J1644" s="121"/>
      <c r="K1644" s="127"/>
      <c r="L1644" s="128"/>
      <c r="M1644" s="129"/>
      <c r="N1644" s="68"/>
      <c r="O1644" s="69"/>
      <c r="P1644" s="69"/>
      <c r="Q1644" s="69"/>
      <c r="R1644" s="69"/>
    </row>
    <row r="1645" spans="1:18">
      <c r="A1645" s="14"/>
      <c r="B1645" s="121"/>
      <c r="C1645" s="122"/>
      <c r="D1645" s="123"/>
      <c r="E1645" s="123"/>
      <c r="F1645" s="124"/>
      <c r="G1645" s="121"/>
      <c r="H1645" s="125"/>
      <c r="I1645" s="126"/>
      <c r="J1645" s="121"/>
      <c r="K1645" s="127"/>
      <c r="L1645" s="128"/>
      <c r="M1645" s="129"/>
      <c r="N1645" s="68"/>
      <c r="O1645" s="69"/>
      <c r="P1645" s="69"/>
      <c r="Q1645" s="69"/>
      <c r="R1645" s="69"/>
    </row>
    <row r="1646" spans="1:18">
      <c r="A1646" s="14"/>
      <c r="B1646" s="121"/>
      <c r="C1646" s="122"/>
      <c r="D1646" s="123"/>
      <c r="E1646" s="123"/>
      <c r="F1646" s="124"/>
      <c r="G1646" s="121"/>
      <c r="H1646" s="125"/>
      <c r="I1646" s="126"/>
      <c r="J1646" s="121"/>
      <c r="K1646" s="127"/>
      <c r="L1646" s="128"/>
      <c r="M1646" s="129"/>
      <c r="N1646" s="68"/>
      <c r="O1646" s="69"/>
      <c r="P1646" s="69"/>
      <c r="Q1646" s="69"/>
      <c r="R1646" s="69"/>
    </row>
    <row r="1647" spans="1:18">
      <c r="A1647" s="14"/>
      <c r="B1647" s="121"/>
      <c r="C1647" s="122"/>
      <c r="D1647" s="123"/>
      <c r="E1647" s="123"/>
      <c r="F1647" s="124"/>
      <c r="G1647" s="121"/>
      <c r="H1647" s="125"/>
      <c r="I1647" s="126"/>
      <c r="J1647" s="121"/>
      <c r="K1647" s="127"/>
      <c r="L1647" s="128"/>
      <c r="M1647" s="129"/>
      <c r="N1647" s="68"/>
      <c r="O1647" s="69"/>
      <c r="P1647" s="69"/>
      <c r="Q1647" s="69"/>
      <c r="R1647" s="69"/>
    </row>
    <row r="1648" spans="1:18">
      <c r="A1648" s="14"/>
      <c r="B1648" s="121"/>
      <c r="C1648" s="122"/>
      <c r="D1648" s="123"/>
      <c r="E1648" s="123"/>
      <c r="F1648" s="124"/>
      <c r="G1648" s="121"/>
      <c r="H1648" s="125"/>
      <c r="I1648" s="126"/>
      <c r="J1648" s="121"/>
      <c r="K1648" s="127"/>
      <c r="L1648" s="128"/>
      <c r="M1648" s="129"/>
      <c r="N1648" s="68"/>
      <c r="O1648" s="69"/>
      <c r="P1648" s="69"/>
      <c r="Q1648" s="69"/>
      <c r="R1648" s="69"/>
    </row>
    <row r="1649" spans="1:18">
      <c r="A1649" s="14"/>
      <c r="B1649" s="121"/>
      <c r="C1649" s="122"/>
      <c r="D1649" s="123"/>
      <c r="E1649" s="123"/>
      <c r="F1649" s="124"/>
      <c r="G1649" s="121"/>
      <c r="H1649" s="125"/>
      <c r="I1649" s="126"/>
      <c r="J1649" s="121"/>
      <c r="K1649" s="127"/>
      <c r="L1649" s="128"/>
      <c r="M1649" s="129"/>
      <c r="N1649" s="68"/>
      <c r="O1649" s="69"/>
      <c r="P1649" s="69"/>
      <c r="Q1649" s="69"/>
      <c r="R1649" s="69"/>
    </row>
    <row r="1650" spans="1:18">
      <c r="A1650" s="14"/>
      <c r="B1650" s="121"/>
      <c r="C1650" s="122"/>
      <c r="D1650" s="123"/>
      <c r="E1650" s="123"/>
      <c r="F1650" s="124"/>
      <c r="G1650" s="121"/>
      <c r="H1650" s="125"/>
      <c r="I1650" s="126"/>
      <c r="J1650" s="121"/>
      <c r="K1650" s="127"/>
      <c r="L1650" s="128"/>
      <c r="M1650" s="129"/>
      <c r="N1650" s="68"/>
      <c r="O1650" s="69"/>
      <c r="P1650" s="69"/>
      <c r="Q1650" s="69"/>
      <c r="R1650" s="69"/>
    </row>
    <row r="1651" spans="1:18">
      <c r="A1651" s="14"/>
      <c r="B1651" s="121"/>
      <c r="C1651" s="122"/>
      <c r="D1651" s="123"/>
      <c r="E1651" s="123"/>
      <c r="F1651" s="124"/>
      <c r="G1651" s="121"/>
      <c r="H1651" s="125"/>
      <c r="I1651" s="126"/>
      <c r="J1651" s="121"/>
      <c r="K1651" s="127"/>
      <c r="L1651" s="128"/>
      <c r="M1651" s="129"/>
      <c r="N1651" s="68"/>
      <c r="O1651" s="69"/>
      <c r="P1651" s="69"/>
      <c r="Q1651" s="69"/>
      <c r="R1651" s="69"/>
    </row>
    <row r="1652" spans="1:18">
      <c r="A1652" s="14"/>
      <c r="B1652" s="121"/>
      <c r="C1652" s="122"/>
      <c r="D1652" s="123"/>
      <c r="E1652" s="123"/>
      <c r="F1652" s="124"/>
      <c r="G1652" s="121"/>
      <c r="H1652" s="125"/>
      <c r="I1652" s="126"/>
      <c r="J1652" s="121"/>
      <c r="K1652" s="127"/>
      <c r="L1652" s="128"/>
      <c r="M1652" s="129"/>
      <c r="N1652" s="68"/>
      <c r="O1652" s="69"/>
      <c r="P1652" s="69"/>
      <c r="Q1652" s="69"/>
      <c r="R1652" s="69"/>
    </row>
    <row r="1653" spans="1:18">
      <c r="A1653" s="14"/>
      <c r="B1653" s="121"/>
      <c r="C1653" s="122"/>
      <c r="D1653" s="123"/>
      <c r="E1653" s="123"/>
      <c r="F1653" s="124"/>
      <c r="G1653" s="121"/>
      <c r="H1653" s="125"/>
      <c r="I1653" s="126"/>
      <c r="J1653" s="121"/>
      <c r="K1653" s="127"/>
      <c r="L1653" s="128"/>
      <c r="M1653" s="129"/>
      <c r="N1653" s="68"/>
      <c r="O1653" s="69"/>
      <c r="P1653" s="69"/>
      <c r="Q1653" s="69"/>
      <c r="R1653" s="69"/>
    </row>
    <row r="1654" spans="1:18">
      <c r="A1654" s="14"/>
      <c r="B1654" s="121"/>
      <c r="C1654" s="122"/>
      <c r="D1654" s="123"/>
      <c r="E1654" s="123"/>
      <c r="F1654" s="124"/>
      <c r="G1654" s="121"/>
      <c r="H1654" s="125"/>
      <c r="I1654" s="126"/>
      <c r="J1654" s="121"/>
      <c r="K1654" s="127"/>
      <c r="L1654" s="128"/>
      <c r="M1654" s="129"/>
      <c r="N1654" s="68"/>
      <c r="O1654" s="69"/>
      <c r="P1654" s="69"/>
      <c r="Q1654" s="69"/>
      <c r="R1654" s="69"/>
    </row>
    <row r="1655" spans="1:18">
      <c r="A1655" s="14"/>
      <c r="B1655" s="121"/>
      <c r="C1655" s="122"/>
      <c r="D1655" s="123"/>
      <c r="E1655" s="123"/>
      <c r="F1655" s="124"/>
      <c r="G1655" s="121"/>
      <c r="H1655" s="125"/>
      <c r="I1655" s="126"/>
      <c r="J1655" s="121"/>
      <c r="K1655" s="127"/>
      <c r="L1655" s="128"/>
      <c r="M1655" s="129"/>
      <c r="N1655" s="68"/>
      <c r="O1655" s="69"/>
      <c r="P1655" s="69"/>
      <c r="Q1655" s="69"/>
      <c r="R1655" s="69"/>
    </row>
    <row r="1656" spans="1:18">
      <c r="A1656" s="14"/>
      <c r="B1656" s="121"/>
      <c r="C1656" s="122"/>
      <c r="D1656" s="123"/>
      <c r="E1656" s="123"/>
      <c r="F1656" s="124"/>
      <c r="G1656" s="121"/>
      <c r="H1656" s="125"/>
      <c r="I1656" s="126"/>
      <c r="J1656" s="121"/>
      <c r="K1656" s="127"/>
      <c r="L1656" s="128"/>
      <c r="M1656" s="129"/>
      <c r="N1656" s="68"/>
      <c r="O1656" s="69"/>
      <c r="P1656" s="69"/>
      <c r="Q1656" s="69"/>
      <c r="R1656" s="69"/>
    </row>
    <row r="1657" spans="1:18">
      <c r="A1657" s="14"/>
      <c r="B1657" s="121"/>
      <c r="C1657" s="122"/>
      <c r="D1657" s="123"/>
      <c r="E1657" s="123"/>
      <c r="F1657" s="124"/>
      <c r="G1657" s="121"/>
      <c r="H1657" s="125"/>
      <c r="I1657" s="126"/>
      <c r="J1657" s="121"/>
      <c r="K1657" s="127"/>
      <c r="L1657" s="128"/>
      <c r="M1657" s="129"/>
      <c r="N1657" s="68"/>
      <c r="O1657" s="69"/>
      <c r="P1657" s="69"/>
      <c r="Q1657" s="69"/>
      <c r="R1657" s="69"/>
    </row>
    <row r="1658" spans="1:18">
      <c r="A1658" s="14"/>
      <c r="B1658" s="121"/>
      <c r="C1658" s="122"/>
      <c r="D1658" s="123"/>
      <c r="E1658" s="123"/>
      <c r="F1658" s="124"/>
      <c r="G1658" s="121"/>
      <c r="H1658" s="125"/>
      <c r="I1658" s="126"/>
      <c r="J1658" s="121"/>
      <c r="K1658" s="127"/>
      <c r="L1658" s="128"/>
      <c r="M1658" s="129"/>
      <c r="N1658" s="68"/>
      <c r="O1658" s="69"/>
      <c r="P1658" s="69"/>
      <c r="Q1658" s="69"/>
      <c r="R1658" s="69"/>
    </row>
    <row r="1659" spans="1:18">
      <c r="A1659" s="14"/>
      <c r="B1659" s="121"/>
      <c r="C1659" s="122"/>
      <c r="D1659" s="123"/>
      <c r="E1659" s="123"/>
      <c r="F1659" s="124"/>
      <c r="G1659" s="121"/>
      <c r="H1659" s="125"/>
      <c r="I1659" s="126"/>
      <c r="J1659" s="121"/>
      <c r="K1659" s="127"/>
      <c r="L1659" s="128"/>
      <c r="M1659" s="129"/>
      <c r="N1659" s="68"/>
      <c r="O1659" s="69"/>
      <c r="P1659" s="69"/>
      <c r="Q1659" s="69"/>
      <c r="R1659" s="69"/>
    </row>
    <row r="1660" spans="1:18">
      <c r="A1660" s="14"/>
      <c r="B1660" s="121"/>
      <c r="C1660" s="122"/>
      <c r="D1660" s="123"/>
      <c r="E1660" s="123"/>
      <c r="F1660" s="124"/>
      <c r="G1660" s="121"/>
      <c r="H1660" s="125"/>
      <c r="I1660" s="126"/>
      <c r="J1660" s="121"/>
      <c r="K1660" s="127"/>
      <c r="L1660" s="128"/>
      <c r="M1660" s="129"/>
      <c r="N1660" s="68"/>
      <c r="O1660" s="69"/>
      <c r="P1660" s="69"/>
      <c r="Q1660" s="69"/>
      <c r="R1660" s="69"/>
    </row>
    <row r="1661" spans="1:18">
      <c r="A1661" s="14"/>
      <c r="B1661" s="121"/>
      <c r="C1661" s="122"/>
      <c r="D1661" s="123"/>
      <c r="E1661" s="123"/>
      <c r="F1661" s="124"/>
      <c r="G1661" s="121"/>
      <c r="H1661" s="125"/>
      <c r="I1661" s="126"/>
      <c r="J1661" s="121"/>
      <c r="K1661" s="127"/>
      <c r="L1661" s="128"/>
      <c r="M1661" s="129"/>
      <c r="N1661" s="68"/>
      <c r="O1661" s="69"/>
      <c r="P1661" s="69"/>
      <c r="Q1661" s="69"/>
      <c r="R1661" s="69"/>
    </row>
    <row r="1662" spans="1:18">
      <c r="A1662" s="14"/>
      <c r="B1662" s="121"/>
      <c r="C1662" s="122"/>
      <c r="D1662" s="123"/>
      <c r="E1662" s="123"/>
      <c r="F1662" s="124"/>
      <c r="G1662" s="121"/>
      <c r="H1662" s="125"/>
      <c r="I1662" s="126"/>
      <c r="J1662" s="121"/>
      <c r="K1662" s="127"/>
      <c r="L1662" s="128"/>
      <c r="M1662" s="129"/>
      <c r="N1662" s="68"/>
      <c r="O1662" s="69"/>
      <c r="P1662" s="69"/>
      <c r="Q1662" s="69"/>
      <c r="R1662" s="69"/>
    </row>
    <row r="1663" spans="1:18">
      <c r="A1663" s="14"/>
      <c r="B1663" s="121"/>
      <c r="C1663" s="122"/>
      <c r="D1663" s="123"/>
      <c r="E1663" s="123"/>
      <c r="F1663" s="124"/>
      <c r="G1663" s="121"/>
      <c r="H1663" s="125"/>
      <c r="I1663" s="126"/>
      <c r="J1663" s="121"/>
      <c r="K1663" s="127"/>
      <c r="L1663" s="128"/>
      <c r="M1663" s="129"/>
      <c r="N1663" s="68"/>
      <c r="O1663" s="69"/>
      <c r="P1663" s="69"/>
      <c r="Q1663" s="69"/>
      <c r="R1663" s="69"/>
    </row>
    <row r="1664" spans="1:18">
      <c r="A1664" s="14"/>
      <c r="B1664" s="121"/>
      <c r="C1664" s="122"/>
      <c r="D1664" s="123"/>
      <c r="E1664" s="123"/>
      <c r="F1664" s="124"/>
      <c r="G1664" s="121"/>
      <c r="H1664" s="125"/>
      <c r="I1664" s="126"/>
      <c r="J1664" s="121"/>
      <c r="K1664" s="127"/>
      <c r="L1664" s="128"/>
      <c r="M1664" s="129"/>
      <c r="N1664" s="68"/>
      <c r="O1664" s="69"/>
      <c r="P1664" s="69"/>
      <c r="Q1664" s="69"/>
      <c r="R1664" s="69"/>
    </row>
    <row r="1665" spans="1:18">
      <c r="A1665" s="14"/>
      <c r="B1665" s="121"/>
      <c r="C1665" s="122"/>
      <c r="D1665" s="123"/>
      <c r="E1665" s="123"/>
      <c r="F1665" s="124"/>
      <c r="G1665" s="121"/>
      <c r="H1665" s="125"/>
      <c r="I1665" s="126"/>
      <c r="J1665" s="121"/>
      <c r="K1665" s="127"/>
      <c r="L1665" s="128"/>
      <c r="M1665" s="129"/>
      <c r="N1665" s="68"/>
      <c r="O1665" s="69"/>
      <c r="P1665" s="69"/>
      <c r="Q1665" s="69"/>
      <c r="R1665" s="69"/>
    </row>
    <row r="1666" spans="1:18">
      <c r="A1666" s="14"/>
      <c r="B1666" s="121"/>
      <c r="C1666" s="122"/>
      <c r="D1666" s="123"/>
      <c r="E1666" s="123"/>
      <c r="F1666" s="124"/>
      <c r="G1666" s="121"/>
      <c r="H1666" s="125"/>
      <c r="I1666" s="126"/>
      <c r="J1666" s="121"/>
      <c r="K1666" s="127"/>
      <c r="L1666" s="128"/>
      <c r="M1666" s="129"/>
      <c r="N1666" s="68"/>
      <c r="O1666" s="69"/>
      <c r="P1666" s="69"/>
      <c r="Q1666" s="69"/>
      <c r="R1666" s="69"/>
    </row>
    <row r="1667" spans="1:18">
      <c r="A1667" s="14"/>
      <c r="B1667" s="121"/>
      <c r="C1667" s="122"/>
      <c r="D1667" s="123"/>
      <c r="E1667" s="123"/>
      <c r="F1667" s="124"/>
      <c r="G1667" s="121"/>
      <c r="H1667" s="125"/>
      <c r="I1667" s="126"/>
      <c r="J1667" s="121"/>
      <c r="K1667" s="127"/>
      <c r="L1667" s="128"/>
      <c r="M1667" s="129"/>
      <c r="N1667" s="68"/>
      <c r="O1667" s="69"/>
      <c r="P1667" s="69"/>
      <c r="Q1667" s="69"/>
      <c r="R1667" s="69"/>
    </row>
    <row r="1668" spans="1:18">
      <c r="A1668" s="14"/>
      <c r="B1668" s="121"/>
      <c r="C1668" s="122"/>
      <c r="D1668" s="123"/>
      <c r="E1668" s="123"/>
      <c r="F1668" s="124"/>
      <c r="G1668" s="121"/>
      <c r="H1668" s="125"/>
      <c r="I1668" s="126"/>
      <c r="J1668" s="121"/>
      <c r="K1668" s="127"/>
      <c r="L1668" s="128"/>
      <c r="M1668" s="129"/>
      <c r="N1668" s="68"/>
      <c r="O1668" s="69"/>
      <c r="P1668" s="69"/>
      <c r="Q1668" s="69"/>
      <c r="R1668" s="69"/>
    </row>
    <row r="1669" spans="1:18">
      <c r="A1669" s="14"/>
      <c r="B1669" s="121"/>
      <c r="C1669" s="122"/>
      <c r="D1669" s="123"/>
      <c r="E1669" s="123"/>
      <c r="F1669" s="124"/>
      <c r="G1669" s="121"/>
      <c r="H1669" s="125"/>
      <c r="I1669" s="126"/>
      <c r="J1669" s="121"/>
      <c r="K1669" s="127"/>
      <c r="L1669" s="128"/>
      <c r="M1669" s="129"/>
      <c r="N1669" s="68"/>
      <c r="O1669" s="69"/>
      <c r="P1669" s="69"/>
      <c r="Q1669" s="69"/>
      <c r="R1669" s="69"/>
    </row>
    <row r="1670" spans="1:18">
      <c r="A1670" s="14"/>
      <c r="B1670" s="121"/>
      <c r="C1670" s="122"/>
      <c r="D1670" s="123"/>
      <c r="E1670" s="123"/>
      <c r="F1670" s="124"/>
      <c r="G1670" s="121"/>
      <c r="H1670" s="125"/>
      <c r="I1670" s="126"/>
      <c r="J1670" s="121"/>
      <c r="K1670" s="127"/>
      <c r="L1670" s="128"/>
      <c r="M1670" s="129"/>
      <c r="N1670" s="68"/>
      <c r="O1670" s="69"/>
      <c r="P1670" s="69"/>
      <c r="Q1670" s="69"/>
      <c r="R1670" s="69"/>
    </row>
    <row r="1671" spans="1:18">
      <c r="A1671" s="14"/>
      <c r="B1671" s="121"/>
      <c r="C1671" s="122"/>
      <c r="D1671" s="123"/>
      <c r="E1671" s="123"/>
      <c r="F1671" s="124"/>
      <c r="G1671" s="121"/>
      <c r="H1671" s="125"/>
      <c r="I1671" s="126"/>
      <c r="J1671" s="121"/>
      <c r="K1671" s="127"/>
      <c r="L1671" s="128"/>
      <c r="M1671" s="129"/>
      <c r="N1671" s="68"/>
      <c r="O1671" s="69"/>
      <c r="P1671" s="69"/>
      <c r="Q1671" s="69"/>
      <c r="R1671" s="69"/>
    </row>
    <row r="1672" spans="1:18">
      <c r="A1672" s="14"/>
      <c r="B1672" s="121"/>
      <c r="C1672" s="122"/>
      <c r="D1672" s="123"/>
      <c r="E1672" s="123"/>
      <c r="F1672" s="124"/>
      <c r="G1672" s="121"/>
      <c r="H1672" s="125"/>
      <c r="I1672" s="126"/>
      <c r="J1672" s="121"/>
      <c r="K1672" s="127"/>
      <c r="L1672" s="128"/>
      <c r="M1672" s="129"/>
      <c r="N1672" s="68"/>
      <c r="O1672" s="69"/>
      <c r="P1672" s="69"/>
      <c r="Q1672" s="69"/>
      <c r="R1672" s="69"/>
    </row>
    <row r="1673" spans="1:18">
      <c r="A1673" s="14"/>
      <c r="B1673" s="121"/>
      <c r="C1673" s="122"/>
      <c r="D1673" s="123"/>
      <c r="E1673" s="123"/>
      <c r="F1673" s="124"/>
      <c r="G1673" s="121"/>
      <c r="H1673" s="125"/>
      <c r="I1673" s="126"/>
      <c r="J1673" s="121"/>
      <c r="K1673" s="127"/>
      <c r="L1673" s="128"/>
      <c r="M1673" s="129"/>
      <c r="N1673" s="68"/>
      <c r="O1673" s="69"/>
      <c r="P1673" s="69"/>
      <c r="Q1673" s="69"/>
      <c r="R1673" s="69"/>
    </row>
    <row r="1674" spans="1:18">
      <c r="A1674" s="14"/>
      <c r="B1674" s="121"/>
      <c r="C1674" s="122"/>
      <c r="D1674" s="123"/>
      <c r="E1674" s="123"/>
      <c r="F1674" s="124"/>
      <c r="G1674" s="121"/>
      <c r="H1674" s="125"/>
      <c r="I1674" s="126"/>
      <c r="J1674" s="121"/>
      <c r="K1674" s="127"/>
      <c r="L1674" s="128"/>
      <c r="M1674" s="129"/>
      <c r="N1674" s="68"/>
      <c r="O1674" s="69"/>
      <c r="P1674" s="69"/>
      <c r="Q1674" s="69"/>
      <c r="R1674" s="69"/>
    </row>
    <row r="1675" spans="1:18">
      <c r="A1675" s="14"/>
      <c r="B1675" s="121"/>
      <c r="C1675" s="122"/>
      <c r="D1675" s="123"/>
      <c r="E1675" s="123"/>
      <c r="F1675" s="124"/>
      <c r="G1675" s="121"/>
      <c r="H1675" s="125"/>
      <c r="I1675" s="126"/>
      <c r="J1675" s="121"/>
      <c r="K1675" s="127"/>
      <c r="L1675" s="128"/>
      <c r="M1675" s="129"/>
      <c r="N1675" s="68"/>
      <c r="O1675" s="69"/>
      <c r="P1675" s="69"/>
      <c r="Q1675" s="69"/>
      <c r="R1675" s="69"/>
    </row>
    <row r="1676" spans="1:18">
      <c r="A1676" s="14"/>
      <c r="B1676" s="121"/>
      <c r="C1676" s="122"/>
      <c r="D1676" s="123"/>
      <c r="E1676" s="123"/>
      <c r="F1676" s="124"/>
      <c r="G1676" s="121"/>
      <c r="H1676" s="125"/>
      <c r="I1676" s="126"/>
      <c r="J1676" s="121"/>
      <c r="K1676" s="127"/>
      <c r="L1676" s="128"/>
      <c r="M1676" s="129"/>
      <c r="N1676" s="68"/>
      <c r="O1676" s="69"/>
      <c r="P1676" s="69"/>
      <c r="Q1676" s="69"/>
      <c r="R1676" s="69"/>
    </row>
    <row r="1677" spans="1:18">
      <c r="A1677" s="14"/>
      <c r="B1677" s="121"/>
      <c r="C1677" s="122"/>
      <c r="D1677" s="123"/>
      <c r="E1677" s="123"/>
      <c r="F1677" s="124"/>
      <c r="G1677" s="121"/>
      <c r="H1677" s="125"/>
      <c r="I1677" s="126"/>
      <c r="J1677" s="121"/>
      <c r="K1677" s="127"/>
      <c r="L1677" s="128"/>
      <c r="M1677" s="129"/>
      <c r="N1677" s="68"/>
      <c r="O1677" s="69"/>
      <c r="P1677" s="69"/>
      <c r="Q1677" s="69"/>
      <c r="R1677" s="69"/>
    </row>
    <row r="1678" spans="1:18">
      <c r="A1678" s="14"/>
      <c r="B1678" s="121"/>
      <c r="C1678" s="122"/>
      <c r="D1678" s="123"/>
      <c r="E1678" s="123"/>
      <c r="F1678" s="124"/>
      <c r="G1678" s="121"/>
      <c r="H1678" s="125"/>
      <c r="I1678" s="126"/>
      <c r="J1678" s="121"/>
      <c r="K1678" s="127"/>
      <c r="L1678" s="128"/>
      <c r="M1678" s="129"/>
      <c r="N1678" s="68"/>
      <c r="O1678" s="69"/>
      <c r="P1678" s="69"/>
      <c r="Q1678" s="69"/>
      <c r="R1678" s="69"/>
    </row>
    <row r="1679" spans="1:18">
      <c r="A1679" s="14"/>
      <c r="B1679" s="121"/>
      <c r="C1679" s="122"/>
      <c r="D1679" s="123"/>
      <c r="E1679" s="123"/>
      <c r="F1679" s="124"/>
      <c r="G1679" s="121"/>
      <c r="H1679" s="125"/>
      <c r="I1679" s="126"/>
      <c r="J1679" s="121"/>
      <c r="K1679" s="127"/>
      <c r="L1679" s="128"/>
      <c r="M1679" s="129"/>
      <c r="N1679" s="68"/>
      <c r="O1679" s="69"/>
      <c r="P1679" s="69"/>
      <c r="Q1679" s="69"/>
      <c r="R1679" s="69"/>
    </row>
    <row r="1680" spans="1:18">
      <c r="A1680" s="14"/>
      <c r="B1680" s="121"/>
      <c r="C1680" s="122"/>
      <c r="D1680" s="123"/>
      <c r="E1680" s="123"/>
      <c r="F1680" s="124"/>
      <c r="G1680" s="121"/>
      <c r="H1680" s="125"/>
      <c r="I1680" s="126"/>
      <c r="J1680" s="121"/>
      <c r="K1680" s="127"/>
      <c r="L1680" s="128"/>
      <c r="M1680" s="129"/>
      <c r="N1680" s="68"/>
      <c r="O1680" s="69"/>
      <c r="P1680" s="69"/>
      <c r="Q1680" s="69"/>
      <c r="R1680" s="69"/>
    </row>
    <row r="1681" spans="1:18">
      <c r="A1681" s="14"/>
      <c r="B1681" s="121"/>
      <c r="C1681" s="122"/>
      <c r="D1681" s="123"/>
      <c r="E1681" s="123"/>
      <c r="F1681" s="124"/>
      <c r="G1681" s="121"/>
      <c r="H1681" s="125"/>
      <c r="I1681" s="126"/>
      <c r="J1681" s="121"/>
      <c r="K1681" s="127"/>
      <c r="L1681" s="128"/>
      <c r="M1681" s="129"/>
      <c r="N1681" s="68"/>
      <c r="O1681" s="69"/>
      <c r="P1681" s="69"/>
      <c r="Q1681" s="69"/>
      <c r="R1681" s="69"/>
    </row>
    <row r="1682" spans="1:18">
      <c r="A1682" s="14"/>
      <c r="B1682" s="121"/>
      <c r="C1682" s="122"/>
      <c r="D1682" s="123"/>
      <c r="E1682" s="123"/>
      <c r="F1682" s="124"/>
      <c r="G1682" s="121"/>
      <c r="H1682" s="125"/>
      <c r="I1682" s="126"/>
      <c r="J1682" s="121"/>
      <c r="K1682" s="127"/>
      <c r="L1682" s="128"/>
      <c r="M1682" s="129"/>
      <c r="N1682" s="68"/>
      <c r="O1682" s="69"/>
      <c r="P1682" s="69"/>
      <c r="Q1682" s="69"/>
      <c r="R1682" s="69"/>
    </row>
    <row r="1683" spans="1:18">
      <c r="A1683" s="14"/>
      <c r="B1683" s="121"/>
      <c r="C1683" s="122"/>
      <c r="D1683" s="123"/>
      <c r="E1683" s="123"/>
      <c r="F1683" s="124"/>
      <c r="G1683" s="121"/>
      <c r="H1683" s="125"/>
      <c r="I1683" s="126"/>
      <c r="J1683" s="121"/>
      <c r="K1683" s="127"/>
      <c r="L1683" s="128"/>
      <c r="M1683" s="129"/>
      <c r="N1683" s="68"/>
      <c r="O1683" s="69"/>
      <c r="P1683" s="69"/>
      <c r="Q1683" s="69"/>
      <c r="R1683" s="69"/>
    </row>
    <row r="1684" spans="1:18">
      <c r="A1684" s="14"/>
      <c r="B1684" s="121"/>
      <c r="C1684" s="122"/>
      <c r="D1684" s="123"/>
      <c r="E1684" s="123"/>
      <c r="F1684" s="124"/>
      <c r="G1684" s="121"/>
      <c r="H1684" s="125"/>
      <c r="I1684" s="126"/>
      <c r="J1684" s="121"/>
      <c r="K1684" s="127"/>
      <c r="L1684" s="128"/>
      <c r="M1684" s="129"/>
      <c r="N1684" s="68"/>
      <c r="O1684" s="69"/>
      <c r="P1684" s="69"/>
      <c r="Q1684" s="69"/>
      <c r="R1684" s="69"/>
    </row>
    <row r="1685" spans="1:18">
      <c r="A1685" s="14"/>
      <c r="B1685" s="121"/>
      <c r="C1685" s="122"/>
      <c r="D1685" s="123"/>
      <c r="E1685" s="123"/>
      <c r="F1685" s="124"/>
      <c r="G1685" s="121"/>
      <c r="H1685" s="125"/>
      <c r="I1685" s="126"/>
      <c r="J1685" s="121"/>
      <c r="K1685" s="127"/>
      <c r="L1685" s="128"/>
      <c r="M1685" s="129"/>
      <c r="N1685" s="68"/>
      <c r="O1685" s="69"/>
      <c r="P1685" s="69"/>
      <c r="Q1685" s="69"/>
      <c r="R1685" s="69"/>
    </row>
    <row r="1686" spans="1:18">
      <c r="A1686" s="14"/>
      <c r="B1686" s="121"/>
      <c r="C1686" s="122"/>
      <c r="D1686" s="123"/>
      <c r="E1686" s="123"/>
      <c r="F1686" s="124"/>
      <c r="G1686" s="121"/>
      <c r="H1686" s="125"/>
      <c r="I1686" s="126"/>
      <c r="J1686" s="121"/>
      <c r="K1686" s="127"/>
      <c r="L1686" s="128"/>
      <c r="M1686" s="129"/>
      <c r="N1686" s="68"/>
      <c r="O1686" s="69"/>
      <c r="P1686" s="69"/>
      <c r="Q1686" s="69"/>
      <c r="R1686" s="69"/>
    </row>
    <row r="1687" spans="1:18">
      <c r="A1687" s="14"/>
      <c r="B1687" s="121"/>
      <c r="C1687" s="122"/>
      <c r="D1687" s="123"/>
      <c r="E1687" s="123"/>
      <c r="F1687" s="124"/>
      <c r="G1687" s="121"/>
      <c r="H1687" s="125"/>
      <c r="I1687" s="126"/>
      <c r="J1687" s="121"/>
      <c r="K1687" s="127"/>
      <c r="L1687" s="128"/>
      <c r="M1687" s="129"/>
      <c r="N1687" s="68"/>
      <c r="O1687" s="69"/>
      <c r="P1687" s="69"/>
      <c r="Q1687" s="69"/>
      <c r="R1687" s="69"/>
    </row>
    <row r="1688" spans="1:18">
      <c r="A1688" s="14"/>
      <c r="B1688" s="121"/>
      <c r="C1688" s="122"/>
      <c r="D1688" s="123"/>
      <c r="E1688" s="123"/>
      <c r="F1688" s="124"/>
      <c r="G1688" s="121"/>
      <c r="H1688" s="125"/>
      <c r="I1688" s="126"/>
      <c r="J1688" s="121"/>
      <c r="K1688" s="127"/>
      <c r="L1688" s="128"/>
      <c r="M1688" s="129"/>
      <c r="N1688" s="68"/>
      <c r="O1688" s="69"/>
      <c r="P1688" s="69"/>
      <c r="Q1688" s="69"/>
      <c r="R1688" s="69"/>
    </row>
    <row r="1689" spans="1:18">
      <c r="A1689" s="14"/>
      <c r="B1689" s="121"/>
      <c r="C1689" s="122"/>
      <c r="D1689" s="123"/>
      <c r="E1689" s="123"/>
      <c r="F1689" s="124"/>
      <c r="G1689" s="121"/>
      <c r="H1689" s="125"/>
      <c r="I1689" s="126"/>
      <c r="J1689" s="121"/>
      <c r="K1689" s="127"/>
      <c r="L1689" s="128"/>
      <c r="M1689" s="129"/>
      <c r="N1689" s="68"/>
      <c r="O1689" s="69"/>
      <c r="P1689" s="69"/>
      <c r="Q1689" s="69"/>
      <c r="R1689" s="69"/>
    </row>
    <row r="1690" spans="1:18">
      <c r="A1690" s="14"/>
      <c r="B1690" s="121"/>
      <c r="C1690" s="122"/>
      <c r="D1690" s="123"/>
      <c r="E1690" s="123"/>
      <c r="F1690" s="124"/>
      <c r="G1690" s="121"/>
      <c r="H1690" s="125"/>
      <c r="I1690" s="126"/>
      <c r="J1690" s="121"/>
      <c r="K1690" s="127"/>
      <c r="L1690" s="128"/>
      <c r="M1690" s="129"/>
      <c r="N1690" s="68"/>
      <c r="O1690" s="69"/>
      <c r="P1690" s="69"/>
      <c r="Q1690" s="69"/>
      <c r="R1690" s="69"/>
    </row>
    <row r="1691" spans="1:18">
      <c r="A1691" s="14"/>
      <c r="B1691" s="121"/>
      <c r="C1691" s="122"/>
      <c r="D1691" s="123"/>
      <c r="E1691" s="123"/>
      <c r="F1691" s="124"/>
      <c r="G1691" s="121"/>
      <c r="H1691" s="125"/>
      <c r="I1691" s="126"/>
      <c r="J1691" s="121"/>
      <c r="K1691" s="127"/>
      <c r="L1691" s="128"/>
      <c r="M1691" s="129"/>
      <c r="N1691" s="68"/>
      <c r="O1691" s="69"/>
      <c r="P1691" s="69"/>
      <c r="Q1691" s="69"/>
      <c r="R1691" s="69"/>
    </row>
    <row r="1692" spans="1:18">
      <c r="A1692" s="14"/>
      <c r="B1692" s="121"/>
      <c r="C1692" s="122"/>
      <c r="D1692" s="123"/>
      <c r="E1692" s="123"/>
      <c r="F1692" s="124"/>
      <c r="G1692" s="121"/>
      <c r="H1692" s="125"/>
      <c r="I1692" s="126"/>
      <c r="J1692" s="121"/>
      <c r="K1692" s="127"/>
      <c r="L1692" s="128"/>
      <c r="M1692" s="129"/>
      <c r="N1692" s="68"/>
      <c r="O1692" s="69"/>
      <c r="P1692" s="69"/>
      <c r="Q1692" s="69"/>
      <c r="R1692" s="69"/>
    </row>
    <row r="1693" spans="1:18">
      <c r="A1693" s="14"/>
      <c r="B1693" s="121"/>
      <c r="C1693" s="122"/>
      <c r="D1693" s="123"/>
      <c r="E1693" s="123"/>
      <c r="F1693" s="124"/>
      <c r="G1693" s="121"/>
      <c r="H1693" s="125"/>
      <c r="I1693" s="126"/>
      <c r="J1693" s="121"/>
      <c r="K1693" s="127"/>
      <c r="L1693" s="128"/>
      <c r="M1693" s="129"/>
      <c r="N1693" s="68"/>
      <c r="O1693" s="69"/>
      <c r="P1693" s="69"/>
      <c r="Q1693" s="69"/>
      <c r="R1693" s="69"/>
    </row>
    <row r="1694" spans="1:18">
      <c r="A1694" s="14"/>
      <c r="B1694" s="121"/>
      <c r="C1694" s="122"/>
      <c r="D1694" s="123"/>
      <c r="E1694" s="123"/>
      <c r="F1694" s="124"/>
      <c r="G1694" s="121"/>
      <c r="H1694" s="125"/>
      <c r="I1694" s="126"/>
      <c r="J1694" s="121"/>
      <c r="K1694" s="127"/>
      <c r="L1694" s="128"/>
      <c r="M1694" s="129"/>
      <c r="N1694" s="68"/>
      <c r="O1694" s="69"/>
      <c r="P1694" s="69"/>
      <c r="Q1694" s="69"/>
      <c r="R1694" s="69"/>
    </row>
    <row r="1695" spans="1:18">
      <c r="A1695" s="14"/>
      <c r="B1695" s="121"/>
      <c r="C1695" s="122"/>
      <c r="D1695" s="123"/>
      <c r="E1695" s="123"/>
      <c r="F1695" s="124"/>
      <c r="G1695" s="121"/>
      <c r="H1695" s="125"/>
      <c r="I1695" s="126"/>
      <c r="J1695" s="121"/>
      <c r="K1695" s="127"/>
      <c r="L1695" s="128"/>
      <c r="M1695" s="129"/>
      <c r="N1695" s="68"/>
      <c r="O1695" s="69"/>
      <c r="P1695" s="69"/>
      <c r="Q1695" s="69"/>
      <c r="R1695" s="69"/>
    </row>
    <row r="1696" spans="1:18">
      <c r="A1696" s="14"/>
      <c r="B1696" s="121"/>
      <c r="C1696" s="122"/>
      <c r="D1696" s="123"/>
      <c r="E1696" s="123"/>
      <c r="F1696" s="124"/>
      <c r="G1696" s="121"/>
      <c r="H1696" s="125"/>
      <c r="I1696" s="126"/>
      <c r="J1696" s="121"/>
      <c r="K1696" s="127"/>
      <c r="L1696" s="128"/>
      <c r="M1696" s="129"/>
      <c r="N1696" s="68"/>
      <c r="O1696" s="69"/>
      <c r="P1696" s="69"/>
      <c r="Q1696" s="69"/>
      <c r="R1696" s="69"/>
    </row>
    <row r="1697" spans="1:18">
      <c r="A1697" s="14"/>
      <c r="B1697" s="121"/>
      <c r="C1697" s="122"/>
      <c r="D1697" s="123"/>
      <c r="E1697" s="123"/>
      <c r="F1697" s="124"/>
      <c r="G1697" s="121"/>
      <c r="H1697" s="125"/>
      <c r="I1697" s="126"/>
      <c r="J1697" s="121"/>
      <c r="K1697" s="127"/>
      <c r="L1697" s="128"/>
      <c r="M1697" s="129"/>
      <c r="N1697" s="68"/>
      <c r="O1697" s="69"/>
      <c r="P1697" s="69"/>
      <c r="Q1697" s="69"/>
      <c r="R1697" s="69"/>
    </row>
    <row r="1698" spans="1:18">
      <c r="A1698" s="14"/>
      <c r="B1698" s="121"/>
      <c r="C1698" s="122"/>
      <c r="D1698" s="123"/>
      <c r="E1698" s="123"/>
      <c r="F1698" s="124"/>
      <c r="G1698" s="121"/>
      <c r="H1698" s="125"/>
      <c r="I1698" s="126"/>
      <c r="J1698" s="121"/>
      <c r="K1698" s="127"/>
      <c r="L1698" s="128"/>
      <c r="M1698" s="129"/>
      <c r="N1698" s="68"/>
      <c r="O1698" s="69"/>
      <c r="P1698" s="69"/>
      <c r="Q1698" s="69"/>
      <c r="R1698" s="69"/>
    </row>
    <row r="1699" spans="1:18">
      <c r="A1699" s="14"/>
      <c r="B1699" s="121"/>
      <c r="C1699" s="122"/>
      <c r="D1699" s="123"/>
      <c r="E1699" s="123"/>
      <c r="F1699" s="124"/>
      <c r="G1699" s="121"/>
      <c r="H1699" s="125"/>
      <c r="I1699" s="126"/>
      <c r="J1699" s="121"/>
      <c r="K1699" s="127"/>
      <c r="L1699" s="128"/>
      <c r="M1699" s="129"/>
      <c r="N1699" s="68"/>
      <c r="O1699" s="69"/>
      <c r="P1699" s="69"/>
      <c r="Q1699" s="69"/>
      <c r="R1699" s="69"/>
    </row>
    <row r="1700" spans="1:18">
      <c r="A1700" s="14"/>
      <c r="B1700" s="121"/>
      <c r="C1700" s="122"/>
      <c r="D1700" s="123"/>
      <c r="E1700" s="123"/>
      <c r="F1700" s="124"/>
      <c r="G1700" s="121"/>
      <c r="H1700" s="125"/>
      <c r="I1700" s="126"/>
      <c r="J1700" s="121"/>
      <c r="K1700" s="127"/>
      <c r="L1700" s="128"/>
      <c r="M1700" s="129"/>
      <c r="N1700" s="68"/>
      <c r="O1700" s="69"/>
      <c r="P1700" s="69"/>
      <c r="Q1700" s="69"/>
      <c r="R1700" s="69"/>
    </row>
    <row r="1701" spans="1:18">
      <c r="A1701" s="14"/>
      <c r="B1701" s="121"/>
      <c r="C1701" s="122"/>
      <c r="D1701" s="123"/>
      <c r="E1701" s="123"/>
      <c r="F1701" s="124"/>
      <c r="G1701" s="121"/>
      <c r="H1701" s="125"/>
      <c r="I1701" s="126"/>
      <c r="J1701" s="121"/>
      <c r="K1701" s="127"/>
      <c r="L1701" s="128"/>
      <c r="M1701" s="129"/>
      <c r="N1701" s="68"/>
      <c r="O1701" s="69"/>
      <c r="P1701" s="69"/>
      <c r="Q1701" s="69"/>
      <c r="R1701" s="69"/>
    </row>
    <row r="1702" spans="1:18">
      <c r="A1702" s="14"/>
      <c r="B1702" s="121"/>
      <c r="C1702" s="122"/>
      <c r="D1702" s="123"/>
      <c r="E1702" s="123"/>
      <c r="F1702" s="124"/>
      <c r="G1702" s="121"/>
      <c r="H1702" s="125"/>
      <c r="I1702" s="126"/>
      <c r="J1702" s="121"/>
      <c r="K1702" s="127"/>
      <c r="L1702" s="128"/>
      <c r="M1702" s="129"/>
      <c r="N1702" s="68"/>
      <c r="O1702" s="69"/>
      <c r="P1702" s="69"/>
      <c r="Q1702" s="69"/>
      <c r="R1702" s="69"/>
    </row>
    <row r="1703" spans="1:18">
      <c r="A1703" s="14"/>
      <c r="B1703" s="121"/>
      <c r="C1703" s="122"/>
      <c r="D1703" s="123"/>
      <c r="E1703" s="123"/>
      <c r="F1703" s="124"/>
      <c r="G1703" s="121"/>
      <c r="H1703" s="125"/>
      <c r="I1703" s="126"/>
      <c r="J1703" s="121"/>
      <c r="K1703" s="127"/>
      <c r="L1703" s="128"/>
      <c r="M1703" s="129"/>
      <c r="N1703" s="68"/>
      <c r="O1703" s="69"/>
      <c r="P1703" s="69"/>
      <c r="Q1703" s="69"/>
      <c r="R1703" s="69"/>
    </row>
    <row r="1704" spans="1:18">
      <c r="A1704" s="14"/>
      <c r="B1704" s="121"/>
      <c r="C1704" s="122"/>
      <c r="D1704" s="123"/>
      <c r="E1704" s="123"/>
      <c r="F1704" s="124"/>
      <c r="G1704" s="121"/>
      <c r="H1704" s="125"/>
      <c r="I1704" s="126"/>
      <c r="J1704" s="121"/>
      <c r="K1704" s="127"/>
      <c r="L1704" s="128"/>
      <c r="M1704" s="129"/>
      <c r="N1704" s="68"/>
      <c r="O1704" s="69"/>
      <c r="P1704" s="69"/>
      <c r="Q1704" s="69"/>
      <c r="R1704" s="69"/>
    </row>
    <row r="1705" spans="1:18">
      <c r="A1705" s="14"/>
      <c r="B1705" s="121"/>
      <c r="C1705" s="122"/>
      <c r="D1705" s="123"/>
      <c r="E1705" s="123"/>
      <c r="F1705" s="124"/>
      <c r="G1705" s="121"/>
      <c r="H1705" s="125"/>
      <c r="I1705" s="126"/>
      <c r="J1705" s="121"/>
      <c r="K1705" s="127"/>
      <c r="L1705" s="128"/>
      <c r="M1705" s="129"/>
      <c r="N1705" s="68"/>
      <c r="O1705" s="69"/>
      <c r="P1705" s="69"/>
      <c r="Q1705" s="69"/>
      <c r="R1705" s="69"/>
    </row>
    <row r="1706" spans="1:18">
      <c r="A1706" s="14"/>
      <c r="B1706" s="121"/>
      <c r="C1706" s="122"/>
      <c r="D1706" s="123"/>
      <c r="E1706" s="123"/>
      <c r="F1706" s="124"/>
      <c r="G1706" s="121"/>
      <c r="H1706" s="125"/>
      <c r="I1706" s="126"/>
      <c r="J1706" s="121"/>
      <c r="K1706" s="127"/>
      <c r="L1706" s="128"/>
      <c r="M1706" s="129"/>
      <c r="N1706" s="68"/>
      <c r="O1706" s="69"/>
      <c r="P1706" s="69"/>
      <c r="Q1706" s="69"/>
      <c r="R1706" s="69"/>
    </row>
    <row r="1707" spans="1:18">
      <c r="A1707" s="14"/>
      <c r="B1707" s="121"/>
      <c r="C1707" s="122"/>
      <c r="D1707" s="123"/>
      <c r="E1707" s="123"/>
      <c r="F1707" s="124"/>
      <c r="G1707" s="121"/>
      <c r="H1707" s="125"/>
      <c r="I1707" s="126"/>
      <c r="J1707" s="121"/>
      <c r="K1707" s="127"/>
      <c r="L1707" s="128"/>
      <c r="M1707" s="129"/>
      <c r="N1707" s="68"/>
      <c r="O1707" s="69"/>
      <c r="P1707" s="69"/>
      <c r="Q1707" s="69"/>
      <c r="R1707" s="69"/>
    </row>
    <row r="1708" spans="1:18">
      <c r="A1708" s="14"/>
      <c r="B1708" s="121"/>
      <c r="C1708" s="122"/>
      <c r="D1708" s="123"/>
      <c r="E1708" s="123"/>
      <c r="F1708" s="124"/>
      <c r="G1708" s="121"/>
      <c r="H1708" s="125"/>
      <c r="I1708" s="126"/>
      <c r="J1708" s="121"/>
      <c r="K1708" s="127"/>
      <c r="L1708" s="128"/>
      <c r="M1708" s="129"/>
      <c r="N1708" s="68"/>
      <c r="O1708" s="69"/>
      <c r="P1708" s="69"/>
      <c r="Q1708" s="69"/>
      <c r="R1708" s="69"/>
    </row>
    <row r="1709" spans="1:18">
      <c r="A1709" s="14"/>
      <c r="B1709" s="121"/>
      <c r="C1709" s="122"/>
      <c r="D1709" s="123"/>
      <c r="E1709" s="123"/>
      <c r="F1709" s="124"/>
      <c r="G1709" s="121"/>
      <c r="H1709" s="125"/>
      <c r="I1709" s="126"/>
      <c r="J1709" s="121"/>
      <c r="K1709" s="127"/>
      <c r="L1709" s="128"/>
      <c r="M1709" s="129"/>
      <c r="N1709" s="68"/>
      <c r="O1709" s="69"/>
      <c r="P1709" s="69"/>
      <c r="Q1709" s="69"/>
      <c r="R1709" s="69"/>
    </row>
    <row r="1710" spans="1:18">
      <c r="A1710" s="14"/>
      <c r="B1710" s="121"/>
      <c r="C1710" s="122"/>
      <c r="D1710" s="123"/>
      <c r="E1710" s="123"/>
      <c r="F1710" s="124"/>
      <c r="G1710" s="121"/>
      <c r="H1710" s="125"/>
      <c r="I1710" s="126"/>
      <c r="J1710" s="121"/>
      <c r="K1710" s="127"/>
      <c r="L1710" s="128"/>
      <c r="M1710" s="129"/>
      <c r="N1710" s="130"/>
      <c r="O1710" s="131"/>
      <c r="P1710" s="131"/>
      <c r="Q1710" s="131"/>
      <c r="R1710" s="131"/>
    </row>
    <row r="1711" spans="1:18">
      <c r="A1711" s="14"/>
      <c r="B1711" s="121"/>
      <c r="C1711" s="122"/>
      <c r="D1711" s="123"/>
      <c r="E1711" s="123"/>
      <c r="F1711" s="124"/>
      <c r="G1711" s="121"/>
      <c r="H1711" s="125"/>
      <c r="I1711" s="126"/>
      <c r="J1711" s="121"/>
      <c r="K1711" s="127"/>
      <c r="L1711" s="128"/>
      <c r="M1711" s="129"/>
      <c r="N1711" s="130"/>
      <c r="O1711" s="131"/>
      <c r="P1711" s="131"/>
      <c r="Q1711" s="131"/>
      <c r="R1711" s="131"/>
    </row>
    <row r="1712" spans="1:18">
      <c r="A1712" s="14"/>
      <c r="B1712" s="121"/>
      <c r="C1712" s="122"/>
      <c r="D1712" s="123"/>
      <c r="E1712" s="123"/>
      <c r="F1712" s="124"/>
      <c r="G1712" s="121"/>
      <c r="H1712" s="125"/>
      <c r="I1712" s="126"/>
      <c r="J1712" s="121"/>
      <c r="K1712" s="127"/>
      <c r="L1712" s="128"/>
      <c r="M1712" s="129"/>
      <c r="N1712" s="130"/>
      <c r="O1712" s="131"/>
      <c r="P1712" s="131"/>
      <c r="Q1712" s="131"/>
      <c r="R1712" s="131"/>
    </row>
    <row r="1713" spans="1:18">
      <c r="A1713" s="14"/>
      <c r="B1713" s="121"/>
      <c r="C1713" s="122"/>
      <c r="D1713" s="123"/>
      <c r="E1713" s="123"/>
      <c r="F1713" s="124"/>
      <c r="G1713" s="121"/>
      <c r="H1713" s="125"/>
      <c r="I1713" s="126"/>
      <c r="J1713" s="121"/>
      <c r="K1713" s="127"/>
      <c r="L1713" s="128"/>
      <c r="M1713" s="129"/>
      <c r="N1713" s="68"/>
      <c r="O1713" s="69"/>
      <c r="P1713" s="69"/>
      <c r="Q1713" s="69"/>
      <c r="R1713" s="69"/>
    </row>
    <row r="1714" spans="1:18">
      <c r="A1714" s="14"/>
      <c r="B1714" s="121"/>
      <c r="C1714" s="122"/>
      <c r="D1714" s="123"/>
      <c r="E1714" s="123"/>
      <c r="F1714" s="124"/>
      <c r="G1714" s="121"/>
      <c r="H1714" s="125"/>
      <c r="I1714" s="126"/>
      <c r="J1714" s="121"/>
      <c r="K1714" s="127"/>
      <c r="L1714" s="128"/>
      <c r="M1714" s="129"/>
      <c r="N1714" s="68"/>
      <c r="O1714" s="69"/>
      <c r="P1714" s="69"/>
      <c r="Q1714" s="69"/>
      <c r="R1714" s="69"/>
    </row>
    <row r="1715" spans="1:18">
      <c r="A1715" s="14"/>
      <c r="B1715" s="121"/>
      <c r="C1715" s="122"/>
      <c r="D1715" s="123"/>
      <c r="E1715" s="123"/>
      <c r="F1715" s="124"/>
      <c r="G1715" s="121"/>
      <c r="H1715" s="125"/>
      <c r="I1715" s="126"/>
      <c r="J1715" s="121"/>
      <c r="K1715" s="127"/>
      <c r="L1715" s="128"/>
      <c r="M1715" s="129"/>
      <c r="N1715" s="68"/>
      <c r="O1715" s="69"/>
      <c r="P1715" s="69"/>
      <c r="Q1715" s="69"/>
      <c r="R1715" s="69"/>
    </row>
    <row r="1716" spans="1:18">
      <c r="A1716" s="14"/>
      <c r="B1716" s="121"/>
      <c r="C1716" s="122"/>
      <c r="D1716" s="123"/>
      <c r="E1716" s="123"/>
      <c r="F1716" s="124"/>
      <c r="G1716" s="121"/>
      <c r="H1716" s="125"/>
      <c r="I1716" s="126"/>
      <c r="J1716" s="121"/>
      <c r="K1716" s="127"/>
      <c r="L1716" s="128"/>
      <c r="M1716" s="129"/>
      <c r="N1716" s="68"/>
      <c r="O1716" s="69"/>
      <c r="P1716" s="69"/>
      <c r="Q1716" s="69"/>
      <c r="R1716" s="69"/>
    </row>
    <row r="1717" spans="1:18">
      <c r="A1717" s="14"/>
      <c r="B1717" s="121"/>
      <c r="C1717" s="122"/>
      <c r="D1717" s="123"/>
      <c r="E1717" s="123"/>
      <c r="F1717" s="124"/>
      <c r="G1717" s="121"/>
      <c r="H1717" s="125"/>
      <c r="I1717" s="126"/>
      <c r="J1717" s="121"/>
      <c r="K1717" s="127"/>
      <c r="L1717" s="128"/>
      <c r="M1717" s="129"/>
      <c r="N1717" s="68"/>
      <c r="O1717" s="69"/>
      <c r="P1717" s="69"/>
      <c r="Q1717" s="69"/>
      <c r="R1717" s="69"/>
    </row>
    <row r="1718" spans="1:18">
      <c r="A1718" s="14"/>
      <c r="B1718" s="121"/>
      <c r="C1718" s="122"/>
      <c r="D1718" s="123"/>
      <c r="E1718" s="123"/>
      <c r="F1718" s="124"/>
      <c r="G1718" s="121"/>
      <c r="H1718" s="125"/>
      <c r="I1718" s="126"/>
      <c r="J1718" s="121"/>
      <c r="K1718" s="127"/>
      <c r="L1718" s="128"/>
      <c r="M1718" s="129"/>
      <c r="N1718" s="68"/>
      <c r="O1718" s="69"/>
      <c r="P1718" s="69"/>
      <c r="Q1718" s="69"/>
      <c r="R1718" s="69"/>
    </row>
    <row r="1719" spans="1:18">
      <c r="A1719" s="14"/>
      <c r="B1719" s="121"/>
      <c r="C1719" s="122"/>
      <c r="D1719" s="123"/>
      <c r="E1719" s="123"/>
      <c r="F1719" s="124"/>
      <c r="G1719" s="121"/>
      <c r="H1719" s="125"/>
      <c r="I1719" s="126"/>
      <c r="J1719" s="121"/>
      <c r="K1719" s="127"/>
      <c r="L1719" s="128"/>
      <c r="M1719" s="129"/>
      <c r="N1719" s="68"/>
      <c r="O1719" s="69"/>
      <c r="P1719" s="69"/>
      <c r="Q1719" s="69"/>
      <c r="R1719" s="69"/>
    </row>
    <row r="1720" spans="1:18">
      <c r="A1720" s="14"/>
      <c r="B1720" s="121"/>
      <c r="C1720" s="122"/>
      <c r="D1720" s="123"/>
      <c r="E1720" s="123"/>
      <c r="F1720" s="124"/>
      <c r="G1720" s="121"/>
      <c r="H1720" s="125"/>
      <c r="I1720" s="126"/>
      <c r="J1720" s="121"/>
      <c r="K1720" s="127"/>
      <c r="L1720" s="128"/>
      <c r="M1720" s="129"/>
      <c r="N1720" s="68"/>
      <c r="O1720" s="69"/>
      <c r="P1720" s="69"/>
      <c r="Q1720" s="69"/>
      <c r="R1720" s="69"/>
    </row>
    <row r="1721" spans="1:18">
      <c r="A1721" s="14"/>
      <c r="B1721" s="121"/>
      <c r="C1721" s="122"/>
      <c r="D1721" s="123"/>
      <c r="E1721" s="123"/>
      <c r="F1721" s="124"/>
      <c r="G1721" s="121"/>
      <c r="H1721" s="125"/>
      <c r="I1721" s="126"/>
      <c r="J1721" s="121"/>
      <c r="K1721" s="127"/>
      <c r="L1721" s="128"/>
      <c r="M1721" s="129"/>
      <c r="N1721" s="68"/>
      <c r="O1721" s="69"/>
      <c r="P1721" s="69"/>
      <c r="Q1721" s="69"/>
      <c r="R1721" s="69"/>
    </row>
    <row r="1722" spans="1:18">
      <c r="A1722" s="14"/>
      <c r="B1722" s="121"/>
      <c r="C1722" s="122"/>
      <c r="D1722" s="123"/>
      <c r="E1722" s="123"/>
      <c r="F1722" s="124"/>
      <c r="G1722" s="121"/>
      <c r="H1722" s="125"/>
      <c r="I1722" s="126"/>
      <c r="J1722" s="121"/>
      <c r="K1722" s="127"/>
      <c r="L1722" s="128"/>
      <c r="M1722" s="129"/>
      <c r="N1722" s="68"/>
      <c r="O1722" s="69"/>
      <c r="P1722" s="69"/>
      <c r="Q1722" s="69"/>
      <c r="R1722" s="69"/>
    </row>
    <row r="1723" spans="1:18">
      <c r="A1723" s="14"/>
      <c r="B1723" s="121"/>
      <c r="C1723" s="122"/>
      <c r="D1723" s="123"/>
      <c r="E1723" s="123"/>
      <c r="F1723" s="124"/>
      <c r="G1723" s="121"/>
      <c r="H1723" s="125"/>
      <c r="I1723" s="126"/>
      <c r="J1723" s="121"/>
      <c r="K1723" s="127"/>
      <c r="L1723" s="128"/>
      <c r="M1723" s="129"/>
      <c r="N1723" s="68"/>
      <c r="O1723" s="69"/>
      <c r="P1723" s="69"/>
      <c r="Q1723" s="69"/>
      <c r="R1723" s="69"/>
    </row>
    <row r="1724" spans="1:18">
      <c r="A1724" s="14"/>
      <c r="B1724" s="121"/>
      <c r="C1724" s="122"/>
      <c r="D1724" s="123"/>
      <c r="E1724" s="123"/>
      <c r="F1724" s="124"/>
      <c r="G1724" s="121"/>
      <c r="H1724" s="125"/>
      <c r="I1724" s="126"/>
      <c r="J1724" s="121"/>
      <c r="K1724" s="127"/>
      <c r="L1724" s="128"/>
      <c r="M1724" s="129"/>
      <c r="N1724" s="130"/>
      <c r="O1724" s="131"/>
      <c r="P1724" s="131"/>
      <c r="Q1724" s="131"/>
      <c r="R1724" s="131"/>
    </row>
    <row r="1725" spans="1:18">
      <c r="A1725" s="14"/>
      <c r="B1725" s="121"/>
      <c r="C1725" s="122"/>
      <c r="D1725" s="123"/>
      <c r="E1725" s="123"/>
      <c r="F1725" s="124"/>
      <c r="G1725" s="121"/>
      <c r="H1725" s="125"/>
      <c r="I1725" s="126"/>
      <c r="J1725" s="121"/>
      <c r="K1725" s="127"/>
      <c r="L1725" s="128"/>
      <c r="M1725" s="129"/>
      <c r="N1725" s="68"/>
      <c r="O1725" s="69"/>
      <c r="P1725" s="69"/>
      <c r="Q1725" s="69"/>
      <c r="R1725" s="69"/>
    </row>
    <row r="1726" spans="1:18">
      <c r="A1726" s="14"/>
      <c r="B1726" s="121"/>
      <c r="C1726" s="122"/>
      <c r="D1726" s="123"/>
      <c r="E1726" s="123"/>
      <c r="F1726" s="124"/>
      <c r="G1726" s="121"/>
      <c r="H1726" s="125"/>
      <c r="I1726" s="126"/>
      <c r="J1726" s="121"/>
      <c r="K1726" s="127"/>
      <c r="L1726" s="128"/>
      <c r="M1726" s="129"/>
      <c r="N1726" s="68"/>
      <c r="O1726" s="69"/>
      <c r="P1726" s="69"/>
      <c r="Q1726" s="69"/>
      <c r="R1726" s="69"/>
    </row>
    <row r="1727" spans="1:18">
      <c r="A1727" s="14"/>
      <c r="B1727" s="121"/>
      <c r="C1727" s="122"/>
      <c r="D1727" s="123"/>
      <c r="E1727" s="123"/>
      <c r="F1727" s="124"/>
      <c r="G1727" s="121"/>
      <c r="H1727" s="125"/>
      <c r="I1727" s="126"/>
      <c r="J1727" s="121"/>
      <c r="K1727" s="127"/>
      <c r="L1727" s="128"/>
      <c r="M1727" s="129"/>
      <c r="N1727" s="68"/>
      <c r="O1727" s="69"/>
      <c r="P1727" s="69"/>
      <c r="Q1727" s="69"/>
      <c r="R1727" s="69"/>
    </row>
    <row r="1728" spans="1:18">
      <c r="A1728" s="14"/>
      <c r="B1728" s="121"/>
      <c r="C1728" s="122"/>
      <c r="D1728" s="123"/>
      <c r="E1728" s="123"/>
      <c r="F1728" s="124"/>
      <c r="G1728" s="121"/>
      <c r="H1728" s="125"/>
      <c r="I1728" s="126"/>
      <c r="J1728" s="121"/>
      <c r="K1728" s="127"/>
      <c r="L1728" s="128"/>
      <c r="M1728" s="129"/>
      <c r="N1728" s="68"/>
      <c r="O1728" s="69"/>
      <c r="P1728" s="69"/>
      <c r="Q1728" s="69"/>
      <c r="R1728" s="69"/>
    </row>
    <row r="1729" spans="1:18">
      <c r="A1729" s="14"/>
      <c r="B1729" s="121"/>
      <c r="C1729" s="122"/>
      <c r="D1729" s="123"/>
      <c r="E1729" s="123"/>
      <c r="F1729" s="124"/>
      <c r="G1729" s="121"/>
      <c r="H1729" s="125"/>
      <c r="I1729" s="126"/>
      <c r="J1729" s="121"/>
      <c r="K1729" s="127"/>
      <c r="L1729" s="128"/>
      <c r="M1729" s="129"/>
      <c r="N1729" s="68"/>
      <c r="O1729" s="69"/>
      <c r="P1729" s="69"/>
      <c r="Q1729" s="69"/>
      <c r="R1729" s="69"/>
    </row>
    <row r="1730" spans="1:18">
      <c r="A1730" s="14"/>
      <c r="B1730" s="121"/>
      <c r="C1730" s="122"/>
      <c r="D1730" s="123"/>
      <c r="E1730" s="123"/>
      <c r="F1730" s="124"/>
      <c r="G1730" s="121"/>
      <c r="H1730" s="125"/>
      <c r="I1730" s="126"/>
      <c r="J1730" s="121"/>
      <c r="K1730" s="127"/>
      <c r="L1730" s="128"/>
      <c r="M1730" s="129"/>
      <c r="N1730" s="130"/>
      <c r="O1730" s="131"/>
      <c r="P1730" s="131"/>
      <c r="Q1730" s="131"/>
      <c r="R1730" s="131"/>
    </row>
    <row r="1731" spans="1:18">
      <c r="A1731" s="14"/>
      <c r="B1731" s="121"/>
      <c r="C1731" s="122"/>
      <c r="D1731" s="123"/>
      <c r="E1731" s="123"/>
      <c r="F1731" s="124"/>
      <c r="G1731" s="121"/>
      <c r="H1731" s="125"/>
      <c r="I1731" s="126"/>
      <c r="J1731" s="121"/>
      <c r="K1731" s="127"/>
      <c r="L1731" s="128"/>
      <c r="M1731" s="129"/>
      <c r="N1731" s="68"/>
      <c r="O1731" s="69"/>
      <c r="P1731" s="69"/>
      <c r="Q1731" s="69"/>
      <c r="R1731" s="69"/>
    </row>
    <row r="1732" spans="1:18">
      <c r="A1732" s="14"/>
      <c r="B1732" s="121"/>
      <c r="C1732" s="122"/>
      <c r="D1732" s="123"/>
      <c r="E1732" s="123"/>
      <c r="F1732" s="124"/>
      <c r="G1732" s="121"/>
      <c r="H1732" s="125"/>
      <c r="I1732" s="126"/>
      <c r="J1732" s="121"/>
      <c r="K1732" s="127"/>
      <c r="L1732" s="128"/>
      <c r="M1732" s="129"/>
      <c r="N1732" s="68"/>
      <c r="O1732" s="69"/>
      <c r="P1732" s="69"/>
      <c r="Q1732" s="69"/>
      <c r="R1732" s="69"/>
    </row>
    <row r="1733" spans="1:18">
      <c r="A1733" s="14"/>
      <c r="B1733" s="121"/>
      <c r="C1733" s="122"/>
      <c r="D1733" s="123"/>
      <c r="E1733" s="123"/>
      <c r="F1733" s="124"/>
      <c r="G1733" s="121"/>
      <c r="H1733" s="125"/>
      <c r="I1733" s="126"/>
      <c r="J1733" s="121"/>
      <c r="K1733" s="127"/>
      <c r="L1733" s="128"/>
      <c r="M1733" s="129"/>
      <c r="N1733" s="68"/>
      <c r="O1733" s="69"/>
      <c r="P1733" s="69"/>
      <c r="Q1733" s="69"/>
      <c r="R1733" s="69"/>
    </row>
    <row r="1734" spans="1:18">
      <c r="A1734" s="14"/>
      <c r="B1734" s="121"/>
      <c r="C1734" s="122"/>
      <c r="D1734" s="123"/>
      <c r="E1734" s="123"/>
      <c r="F1734" s="124"/>
      <c r="G1734" s="121"/>
      <c r="H1734" s="125"/>
      <c r="I1734" s="126"/>
      <c r="J1734" s="121"/>
      <c r="K1734" s="127"/>
      <c r="L1734" s="128"/>
      <c r="M1734" s="129"/>
      <c r="N1734" s="68"/>
      <c r="O1734" s="69"/>
      <c r="P1734" s="69"/>
      <c r="Q1734" s="69"/>
      <c r="R1734" s="69"/>
    </row>
    <row r="1735" spans="1:18">
      <c r="A1735" s="14"/>
      <c r="B1735" s="121"/>
      <c r="C1735" s="122"/>
      <c r="D1735" s="123"/>
      <c r="E1735" s="123"/>
      <c r="F1735" s="124"/>
      <c r="G1735" s="121"/>
      <c r="H1735" s="125"/>
      <c r="I1735" s="126"/>
      <c r="J1735" s="121"/>
      <c r="K1735" s="127"/>
      <c r="L1735" s="128"/>
      <c r="M1735" s="129"/>
      <c r="N1735" s="68"/>
      <c r="O1735" s="69"/>
      <c r="P1735" s="69"/>
      <c r="Q1735" s="69"/>
      <c r="R1735" s="69"/>
    </row>
    <row r="1736" spans="1:18">
      <c r="A1736" s="14"/>
      <c r="B1736" s="121"/>
      <c r="C1736" s="122"/>
      <c r="D1736" s="123"/>
      <c r="E1736" s="123"/>
      <c r="F1736" s="124"/>
      <c r="G1736" s="121"/>
      <c r="H1736" s="125"/>
      <c r="I1736" s="126"/>
      <c r="J1736" s="121"/>
      <c r="K1736" s="127"/>
      <c r="L1736" s="128"/>
      <c r="M1736" s="129"/>
      <c r="N1736" s="68"/>
      <c r="O1736" s="69"/>
      <c r="P1736" s="69"/>
      <c r="Q1736" s="69"/>
      <c r="R1736" s="69"/>
    </row>
    <row r="1737" spans="1:18">
      <c r="A1737" s="14"/>
      <c r="B1737" s="121"/>
      <c r="C1737" s="122"/>
      <c r="D1737" s="123"/>
      <c r="E1737" s="123"/>
      <c r="F1737" s="124"/>
      <c r="G1737" s="121"/>
      <c r="H1737" s="125"/>
      <c r="I1737" s="126"/>
      <c r="J1737" s="121"/>
      <c r="K1737" s="127"/>
      <c r="L1737" s="128"/>
      <c r="M1737" s="129"/>
      <c r="N1737" s="68"/>
      <c r="O1737" s="69"/>
      <c r="P1737" s="69"/>
      <c r="Q1737" s="69"/>
      <c r="R1737" s="69"/>
    </row>
    <row r="1738" spans="1:18">
      <c r="A1738" s="14"/>
      <c r="B1738" s="121"/>
      <c r="C1738" s="122"/>
      <c r="D1738" s="123"/>
      <c r="E1738" s="123"/>
      <c r="F1738" s="124"/>
      <c r="G1738" s="121"/>
      <c r="H1738" s="125"/>
      <c r="I1738" s="126"/>
      <c r="J1738" s="121"/>
      <c r="K1738" s="127"/>
      <c r="L1738" s="128"/>
      <c r="M1738" s="129"/>
      <c r="N1738" s="68"/>
      <c r="O1738" s="69"/>
      <c r="P1738" s="69"/>
      <c r="Q1738" s="69"/>
      <c r="R1738" s="69"/>
    </row>
    <row r="1739" spans="1:18">
      <c r="A1739" s="14"/>
      <c r="B1739" s="121"/>
      <c r="C1739" s="122"/>
      <c r="D1739" s="123"/>
      <c r="E1739" s="123"/>
      <c r="F1739" s="124"/>
      <c r="G1739" s="121"/>
      <c r="H1739" s="125"/>
      <c r="I1739" s="126"/>
      <c r="J1739" s="121"/>
      <c r="K1739" s="127"/>
      <c r="L1739" s="128"/>
      <c r="M1739" s="129"/>
      <c r="N1739" s="68"/>
      <c r="O1739" s="69"/>
      <c r="P1739" s="69"/>
      <c r="Q1739" s="69"/>
      <c r="R1739" s="69"/>
    </row>
    <row r="1740" spans="1:18">
      <c r="A1740" s="14"/>
      <c r="B1740" s="121"/>
      <c r="C1740" s="122"/>
      <c r="D1740" s="123"/>
      <c r="E1740" s="123"/>
      <c r="F1740" s="124"/>
      <c r="G1740" s="121"/>
      <c r="H1740" s="125"/>
      <c r="I1740" s="126"/>
      <c r="J1740" s="121"/>
      <c r="K1740" s="127"/>
      <c r="L1740" s="128"/>
      <c r="M1740" s="129"/>
      <c r="N1740" s="68"/>
      <c r="O1740" s="69"/>
      <c r="P1740" s="69"/>
      <c r="Q1740" s="69"/>
      <c r="R1740" s="69"/>
    </row>
    <row r="1741" spans="1:18">
      <c r="A1741" s="14"/>
      <c r="B1741" s="121"/>
      <c r="C1741" s="122"/>
      <c r="D1741" s="123"/>
      <c r="E1741" s="123"/>
      <c r="F1741" s="124"/>
      <c r="G1741" s="121"/>
      <c r="H1741" s="125"/>
      <c r="I1741" s="126"/>
      <c r="J1741" s="121"/>
      <c r="K1741" s="127"/>
      <c r="L1741" s="128"/>
      <c r="M1741" s="129"/>
      <c r="N1741" s="68"/>
      <c r="O1741" s="69"/>
      <c r="P1741" s="69"/>
      <c r="Q1741" s="69"/>
      <c r="R1741" s="69"/>
    </row>
    <row r="1742" spans="1:18">
      <c r="A1742" s="14"/>
      <c r="B1742" s="121"/>
      <c r="C1742" s="122"/>
      <c r="D1742" s="123"/>
      <c r="E1742" s="123"/>
      <c r="F1742" s="124"/>
      <c r="G1742" s="121"/>
      <c r="H1742" s="125"/>
      <c r="I1742" s="126"/>
      <c r="J1742" s="121"/>
      <c r="K1742" s="127"/>
      <c r="L1742" s="128"/>
      <c r="M1742" s="129"/>
      <c r="N1742" s="68"/>
      <c r="O1742" s="69"/>
      <c r="P1742" s="69"/>
      <c r="Q1742" s="69"/>
      <c r="R1742" s="69"/>
    </row>
    <row r="1743" spans="1:18">
      <c r="A1743" s="14"/>
      <c r="B1743" s="121"/>
      <c r="C1743" s="122"/>
      <c r="D1743" s="123"/>
      <c r="E1743" s="123"/>
      <c r="F1743" s="124"/>
      <c r="G1743" s="121"/>
      <c r="H1743" s="125"/>
      <c r="I1743" s="126"/>
      <c r="J1743" s="121"/>
      <c r="K1743" s="127"/>
      <c r="L1743" s="128"/>
      <c r="M1743" s="129"/>
      <c r="N1743" s="68"/>
      <c r="O1743" s="69"/>
      <c r="P1743" s="69"/>
      <c r="Q1743" s="69"/>
      <c r="R1743" s="69"/>
    </row>
    <row r="1744" spans="1:18">
      <c r="A1744" s="14"/>
      <c r="B1744" s="121"/>
      <c r="C1744" s="122"/>
      <c r="D1744" s="123"/>
      <c r="E1744" s="123"/>
      <c r="F1744" s="124"/>
      <c r="G1744" s="121"/>
      <c r="H1744" s="125"/>
      <c r="I1744" s="126"/>
      <c r="J1744" s="121"/>
      <c r="K1744" s="127"/>
      <c r="L1744" s="128"/>
      <c r="M1744" s="129"/>
      <c r="N1744" s="68"/>
      <c r="O1744" s="69"/>
      <c r="P1744" s="69"/>
      <c r="Q1744" s="69"/>
      <c r="R1744" s="69"/>
    </row>
    <row r="1745" spans="1:18">
      <c r="A1745" s="14"/>
      <c r="B1745" s="121"/>
      <c r="C1745" s="122"/>
      <c r="D1745" s="123"/>
      <c r="E1745" s="123"/>
      <c r="F1745" s="124"/>
      <c r="G1745" s="121"/>
      <c r="H1745" s="125"/>
      <c r="I1745" s="126"/>
      <c r="J1745" s="121"/>
      <c r="K1745" s="127"/>
      <c r="L1745" s="128"/>
      <c r="M1745" s="129"/>
      <c r="N1745" s="68"/>
      <c r="O1745" s="69"/>
      <c r="P1745" s="69"/>
      <c r="Q1745" s="69"/>
      <c r="R1745" s="69"/>
    </row>
    <row r="1746" spans="1:18">
      <c r="A1746" s="14"/>
      <c r="B1746" s="121"/>
      <c r="C1746" s="122"/>
      <c r="D1746" s="123"/>
      <c r="E1746" s="123"/>
      <c r="F1746" s="124"/>
      <c r="G1746" s="121"/>
      <c r="H1746" s="125"/>
      <c r="I1746" s="126"/>
      <c r="J1746" s="121"/>
      <c r="K1746" s="127"/>
      <c r="L1746" s="128"/>
      <c r="M1746" s="129"/>
      <c r="N1746" s="130"/>
      <c r="O1746" s="131"/>
      <c r="P1746" s="131"/>
      <c r="Q1746" s="131"/>
      <c r="R1746" s="131"/>
    </row>
    <row r="1747" spans="1:18">
      <c r="A1747" s="14"/>
      <c r="B1747" s="121"/>
      <c r="C1747" s="122"/>
      <c r="D1747" s="123"/>
      <c r="E1747" s="123"/>
      <c r="F1747" s="124"/>
      <c r="G1747" s="121"/>
      <c r="H1747" s="125"/>
      <c r="I1747" s="126"/>
      <c r="J1747" s="121"/>
      <c r="K1747" s="127"/>
      <c r="L1747" s="128"/>
      <c r="M1747" s="129"/>
      <c r="N1747" s="130"/>
      <c r="O1747" s="131"/>
      <c r="P1747" s="131"/>
      <c r="Q1747" s="131"/>
      <c r="R1747" s="131"/>
    </row>
    <row r="1748" spans="1:18">
      <c r="A1748" s="14"/>
      <c r="B1748" s="121"/>
      <c r="C1748" s="122"/>
      <c r="D1748" s="123"/>
      <c r="E1748" s="123"/>
      <c r="F1748" s="124"/>
      <c r="G1748" s="121"/>
      <c r="H1748" s="125"/>
      <c r="I1748" s="126"/>
      <c r="J1748" s="121"/>
      <c r="K1748" s="127"/>
      <c r="L1748" s="128"/>
      <c r="M1748" s="129"/>
      <c r="N1748" s="130"/>
      <c r="O1748" s="131"/>
      <c r="P1748" s="131"/>
      <c r="Q1748" s="131"/>
      <c r="R1748" s="131"/>
    </row>
    <row r="1749" spans="1:18">
      <c r="A1749" s="14"/>
      <c r="B1749" s="121"/>
      <c r="C1749" s="122"/>
      <c r="D1749" s="123"/>
      <c r="E1749" s="123"/>
      <c r="F1749" s="124"/>
      <c r="G1749" s="121"/>
      <c r="H1749" s="125"/>
      <c r="I1749" s="126"/>
      <c r="J1749" s="121"/>
      <c r="K1749" s="127"/>
      <c r="L1749" s="128"/>
      <c r="M1749" s="129"/>
      <c r="N1749" s="130"/>
      <c r="O1749" s="131"/>
      <c r="P1749" s="131"/>
      <c r="Q1749" s="131"/>
      <c r="R1749" s="131"/>
    </row>
    <row r="1750" spans="1:18">
      <c r="A1750" s="14"/>
      <c r="B1750" s="121"/>
      <c r="C1750" s="122"/>
      <c r="D1750" s="123"/>
      <c r="E1750" s="123"/>
      <c r="F1750" s="124"/>
      <c r="G1750" s="121"/>
      <c r="H1750" s="125"/>
      <c r="I1750" s="126"/>
      <c r="J1750" s="121"/>
      <c r="K1750" s="127"/>
      <c r="L1750" s="128"/>
      <c r="M1750" s="129"/>
      <c r="N1750" s="130"/>
      <c r="O1750" s="131"/>
      <c r="P1750" s="131"/>
      <c r="Q1750" s="131"/>
      <c r="R1750" s="131"/>
    </row>
    <row r="1751" spans="1:18">
      <c r="A1751" s="14"/>
      <c r="B1751" s="121"/>
      <c r="C1751" s="122"/>
      <c r="D1751" s="123"/>
      <c r="E1751" s="123"/>
      <c r="F1751" s="124"/>
      <c r="G1751" s="121"/>
      <c r="H1751" s="125"/>
      <c r="I1751" s="126"/>
      <c r="J1751" s="121"/>
      <c r="K1751" s="127"/>
      <c r="L1751" s="128"/>
      <c r="M1751" s="129"/>
      <c r="N1751" s="130"/>
      <c r="O1751" s="131"/>
      <c r="P1751" s="131"/>
      <c r="Q1751" s="131"/>
      <c r="R1751" s="131"/>
    </row>
    <row r="1752" spans="1:18">
      <c r="A1752" s="14"/>
      <c r="B1752" s="121"/>
      <c r="C1752" s="122"/>
      <c r="D1752" s="123"/>
      <c r="E1752" s="123"/>
      <c r="F1752" s="124"/>
      <c r="G1752" s="121"/>
      <c r="H1752" s="125"/>
      <c r="I1752" s="126"/>
      <c r="J1752" s="121"/>
      <c r="K1752" s="127"/>
      <c r="L1752" s="128"/>
      <c r="M1752" s="129"/>
      <c r="N1752" s="130"/>
      <c r="O1752" s="131"/>
      <c r="P1752" s="131"/>
      <c r="Q1752" s="131"/>
      <c r="R1752" s="131"/>
    </row>
    <row r="1753" spans="1:18">
      <c r="A1753" s="14"/>
      <c r="B1753" s="121"/>
      <c r="C1753" s="122"/>
      <c r="D1753" s="123"/>
      <c r="E1753" s="123"/>
      <c r="F1753" s="124"/>
      <c r="G1753" s="121"/>
      <c r="H1753" s="125"/>
      <c r="I1753" s="126"/>
      <c r="J1753" s="121"/>
      <c r="K1753" s="127"/>
      <c r="L1753" s="128"/>
      <c r="M1753" s="129"/>
      <c r="N1753" s="130"/>
      <c r="O1753" s="131"/>
      <c r="P1753" s="131"/>
      <c r="Q1753" s="131"/>
      <c r="R1753" s="131"/>
    </row>
    <row r="1754" spans="1:18">
      <c r="A1754" s="14"/>
      <c r="B1754" s="121"/>
      <c r="C1754" s="122"/>
      <c r="D1754" s="123"/>
      <c r="E1754" s="123"/>
      <c r="F1754" s="124"/>
      <c r="G1754" s="121"/>
      <c r="H1754" s="125"/>
      <c r="I1754" s="126"/>
      <c r="J1754" s="121"/>
      <c r="K1754" s="127"/>
      <c r="L1754" s="128"/>
      <c r="M1754" s="129"/>
      <c r="N1754" s="130"/>
      <c r="O1754" s="131"/>
      <c r="P1754" s="131"/>
      <c r="Q1754" s="131"/>
      <c r="R1754" s="131"/>
    </row>
    <row r="1755" spans="1:18">
      <c r="A1755" s="14"/>
      <c r="B1755" s="121"/>
      <c r="C1755" s="122"/>
      <c r="D1755" s="123"/>
      <c r="E1755" s="123"/>
      <c r="F1755" s="124"/>
      <c r="G1755" s="121"/>
      <c r="H1755" s="125"/>
      <c r="I1755" s="126"/>
      <c r="J1755" s="121"/>
      <c r="K1755" s="127"/>
      <c r="L1755" s="128"/>
      <c r="M1755" s="129"/>
      <c r="N1755" s="130"/>
      <c r="O1755" s="131"/>
      <c r="P1755" s="131"/>
      <c r="Q1755" s="131"/>
      <c r="R1755" s="131"/>
    </row>
    <row r="1756" spans="1:18">
      <c r="A1756" s="14"/>
      <c r="B1756" s="121"/>
      <c r="C1756" s="122"/>
      <c r="D1756" s="123"/>
      <c r="E1756" s="123"/>
      <c r="F1756" s="124"/>
      <c r="G1756" s="121"/>
      <c r="H1756" s="125"/>
      <c r="I1756" s="126"/>
      <c r="J1756" s="121"/>
      <c r="K1756" s="127"/>
      <c r="L1756" s="128"/>
      <c r="M1756" s="129"/>
      <c r="N1756" s="130"/>
      <c r="O1756" s="131"/>
      <c r="P1756" s="131"/>
      <c r="Q1756" s="131"/>
      <c r="R1756" s="131"/>
    </row>
    <row r="1757" spans="1:18">
      <c r="A1757" s="14"/>
      <c r="B1757" s="121"/>
      <c r="C1757" s="122"/>
      <c r="D1757" s="123"/>
      <c r="E1757" s="123"/>
      <c r="F1757" s="124"/>
      <c r="G1757" s="121"/>
      <c r="H1757" s="125"/>
      <c r="I1757" s="126"/>
      <c r="J1757" s="121"/>
      <c r="K1757" s="127"/>
      <c r="L1757" s="128"/>
      <c r="M1757" s="129"/>
      <c r="N1757" s="130"/>
      <c r="O1757" s="131"/>
      <c r="P1757" s="131"/>
      <c r="Q1757" s="131"/>
      <c r="R1757" s="131"/>
    </row>
    <row r="1758" spans="1:18">
      <c r="A1758" s="14"/>
      <c r="B1758" s="121"/>
      <c r="C1758" s="122"/>
      <c r="D1758" s="123"/>
      <c r="E1758" s="123"/>
      <c r="F1758" s="124"/>
      <c r="G1758" s="121"/>
      <c r="H1758" s="125"/>
      <c r="I1758" s="126"/>
      <c r="J1758" s="121"/>
      <c r="K1758" s="127"/>
      <c r="L1758" s="128"/>
      <c r="M1758" s="129"/>
      <c r="N1758" s="130"/>
      <c r="O1758" s="131"/>
      <c r="P1758" s="131"/>
      <c r="Q1758" s="131"/>
      <c r="R1758" s="131"/>
    </row>
    <row r="1759" spans="1:18">
      <c r="A1759" s="14"/>
      <c r="B1759" s="121"/>
      <c r="C1759" s="122"/>
      <c r="D1759" s="123"/>
      <c r="E1759" s="123"/>
      <c r="F1759" s="124"/>
      <c r="G1759" s="121"/>
      <c r="H1759" s="125"/>
      <c r="I1759" s="126"/>
      <c r="J1759" s="121"/>
      <c r="K1759" s="127"/>
      <c r="L1759" s="128"/>
      <c r="M1759" s="129"/>
      <c r="N1759" s="130"/>
      <c r="O1759" s="131"/>
      <c r="P1759" s="131"/>
      <c r="Q1759" s="131"/>
      <c r="R1759" s="131"/>
    </row>
    <row r="1760" spans="1:18">
      <c r="A1760" s="14"/>
      <c r="B1760" s="121"/>
      <c r="C1760" s="122"/>
      <c r="D1760" s="123"/>
      <c r="E1760" s="123"/>
      <c r="F1760" s="124"/>
      <c r="G1760" s="121"/>
      <c r="H1760" s="125"/>
      <c r="I1760" s="126"/>
      <c r="J1760" s="121"/>
      <c r="K1760" s="127"/>
      <c r="L1760" s="128"/>
      <c r="M1760" s="129"/>
      <c r="N1760" s="130"/>
      <c r="O1760" s="131"/>
      <c r="P1760" s="131"/>
      <c r="Q1760" s="131"/>
      <c r="R1760" s="131"/>
    </row>
    <row r="1761" spans="1:18">
      <c r="A1761" s="14"/>
      <c r="B1761" s="121"/>
      <c r="C1761" s="122"/>
      <c r="D1761" s="123"/>
      <c r="E1761" s="123"/>
      <c r="F1761" s="124"/>
      <c r="G1761" s="121"/>
      <c r="H1761" s="125"/>
      <c r="I1761" s="126"/>
      <c r="J1761" s="121"/>
      <c r="K1761" s="127"/>
      <c r="L1761" s="128"/>
      <c r="M1761" s="129"/>
      <c r="N1761" s="130"/>
      <c r="O1761" s="131"/>
      <c r="P1761" s="131"/>
      <c r="Q1761" s="131"/>
      <c r="R1761" s="131"/>
    </row>
    <row r="1762" spans="1:18">
      <c r="A1762" s="14"/>
      <c r="B1762" s="121"/>
      <c r="C1762" s="122"/>
      <c r="D1762" s="123"/>
      <c r="E1762" s="123"/>
      <c r="F1762" s="124"/>
      <c r="G1762" s="121"/>
      <c r="H1762" s="125"/>
      <c r="I1762" s="126"/>
      <c r="J1762" s="121"/>
      <c r="K1762" s="127"/>
      <c r="L1762" s="128"/>
      <c r="M1762" s="129"/>
      <c r="N1762" s="130"/>
      <c r="O1762" s="131"/>
      <c r="P1762" s="131"/>
      <c r="Q1762" s="131"/>
      <c r="R1762" s="131"/>
    </row>
    <row r="1763" spans="1:18">
      <c r="A1763" s="14"/>
      <c r="B1763" s="121"/>
      <c r="C1763" s="122"/>
      <c r="D1763" s="123"/>
      <c r="E1763" s="123"/>
      <c r="F1763" s="124"/>
      <c r="G1763" s="121"/>
      <c r="H1763" s="125"/>
      <c r="I1763" s="126"/>
      <c r="J1763" s="121"/>
      <c r="K1763" s="127"/>
      <c r="L1763" s="128"/>
      <c r="M1763" s="129"/>
      <c r="N1763" s="130"/>
      <c r="O1763" s="131"/>
      <c r="P1763" s="131"/>
      <c r="Q1763" s="131"/>
      <c r="R1763" s="131"/>
    </row>
    <row r="1764" spans="1:18">
      <c r="A1764" s="14"/>
      <c r="B1764" s="121"/>
      <c r="C1764" s="122"/>
      <c r="D1764" s="123"/>
      <c r="E1764" s="123"/>
      <c r="F1764" s="124"/>
      <c r="G1764" s="121"/>
      <c r="H1764" s="125"/>
      <c r="I1764" s="126"/>
      <c r="J1764" s="121"/>
      <c r="K1764" s="127"/>
      <c r="L1764" s="128"/>
      <c r="M1764" s="129"/>
      <c r="N1764" s="130"/>
      <c r="O1764" s="131"/>
      <c r="P1764" s="131"/>
      <c r="Q1764" s="131"/>
      <c r="R1764" s="131"/>
    </row>
    <row r="1765" spans="1:18">
      <c r="A1765" s="14"/>
      <c r="B1765" s="121"/>
      <c r="C1765" s="122"/>
      <c r="D1765" s="123"/>
      <c r="E1765" s="123"/>
      <c r="F1765" s="124"/>
      <c r="G1765" s="121"/>
      <c r="H1765" s="125"/>
      <c r="I1765" s="126"/>
      <c r="J1765" s="121"/>
      <c r="K1765" s="127"/>
      <c r="L1765" s="128"/>
      <c r="M1765" s="129"/>
      <c r="N1765" s="130"/>
      <c r="O1765" s="131"/>
      <c r="P1765" s="131"/>
      <c r="Q1765" s="131"/>
      <c r="R1765" s="131"/>
    </row>
    <row r="1766" spans="1:18">
      <c r="A1766" s="14"/>
      <c r="B1766" s="121"/>
      <c r="C1766" s="122"/>
      <c r="D1766" s="123"/>
      <c r="E1766" s="123"/>
      <c r="F1766" s="124"/>
      <c r="G1766" s="121"/>
      <c r="H1766" s="125"/>
      <c r="I1766" s="126"/>
      <c r="J1766" s="121"/>
      <c r="K1766" s="127"/>
      <c r="L1766" s="128"/>
      <c r="M1766" s="129"/>
      <c r="N1766" s="130"/>
      <c r="O1766" s="131"/>
      <c r="P1766" s="131"/>
      <c r="Q1766" s="131"/>
      <c r="R1766" s="131"/>
    </row>
    <row r="1767" spans="1:18">
      <c r="A1767" s="14"/>
      <c r="B1767" s="121"/>
      <c r="C1767" s="122"/>
      <c r="D1767" s="123"/>
      <c r="E1767" s="123"/>
      <c r="F1767" s="124"/>
      <c r="G1767" s="121"/>
      <c r="H1767" s="125"/>
      <c r="I1767" s="126"/>
      <c r="J1767" s="121"/>
      <c r="K1767" s="127"/>
      <c r="L1767" s="128"/>
      <c r="M1767" s="129"/>
      <c r="N1767" s="130"/>
      <c r="O1767" s="131"/>
      <c r="P1767" s="131"/>
      <c r="Q1767" s="131"/>
      <c r="R1767" s="131"/>
    </row>
    <row r="1768" spans="1:18">
      <c r="A1768" s="14"/>
      <c r="B1768" s="121"/>
      <c r="C1768" s="122"/>
      <c r="D1768" s="123"/>
      <c r="E1768" s="123"/>
      <c r="F1768" s="124"/>
      <c r="G1768" s="121"/>
      <c r="H1768" s="125"/>
      <c r="I1768" s="126"/>
      <c r="J1768" s="121"/>
      <c r="K1768" s="127"/>
      <c r="L1768" s="128"/>
      <c r="M1768" s="129"/>
      <c r="N1768" s="130"/>
      <c r="O1768" s="131"/>
      <c r="P1768" s="131"/>
      <c r="Q1768" s="131"/>
      <c r="R1768" s="131"/>
    </row>
    <row r="1769" spans="1:18">
      <c r="A1769" s="14"/>
      <c r="B1769" s="121"/>
      <c r="C1769" s="122"/>
      <c r="D1769" s="123"/>
      <c r="E1769" s="123"/>
      <c r="F1769" s="124"/>
      <c r="G1769" s="121"/>
      <c r="H1769" s="125"/>
      <c r="I1769" s="126"/>
      <c r="J1769" s="121"/>
      <c r="K1769" s="127"/>
      <c r="L1769" s="128"/>
      <c r="M1769" s="129"/>
      <c r="N1769" s="130"/>
      <c r="O1769" s="131"/>
      <c r="P1769" s="131"/>
      <c r="Q1769" s="131"/>
      <c r="R1769" s="131"/>
    </row>
    <row r="1770" spans="1:18">
      <c r="A1770" s="14"/>
      <c r="B1770" s="121"/>
      <c r="C1770" s="122"/>
      <c r="D1770" s="123"/>
      <c r="E1770" s="123"/>
      <c r="F1770" s="124"/>
      <c r="G1770" s="121"/>
      <c r="H1770" s="125"/>
      <c r="I1770" s="126"/>
      <c r="J1770" s="121"/>
      <c r="K1770" s="127"/>
      <c r="L1770" s="128"/>
      <c r="M1770" s="129"/>
      <c r="N1770" s="130"/>
      <c r="O1770" s="131"/>
      <c r="P1770" s="131"/>
      <c r="Q1770" s="131"/>
      <c r="R1770" s="131"/>
    </row>
    <row r="1771" spans="1:18">
      <c r="A1771" s="14"/>
      <c r="B1771" s="121"/>
      <c r="C1771" s="122"/>
      <c r="D1771" s="123"/>
      <c r="E1771" s="123"/>
      <c r="F1771" s="124"/>
      <c r="G1771" s="121"/>
      <c r="H1771" s="125"/>
      <c r="I1771" s="126"/>
      <c r="J1771" s="121"/>
      <c r="K1771" s="127"/>
      <c r="L1771" s="128"/>
      <c r="M1771" s="129"/>
      <c r="N1771" s="130"/>
      <c r="O1771" s="131"/>
      <c r="P1771" s="131"/>
      <c r="Q1771" s="131"/>
      <c r="R1771" s="131"/>
    </row>
    <row r="1772" spans="1:18">
      <c r="A1772" s="14"/>
      <c r="B1772" s="121"/>
      <c r="C1772" s="122"/>
      <c r="D1772" s="123"/>
      <c r="E1772" s="123"/>
      <c r="F1772" s="124"/>
      <c r="G1772" s="121"/>
      <c r="H1772" s="125"/>
      <c r="I1772" s="126"/>
      <c r="J1772" s="121"/>
      <c r="K1772" s="127"/>
      <c r="L1772" s="128"/>
      <c r="M1772" s="129"/>
      <c r="N1772" s="130"/>
      <c r="O1772" s="131"/>
      <c r="P1772" s="131"/>
      <c r="Q1772" s="131"/>
      <c r="R1772" s="131"/>
    </row>
    <row r="1773" spans="1:18">
      <c r="A1773" s="14"/>
      <c r="B1773" s="121"/>
      <c r="C1773" s="122"/>
      <c r="D1773" s="123"/>
      <c r="E1773" s="123"/>
      <c r="F1773" s="124"/>
      <c r="G1773" s="121"/>
      <c r="H1773" s="125"/>
      <c r="I1773" s="126"/>
      <c r="J1773" s="121"/>
      <c r="K1773" s="127"/>
      <c r="L1773" s="128"/>
      <c r="M1773" s="129"/>
      <c r="N1773" s="130"/>
      <c r="O1773" s="131"/>
      <c r="P1773" s="131"/>
      <c r="Q1773" s="131"/>
      <c r="R1773" s="131"/>
    </row>
    <row r="1774" spans="1:18">
      <c r="A1774" s="14"/>
      <c r="B1774" s="121"/>
      <c r="C1774" s="122"/>
      <c r="D1774" s="123"/>
      <c r="E1774" s="123"/>
      <c r="F1774" s="124"/>
      <c r="G1774" s="121"/>
      <c r="H1774" s="125"/>
      <c r="I1774" s="126"/>
      <c r="J1774" s="121"/>
      <c r="K1774" s="127"/>
      <c r="L1774" s="128"/>
      <c r="M1774" s="129"/>
      <c r="N1774" s="132"/>
      <c r="O1774" s="131"/>
      <c r="P1774" s="131"/>
      <c r="Q1774" s="131"/>
      <c r="R1774" s="131"/>
    </row>
    <row r="1775" spans="1:18">
      <c r="A1775" s="14"/>
      <c r="B1775" s="121"/>
      <c r="C1775" s="122"/>
      <c r="D1775" s="123"/>
      <c r="E1775" s="123"/>
      <c r="F1775" s="124"/>
      <c r="G1775" s="121"/>
      <c r="H1775" s="125"/>
      <c r="I1775" s="126"/>
      <c r="J1775" s="121"/>
      <c r="K1775" s="127"/>
      <c r="L1775" s="128"/>
      <c r="M1775" s="129"/>
      <c r="N1775" s="132"/>
      <c r="O1775" s="131"/>
      <c r="P1775" s="131"/>
      <c r="Q1775" s="131"/>
      <c r="R1775" s="131"/>
    </row>
    <row r="1776" spans="1:18">
      <c r="A1776" s="14"/>
      <c r="B1776" s="121"/>
      <c r="C1776" s="122"/>
      <c r="D1776" s="123"/>
      <c r="E1776" s="123"/>
      <c r="F1776" s="124"/>
      <c r="G1776" s="121"/>
      <c r="H1776" s="125"/>
      <c r="I1776" s="126"/>
      <c r="J1776" s="121"/>
      <c r="K1776" s="127"/>
      <c r="L1776" s="128"/>
      <c r="M1776" s="129"/>
      <c r="N1776" s="130"/>
      <c r="O1776" s="131"/>
      <c r="P1776" s="131"/>
      <c r="Q1776" s="131"/>
      <c r="R1776" s="131"/>
    </row>
    <row r="1777" spans="1:18">
      <c r="A1777" s="14"/>
      <c r="B1777" s="121"/>
      <c r="C1777" s="122"/>
      <c r="D1777" s="123"/>
      <c r="E1777" s="123"/>
      <c r="F1777" s="124"/>
      <c r="G1777" s="121"/>
      <c r="H1777" s="125"/>
      <c r="I1777" s="126"/>
      <c r="J1777" s="121"/>
      <c r="K1777" s="127"/>
      <c r="L1777" s="128"/>
      <c r="M1777" s="129"/>
      <c r="N1777" s="130"/>
      <c r="O1777" s="131"/>
      <c r="P1777" s="131"/>
      <c r="Q1777" s="131"/>
      <c r="R1777" s="131"/>
    </row>
    <row r="1778" spans="1:18">
      <c r="A1778" s="14"/>
      <c r="B1778" s="121"/>
      <c r="C1778" s="122"/>
      <c r="D1778" s="123"/>
      <c r="E1778" s="123"/>
      <c r="F1778" s="124"/>
      <c r="G1778" s="121"/>
      <c r="H1778" s="125"/>
      <c r="I1778" s="126"/>
      <c r="J1778" s="121"/>
      <c r="K1778" s="127"/>
      <c r="L1778" s="128"/>
      <c r="M1778" s="129"/>
      <c r="N1778" s="130"/>
      <c r="O1778" s="131"/>
      <c r="P1778" s="131"/>
      <c r="Q1778" s="131"/>
      <c r="R1778" s="131"/>
    </row>
    <row r="1779" spans="1:18">
      <c r="A1779" s="14"/>
      <c r="B1779" s="121"/>
      <c r="C1779" s="122"/>
      <c r="D1779" s="123"/>
      <c r="E1779" s="123"/>
      <c r="F1779" s="124"/>
      <c r="G1779" s="121"/>
      <c r="H1779" s="125"/>
      <c r="I1779" s="126"/>
      <c r="J1779" s="121"/>
      <c r="K1779" s="127"/>
      <c r="L1779" s="128"/>
      <c r="M1779" s="129"/>
      <c r="N1779" s="130"/>
      <c r="O1779" s="131"/>
      <c r="P1779" s="131"/>
      <c r="Q1779" s="131"/>
      <c r="R1779" s="131"/>
    </row>
    <row r="1780" spans="1:18">
      <c r="A1780" s="14"/>
      <c r="B1780" s="121"/>
      <c r="C1780" s="122"/>
      <c r="D1780" s="123"/>
      <c r="E1780" s="123"/>
      <c r="F1780" s="124"/>
      <c r="G1780" s="121"/>
      <c r="H1780" s="125"/>
      <c r="I1780" s="126"/>
      <c r="J1780" s="121"/>
      <c r="K1780" s="127"/>
      <c r="L1780" s="128"/>
      <c r="M1780" s="129"/>
      <c r="N1780" s="130"/>
      <c r="O1780" s="131"/>
      <c r="P1780" s="131"/>
      <c r="Q1780" s="131"/>
      <c r="R1780" s="131"/>
    </row>
    <row r="1781" spans="1:18">
      <c r="A1781" s="14"/>
      <c r="B1781" s="121"/>
      <c r="C1781" s="122"/>
      <c r="D1781" s="123"/>
      <c r="E1781" s="123"/>
      <c r="F1781" s="124"/>
      <c r="G1781" s="121"/>
      <c r="H1781" s="125"/>
      <c r="I1781" s="126"/>
      <c r="J1781" s="121"/>
      <c r="K1781" s="127"/>
      <c r="L1781" s="128"/>
      <c r="M1781" s="129"/>
      <c r="N1781" s="130"/>
      <c r="O1781" s="131"/>
      <c r="P1781" s="131"/>
      <c r="Q1781" s="131"/>
      <c r="R1781" s="131"/>
    </row>
    <row r="1782" spans="1:18">
      <c r="A1782" s="14"/>
      <c r="B1782" s="121"/>
      <c r="C1782" s="122"/>
      <c r="D1782" s="123"/>
      <c r="E1782" s="123"/>
      <c r="F1782" s="124"/>
      <c r="G1782" s="121"/>
      <c r="H1782" s="125"/>
      <c r="I1782" s="126"/>
      <c r="J1782" s="121"/>
      <c r="K1782" s="127"/>
      <c r="L1782" s="128"/>
      <c r="M1782" s="129"/>
      <c r="N1782" s="130"/>
      <c r="O1782" s="131"/>
      <c r="P1782" s="131"/>
      <c r="Q1782" s="131"/>
      <c r="R1782" s="131"/>
    </row>
    <row r="1783" spans="1:18">
      <c r="A1783" s="14"/>
      <c r="B1783" s="121"/>
      <c r="C1783" s="122"/>
      <c r="D1783" s="123"/>
      <c r="E1783" s="123"/>
      <c r="F1783" s="124"/>
      <c r="G1783" s="121"/>
      <c r="H1783" s="125"/>
      <c r="I1783" s="126"/>
      <c r="J1783" s="121"/>
      <c r="K1783" s="127"/>
      <c r="L1783" s="128"/>
      <c r="M1783" s="129"/>
      <c r="N1783" s="130"/>
      <c r="O1783" s="131"/>
      <c r="P1783" s="131"/>
      <c r="Q1783" s="131"/>
      <c r="R1783" s="131"/>
    </row>
    <row r="1784" spans="1:18">
      <c r="A1784" s="14"/>
      <c r="B1784" s="121"/>
      <c r="C1784" s="122"/>
      <c r="D1784" s="123"/>
      <c r="E1784" s="123"/>
      <c r="F1784" s="124"/>
      <c r="G1784" s="121"/>
      <c r="H1784" s="125"/>
      <c r="I1784" s="126"/>
      <c r="J1784" s="121"/>
      <c r="K1784" s="127"/>
      <c r="L1784" s="128"/>
      <c r="M1784" s="129"/>
      <c r="N1784" s="130"/>
      <c r="O1784" s="131"/>
      <c r="P1784" s="131"/>
      <c r="Q1784" s="131"/>
      <c r="R1784" s="131"/>
    </row>
    <row r="1785" spans="1:18">
      <c r="A1785" s="14"/>
      <c r="B1785" s="121"/>
      <c r="C1785" s="122"/>
      <c r="D1785" s="123"/>
      <c r="E1785" s="123"/>
      <c r="F1785" s="124"/>
      <c r="G1785" s="121"/>
      <c r="H1785" s="125"/>
      <c r="I1785" s="126"/>
      <c r="J1785" s="121"/>
      <c r="K1785" s="127"/>
      <c r="L1785" s="128"/>
      <c r="M1785" s="129"/>
      <c r="N1785" s="130"/>
      <c r="O1785" s="131"/>
      <c r="P1785" s="131"/>
      <c r="Q1785" s="131"/>
      <c r="R1785" s="131"/>
    </row>
    <row r="1786" spans="1:18">
      <c r="A1786" s="14"/>
      <c r="B1786" s="121"/>
      <c r="C1786" s="122"/>
      <c r="D1786" s="123"/>
      <c r="E1786" s="123"/>
      <c r="F1786" s="124"/>
      <c r="G1786" s="121"/>
      <c r="H1786" s="125"/>
      <c r="I1786" s="126"/>
      <c r="J1786" s="121"/>
      <c r="K1786" s="127"/>
      <c r="L1786" s="128"/>
      <c r="M1786" s="129"/>
      <c r="N1786" s="130"/>
      <c r="O1786" s="131"/>
      <c r="P1786" s="131"/>
      <c r="Q1786" s="131"/>
      <c r="R1786" s="131"/>
    </row>
    <row r="1787" spans="1:18">
      <c r="A1787" s="14"/>
      <c r="B1787" s="121"/>
      <c r="C1787" s="122"/>
      <c r="D1787" s="123"/>
      <c r="E1787" s="123"/>
      <c r="F1787" s="124"/>
      <c r="G1787" s="121"/>
      <c r="H1787" s="125"/>
      <c r="I1787" s="126"/>
      <c r="J1787" s="121"/>
      <c r="K1787" s="127"/>
      <c r="L1787" s="128"/>
      <c r="M1787" s="129"/>
      <c r="N1787" s="130"/>
      <c r="O1787" s="131"/>
      <c r="P1787" s="131"/>
      <c r="Q1787" s="131"/>
      <c r="R1787" s="131"/>
    </row>
    <row r="1788" spans="1:18">
      <c r="A1788" s="14"/>
      <c r="B1788" s="121"/>
      <c r="C1788" s="122"/>
      <c r="D1788" s="123"/>
      <c r="E1788" s="123"/>
      <c r="F1788" s="124"/>
      <c r="G1788" s="121"/>
      <c r="H1788" s="125"/>
      <c r="I1788" s="126"/>
      <c r="J1788" s="121"/>
      <c r="K1788" s="127"/>
      <c r="L1788" s="128"/>
      <c r="M1788" s="129"/>
      <c r="N1788" s="130"/>
      <c r="O1788" s="131"/>
      <c r="P1788" s="131"/>
      <c r="Q1788" s="131"/>
      <c r="R1788" s="131"/>
    </row>
    <row r="1789" spans="1:18">
      <c r="A1789" s="14"/>
      <c r="B1789" s="121"/>
      <c r="C1789" s="122"/>
      <c r="D1789" s="123"/>
      <c r="E1789" s="123"/>
      <c r="F1789" s="124"/>
      <c r="G1789" s="121"/>
      <c r="H1789" s="125"/>
      <c r="I1789" s="126"/>
      <c r="J1789" s="121"/>
      <c r="K1789" s="127"/>
      <c r="L1789" s="128"/>
      <c r="M1789" s="129"/>
      <c r="N1789" s="130"/>
      <c r="O1789" s="131"/>
      <c r="P1789" s="131"/>
      <c r="Q1789" s="131"/>
      <c r="R1789" s="131"/>
    </row>
    <row r="1790" spans="1:18">
      <c r="A1790" s="14"/>
      <c r="B1790" s="121"/>
      <c r="C1790" s="122"/>
      <c r="D1790" s="123"/>
      <c r="E1790" s="123"/>
      <c r="F1790" s="124"/>
      <c r="G1790" s="121"/>
      <c r="H1790" s="125"/>
      <c r="I1790" s="126"/>
      <c r="J1790" s="121"/>
      <c r="K1790" s="127"/>
      <c r="L1790" s="128"/>
      <c r="M1790" s="129"/>
      <c r="N1790" s="130"/>
      <c r="O1790" s="131"/>
      <c r="P1790" s="131"/>
      <c r="Q1790" s="131"/>
      <c r="R1790" s="131"/>
    </row>
    <row r="1791" spans="1:18">
      <c r="A1791" s="14"/>
      <c r="B1791" s="121"/>
      <c r="C1791" s="122"/>
      <c r="D1791" s="123"/>
      <c r="E1791" s="123"/>
      <c r="F1791" s="124"/>
      <c r="G1791" s="121"/>
      <c r="H1791" s="125"/>
      <c r="I1791" s="126"/>
      <c r="J1791" s="121"/>
      <c r="K1791" s="127"/>
      <c r="L1791" s="128"/>
      <c r="M1791" s="129"/>
      <c r="N1791" s="130"/>
      <c r="O1791" s="131"/>
      <c r="P1791" s="131"/>
      <c r="Q1791" s="131"/>
      <c r="R1791" s="131"/>
    </row>
    <row r="1792" spans="1:18">
      <c r="A1792" s="14"/>
      <c r="B1792" s="121"/>
      <c r="C1792" s="122"/>
      <c r="D1792" s="123"/>
      <c r="E1792" s="123"/>
      <c r="F1792" s="124"/>
      <c r="G1792" s="121"/>
      <c r="H1792" s="125"/>
      <c r="I1792" s="126"/>
      <c r="J1792" s="121"/>
      <c r="K1792" s="127"/>
      <c r="L1792" s="128"/>
      <c r="M1792" s="129"/>
      <c r="N1792" s="130"/>
      <c r="O1792" s="131"/>
      <c r="P1792" s="131"/>
      <c r="Q1792" s="131"/>
      <c r="R1792" s="131"/>
    </row>
    <row r="1793" spans="1:18">
      <c r="A1793" s="14"/>
      <c r="B1793" s="121"/>
      <c r="C1793" s="122"/>
      <c r="D1793" s="123"/>
      <c r="E1793" s="123"/>
      <c r="F1793" s="124"/>
      <c r="G1793" s="121"/>
      <c r="H1793" s="125"/>
      <c r="I1793" s="126"/>
      <c r="J1793" s="121"/>
      <c r="K1793" s="127"/>
      <c r="L1793" s="128"/>
      <c r="M1793" s="129"/>
      <c r="N1793" s="130"/>
      <c r="O1793" s="131"/>
      <c r="P1793" s="131"/>
      <c r="Q1793" s="131"/>
      <c r="R1793" s="131"/>
    </row>
    <row r="1794" spans="1:18">
      <c r="A1794" s="14"/>
      <c r="B1794" s="121"/>
      <c r="C1794" s="122"/>
      <c r="D1794" s="123"/>
      <c r="E1794" s="123"/>
      <c r="F1794" s="124"/>
      <c r="G1794" s="121"/>
      <c r="H1794" s="125"/>
      <c r="I1794" s="126"/>
      <c r="J1794" s="121"/>
      <c r="K1794" s="127"/>
      <c r="L1794" s="128"/>
      <c r="M1794" s="129"/>
      <c r="N1794" s="130"/>
      <c r="O1794" s="131"/>
      <c r="P1794" s="131"/>
      <c r="Q1794" s="131"/>
      <c r="R1794" s="131"/>
    </row>
    <row r="1795" spans="1:18">
      <c r="A1795" s="14"/>
      <c r="B1795" s="121"/>
      <c r="C1795" s="122"/>
      <c r="D1795" s="123"/>
      <c r="E1795" s="123"/>
      <c r="F1795" s="124"/>
      <c r="G1795" s="121"/>
      <c r="H1795" s="125"/>
      <c r="I1795" s="126"/>
      <c r="J1795" s="121"/>
      <c r="K1795" s="127"/>
      <c r="L1795" s="128"/>
      <c r="M1795" s="129"/>
      <c r="N1795" s="130"/>
      <c r="O1795" s="131"/>
      <c r="P1795" s="131"/>
      <c r="Q1795" s="131"/>
      <c r="R1795" s="131"/>
    </row>
    <row r="1796" spans="1:18">
      <c r="A1796" s="14"/>
      <c r="B1796" s="121"/>
      <c r="C1796" s="122"/>
      <c r="D1796" s="123"/>
      <c r="E1796" s="123"/>
      <c r="F1796" s="124"/>
      <c r="G1796" s="121"/>
      <c r="H1796" s="125"/>
      <c r="I1796" s="126"/>
      <c r="J1796" s="121"/>
      <c r="K1796" s="127"/>
      <c r="L1796" s="128"/>
      <c r="M1796" s="129"/>
      <c r="N1796" s="130"/>
      <c r="O1796" s="131"/>
      <c r="P1796" s="131"/>
      <c r="Q1796" s="131"/>
      <c r="R1796" s="131"/>
    </row>
    <row r="1797" spans="1:18">
      <c r="A1797" s="14"/>
      <c r="B1797" s="121"/>
      <c r="C1797" s="122"/>
      <c r="D1797" s="123"/>
      <c r="E1797" s="123"/>
      <c r="F1797" s="124"/>
      <c r="G1797" s="121"/>
      <c r="H1797" s="125"/>
      <c r="I1797" s="126"/>
      <c r="J1797" s="121"/>
      <c r="K1797" s="127"/>
      <c r="L1797" s="128"/>
      <c r="M1797" s="129"/>
      <c r="N1797" s="130"/>
      <c r="O1797" s="131"/>
      <c r="P1797" s="131"/>
      <c r="Q1797" s="131"/>
      <c r="R1797" s="131"/>
    </row>
    <row r="1798" spans="1:18">
      <c r="A1798" s="14"/>
      <c r="B1798" s="121"/>
      <c r="C1798" s="122"/>
      <c r="D1798" s="123"/>
      <c r="E1798" s="123"/>
      <c r="F1798" s="124"/>
      <c r="G1798" s="121"/>
      <c r="H1798" s="125"/>
      <c r="I1798" s="126"/>
      <c r="J1798" s="121"/>
      <c r="K1798" s="127"/>
      <c r="L1798" s="128"/>
      <c r="M1798" s="129"/>
      <c r="N1798" s="130"/>
      <c r="O1798" s="131"/>
      <c r="P1798" s="131"/>
      <c r="Q1798" s="131"/>
      <c r="R1798" s="131"/>
    </row>
    <row r="1799" spans="1:18">
      <c r="A1799" s="14"/>
      <c r="B1799" s="121"/>
      <c r="C1799" s="122"/>
      <c r="D1799" s="123"/>
      <c r="E1799" s="123"/>
      <c r="F1799" s="124"/>
      <c r="G1799" s="121"/>
      <c r="H1799" s="125"/>
      <c r="I1799" s="126"/>
      <c r="J1799" s="121"/>
      <c r="K1799" s="127"/>
      <c r="L1799" s="128"/>
      <c r="M1799" s="129"/>
      <c r="N1799" s="130"/>
      <c r="O1799" s="131"/>
      <c r="P1799" s="131"/>
      <c r="Q1799" s="131"/>
      <c r="R1799" s="131"/>
    </row>
    <row r="1800" spans="1:18">
      <c r="A1800" s="14"/>
      <c r="B1800" s="121"/>
      <c r="C1800" s="122"/>
      <c r="D1800" s="123"/>
      <c r="E1800" s="123"/>
      <c r="F1800" s="124"/>
      <c r="G1800" s="121"/>
      <c r="H1800" s="125"/>
      <c r="I1800" s="126"/>
      <c r="J1800" s="121"/>
      <c r="K1800" s="127"/>
      <c r="L1800" s="128"/>
      <c r="M1800" s="129"/>
      <c r="N1800" s="130"/>
      <c r="O1800" s="131"/>
      <c r="P1800" s="131"/>
      <c r="Q1800" s="131"/>
      <c r="R1800" s="131"/>
    </row>
    <row r="1801" spans="1:18">
      <c r="A1801" s="14"/>
      <c r="B1801" s="121"/>
      <c r="C1801" s="122"/>
      <c r="D1801" s="123"/>
      <c r="E1801" s="123"/>
      <c r="F1801" s="124"/>
      <c r="G1801" s="121"/>
      <c r="H1801" s="125"/>
      <c r="I1801" s="126"/>
      <c r="J1801" s="121"/>
      <c r="K1801" s="127"/>
      <c r="L1801" s="128"/>
      <c r="M1801" s="129"/>
      <c r="N1801" s="130"/>
      <c r="O1801" s="131"/>
      <c r="P1801" s="131"/>
      <c r="Q1801" s="131"/>
      <c r="R1801" s="131"/>
    </row>
    <row r="1802" spans="1:18">
      <c r="A1802" s="14"/>
      <c r="B1802" s="121"/>
      <c r="C1802" s="122"/>
      <c r="D1802" s="123"/>
      <c r="E1802" s="123"/>
      <c r="F1802" s="124"/>
      <c r="G1802" s="121"/>
      <c r="H1802" s="125"/>
      <c r="I1802" s="126"/>
      <c r="J1802" s="121"/>
      <c r="K1802" s="127"/>
      <c r="L1802" s="128"/>
      <c r="M1802" s="129"/>
      <c r="N1802" s="130"/>
      <c r="O1802" s="131"/>
      <c r="P1802" s="131"/>
      <c r="Q1802" s="131"/>
      <c r="R1802" s="131"/>
    </row>
    <row r="1803" spans="1:18">
      <c r="A1803" s="14"/>
      <c r="B1803" s="121"/>
      <c r="C1803" s="122"/>
      <c r="D1803" s="123"/>
      <c r="E1803" s="123"/>
      <c r="F1803" s="124"/>
      <c r="G1803" s="121"/>
      <c r="H1803" s="125"/>
      <c r="I1803" s="126"/>
      <c r="J1803" s="121"/>
      <c r="K1803" s="127"/>
      <c r="L1803" s="128"/>
      <c r="M1803" s="129"/>
      <c r="N1803" s="130"/>
      <c r="O1803" s="131"/>
      <c r="P1803" s="131"/>
      <c r="Q1803" s="131"/>
      <c r="R1803" s="131"/>
    </row>
    <row r="1804" spans="1:18">
      <c r="A1804" s="14"/>
      <c r="B1804" s="121"/>
      <c r="C1804" s="122"/>
      <c r="D1804" s="123"/>
      <c r="E1804" s="123"/>
      <c r="F1804" s="124"/>
      <c r="G1804" s="121"/>
      <c r="H1804" s="125"/>
      <c r="I1804" s="126"/>
      <c r="J1804" s="121"/>
      <c r="K1804" s="127"/>
      <c r="L1804" s="128"/>
      <c r="M1804" s="129"/>
      <c r="N1804" s="130"/>
      <c r="O1804" s="131"/>
      <c r="P1804" s="131"/>
      <c r="Q1804" s="131"/>
      <c r="R1804" s="131"/>
    </row>
    <row r="1805" spans="1:18">
      <c r="A1805" s="14"/>
      <c r="B1805" s="121"/>
      <c r="C1805" s="122"/>
      <c r="D1805" s="123"/>
      <c r="E1805" s="123"/>
      <c r="F1805" s="124"/>
      <c r="G1805" s="121"/>
      <c r="H1805" s="125"/>
      <c r="I1805" s="126"/>
      <c r="J1805" s="121"/>
      <c r="K1805" s="127"/>
      <c r="L1805" s="128"/>
      <c r="M1805" s="129"/>
      <c r="N1805" s="130"/>
      <c r="O1805" s="131"/>
      <c r="P1805" s="131"/>
      <c r="Q1805" s="131"/>
      <c r="R1805" s="131"/>
    </row>
    <row r="1806" spans="1:18">
      <c r="A1806" s="14"/>
      <c r="B1806" s="121"/>
      <c r="C1806" s="122"/>
      <c r="D1806" s="123"/>
      <c r="E1806" s="123"/>
      <c r="F1806" s="124"/>
      <c r="G1806" s="121"/>
      <c r="H1806" s="125"/>
      <c r="I1806" s="126"/>
      <c r="J1806" s="121"/>
      <c r="K1806" s="127"/>
      <c r="L1806" s="128"/>
      <c r="M1806" s="129"/>
      <c r="N1806" s="130"/>
      <c r="O1806" s="131"/>
      <c r="P1806" s="131"/>
      <c r="Q1806" s="131"/>
      <c r="R1806" s="131"/>
    </row>
    <row r="1807" spans="1:18">
      <c r="A1807" s="14"/>
      <c r="B1807" s="121"/>
      <c r="C1807" s="122"/>
      <c r="D1807" s="123"/>
      <c r="E1807" s="123"/>
      <c r="F1807" s="124"/>
      <c r="G1807" s="121"/>
      <c r="H1807" s="125"/>
      <c r="I1807" s="126"/>
      <c r="J1807" s="121"/>
      <c r="K1807" s="127"/>
      <c r="L1807" s="128"/>
      <c r="M1807" s="129"/>
      <c r="N1807" s="130"/>
      <c r="O1807" s="131"/>
      <c r="P1807" s="131"/>
      <c r="Q1807" s="131"/>
      <c r="R1807" s="131"/>
    </row>
    <row r="1808" spans="1:18">
      <c r="A1808" s="14"/>
      <c r="B1808" s="121"/>
      <c r="C1808" s="122"/>
      <c r="D1808" s="123"/>
      <c r="E1808" s="123"/>
      <c r="F1808" s="124"/>
      <c r="G1808" s="121"/>
      <c r="H1808" s="125"/>
      <c r="I1808" s="126"/>
      <c r="J1808" s="121"/>
      <c r="K1808" s="127"/>
      <c r="L1808" s="128"/>
      <c r="M1808" s="129"/>
      <c r="N1808" s="130"/>
      <c r="O1808" s="131"/>
      <c r="P1808" s="131"/>
      <c r="Q1808" s="131"/>
      <c r="R1808" s="131"/>
    </row>
    <row r="1809" spans="1:18">
      <c r="A1809" s="14"/>
      <c r="B1809" s="121"/>
      <c r="C1809" s="122"/>
      <c r="D1809" s="123"/>
      <c r="E1809" s="123"/>
      <c r="F1809" s="124"/>
      <c r="G1809" s="121"/>
      <c r="H1809" s="125"/>
      <c r="I1809" s="126"/>
      <c r="J1809" s="121"/>
      <c r="K1809" s="127"/>
      <c r="L1809" s="128"/>
      <c r="M1809" s="129"/>
      <c r="N1809" s="130"/>
      <c r="O1809" s="131"/>
      <c r="P1809" s="131"/>
      <c r="Q1809" s="131"/>
      <c r="R1809" s="131"/>
    </row>
    <row r="1810" spans="1:18">
      <c r="A1810" s="14"/>
      <c r="B1810" s="121"/>
      <c r="C1810" s="122"/>
      <c r="D1810" s="123"/>
      <c r="E1810" s="123"/>
      <c r="F1810" s="124"/>
      <c r="G1810" s="121"/>
      <c r="H1810" s="125"/>
      <c r="I1810" s="126"/>
      <c r="J1810" s="121"/>
      <c r="K1810" s="127"/>
      <c r="L1810" s="128"/>
      <c r="M1810" s="129"/>
      <c r="N1810" s="130"/>
      <c r="O1810" s="131"/>
      <c r="P1810" s="131"/>
      <c r="Q1810" s="131"/>
      <c r="R1810" s="131"/>
    </row>
    <row r="1811" spans="1:18">
      <c r="A1811" s="14"/>
      <c r="B1811" s="121"/>
      <c r="C1811" s="122"/>
      <c r="D1811" s="123"/>
      <c r="E1811" s="123"/>
      <c r="F1811" s="124"/>
      <c r="G1811" s="121"/>
      <c r="H1811" s="125"/>
      <c r="I1811" s="126"/>
      <c r="J1811" s="121"/>
      <c r="K1811" s="127"/>
      <c r="L1811" s="128"/>
      <c r="M1811" s="129"/>
      <c r="N1811" s="130"/>
      <c r="O1811" s="131"/>
      <c r="P1811" s="131"/>
      <c r="Q1811" s="131"/>
      <c r="R1811" s="131"/>
    </row>
    <row r="1812" spans="1:18">
      <c r="A1812" s="14"/>
      <c r="B1812" s="121"/>
      <c r="C1812" s="122"/>
      <c r="D1812" s="123"/>
      <c r="E1812" s="123"/>
      <c r="F1812" s="124"/>
      <c r="G1812" s="121"/>
      <c r="H1812" s="125"/>
      <c r="I1812" s="126"/>
      <c r="J1812" s="121"/>
      <c r="K1812" s="127"/>
      <c r="L1812" s="128"/>
      <c r="M1812" s="129"/>
      <c r="N1812" s="130"/>
      <c r="O1812" s="131"/>
      <c r="P1812" s="131"/>
      <c r="Q1812" s="131"/>
      <c r="R1812" s="131"/>
    </row>
    <row r="1813" spans="1:18">
      <c r="A1813" s="14"/>
      <c r="B1813" s="121"/>
      <c r="C1813" s="122"/>
      <c r="D1813" s="123"/>
      <c r="E1813" s="123"/>
      <c r="F1813" s="124"/>
      <c r="G1813" s="121"/>
      <c r="H1813" s="125"/>
      <c r="I1813" s="126"/>
      <c r="J1813" s="121"/>
      <c r="K1813" s="127"/>
      <c r="L1813" s="128"/>
      <c r="M1813" s="129"/>
      <c r="N1813" s="130"/>
      <c r="O1813" s="131"/>
      <c r="P1813" s="131"/>
      <c r="Q1813" s="131"/>
      <c r="R1813" s="131"/>
    </row>
    <row r="1814" spans="1:18">
      <c r="A1814" s="14"/>
      <c r="B1814" s="121"/>
      <c r="C1814" s="122"/>
      <c r="D1814" s="123"/>
      <c r="E1814" s="123"/>
      <c r="F1814" s="124"/>
      <c r="G1814" s="121"/>
      <c r="H1814" s="125"/>
      <c r="I1814" s="126"/>
      <c r="J1814" s="121"/>
      <c r="K1814" s="127"/>
      <c r="L1814" s="128"/>
      <c r="M1814" s="129"/>
      <c r="N1814" s="130"/>
      <c r="O1814" s="131"/>
      <c r="P1814" s="131"/>
      <c r="Q1814" s="131"/>
      <c r="R1814" s="131"/>
    </row>
    <row r="1815" spans="1:18">
      <c r="A1815" s="14"/>
      <c r="B1815" s="121"/>
      <c r="C1815" s="122"/>
      <c r="D1815" s="123"/>
      <c r="E1815" s="123"/>
      <c r="F1815" s="124"/>
      <c r="G1815" s="121"/>
      <c r="H1815" s="125"/>
      <c r="I1815" s="126"/>
      <c r="J1815" s="121"/>
      <c r="K1815" s="127"/>
      <c r="L1815" s="128"/>
      <c r="M1815" s="129"/>
      <c r="N1815" s="130"/>
      <c r="O1815" s="131"/>
      <c r="P1815" s="131"/>
      <c r="Q1815" s="131"/>
      <c r="R1815" s="131"/>
    </row>
    <row r="1816" spans="1:18">
      <c r="A1816" s="14"/>
      <c r="B1816" s="121"/>
      <c r="C1816" s="122"/>
      <c r="D1816" s="123"/>
      <c r="E1816" s="123"/>
      <c r="F1816" s="124"/>
      <c r="G1816" s="121"/>
      <c r="H1816" s="125"/>
      <c r="I1816" s="126"/>
      <c r="J1816" s="121"/>
      <c r="K1816" s="127"/>
      <c r="L1816" s="128"/>
      <c r="M1816" s="129"/>
      <c r="N1816" s="130"/>
      <c r="O1816" s="131"/>
      <c r="P1816" s="131"/>
      <c r="Q1816" s="131"/>
      <c r="R1816" s="131"/>
    </row>
    <row r="1817" spans="1:18">
      <c r="A1817" s="14"/>
      <c r="B1817" s="121"/>
      <c r="C1817" s="122"/>
      <c r="D1817" s="123"/>
      <c r="E1817" s="123"/>
      <c r="F1817" s="124"/>
      <c r="G1817" s="121"/>
      <c r="H1817" s="125"/>
      <c r="I1817" s="126"/>
      <c r="J1817" s="121"/>
      <c r="K1817" s="127"/>
      <c r="L1817" s="128"/>
      <c r="M1817" s="129"/>
      <c r="N1817" s="130"/>
      <c r="O1817" s="131"/>
      <c r="P1817" s="131"/>
      <c r="Q1817" s="131"/>
      <c r="R1817" s="131"/>
    </row>
    <row r="1818" spans="1:18">
      <c r="A1818" s="14"/>
      <c r="B1818" s="121"/>
      <c r="C1818" s="122"/>
      <c r="D1818" s="123"/>
      <c r="E1818" s="123"/>
      <c r="F1818" s="124"/>
      <c r="G1818" s="121"/>
      <c r="H1818" s="125"/>
      <c r="I1818" s="126"/>
      <c r="J1818" s="121"/>
      <c r="K1818" s="127"/>
      <c r="L1818" s="128"/>
      <c r="M1818" s="129"/>
      <c r="N1818" s="130"/>
      <c r="O1818" s="131"/>
      <c r="P1818" s="131"/>
      <c r="Q1818" s="131"/>
      <c r="R1818" s="131"/>
    </row>
    <row r="1819" spans="1:18">
      <c r="A1819" s="14"/>
      <c r="B1819" s="121"/>
      <c r="C1819" s="122"/>
      <c r="D1819" s="123"/>
      <c r="E1819" s="123"/>
      <c r="F1819" s="124"/>
      <c r="G1819" s="121"/>
      <c r="H1819" s="125"/>
      <c r="I1819" s="126"/>
      <c r="J1819" s="121"/>
      <c r="K1819" s="127"/>
      <c r="L1819" s="128"/>
      <c r="M1819" s="129"/>
      <c r="N1819" s="130"/>
      <c r="O1819" s="131"/>
      <c r="P1819" s="131"/>
      <c r="Q1819" s="131"/>
      <c r="R1819" s="131"/>
    </row>
    <row r="1820" spans="1:18">
      <c r="A1820" s="14"/>
      <c r="B1820" s="121"/>
      <c r="C1820" s="122"/>
      <c r="D1820" s="123"/>
      <c r="E1820" s="123"/>
      <c r="F1820" s="124"/>
      <c r="G1820" s="121"/>
      <c r="H1820" s="125"/>
      <c r="I1820" s="126"/>
      <c r="J1820" s="121"/>
      <c r="K1820" s="127"/>
      <c r="L1820" s="128"/>
      <c r="M1820" s="129"/>
      <c r="N1820" s="130"/>
      <c r="O1820" s="131"/>
      <c r="P1820" s="131"/>
      <c r="Q1820" s="131"/>
      <c r="R1820" s="131"/>
    </row>
    <row r="1821" spans="1:18">
      <c r="A1821" s="14"/>
      <c r="B1821" s="121"/>
      <c r="C1821" s="122"/>
      <c r="D1821" s="123"/>
      <c r="E1821" s="123"/>
      <c r="F1821" s="124"/>
      <c r="G1821" s="121"/>
      <c r="H1821" s="125"/>
      <c r="I1821" s="126"/>
      <c r="J1821" s="121"/>
      <c r="K1821" s="127"/>
      <c r="L1821" s="128"/>
      <c r="M1821" s="129"/>
      <c r="N1821" s="130"/>
      <c r="O1821" s="131"/>
      <c r="P1821" s="131"/>
      <c r="Q1821" s="131"/>
      <c r="R1821" s="131"/>
    </row>
    <row r="1822" spans="1:18">
      <c r="A1822" s="14"/>
      <c r="B1822" s="121"/>
      <c r="C1822" s="122"/>
      <c r="D1822" s="123"/>
      <c r="E1822" s="123"/>
      <c r="F1822" s="124"/>
      <c r="G1822" s="121"/>
      <c r="H1822" s="125"/>
      <c r="I1822" s="126"/>
      <c r="J1822" s="121"/>
      <c r="K1822" s="127"/>
      <c r="L1822" s="128"/>
      <c r="M1822" s="129"/>
      <c r="N1822" s="130"/>
      <c r="O1822" s="131"/>
      <c r="P1822" s="131"/>
      <c r="Q1822" s="131"/>
      <c r="R1822" s="131"/>
    </row>
    <row r="1823" spans="1:18">
      <c r="A1823" s="14"/>
      <c r="B1823" s="121"/>
      <c r="C1823" s="122"/>
      <c r="D1823" s="123"/>
      <c r="E1823" s="123"/>
      <c r="F1823" s="124"/>
      <c r="G1823" s="121"/>
      <c r="H1823" s="125"/>
      <c r="I1823" s="126"/>
      <c r="J1823" s="121"/>
      <c r="K1823" s="127"/>
      <c r="L1823" s="128"/>
      <c r="M1823" s="129"/>
      <c r="N1823" s="132"/>
      <c r="O1823" s="133"/>
      <c r="P1823" s="133"/>
      <c r="Q1823" s="133"/>
      <c r="R1823" s="133"/>
    </row>
    <row r="1824" spans="1:18">
      <c r="A1824" s="14"/>
      <c r="B1824" s="121"/>
      <c r="C1824" s="122"/>
      <c r="D1824" s="123"/>
      <c r="E1824" s="123"/>
      <c r="F1824" s="124"/>
      <c r="G1824" s="121"/>
      <c r="H1824" s="125"/>
      <c r="I1824" s="126"/>
      <c r="J1824" s="121"/>
      <c r="K1824" s="127"/>
      <c r="L1824" s="128"/>
      <c r="M1824" s="129"/>
      <c r="N1824" s="130"/>
      <c r="O1824" s="131"/>
      <c r="P1824" s="131"/>
      <c r="Q1824" s="131"/>
      <c r="R1824" s="131"/>
    </row>
    <row r="1825" spans="1:18">
      <c r="A1825" s="14"/>
      <c r="B1825" s="121"/>
      <c r="C1825" s="122"/>
      <c r="D1825" s="123"/>
      <c r="E1825" s="123"/>
      <c r="F1825" s="124"/>
      <c r="G1825" s="121"/>
      <c r="H1825" s="125"/>
      <c r="I1825" s="126"/>
      <c r="J1825" s="121"/>
      <c r="K1825" s="127"/>
      <c r="L1825" s="128"/>
      <c r="M1825" s="129"/>
      <c r="N1825" s="130"/>
      <c r="O1825" s="131"/>
      <c r="P1825" s="131"/>
      <c r="Q1825" s="131"/>
      <c r="R1825" s="131"/>
    </row>
    <row r="1826" spans="1:18">
      <c r="A1826" s="14"/>
      <c r="B1826" s="121"/>
      <c r="C1826" s="122"/>
      <c r="D1826" s="123"/>
      <c r="E1826" s="123"/>
      <c r="F1826" s="124"/>
      <c r="G1826" s="121"/>
      <c r="H1826" s="125"/>
      <c r="I1826" s="126"/>
      <c r="J1826" s="121"/>
      <c r="K1826" s="127"/>
      <c r="L1826" s="128"/>
      <c r="M1826" s="129"/>
      <c r="N1826" s="130"/>
      <c r="O1826" s="131"/>
      <c r="P1826" s="131"/>
      <c r="Q1826" s="131"/>
      <c r="R1826" s="131"/>
    </row>
    <row r="1827" spans="1:18">
      <c r="A1827" s="14"/>
      <c r="B1827" s="121"/>
      <c r="C1827" s="122"/>
      <c r="D1827" s="123"/>
      <c r="E1827" s="123"/>
      <c r="F1827" s="124"/>
      <c r="G1827" s="121"/>
      <c r="H1827" s="125"/>
      <c r="I1827" s="126"/>
      <c r="J1827" s="121"/>
      <c r="K1827" s="127"/>
      <c r="L1827" s="128"/>
      <c r="M1827" s="129"/>
      <c r="N1827" s="130"/>
      <c r="O1827" s="131"/>
      <c r="P1827" s="131"/>
      <c r="Q1827" s="131"/>
      <c r="R1827" s="131"/>
    </row>
    <row r="1828" spans="1:18">
      <c r="A1828" s="14"/>
      <c r="B1828" s="121"/>
      <c r="C1828" s="122"/>
      <c r="D1828" s="123"/>
      <c r="E1828" s="123"/>
      <c r="F1828" s="124"/>
      <c r="G1828" s="121"/>
      <c r="H1828" s="125"/>
      <c r="I1828" s="126"/>
      <c r="J1828" s="121"/>
      <c r="K1828" s="127"/>
      <c r="L1828" s="128"/>
      <c r="M1828" s="129"/>
      <c r="N1828" s="130"/>
      <c r="O1828" s="131"/>
      <c r="P1828" s="131"/>
      <c r="Q1828" s="131"/>
      <c r="R1828" s="131"/>
    </row>
    <row r="1829" spans="1:18">
      <c r="A1829" s="14"/>
      <c r="B1829" s="121"/>
      <c r="C1829" s="122"/>
      <c r="D1829" s="123"/>
      <c r="E1829" s="123"/>
      <c r="F1829" s="124"/>
      <c r="G1829" s="121"/>
      <c r="H1829" s="125"/>
      <c r="I1829" s="126"/>
      <c r="J1829" s="121"/>
      <c r="K1829" s="127"/>
      <c r="L1829" s="128"/>
      <c r="M1829" s="129"/>
      <c r="N1829" s="68"/>
      <c r="O1829" s="69"/>
      <c r="P1829" s="69"/>
      <c r="Q1829" s="69"/>
      <c r="R1829" s="69"/>
    </row>
    <row r="1830" spans="1:18">
      <c r="A1830" s="14"/>
      <c r="B1830" s="121"/>
      <c r="C1830" s="122"/>
      <c r="D1830" s="123"/>
      <c r="E1830" s="123"/>
      <c r="F1830" s="124"/>
      <c r="G1830" s="121"/>
      <c r="H1830" s="125"/>
      <c r="I1830" s="126"/>
      <c r="J1830" s="121"/>
      <c r="K1830" s="127"/>
      <c r="L1830" s="128"/>
      <c r="M1830" s="129"/>
      <c r="N1830" s="68"/>
      <c r="O1830" s="69"/>
      <c r="P1830" s="69"/>
      <c r="Q1830" s="69"/>
      <c r="R1830" s="69"/>
    </row>
    <row r="1831" spans="1:18">
      <c r="A1831" s="14"/>
      <c r="B1831" s="121"/>
      <c r="C1831" s="122"/>
      <c r="D1831" s="123"/>
      <c r="E1831" s="123"/>
      <c r="F1831" s="124"/>
      <c r="G1831" s="121"/>
      <c r="H1831" s="125"/>
      <c r="I1831" s="126"/>
      <c r="J1831" s="121"/>
      <c r="K1831" s="127"/>
      <c r="L1831" s="128"/>
      <c r="M1831" s="129"/>
      <c r="N1831" s="68"/>
      <c r="O1831" s="69"/>
      <c r="P1831" s="69"/>
      <c r="Q1831" s="69"/>
      <c r="R1831" s="69"/>
    </row>
    <row r="1832" spans="1:18">
      <c r="A1832" s="14"/>
      <c r="B1832" s="121"/>
      <c r="C1832" s="122"/>
      <c r="D1832" s="123"/>
      <c r="E1832" s="123"/>
      <c r="F1832" s="124"/>
      <c r="G1832" s="121"/>
      <c r="H1832" s="125"/>
      <c r="I1832" s="126"/>
      <c r="J1832" s="121"/>
      <c r="K1832" s="127"/>
      <c r="L1832" s="128"/>
      <c r="M1832" s="129"/>
      <c r="N1832" s="68"/>
      <c r="O1832" s="69"/>
      <c r="P1832" s="69"/>
      <c r="Q1832" s="69"/>
      <c r="R1832" s="69"/>
    </row>
    <row r="1833" spans="1:18">
      <c r="A1833" s="14"/>
      <c r="B1833" s="121"/>
      <c r="C1833" s="122"/>
      <c r="D1833" s="123"/>
      <c r="E1833" s="123"/>
      <c r="F1833" s="124"/>
      <c r="G1833" s="121"/>
      <c r="H1833" s="125"/>
      <c r="I1833" s="126"/>
      <c r="J1833" s="121"/>
      <c r="K1833" s="127"/>
      <c r="L1833" s="128"/>
      <c r="M1833" s="129"/>
      <c r="N1833" s="68"/>
      <c r="O1833" s="69"/>
      <c r="P1833" s="69"/>
      <c r="Q1833" s="69"/>
      <c r="R1833" s="69"/>
    </row>
    <row r="1834" spans="1:18">
      <c r="A1834" s="14"/>
      <c r="B1834" s="121"/>
      <c r="C1834" s="122"/>
      <c r="D1834" s="123"/>
      <c r="E1834" s="123"/>
      <c r="F1834" s="124"/>
      <c r="G1834" s="121"/>
      <c r="H1834" s="125"/>
      <c r="I1834" s="126"/>
      <c r="J1834" s="121"/>
      <c r="K1834" s="127"/>
      <c r="L1834" s="128"/>
      <c r="M1834" s="129"/>
      <c r="N1834" s="68"/>
      <c r="O1834" s="69"/>
      <c r="P1834" s="69"/>
      <c r="Q1834" s="69"/>
      <c r="R1834" s="69"/>
    </row>
    <row r="1835" spans="1:18">
      <c r="A1835" s="14"/>
      <c r="B1835" s="121"/>
      <c r="C1835" s="122"/>
      <c r="D1835" s="123"/>
      <c r="E1835" s="123"/>
      <c r="F1835" s="124"/>
      <c r="G1835" s="121"/>
      <c r="H1835" s="125"/>
      <c r="I1835" s="126"/>
      <c r="J1835" s="121"/>
      <c r="K1835" s="127"/>
      <c r="L1835" s="128"/>
      <c r="M1835" s="129"/>
      <c r="N1835" s="68"/>
      <c r="O1835" s="69"/>
      <c r="P1835" s="69"/>
      <c r="Q1835" s="69"/>
      <c r="R1835" s="69"/>
    </row>
    <row r="1836" spans="1:18">
      <c r="A1836" s="14"/>
      <c r="B1836" s="121"/>
      <c r="C1836" s="122"/>
      <c r="D1836" s="123"/>
      <c r="E1836" s="123"/>
      <c r="F1836" s="124"/>
      <c r="G1836" s="121"/>
      <c r="H1836" s="125"/>
      <c r="I1836" s="126"/>
      <c r="J1836" s="121"/>
      <c r="K1836" s="127"/>
      <c r="L1836" s="128"/>
      <c r="M1836" s="129"/>
      <c r="N1836" s="68"/>
      <c r="O1836" s="69"/>
      <c r="P1836" s="69"/>
      <c r="Q1836" s="69"/>
      <c r="R1836" s="69"/>
    </row>
    <row r="1837" spans="1:18">
      <c r="A1837" s="14"/>
      <c r="B1837" s="121"/>
      <c r="C1837" s="122"/>
      <c r="D1837" s="123"/>
      <c r="E1837" s="123"/>
      <c r="F1837" s="124"/>
      <c r="G1837" s="121"/>
      <c r="H1837" s="125"/>
      <c r="I1837" s="126"/>
      <c r="J1837" s="121"/>
      <c r="K1837" s="127"/>
      <c r="L1837" s="128"/>
      <c r="M1837" s="129"/>
      <c r="N1837" s="68"/>
      <c r="O1837" s="69"/>
      <c r="P1837" s="69"/>
      <c r="Q1837" s="69"/>
      <c r="R1837" s="69"/>
    </row>
    <row r="1838" spans="1:18">
      <c r="A1838" s="14"/>
      <c r="B1838" s="121"/>
      <c r="C1838" s="122"/>
      <c r="D1838" s="123"/>
      <c r="E1838" s="123"/>
      <c r="F1838" s="124"/>
      <c r="G1838" s="121"/>
      <c r="H1838" s="125"/>
      <c r="I1838" s="126"/>
      <c r="J1838" s="121"/>
      <c r="K1838" s="127"/>
      <c r="L1838" s="128"/>
      <c r="M1838" s="129"/>
      <c r="N1838" s="68"/>
      <c r="O1838" s="69"/>
      <c r="P1838" s="69"/>
      <c r="Q1838" s="69"/>
      <c r="R1838" s="69"/>
    </row>
    <row r="1839" spans="1:18">
      <c r="A1839" s="14"/>
      <c r="B1839" s="121"/>
      <c r="C1839" s="122"/>
      <c r="D1839" s="123"/>
      <c r="E1839" s="123"/>
      <c r="F1839" s="124"/>
      <c r="G1839" s="121"/>
      <c r="H1839" s="125"/>
      <c r="I1839" s="126"/>
      <c r="J1839" s="121"/>
      <c r="K1839" s="127"/>
      <c r="L1839" s="128"/>
      <c r="M1839" s="129"/>
      <c r="N1839" s="68"/>
      <c r="O1839" s="69"/>
      <c r="P1839" s="69"/>
      <c r="Q1839" s="69"/>
      <c r="R1839" s="69"/>
    </row>
    <row r="1840" spans="1:18">
      <c r="A1840" s="14"/>
      <c r="B1840" s="121"/>
      <c r="C1840" s="122"/>
      <c r="D1840" s="123"/>
      <c r="E1840" s="123"/>
      <c r="F1840" s="124"/>
      <c r="G1840" s="121"/>
      <c r="H1840" s="125"/>
      <c r="I1840" s="126"/>
      <c r="J1840" s="121"/>
      <c r="K1840" s="127"/>
      <c r="L1840" s="128"/>
      <c r="M1840" s="129"/>
      <c r="N1840" s="68"/>
      <c r="O1840" s="69"/>
      <c r="P1840" s="69"/>
      <c r="Q1840" s="69"/>
      <c r="R1840" s="69"/>
    </row>
    <row r="1841" spans="1:18">
      <c r="A1841" s="14"/>
      <c r="B1841" s="121"/>
      <c r="C1841" s="122"/>
      <c r="D1841" s="123"/>
      <c r="E1841" s="123"/>
      <c r="F1841" s="124"/>
      <c r="G1841" s="121"/>
      <c r="H1841" s="125"/>
      <c r="I1841" s="126"/>
      <c r="J1841" s="121"/>
      <c r="K1841" s="127"/>
      <c r="L1841" s="128"/>
      <c r="M1841" s="129"/>
      <c r="N1841" s="68"/>
      <c r="O1841" s="69"/>
      <c r="P1841" s="69"/>
      <c r="Q1841" s="69"/>
      <c r="R1841" s="69"/>
    </row>
    <row r="1842" spans="1:18">
      <c r="A1842" s="14"/>
      <c r="B1842" s="121"/>
      <c r="C1842" s="122"/>
      <c r="D1842" s="123"/>
      <c r="E1842" s="123"/>
      <c r="F1842" s="124"/>
      <c r="G1842" s="121"/>
      <c r="H1842" s="125"/>
      <c r="I1842" s="126"/>
      <c r="J1842" s="121"/>
      <c r="K1842" s="127"/>
      <c r="L1842" s="128"/>
      <c r="M1842" s="129"/>
      <c r="N1842" s="68"/>
      <c r="O1842" s="69"/>
      <c r="P1842" s="69"/>
      <c r="Q1842" s="69"/>
      <c r="R1842" s="69"/>
    </row>
    <row r="1843" spans="1:18">
      <c r="A1843" s="14"/>
      <c r="B1843" s="121"/>
      <c r="C1843" s="122"/>
      <c r="D1843" s="123"/>
      <c r="E1843" s="123"/>
      <c r="F1843" s="124"/>
      <c r="G1843" s="121"/>
      <c r="H1843" s="125"/>
      <c r="I1843" s="126"/>
      <c r="J1843" s="121"/>
      <c r="K1843" s="127"/>
      <c r="L1843" s="128"/>
      <c r="M1843" s="129"/>
      <c r="N1843" s="68"/>
      <c r="O1843" s="69"/>
      <c r="P1843" s="69"/>
      <c r="Q1843" s="69"/>
      <c r="R1843" s="69"/>
    </row>
    <row r="1844" spans="1:18">
      <c r="A1844" s="14"/>
      <c r="B1844" s="121"/>
      <c r="C1844" s="122"/>
      <c r="D1844" s="123"/>
      <c r="E1844" s="123"/>
      <c r="F1844" s="124"/>
      <c r="G1844" s="121"/>
      <c r="H1844" s="125"/>
      <c r="I1844" s="126"/>
      <c r="J1844" s="121"/>
      <c r="K1844" s="127"/>
      <c r="L1844" s="128"/>
      <c r="M1844" s="129"/>
      <c r="N1844" s="68"/>
      <c r="O1844" s="69"/>
      <c r="P1844" s="69"/>
      <c r="Q1844" s="69"/>
      <c r="R1844" s="69"/>
    </row>
    <row r="1845" spans="1:18">
      <c r="A1845" s="14"/>
      <c r="B1845" s="121"/>
      <c r="C1845" s="122"/>
      <c r="D1845" s="123"/>
      <c r="E1845" s="123"/>
      <c r="F1845" s="124"/>
      <c r="G1845" s="121"/>
      <c r="H1845" s="125"/>
      <c r="I1845" s="126"/>
      <c r="J1845" s="121"/>
      <c r="K1845" s="127"/>
      <c r="L1845" s="128"/>
      <c r="M1845" s="129"/>
      <c r="N1845" s="68"/>
      <c r="O1845" s="69"/>
      <c r="P1845" s="69"/>
      <c r="Q1845" s="69"/>
      <c r="R1845" s="69"/>
    </row>
    <row r="1846" spans="1:18">
      <c r="A1846" s="14"/>
      <c r="B1846" s="121"/>
      <c r="C1846" s="122"/>
      <c r="D1846" s="123"/>
      <c r="E1846" s="123"/>
      <c r="F1846" s="124"/>
      <c r="G1846" s="121"/>
      <c r="H1846" s="125"/>
      <c r="I1846" s="126"/>
      <c r="J1846" s="121"/>
      <c r="K1846" s="127"/>
      <c r="L1846" s="128"/>
      <c r="M1846" s="129"/>
      <c r="N1846" s="68"/>
      <c r="O1846" s="69"/>
      <c r="P1846" s="69"/>
      <c r="Q1846" s="69"/>
      <c r="R1846" s="69"/>
    </row>
    <row r="1847" spans="1:18">
      <c r="A1847" s="14"/>
      <c r="B1847" s="121"/>
      <c r="C1847" s="122"/>
      <c r="D1847" s="123"/>
      <c r="E1847" s="123"/>
      <c r="F1847" s="124"/>
      <c r="G1847" s="121"/>
      <c r="H1847" s="125"/>
      <c r="I1847" s="126"/>
      <c r="J1847" s="121"/>
      <c r="K1847" s="127"/>
      <c r="L1847" s="128"/>
      <c r="M1847" s="129"/>
      <c r="N1847" s="68"/>
      <c r="O1847" s="69"/>
      <c r="P1847" s="69"/>
      <c r="Q1847" s="69"/>
      <c r="R1847" s="69"/>
    </row>
    <row r="1848" spans="1:18">
      <c r="A1848" s="14"/>
      <c r="B1848" s="121"/>
      <c r="C1848" s="122"/>
      <c r="D1848" s="123"/>
      <c r="E1848" s="123"/>
      <c r="F1848" s="124"/>
      <c r="G1848" s="121"/>
      <c r="H1848" s="125"/>
      <c r="I1848" s="126"/>
      <c r="J1848" s="121"/>
      <c r="K1848" s="127"/>
      <c r="L1848" s="128"/>
      <c r="M1848" s="129"/>
      <c r="N1848" s="68"/>
      <c r="O1848" s="69"/>
      <c r="P1848" s="69"/>
      <c r="Q1848" s="69"/>
      <c r="R1848" s="69"/>
    </row>
    <row r="1849" spans="1:18">
      <c r="A1849" s="14"/>
      <c r="B1849" s="121"/>
      <c r="C1849" s="122"/>
      <c r="D1849" s="123"/>
      <c r="E1849" s="123"/>
      <c r="F1849" s="124"/>
      <c r="G1849" s="121"/>
      <c r="H1849" s="125"/>
      <c r="I1849" s="126"/>
      <c r="J1849" s="121"/>
      <c r="K1849" s="127"/>
      <c r="L1849" s="128"/>
      <c r="M1849" s="129"/>
      <c r="N1849" s="68"/>
      <c r="O1849" s="69"/>
      <c r="P1849" s="69"/>
      <c r="Q1849" s="69"/>
      <c r="R1849" s="69"/>
    </row>
    <row r="1850" spans="1:18">
      <c r="A1850" s="14"/>
      <c r="B1850" s="121"/>
      <c r="C1850" s="122"/>
      <c r="D1850" s="123"/>
      <c r="E1850" s="123"/>
      <c r="F1850" s="124"/>
      <c r="G1850" s="121"/>
      <c r="H1850" s="125"/>
      <c r="I1850" s="126"/>
      <c r="J1850" s="121"/>
      <c r="K1850" s="127"/>
      <c r="L1850" s="128"/>
      <c r="M1850" s="129"/>
      <c r="N1850" s="68"/>
      <c r="O1850" s="69"/>
      <c r="P1850" s="69"/>
      <c r="Q1850" s="69"/>
      <c r="R1850" s="69"/>
    </row>
    <row r="1851" spans="1:18">
      <c r="A1851" s="14"/>
      <c r="B1851" s="121"/>
      <c r="C1851" s="122"/>
      <c r="D1851" s="123"/>
      <c r="E1851" s="123"/>
      <c r="F1851" s="124"/>
      <c r="G1851" s="121"/>
      <c r="H1851" s="125"/>
      <c r="I1851" s="126"/>
      <c r="J1851" s="121"/>
      <c r="K1851" s="127"/>
      <c r="L1851" s="128"/>
      <c r="M1851" s="129"/>
      <c r="N1851" s="68"/>
      <c r="O1851" s="69"/>
      <c r="P1851" s="69"/>
      <c r="Q1851" s="69"/>
      <c r="R1851" s="69"/>
    </row>
    <row r="1852" spans="1:18">
      <c r="A1852" s="14"/>
      <c r="B1852" s="121"/>
      <c r="C1852" s="122"/>
      <c r="D1852" s="123"/>
      <c r="E1852" s="123"/>
      <c r="F1852" s="124"/>
      <c r="G1852" s="121"/>
      <c r="H1852" s="125"/>
      <c r="I1852" s="126"/>
      <c r="J1852" s="121"/>
      <c r="K1852" s="127"/>
      <c r="L1852" s="128"/>
      <c r="M1852" s="129"/>
      <c r="N1852" s="68"/>
      <c r="O1852" s="69"/>
      <c r="P1852" s="69"/>
      <c r="Q1852" s="69"/>
      <c r="R1852" s="69"/>
    </row>
    <row r="1853" spans="1:18">
      <c r="A1853" s="14"/>
      <c r="B1853" s="121"/>
      <c r="C1853" s="122"/>
      <c r="D1853" s="123"/>
      <c r="E1853" s="123"/>
      <c r="F1853" s="124"/>
      <c r="G1853" s="121"/>
      <c r="H1853" s="125"/>
      <c r="I1853" s="126"/>
      <c r="J1853" s="121"/>
      <c r="K1853" s="127"/>
      <c r="L1853" s="128"/>
      <c r="M1853" s="129"/>
      <c r="N1853" s="68"/>
      <c r="O1853" s="69"/>
      <c r="P1853" s="69"/>
      <c r="Q1853" s="69"/>
      <c r="R1853" s="69"/>
    </row>
    <row r="1854" spans="1:18">
      <c r="A1854" s="14"/>
      <c r="B1854" s="121"/>
      <c r="C1854" s="122"/>
      <c r="D1854" s="123"/>
      <c r="E1854" s="123"/>
      <c r="F1854" s="124"/>
      <c r="G1854" s="121"/>
      <c r="H1854" s="125"/>
      <c r="I1854" s="126"/>
      <c r="J1854" s="121"/>
      <c r="K1854" s="127"/>
      <c r="L1854" s="128"/>
      <c r="M1854" s="129"/>
      <c r="N1854" s="68"/>
      <c r="O1854" s="69"/>
      <c r="P1854" s="69"/>
      <c r="Q1854" s="69"/>
      <c r="R1854" s="69"/>
    </row>
    <row r="1855" spans="1:18">
      <c r="A1855" s="14"/>
      <c r="B1855" s="121"/>
      <c r="C1855" s="122"/>
      <c r="D1855" s="123"/>
      <c r="E1855" s="123"/>
      <c r="F1855" s="124"/>
      <c r="G1855" s="121"/>
      <c r="H1855" s="125"/>
      <c r="I1855" s="126"/>
      <c r="J1855" s="121"/>
      <c r="K1855" s="127"/>
      <c r="L1855" s="128"/>
      <c r="M1855" s="129"/>
      <c r="N1855" s="68"/>
      <c r="O1855" s="69"/>
      <c r="P1855" s="69"/>
      <c r="Q1855" s="69"/>
      <c r="R1855" s="69"/>
    </row>
    <row r="1856" spans="1:18">
      <c r="A1856" s="14"/>
      <c r="B1856" s="121"/>
      <c r="C1856" s="122"/>
      <c r="D1856" s="123"/>
      <c r="E1856" s="123"/>
      <c r="F1856" s="124"/>
      <c r="G1856" s="121"/>
      <c r="H1856" s="125"/>
      <c r="I1856" s="126"/>
      <c r="J1856" s="121"/>
      <c r="K1856" s="127"/>
      <c r="L1856" s="128"/>
      <c r="M1856" s="129"/>
      <c r="N1856" s="68"/>
      <c r="O1856" s="69"/>
      <c r="P1856" s="69"/>
      <c r="Q1856" s="69"/>
      <c r="R1856" s="69"/>
    </row>
    <row r="1857" spans="1:18">
      <c r="A1857" s="14"/>
      <c r="B1857" s="121"/>
      <c r="C1857" s="122"/>
      <c r="D1857" s="123"/>
      <c r="E1857" s="123"/>
      <c r="F1857" s="124"/>
      <c r="G1857" s="121"/>
      <c r="H1857" s="125"/>
      <c r="I1857" s="126"/>
      <c r="J1857" s="121"/>
      <c r="K1857" s="127"/>
      <c r="L1857" s="128"/>
      <c r="M1857" s="129"/>
      <c r="N1857" s="68"/>
      <c r="O1857" s="69"/>
      <c r="P1857" s="69"/>
      <c r="Q1857" s="69"/>
      <c r="R1857" s="69"/>
    </row>
    <row r="1858" spans="1:18">
      <c r="A1858" s="14"/>
      <c r="B1858" s="121"/>
      <c r="C1858" s="122"/>
      <c r="D1858" s="123"/>
      <c r="E1858" s="123"/>
      <c r="F1858" s="124"/>
      <c r="G1858" s="121"/>
      <c r="H1858" s="125"/>
      <c r="I1858" s="126"/>
      <c r="J1858" s="121"/>
      <c r="K1858" s="127"/>
      <c r="L1858" s="128"/>
      <c r="M1858" s="129"/>
      <c r="N1858" s="68"/>
      <c r="O1858" s="69"/>
      <c r="P1858" s="69"/>
      <c r="Q1858" s="69"/>
      <c r="R1858" s="69"/>
    </row>
    <row r="1859" spans="1:18">
      <c r="A1859" s="14"/>
      <c r="B1859" s="121"/>
      <c r="C1859" s="122"/>
      <c r="D1859" s="123"/>
      <c r="E1859" s="123"/>
      <c r="F1859" s="124"/>
      <c r="G1859" s="121"/>
      <c r="H1859" s="125"/>
      <c r="I1859" s="126"/>
      <c r="J1859" s="121"/>
      <c r="K1859" s="127"/>
      <c r="L1859" s="128"/>
      <c r="M1859" s="129"/>
      <c r="N1859" s="68"/>
      <c r="O1859" s="69"/>
      <c r="P1859" s="69"/>
      <c r="Q1859" s="69"/>
      <c r="R1859" s="69"/>
    </row>
    <row r="1860" spans="1:18">
      <c r="A1860" s="14"/>
      <c r="B1860" s="121"/>
      <c r="C1860" s="122"/>
      <c r="D1860" s="123"/>
      <c r="E1860" s="123"/>
      <c r="F1860" s="124"/>
      <c r="G1860" s="121"/>
      <c r="H1860" s="125"/>
      <c r="I1860" s="126"/>
      <c r="J1860" s="121"/>
      <c r="K1860" s="127"/>
      <c r="L1860" s="128"/>
      <c r="M1860" s="129"/>
      <c r="N1860" s="68"/>
      <c r="O1860" s="69"/>
      <c r="P1860" s="69"/>
      <c r="Q1860" s="69"/>
      <c r="R1860" s="69"/>
    </row>
    <row r="1861" spans="1:18">
      <c r="A1861" s="14"/>
      <c r="B1861" s="121"/>
      <c r="C1861" s="122"/>
      <c r="D1861" s="123"/>
      <c r="E1861" s="123"/>
      <c r="F1861" s="124"/>
      <c r="G1861" s="121"/>
      <c r="H1861" s="125"/>
      <c r="I1861" s="126"/>
      <c r="J1861" s="121"/>
      <c r="K1861" s="127"/>
      <c r="L1861" s="128"/>
      <c r="M1861" s="129"/>
      <c r="N1861" s="68"/>
      <c r="O1861" s="69"/>
      <c r="P1861" s="69"/>
      <c r="Q1861" s="69"/>
      <c r="R1861" s="69"/>
    </row>
    <row r="1862" spans="1:18">
      <c r="A1862" s="14"/>
      <c r="B1862" s="121"/>
      <c r="C1862" s="122"/>
      <c r="D1862" s="123"/>
      <c r="E1862" s="123"/>
      <c r="F1862" s="124"/>
      <c r="G1862" s="121"/>
      <c r="H1862" s="125"/>
      <c r="I1862" s="126"/>
      <c r="J1862" s="121"/>
      <c r="K1862" s="127"/>
      <c r="L1862" s="128"/>
      <c r="M1862" s="129"/>
      <c r="N1862" s="68"/>
      <c r="O1862" s="69"/>
      <c r="P1862" s="69"/>
      <c r="Q1862" s="69"/>
      <c r="R1862" s="69"/>
    </row>
    <row r="1863" spans="1:18">
      <c r="A1863" s="14"/>
      <c r="B1863" s="121"/>
      <c r="C1863" s="122"/>
      <c r="D1863" s="123"/>
      <c r="E1863" s="123"/>
      <c r="F1863" s="124"/>
      <c r="G1863" s="121"/>
      <c r="H1863" s="125"/>
      <c r="I1863" s="126"/>
      <c r="J1863" s="121"/>
      <c r="K1863" s="127"/>
      <c r="L1863" s="128"/>
      <c r="M1863" s="129"/>
      <c r="N1863" s="68"/>
      <c r="O1863" s="69"/>
      <c r="P1863" s="69"/>
      <c r="Q1863" s="69"/>
      <c r="R1863" s="69"/>
    </row>
    <row r="1864" spans="1:18">
      <c r="A1864" s="14"/>
      <c r="B1864" s="121"/>
      <c r="C1864" s="122"/>
      <c r="D1864" s="123"/>
      <c r="E1864" s="123"/>
      <c r="F1864" s="124"/>
      <c r="G1864" s="121"/>
      <c r="H1864" s="125"/>
      <c r="I1864" s="126"/>
      <c r="J1864" s="121"/>
      <c r="K1864" s="127"/>
      <c r="L1864" s="128"/>
      <c r="M1864" s="129"/>
      <c r="N1864" s="68"/>
      <c r="O1864" s="69"/>
      <c r="P1864" s="69"/>
      <c r="Q1864" s="69"/>
      <c r="R1864" s="69"/>
    </row>
    <row r="1865" spans="1:18">
      <c r="A1865" s="14"/>
      <c r="B1865" s="121"/>
      <c r="C1865" s="122"/>
      <c r="D1865" s="123"/>
      <c r="E1865" s="123"/>
      <c r="F1865" s="124"/>
      <c r="G1865" s="121"/>
      <c r="H1865" s="125"/>
      <c r="I1865" s="126"/>
      <c r="J1865" s="121"/>
      <c r="K1865" s="127"/>
      <c r="L1865" s="128"/>
      <c r="M1865" s="129"/>
      <c r="N1865" s="68"/>
      <c r="O1865" s="69"/>
      <c r="P1865" s="69"/>
      <c r="Q1865" s="69"/>
      <c r="R1865" s="69"/>
    </row>
    <row r="1866" spans="1:18">
      <c r="A1866" s="14"/>
      <c r="B1866" s="121"/>
      <c r="C1866" s="122"/>
      <c r="D1866" s="123"/>
      <c r="E1866" s="123"/>
      <c r="F1866" s="124"/>
      <c r="G1866" s="121"/>
      <c r="H1866" s="125"/>
      <c r="I1866" s="126"/>
      <c r="J1866" s="121"/>
      <c r="K1866" s="127"/>
      <c r="L1866" s="128"/>
      <c r="M1866" s="129"/>
      <c r="N1866" s="68"/>
      <c r="O1866" s="69"/>
      <c r="P1866" s="69"/>
      <c r="Q1866" s="69"/>
      <c r="R1866" s="69"/>
    </row>
    <row r="1867" spans="1:18">
      <c r="A1867" s="14"/>
      <c r="B1867" s="121"/>
      <c r="C1867" s="122"/>
      <c r="D1867" s="123"/>
      <c r="E1867" s="123"/>
      <c r="F1867" s="124"/>
      <c r="G1867" s="121"/>
      <c r="H1867" s="125"/>
      <c r="I1867" s="126"/>
      <c r="J1867" s="121"/>
      <c r="K1867" s="127"/>
      <c r="L1867" s="128"/>
      <c r="M1867" s="129"/>
      <c r="N1867" s="68"/>
      <c r="O1867" s="69"/>
      <c r="P1867" s="69"/>
      <c r="Q1867" s="69"/>
      <c r="R1867" s="69"/>
    </row>
    <row r="1868" spans="1:18">
      <c r="A1868" s="14"/>
      <c r="B1868" s="121"/>
      <c r="C1868" s="122"/>
      <c r="D1868" s="123"/>
      <c r="E1868" s="123"/>
      <c r="F1868" s="124"/>
      <c r="G1868" s="121"/>
      <c r="H1868" s="125"/>
      <c r="I1868" s="126"/>
      <c r="J1868" s="121"/>
      <c r="K1868" s="127"/>
      <c r="L1868" s="128"/>
      <c r="M1868" s="129"/>
      <c r="N1868" s="68"/>
      <c r="O1868" s="69"/>
      <c r="P1868" s="69"/>
      <c r="Q1868" s="69"/>
      <c r="R1868" s="69"/>
    </row>
    <row r="1869" spans="1:18">
      <c r="A1869" s="14"/>
      <c r="B1869" s="121"/>
      <c r="C1869" s="122"/>
      <c r="D1869" s="123"/>
      <c r="E1869" s="123"/>
      <c r="F1869" s="124"/>
      <c r="G1869" s="121"/>
      <c r="H1869" s="125"/>
      <c r="I1869" s="126"/>
      <c r="J1869" s="121"/>
      <c r="K1869" s="127"/>
      <c r="L1869" s="128"/>
      <c r="M1869" s="129"/>
      <c r="N1869" s="68"/>
      <c r="O1869" s="69"/>
      <c r="P1869" s="69"/>
      <c r="Q1869" s="69"/>
      <c r="R1869" s="69"/>
    </row>
    <row r="1870" spans="1:18">
      <c r="A1870" s="14"/>
      <c r="B1870" s="121"/>
      <c r="C1870" s="122"/>
      <c r="D1870" s="123"/>
      <c r="E1870" s="123"/>
      <c r="F1870" s="124"/>
      <c r="G1870" s="121"/>
      <c r="H1870" s="125"/>
      <c r="I1870" s="126"/>
      <c r="J1870" s="121"/>
      <c r="K1870" s="127"/>
      <c r="L1870" s="128"/>
      <c r="M1870" s="129"/>
      <c r="N1870" s="68"/>
      <c r="O1870" s="69"/>
      <c r="P1870" s="69"/>
      <c r="Q1870" s="69"/>
      <c r="R1870" s="69"/>
    </row>
    <row r="1871" spans="1:18">
      <c r="A1871" s="14"/>
      <c r="B1871" s="121"/>
      <c r="C1871" s="122"/>
      <c r="D1871" s="123"/>
      <c r="E1871" s="123"/>
      <c r="F1871" s="124"/>
      <c r="G1871" s="121"/>
      <c r="H1871" s="125"/>
      <c r="I1871" s="126"/>
      <c r="J1871" s="121"/>
      <c r="K1871" s="127"/>
      <c r="L1871" s="128"/>
      <c r="M1871" s="129"/>
      <c r="N1871" s="68"/>
      <c r="O1871" s="69"/>
      <c r="P1871" s="69"/>
      <c r="Q1871" s="69"/>
      <c r="R1871" s="69"/>
    </row>
    <row r="1872" spans="1:18">
      <c r="A1872" s="14"/>
      <c r="B1872" s="121"/>
      <c r="C1872" s="122"/>
      <c r="D1872" s="123"/>
      <c r="E1872" s="123"/>
      <c r="F1872" s="124"/>
      <c r="G1872" s="121"/>
      <c r="H1872" s="125"/>
      <c r="I1872" s="126"/>
      <c r="J1872" s="121"/>
      <c r="K1872" s="127"/>
      <c r="L1872" s="128"/>
      <c r="M1872" s="129"/>
      <c r="N1872" s="68"/>
      <c r="O1872" s="69"/>
      <c r="P1872" s="69"/>
      <c r="Q1872" s="69"/>
      <c r="R1872" s="69"/>
    </row>
    <row r="1873" spans="1:18">
      <c r="A1873" s="14"/>
      <c r="B1873" s="121"/>
      <c r="C1873" s="122"/>
      <c r="D1873" s="123"/>
      <c r="E1873" s="123"/>
      <c r="F1873" s="124"/>
      <c r="G1873" s="121"/>
      <c r="H1873" s="125"/>
      <c r="I1873" s="126"/>
      <c r="J1873" s="121"/>
      <c r="K1873" s="127"/>
      <c r="L1873" s="128"/>
      <c r="M1873" s="129"/>
      <c r="N1873" s="68"/>
      <c r="O1873" s="69"/>
      <c r="P1873" s="69"/>
      <c r="Q1873" s="69"/>
      <c r="R1873" s="69"/>
    </row>
    <row r="1874" spans="1:18">
      <c r="A1874" s="14"/>
      <c r="B1874" s="121"/>
      <c r="C1874" s="122"/>
      <c r="D1874" s="123"/>
      <c r="E1874" s="123"/>
      <c r="F1874" s="124"/>
      <c r="G1874" s="121"/>
      <c r="H1874" s="125"/>
      <c r="I1874" s="126"/>
      <c r="J1874" s="121"/>
      <c r="K1874" s="127"/>
      <c r="L1874" s="128"/>
      <c r="M1874" s="129"/>
      <c r="N1874" s="68"/>
      <c r="O1874" s="69"/>
      <c r="P1874" s="69"/>
      <c r="Q1874" s="69"/>
      <c r="R1874" s="69"/>
    </row>
    <row r="1875" spans="1:18">
      <c r="A1875" s="14"/>
      <c r="B1875" s="121"/>
      <c r="C1875" s="122"/>
      <c r="D1875" s="123"/>
      <c r="E1875" s="123"/>
      <c r="F1875" s="124"/>
      <c r="G1875" s="121"/>
      <c r="H1875" s="125"/>
      <c r="I1875" s="126"/>
      <c r="J1875" s="121"/>
      <c r="K1875" s="127"/>
      <c r="L1875" s="128"/>
      <c r="M1875" s="129"/>
      <c r="N1875" s="68"/>
      <c r="O1875" s="69"/>
      <c r="P1875" s="69"/>
      <c r="Q1875" s="69"/>
      <c r="R1875" s="69"/>
    </row>
    <row r="1876" spans="1:18">
      <c r="A1876" s="14"/>
      <c r="B1876" s="121"/>
      <c r="C1876" s="122"/>
      <c r="D1876" s="123"/>
      <c r="E1876" s="123"/>
      <c r="F1876" s="124"/>
      <c r="G1876" s="121"/>
      <c r="H1876" s="125"/>
      <c r="I1876" s="126"/>
      <c r="J1876" s="121"/>
      <c r="K1876" s="127"/>
      <c r="L1876" s="128"/>
      <c r="M1876" s="129"/>
      <c r="N1876" s="68"/>
      <c r="O1876" s="69"/>
      <c r="P1876" s="69"/>
      <c r="Q1876" s="69"/>
      <c r="R1876" s="69"/>
    </row>
    <row r="1877" spans="1:18">
      <c r="A1877" s="14"/>
      <c r="B1877" s="121"/>
      <c r="C1877" s="122"/>
      <c r="D1877" s="123"/>
      <c r="E1877" s="123"/>
      <c r="F1877" s="124"/>
      <c r="G1877" s="121"/>
      <c r="H1877" s="125"/>
      <c r="I1877" s="126"/>
      <c r="J1877" s="121"/>
      <c r="K1877" s="127"/>
      <c r="L1877" s="128"/>
      <c r="M1877" s="129"/>
      <c r="N1877" s="68"/>
      <c r="O1877" s="69"/>
      <c r="P1877" s="69"/>
      <c r="Q1877" s="69"/>
      <c r="R1877" s="69"/>
    </row>
    <row r="1878" spans="1:18">
      <c r="A1878" s="14"/>
      <c r="B1878" s="121"/>
      <c r="C1878" s="122"/>
      <c r="D1878" s="123"/>
      <c r="E1878" s="123"/>
      <c r="F1878" s="124"/>
      <c r="G1878" s="121"/>
      <c r="H1878" s="125"/>
      <c r="I1878" s="126"/>
      <c r="J1878" s="121"/>
      <c r="K1878" s="127"/>
      <c r="L1878" s="128"/>
      <c r="M1878" s="129"/>
      <c r="N1878" s="68"/>
      <c r="O1878" s="69"/>
      <c r="P1878" s="69"/>
      <c r="Q1878" s="69"/>
      <c r="R1878" s="69"/>
    </row>
    <row r="1879" spans="1:18">
      <c r="A1879" s="14"/>
      <c r="B1879" s="121"/>
      <c r="C1879" s="122"/>
      <c r="D1879" s="123"/>
      <c r="E1879" s="123"/>
      <c r="F1879" s="124"/>
      <c r="G1879" s="121"/>
      <c r="H1879" s="125"/>
      <c r="I1879" s="126"/>
      <c r="J1879" s="121"/>
      <c r="K1879" s="127"/>
      <c r="L1879" s="128"/>
      <c r="M1879" s="129"/>
      <c r="N1879" s="68"/>
      <c r="O1879" s="69"/>
      <c r="P1879" s="69"/>
      <c r="Q1879" s="69"/>
      <c r="R1879" s="69"/>
    </row>
    <row r="1880" spans="1:18">
      <c r="A1880" s="14"/>
      <c r="B1880" s="121"/>
      <c r="C1880" s="122"/>
      <c r="D1880" s="123"/>
      <c r="E1880" s="123"/>
      <c r="F1880" s="124"/>
      <c r="G1880" s="121"/>
      <c r="H1880" s="125"/>
      <c r="I1880" s="126"/>
      <c r="J1880" s="121"/>
      <c r="K1880" s="127"/>
      <c r="L1880" s="128"/>
      <c r="M1880" s="129"/>
      <c r="N1880" s="68"/>
      <c r="O1880" s="69"/>
      <c r="P1880" s="69"/>
      <c r="Q1880" s="69"/>
      <c r="R1880" s="69"/>
    </row>
    <row r="1881" spans="1:18">
      <c r="A1881" s="14"/>
      <c r="B1881" s="121"/>
      <c r="C1881" s="122"/>
      <c r="D1881" s="123"/>
      <c r="E1881" s="123"/>
      <c r="F1881" s="124"/>
      <c r="G1881" s="121"/>
      <c r="H1881" s="125"/>
      <c r="I1881" s="126"/>
      <c r="J1881" s="121"/>
      <c r="K1881" s="127"/>
      <c r="L1881" s="128"/>
      <c r="M1881" s="129"/>
      <c r="N1881" s="68"/>
      <c r="O1881" s="69"/>
      <c r="P1881" s="69"/>
      <c r="Q1881" s="69"/>
      <c r="R1881" s="69"/>
    </row>
    <row r="1882" spans="1:18">
      <c r="A1882" s="14"/>
      <c r="B1882" s="121"/>
      <c r="C1882" s="122"/>
      <c r="D1882" s="123"/>
      <c r="E1882" s="123"/>
      <c r="F1882" s="124"/>
      <c r="G1882" s="121"/>
      <c r="H1882" s="125"/>
      <c r="I1882" s="126"/>
      <c r="J1882" s="121"/>
      <c r="K1882" s="127"/>
      <c r="L1882" s="128"/>
      <c r="M1882" s="129"/>
      <c r="N1882" s="68"/>
      <c r="O1882" s="69"/>
      <c r="P1882" s="69"/>
      <c r="Q1882" s="69"/>
      <c r="R1882" s="69"/>
    </row>
    <row r="1883" spans="1:18">
      <c r="A1883" s="14"/>
      <c r="B1883" s="121"/>
      <c r="C1883" s="122"/>
      <c r="D1883" s="123"/>
      <c r="E1883" s="123"/>
      <c r="F1883" s="124"/>
      <c r="G1883" s="121"/>
      <c r="H1883" s="125"/>
      <c r="I1883" s="126"/>
      <c r="J1883" s="121"/>
      <c r="K1883" s="127"/>
      <c r="L1883" s="128"/>
      <c r="M1883" s="129"/>
      <c r="N1883" s="68"/>
      <c r="O1883" s="69"/>
      <c r="P1883" s="69"/>
      <c r="Q1883" s="69"/>
      <c r="R1883" s="69"/>
    </row>
    <row r="1884" spans="1:18">
      <c r="A1884" s="14"/>
      <c r="B1884" s="121"/>
      <c r="C1884" s="122"/>
      <c r="D1884" s="123"/>
      <c r="E1884" s="123"/>
      <c r="F1884" s="124"/>
      <c r="G1884" s="121"/>
      <c r="H1884" s="125"/>
      <c r="I1884" s="126"/>
      <c r="J1884" s="121"/>
      <c r="K1884" s="127"/>
      <c r="L1884" s="128"/>
      <c r="M1884" s="129"/>
      <c r="N1884" s="68"/>
      <c r="O1884" s="69"/>
      <c r="P1884" s="69"/>
      <c r="Q1884" s="69"/>
      <c r="R1884" s="69"/>
    </row>
    <row r="1885" spans="1:18">
      <c r="A1885" s="14"/>
      <c r="B1885" s="121"/>
      <c r="C1885" s="122"/>
      <c r="D1885" s="123"/>
      <c r="E1885" s="123"/>
      <c r="F1885" s="124"/>
      <c r="G1885" s="121"/>
      <c r="H1885" s="125"/>
      <c r="I1885" s="126"/>
      <c r="J1885" s="121"/>
      <c r="K1885" s="127"/>
      <c r="L1885" s="128"/>
      <c r="M1885" s="129"/>
      <c r="N1885" s="68"/>
      <c r="O1885" s="69"/>
      <c r="P1885" s="69"/>
      <c r="Q1885" s="69"/>
      <c r="R1885" s="69"/>
    </row>
    <row r="1886" spans="1:18">
      <c r="A1886" s="14"/>
      <c r="B1886" s="121"/>
      <c r="C1886" s="122"/>
      <c r="D1886" s="123"/>
      <c r="E1886" s="123"/>
      <c r="F1886" s="124"/>
      <c r="G1886" s="121"/>
      <c r="H1886" s="125"/>
      <c r="I1886" s="126"/>
      <c r="J1886" s="121"/>
      <c r="K1886" s="127"/>
      <c r="L1886" s="128"/>
      <c r="M1886" s="129"/>
      <c r="N1886" s="68"/>
      <c r="O1886" s="69"/>
      <c r="P1886" s="69"/>
      <c r="Q1886" s="69"/>
      <c r="R1886" s="69"/>
    </row>
    <row r="1887" spans="1:18">
      <c r="A1887" s="14"/>
      <c r="B1887" s="121"/>
      <c r="C1887" s="122"/>
      <c r="D1887" s="123"/>
      <c r="E1887" s="123"/>
      <c r="F1887" s="124"/>
      <c r="G1887" s="121"/>
      <c r="H1887" s="125"/>
      <c r="I1887" s="126"/>
      <c r="J1887" s="121"/>
      <c r="K1887" s="127"/>
      <c r="L1887" s="128"/>
      <c r="M1887" s="129"/>
      <c r="N1887" s="68"/>
      <c r="O1887" s="69"/>
      <c r="P1887" s="69"/>
      <c r="Q1887" s="69"/>
      <c r="R1887" s="69"/>
    </row>
    <row r="1888" spans="1:18">
      <c r="A1888" s="14"/>
      <c r="B1888" s="121"/>
      <c r="C1888" s="122"/>
      <c r="D1888" s="123"/>
      <c r="E1888" s="123"/>
      <c r="F1888" s="124"/>
      <c r="G1888" s="121"/>
      <c r="H1888" s="125"/>
      <c r="I1888" s="126"/>
      <c r="J1888" s="121"/>
      <c r="K1888" s="127"/>
      <c r="L1888" s="128"/>
      <c r="M1888" s="129"/>
      <c r="N1888" s="68"/>
      <c r="O1888" s="69"/>
      <c r="P1888" s="69"/>
      <c r="Q1888" s="69"/>
      <c r="R1888" s="69"/>
    </row>
    <row r="1889" spans="1:18">
      <c r="A1889" s="14"/>
      <c r="B1889" s="121"/>
      <c r="C1889" s="122"/>
      <c r="D1889" s="123"/>
      <c r="E1889" s="123"/>
      <c r="F1889" s="124"/>
      <c r="G1889" s="121"/>
      <c r="H1889" s="125"/>
      <c r="I1889" s="126"/>
      <c r="J1889" s="121"/>
      <c r="K1889" s="127"/>
      <c r="L1889" s="128"/>
      <c r="M1889" s="129"/>
      <c r="N1889" s="68"/>
      <c r="O1889" s="69"/>
      <c r="P1889" s="69"/>
      <c r="Q1889" s="69"/>
      <c r="R1889" s="69"/>
    </row>
    <row r="1890" spans="1:18">
      <c r="A1890" s="14"/>
      <c r="B1890" s="121"/>
      <c r="C1890" s="122"/>
      <c r="D1890" s="123"/>
      <c r="E1890" s="123"/>
      <c r="F1890" s="124"/>
      <c r="G1890" s="121"/>
      <c r="H1890" s="125"/>
      <c r="I1890" s="126"/>
      <c r="J1890" s="121"/>
      <c r="K1890" s="127"/>
      <c r="L1890" s="128"/>
      <c r="M1890" s="129"/>
      <c r="N1890" s="68"/>
      <c r="O1890" s="69"/>
      <c r="P1890" s="69"/>
      <c r="Q1890" s="69"/>
      <c r="R1890" s="69"/>
    </row>
    <row r="1891" spans="1:18">
      <c r="A1891" s="14"/>
      <c r="B1891" s="121"/>
      <c r="C1891" s="122"/>
      <c r="D1891" s="123"/>
      <c r="E1891" s="123"/>
      <c r="F1891" s="124"/>
      <c r="G1891" s="121"/>
      <c r="H1891" s="125"/>
      <c r="I1891" s="126"/>
      <c r="J1891" s="121"/>
      <c r="K1891" s="127"/>
      <c r="L1891" s="128"/>
      <c r="M1891" s="129"/>
      <c r="N1891" s="68"/>
      <c r="O1891" s="69"/>
      <c r="P1891" s="69"/>
      <c r="Q1891" s="69"/>
      <c r="R1891" s="69"/>
    </row>
    <row r="1892" spans="1:18">
      <c r="A1892" s="14"/>
      <c r="B1892" s="121"/>
      <c r="C1892" s="122"/>
      <c r="D1892" s="123"/>
      <c r="E1892" s="123"/>
      <c r="F1892" s="124"/>
      <c r="G1892" s="121"/>
      <c r="H1892" s="125"/>
      <c r="I1892" s="126"/>
      <c r="J1892" s="121"/>
      <c r="K1892" s="127"/>
      <c r="L1892" s="128"/>
      <c r="M1892" s="129"/>
      <c r="N1892" s="68"/>
      <c r="O1892" s="69"/>
      <c r="P1892" s="69"/>
      <c r="Q1892" s="69"/>
      <c r="R1892" s="69"/>
    </row>
    <row r="1893" spans="1:18">
      <c r="A1893" s="14"/>
      <c r="B1893" s="121"/>
      <c r="C1893" s="122"/>
      <c r="D1893" s="123"/>
      <c r="E1893" s="123"/>
      <c r="F1893" s="124"/>
      <c r="G1893" s="121"/>
      <c r="H1893" s="125"/>
      <c r="I1893" s="126"/>
      <c r="J1893" s="121"/>
      <c r="K1893" s="127"/>
      <c r="L1893" s="128"/>
      <c r="M1893" s="129"/>
      <c r="N1893" s="68"/>
      <c r="O1893" s="69"/>
      <c r="P1893" s="69"/>
      <c r="Q1893" s="69"/>
      <c r="R1893" s="69"/>
    </row>
    <row r="1894" spans="1:18">
      <c r="A1894" s="14"/>
      <c r="B1894" s="121"/>
      <c r="C1894" s="122"/>
      <c r="D1894" s="123"/>
      <c r="E1894" s="123"/>
      <c r="F1894" s="124"/>
      <c r="G1894" s="121"/>
      <c r="H1894" s="125"/>
      <c r="I1894" s="126"/>
      <c r="J1894" s="121"/>
      <c r="K1894" s="127"/>
      <c r="L1894" s="128"/>
      <c r="M1894" s="129"/>
      <c r="N1894" s="68"/>
      <c r="O1894" s="69"/>
      <c r="P1894" s="69"/>
      <c r="Q1894" s="69"/>
      <c r="R1894" s="69"/>
    </row>
    <row r="1895" spans="1:18">
      <c r="A1895" s="14"/>
      <c r="B1895" s="121"/>
      <c r="C1895" s="122"/>
      <c r="D1895" s="123"/>
      <c r="E1895" s="123"/>
      <c r="F1895" s="124"/>
      <c r="G1895" s="121"/>
      <c r="H1895" s="125"/>
      <c r="I1895" s="126"/>
      <c r="J1895" s="121"/>
      <c r="K1895" s="127"/>
      <c r="L1895" s="128"/>
      <c r="M1895" s="129"/>
      <c r="N1895" s="68"/>
      <c r="O1895" s="69"/>
      <c r="P1895" s="69"/>
      <c r="Q1895" s="69"/>
      <c r="R1895" s="69"/>
    </row>
    <row r="1896" spans="1:18">
      <c r="A1896" s="14"/>
      <c r="B1896" s="121"/>
      <c r="C1896" s="122"/>
      <c r="D1896" s="123"/>
      <c r="E1896" s="123"/>
      <c r="F1896" s="124"/>
      <c r="G1896" s="121"/>
      <c r="H1896" s="125"/>
      <c r="I1896" s="126"/>
      <c r="J1896" s="121"/>
      <c r="K1896" s="127"/>
      <c r="L1896" s="128"/>
      <c r="M1896" s="129"/>
      <c r="N1896" s="68"/>
      <c r="O1896" s="69"/>
      <c r="P1896" s="69"/>
      <c r="Q1896" s="69"/>
      <c r="R1896" s="69"/>
    </row>
    <row r="1897" spans="1:18">
      <c r="A1897" s="14"/>
      <c r="B1897" s="121"/>
      <c r="C1897" s="122"/>
      <c r="D1897" s="123"/>
      <c r="E1897" s="123"/>
      <c r="F1897" s="124"/>
      <c r="G1897" s="121"/>
      <c r="H1897" s="125"/>
      <c r="I1897" s="126"/>
      <c r="J1897" s="121"/>
      <c r="K1897" s="127"/>
      <c r="L1897" s="128"/>
      <c r="M1897" s="129"/>
      <c r="N1897" s="68"/>
      <c r="O1897" s="69"/>
      <c r="P1897" s="69"/>
      <c r="Q1897" s="69"/>
      <c r="R1897" s="69"/>
    </row>
    <row r="1898" spans="1:18">
      <c r="A1898" s="14"/>
      <c r="B1898" s="121"/>
      <c r="C1898" s="122"/>
      <c r="D1898" s="123"/>
      <c r="E1898" s="123"/>
      <c r="F1898" s="124"/>
      <c r="G1898" s="121"/>
      <c r="H1898" s="125"/>
      <c r="I1898" s="126"/>
      <c r="J1898" s="121"/>
      <c r="K1898" s="127"/>
      <c r="L1898" s="128"/>
      <c r="M1898" s="129"/>
      <c r="N1898" s="68"/>
      <c r="O1898" s="69"/>
      <c r="P1898" s="69"/>
      <c r="Q1898" s="69"/>
      <c r="R1898" s="69"/>
    </row>
    <row r="1899" spans="1:18">
      <c r="A1899" s="14"/>
      <c r="B1899" s="121"/>
      <c r="C1899" s="122"/>
      <c r="D1899" s="123"/>
      <c r="E1899" s="123"/>
      <c r="F1899" s="124"/>
      <c r="G1899" s="121"/>
      <c r="H1899" s="125"/>
      <c r="I1899" s="126"/>
      <c r="J1899" s="121"/>
      <c r="K1899" s="127"/>
      <c r="L1899" s="128"/>
      <c r="M1899" s="129"/>
      <c r="N1899" s="68"/>
      <c r="O1899" s="69"/>
      <c r="P1899" s="69"/>
      <c r="Q1899" s="69"/>
      <c r="R1899" s="69"/>
    </row>
    <row r="1900" spans="1:18">
      <c r="A1900" s="14"/>
      <c r="B1900" s="121"/>
      <c r="C1900" s="122"/>
      <c r="D1900" s="123"/>
      <c r="E1900" s="123"/>
      <c r="F1900" s="124"/>
      <c r="G1900" s="121"/>
      <c r="H1900" s="125"/>
      <c r="I1900" s="126"/>
      <c r="J1900" s="121"/>
      <c r="K1900" s="127"/>
      <c r="L1900" s="128"/>
      <c r="M1900" s="129"/>
      <c r="N1900" s="68"/>
      <c r="O1900" s="69"/>
      <c r="P1900" s="69"/>
      <c r="Q1900" s="69"/>
      <c r="R1900" s="69"/>
    </row>
    <row r="1901" spans="1:18">
      <c r="A1901" s="14"/>
      <c r="B1901" s="121"/>
      <c r="C1901" s="122"/>
      <c r="D1901" s="123"/>
      <c r="E1901" s="123"/>
      <c r="F1901" s="124"/>
      <c r="G1901" s="121"/>
      <c r="H1901" s="125"/>
      <c r="I1901" s="126"/>
      <c r="J1901" s="121"/>
      <c r="K1901" s="127"/>
      <c r="L1901" s="128"/>
      <c r="M1901" s="129"/>
      <c r="N1901" s="68"/>
      <c r="O1901" s="69"/>
      <c r="P1901" s="69"/>
      <c r="Q1901" s="69"/>
      <c r="R1901" s="69"/>
    </row>
    <row r="1902" spans="1:18">
      <c r="A1902" s="14"/>
      <c r="B1902" s="121"/>
      <c r="C1902" s="122"/>
      <c r="D1902" s="123"/>
      <c r="E1902" s="123"/>
      <c r="F1902" s="124"/>
      <c r="G1902" s="121"/>
      <c r="H1902" s="125"/>
      <c r="I1902" s="126"/>
      <c r="J1902" s="121"/>
      <c r="K1902" s="127"/>
      <c r="L1902" s="128"/>
      <c r="M1902" s="129"/>
      <c r="N1902" s="68"/>
      <c r="O1902" s="69"/>
      <c r="P1902" s="69"/>
      <c r="Q1902" s="69"/>
      <c r="R1902" s="69"/>
    </row>
    <row r="1903" spans="1:18">
      <c r="A1903" s="14"/>
      <c r="B1903" s="121"/>
      <c r="C1903" s="122"/>
      <c r="D1903" s="123"/>
      <c r="E1903" s="123"/>
      <c r="F1903" s="124"/>
      <c r="G1903" s="121"/>
      <c r="H1903" s="125"/>
      <c r="I1903" s="126"/>
      <c r="J1903" s="121"/>
      <c r="K1903" s="127"/>
      <c r="L1903" s="128"/>
      <c r="M1903" s="129"/>
      <c r="N1903" s="68"/>
      <c r="O1903" s="69"/>
      <c r="P1903" s="69"/>
      <c r="Q1903" s="69"/>
      <c r="R1903" s="69"/>
    </row>
    <row r="1904" spans="1:18">
      <c r="A1904" s="14"/>
      <c r="B1904" s="121"/>
      <c r="C1904" s="122"/>
      <c r="D1904" s="123"/>
      <c r="E1904" s="123"/>
      <c r="F1904" s="124"/>
      <c r="G1904" s="121"/>
      <c r="H1904" s="125"/>
      <c r="I1904" s="126"/>
      <c r="J1904" s="121"/>
      <c r="K1904" s="127"/>
      <c r="L1904" s="128"/>
      <c r="M1904" s="129"/>
      <c r="N1904" s="68"/>
      <c r="O1904" s="69"/>
      <c r="P1904" s="69"/>
      <c r="Q1904" s="69"/>
      <c r="R1904" s="69"/>
    </row>
    <row r="1905" spans="1:18">
      <c r="A1905" s="14"/>
      <c r="B1905" s="121"/>
      <c r="C1905" s="122"/>
      <c r="D1905" s="123"/>
      <c r="E1905" s="123"/>
      <c r="F1905" s="124"/>
      <c r="G1905" s="121"/>
      <c r="H1905" s="125"/>
      <c r="I1905" s="126"/>
      <c r="J1905" s="121"/>
      <c r="K1905" s="127"/>
      <c r="L1905" s="128"/>
      <c r="M1905" s="129"/>
      <c r="N1905" s="68"/>
      <c r="O1905" s="69"/>
      <c r="P1905" s="69"/>
      <c r="Q1905" s="69"/>
      <c r="R1905" s="69"/>
    </row>
    <row r="1906" spans="1:18">
      <c r="A1906" s="14"/>
      <c r="B1906" s="121"/>
      <c r="C1906" s="122"/>
      <c r="D1906" s="123"/>
      <c r="E1906" s="123"/>
      <c r="F1906" s="124"/>
      <c r="G1906" s="121"/>
      <c r="H1906" s="125"/>
      <c r="I1906" s="126"/>
      <c r="J1906" s="121"/>
      <c r="K1906" s="127"/>
      <c r="L1906" s="128"/>
      <c r="M1906" s="129"/>
      <c r="N1906" s="68"/>
      <c r="O1906" s="69"/>
      <c r="P1906" s="69"/>
      <c r="Q1906" s="69"/>
      <c r="R1906" s="69"/>
    </row>
    <row r="1907" spans="1:18">
      <c r="A1907" s="14"/>
      <c r="B1907" s="121"/>
      <c r="C1907" s="122"/>
      <c r="D1907" s="123"/>
      <c r="E1907" s="123"/>
      <c r="F1907" s="124"/>
      <c r="G1907" s="121"/>
      <c r="H1907" s="125"/>
      <c r="I1907" s="126"/>
      <c r="J1907" s="121"/>
      <c r="K1907" s="127"/>
      <c r="L1907" s="128"/>
      <c r="M1907" s="129"/>
      <c r="N1907" s="68"/>
      <c r="O1907" s="69"/>
      <c r="P1907" s="69"/>
      <c r="Q1907" s="69"/>
      <c r="R1907" s="69"/>
    </row>
    <row r="1908" spans="1:18">
      <c r="A1908" s="14"/>
      <c r="B1908" s="121"/>
      <c r="C1908" s="122"/>
      <c r="D1908" s="123"/>
      <c r="E1908" s="123"/>
      <c r="F1908" s="124"/>
      <c r="G1908" s="121"/>
      <c r="H1908" s="125"/>
      <c r="I1908" s="126"/>
      <c r="J1908" s="121"/>
      <c r="K1908" s="127"/>
      <c r="L1908" s="128"/>
      <c r="M1908" s="129"/>
      <c r="N1908" s="68"/>
      <c r="O1908" s="69"/>
      <c r="P1908" s="69"/>
      <c r="Q1908" s="69"/>
      <c r="R1908" s="69"/>
    </row>
    <row r="1909" spans="1:18">
      <c r="A1909" s="14"/>
      <c r="B1909" s="121"/>
      <c r="C1909" s="122"/>
      <c r="D1909" s="123"/>
      <c r="E1909" s="123"/>
      <c r="F1909" s="124"/>
      <c r="G1909" s="121"/>
      <c r="H1909" s="125"/>
      <c r="I1909" s="126"/>
      <c r="J1909" s="121"/>
      <c r="K1909" s="127"/>
      <c r="L1909" s="128"/>
      <c r="M1909" s="129"/>
      <c r="N1909" s="68"/>
      <c r="O1909" s="69"/>
      <c r="P1909" s="69"/>
      <c r="Q1909" s="69"/>
      <c r="R1909" s="69"/>
    </row>
    <row r="1910" spans="1:18">
      <c r="A1910" s="14"/>
      <c r="B1910" s="121"/>
      <c r="C1910" s="122"/>
      <c r="D1910" s="123"/>
      <c r="E1910" s="123"/>
      <c r="F1910" s="124"/>
      <c r="G1910" s="121"/>
      <c r="H1910" s="125"/>
      <c r="I1910" s="126"/>
      <c r="J1910" s="121"/>
      <c r="K1910" s="127"/>
      <c r="L1910" s="128"/>
      <c r="M1910" s="129"/>
      <c r="N1910" s="68"/>
      <c r="O1910" s="69"/>
      <c r="P1910" s="69"/>
      <c r="Q1910" s="69"/>
      <c r="R1910" s="69"/>
    </row>
    <row r="1911" spans="1:18">
      <c r="A1911" s="14"/>
      <c r="B1911" s="121"/>
      <c r="C1911" s="122"/>
      <c r="D1911" s="123"/>
      <c r="E1911" s="123"/>
      <c r="F1911" s="124"/>
      <c r="G1911" s="121"/>
      <c r="H1911" s="125"/>
      <c r="I1911" s="126"/>
      <c r="J1911" s="121"/>
      <c r="K1911" s="127"/>
      <c r="L1911" s="128"/>
      <c r="M1911" s="129"/>
      <c r="N1911" s="68"/>
      <c r="O1911" s="69"/>
      <c r="P1911" s="69"/>
      <c r="Q1911" s="69"/>
      <c r="R1911" s="69"/>
    </row>
    <row r="1912" spans="1:18">
      <c r="A1912" s="14"/>
      <c r="B1912" s="121"/>
      <c r="C1912" s="122"/>
      <c r="D1912" s="123"/>
      <c r="E1912" s="123"/>
      <c r="F1912" s="124"/>
      <c r="G1912" s="121"/>
      <c r="H1912" s="125"/>
      <c r="I1912" s="126"/>
      <c r="J1912" s="121"/>
      <c r="K1912" s="127"/>
      <c r="L1912" s="128"/>
      <c r="M1912" s="129"/>
      <c r="N1912" s="68"/>
      <c r="O1912" s="69"/>
      <c r="P1912" s="69"/>
      <c r="Q1912" s="69"/>
      <c r="R1912" s="69"/>
    </row>
    <row r="1913" spans="1:18">
      <c r="A1913" s="14"/>
      <c r="B1913" s="121"/>
      <c r="C1913" s="122"/>
      <c r="D1913" s="123"/>
      <c r="E1913" s="123"/>
      <c r="F1913" s="124"/>
      <c r="G1913" s="121"/>
      <c r="H1913" s="125"/>
      <c r="I1913" s="126"/>
      <c r="J1913" s="121"/>
      <c r="K1913" s="127"/>
      <c r="L1913" s="128"/>
      <c r="M1913" s="129"/>
      <c r="N1913" s="68"/>
      <c r="O1913" s="69"/>
      <c r="P1913" s="69"/>
      <c r="Q1913" s="69"/>
      <c r="R1913" s="69"/>
    </row>
    <row r="1914" spans="1:18">
      <c r="A1914" s="14"/>
      <c r="B1914" s="121"/>
      <c r="C1914" s="122"/>
      <c r="D1914" s="123"/>
      <c r="E1914" s="123"/>
      <c r="F1914" s="124"/>
      <c r="G1914" s="121"/>
      <c r="H1914" s="125"/>
      <c r="I1914" s="126"/>
      <c r="J1914" s="121"/>
      <c r="K1914" s="127"/>
      <c r="L1914" s="128"/>
      <c r="M1914" s="129"/>
      <c r="N1914" s="68"/>
      <c r="O1914" s="69"/>
      <c r="P1914" s="69"/>
      <c r="Q1914" s="69"/>
      <c r="R1914" s="69"/>
    </row>
    <row r="1915" spans="1:18">
      <c r="A1915" s="14"/>
      <c r="B1915" s="121"/>
      <c r="C1915" s="122"/>
      <c r="D1915" s="123"/>
      <c r="E1915" s="123"/>
      <c r="F1915" s="124"/>
      <c r="G1915" s="121"/>
      <c r="H1915" s="125"/>
      <c r="I1915" s="126"/>
      <c r="J1915" s="121"/>
      <c r="K1915" s="127"/>
      <c r="L1915" s="128"/>
      <c r="M1915" s="129"/>
      <c r="N1915" s="68"/>
      <c r="O1915" s="69"/>
      <c r="P1915" s="69"/>
      <c r="Q1915" s="69"/>
      <c r="R1915" s="69"/>
    </row>
    <row r="1916" spans="1:18">
      <c r="A1916" s="14"/>
      <c r="B1916" s="121"/>
      <c r="C1916" s="122"/>
      <c r="D1916" s="123"/>
      <c r="E1916" s="123"/>
      <c r="F1916" s="124"/>
      <c r="G1916" s="121"/>
      <c r="H1916" s="125"/>
      <c r="I1916" s="126"/>
      <c r="J1916" s="121"/>
      <c r="K1916" s="127"/>
      <c r="L1916" s="128"/>
      <c r="M1916" s="129"/>
      <c r="N1916" s="68"/>
      <c r="O1916" s="69"/>
      <c r="P1916" s="69"/>
      <c r="Q1916" s="69"/>
      <c r="R1916" s="69"/>
    </row>
    <row r="1917" spans="1:18">
      <c r="A1917" s="14"/>
      <c r="B1917" s="121"/>
      <c r="C1917" s="122"/>
      <c r="D1917" s="123"/>
      <c r="E1917" s="123"/>
      <c r="F1917" s="124"/>
      <c r="G1917" s="121"/>
      <c r="H1917" s="125"/>
      <c r="I1917" s="126"/>
      <c r="J1917" s="121"/>
      <c r="K1917" s="127"/>
      <c r="L1917" s="128"/>
      <c r="M1917" s="129"/>
      <c r="N1917" s="68"/>
      <c r="O1917" s="69"/>
      <c r="P1917" s="69"/>
      <c r="Q1917" s="69"/>
      <c r="R1917" s="69"/>
    </row>
    <row r="1918" spans="1:18">
      <c r="A1918" s="14"/>
      <c r="B1918" s="121"/>
      <c r="C1918" s="122"/>
      <c r="D1918" s="123"/>
      <c r="E1918" s="123"/>
      <c r="F1918" s="124"/>
      <c r="G1918" s="121"/>
      <c r="H1918" s="125"/>
      <c r="I1918" s="126"/>
      <c r="J1918" s="121"/>
      <c r="K1918" s="127"/>
      <c r="L1918" s="128"/>
      <c r="M1918" s="129"/>
      <c r="N1918" s="68"/>
      <c r="O1918" s="69"/>
      <c r="P1918" s="69"/>
      <c r="Q1918" s="69"/>
      <c r="R1918" s="69"/>
    </row>
    <row r="1919" spans="1:18">
      <c r="A1919" s="14"/>
      <c r="B1919" s="121"/>
      <c r="C1919" s="122"/>
      <c r="D1919" s="123"/>
      <c r="E1919" s="123"/>
      <c r="F1919" s="124"/>
      <c r="G1919" s="121"/>
      <c r="H1919" s="125"/>
      <c r="I1919" s="126"/>
      <c r="J1919" s="121"/>
      <c r="K1919" s="127"/>
      <c r="L1919" s="128"/>
      <c r="M1919" s="129"/>
      <c r="N1919" s="68"/>
      <c r="O1919" s="69"/>
      <c r="P1919" s="69"/>
      <c r="Q1919" s="69"/>
      <c r="R1919" s="69"/>
    </row>
    <row r="1920" spans="1:18">
      <c r="A1920" s="14"/>
      <c r="B1920" s="121"/>
      <c r="C1920" s="122"/>
      <c r="D1920" s="123"/>
      <c r="E1920" s="123"/>
      <c r="F1920" s="124"/>
      <c r="G1920" s="121"/>
      <c r="H1920" s="125"/>
      <c r="I1920" s="126"/>
      <c r="J1920" s="121"/>
      <c r="K1920" s="127"/>
      <c r="L1920" s="128"/>
      <c r="M1920" s="129"/>
      <c r="N1920" s="68"/>
      <c r="O1920" s="69"/>
      <c r="P1920" s="69"/>
      <c r="Q1920" s="69"/>
      <c r="R1920" s="69"/>
    </row>
    <row r="1921" spans="1:18">
      <c r="A1921" s="14"/>
      <c r="B1921" s="121"/>
      <c r="C1921" s="122"/>
      <c r="D1921" s="123"/>
      <c r="E1921" s="123"/>
      <c r="F1921" s="124"/>
      <c r="G1921" s="121"/>
      <c r="H1921" s="125"/>
      <c r="I1921" s="126"/>
      <c r="J1921" s="121"/>
      <c r="K1921" s="127"/>
      <c r="L1921" s="128"/>
      <c r="M1921" s="129"/>
      <c r="N1921" s="68"/>
      <c r="O1921" s="69"/>
      <c r="P1921" s="69"/>
      <c r="Q1921" s="69"/>
      <c r="R1921" s="69"/>
    </row>
    <row r="1922" spans="1:18">
      <c r="A1922" s="14"/>
      <c r="B1922" s="121"/>
      <c r="C1922" s="122"/>
      <c r="D1922" s="123"/>
      <c r="E1922" s="123"/>
      <c r="F1922" s="124"/>
      <c r="G1922" s="121"/>
      <c r="H1922" s="125"/>
      <c r="I1922" s="126"/>
      <c r="J1922" s="121"/>
      <c r="K1922" s="127"/>
      <c r="L1922" s="128"/>
      <c r="M1922" s="129"/>
      <c r="N1922" s="68"/>
      <c r="O1922" s="69"/>
      <c r="P1922" s="69"/>
      <c r="Q1922" s="69"/>
      <c r="R1922" s="69"/>
    </row>
    <row r="1923" spans="1:18">
      <c r="A1923" s="14"/>
      <c r="B1923" s="121"/>
      <c r="C1923" s="122"/>
      <c r="D1923" s="123"/>
      <c r="E1923" s="123"/>
      <c r="F1923" s="124"/>
      <c r="G1923" s="121"/>
      <c r="H1923" s="125"/>
      <c r="I1923" s="126"/>
      <c r="J1923" s="121"/>
      <c r="K1923" s="127"/>
      <c r="L1923" s="128"/>
      <c r="M1923" s="129"/>
      <c r="N1923" s="68"/>
      <c r="O1923" s="69"/>
      <c r="P1923" s="69"/>
      <c r="Q1923" s="69"/>
      <c r="R1923" s="69"/>
    </row>
    <row r="1924" spans="1:18">
      <c r="A1924" s="14"/>
      <c r="B1924" s="121"/>
      <c r="C1924" s="122"/>
      <c r="D1924" s="123"/>
      <c r="E1924" s="123"/>
      <c r="F1924" s="124"/>
      <c r="G1924" s="121"/>
      <c r="H1924" s="125"/>
      <c r="I1924" s="126"/>
      <c r="J1924" s="121"/>
      <c r="K1924" s="127"/>
      <c r="L1924" s="128"/>
      <c r="M1924" s="129"/>
      <c r="N1924" s="68"/>
      <c r="O1924" s="69"/>
      <c r="P1924" s="69"/>
      <c r="Q1924" s="69"/>
      <c r="R1924" s="69"/>
    </row>
    <row r="1925" spans="1:18">
      <c r="A1925" s="14"/>
      <c r="B1925" s="121"/>
      <c r="C1925" s="122"/>
      <c r="D1925" s="123"/>
      <c r="E1925" s="123"/>
      <c r="F1925" s="124"/>
      <c r="G1925" s="121"/>
      <c r="H1925" s="125"/>
      <c r="I1925" s="126"/>
      <c r="J1925" s="121"/>
      <c r="K1925" s="127"/>
      <c r="L1925" s="128"/>
      <c r="M1925" s="129"/>
      <c r="N1925" s="68"/>
      <c r="O1925" s="69"/>
      <c r="P1925" s="69"/>
      <c r="Q1925" s="69"/>
      <c r="R1925" s="69"/>
    </row>
    <row r="1926" spans="1:18">
      <c r="A1926" s="14"/>
      <c r="B1926" s="121"/>
      <c r="C1926" s="122"/>
      <c r="D1926" s="123"/>
      <c r="E1926" s="123"/>
      <c r="F1926" s="124"/>
      <c r="G1926" s="121"/>
      <c r="H1926" s="125"/>
      <c r="I1926" s="126"/>
      <c r="J1926" s="121"/>
      <c r="K1926" s="127"/>
      <c r="L1926" s="128"/>
      <c r="M1926" s="129"/>
      <c r="N1926" s="68"/>
      <c r="O1926" s="69"/>
      <c r="P1926" s="69"/>
      <c r="Q1926" s="69"/>
      <c r="R1926" s="69"/>
    </row>
    <row r="1927" spans="1:18">
      <c r="A1927" s="14"/>
      <c r="B1927" s="121"/>
      <c r="C1927" s="122"/>
      <c r="D1927" s="123"/>
      <c r="E1927" s="123"/>
      <c r="F1927" s="124"/>
      <c r="G1927" s="121"/>
      <c r="H1927" s="125"/>
      <c r="I1927" s="126"/>
      <c r="J1927" s="121"/>
      <c r="K1927" s="127"/>
      <c r="L1927" s="128"/>
      <c r="M1927" s="129"/>
      <c r="N1927" s="68"/>
      <c r="O1927" s="69"/>
      <c r="P1927" s="69"/>
      <c r="Q1927" s="69"/>
      <c r="R1927" s="69"/>
    </row>
    <row r="1928" spans="1:18">
      <c r="A1928" s="14"/>
      <c r="B1928" s="121"/>
      <c r="C1928" s="122"/>
      <c r="D1928" s="123"/>
      <c r="E1928" s="123"/>
      <c r="F1928" s="124"/>
      <c r="G1928" s="121"/>
      <c r="H1928" s="125"/>
      <c r="I1928" s="126"/>
      <c r="J1928" s="121"/>
      <c r="K1928" s="127"/>
      <c r="L1928" s="128"/>
      <c r="M1928" s="129"/>
      <c r="N1928" s="68"/>
      <c r="O1928" s="69"/>
      <c r="P1928" s="69"/>
      <c r="Q1928" s="69"/>
      <c r="R1928" s="69"/>
    </row>
    <row r="1929" spans="1:18">
      <c r="A1929" s="14"/>
      <c r="B1929" s="121"/>
      <c r="C1929" s="122"/>
      <c r="D1929" s="123"/>
      <c r="E1929" s="123"/>
      <c r="F1929" s="124"/>
      <c r="G1929" s="121"/>
      <c r="H1929" s="125"/>
      <c r="I1929" s="126"/>
      <c r="J1929" s="121"/>
      <c r="K1929" s="127"/>
      <c r="L1929" s="128"/>
      <c r="M1929" s="129"/>
      <c r="N1929" s="68"/>
      <c r="O1929" s="69"/>
      <c r="P1929" s="69"/>
      <c r="Q1929" s="69"/>
      <c r="R1929" s="69"/>
    </row>
    <row r="1930" spans="1:18">
      <c r="A1930" s="14"/>
      <c r="B1930" s="121"/>
      <c r="C1930" s="122"/>
      <c r="D1930" s="123"/>
      <c r="E1930" s="123"/>
      <c r="F1930" s="124"/>
      <c r="G1930" s="121"/>
      <c r="H1930" s="125"/>
      <c r="I1930" s="126"/>
      <c r="J1930" s="121"/>
      <c r="K1930" s="127"/>
      <c r="L1930" s="128"/>
      <c r="M1930" s="129"/>
      <c r="N1930" s="68"/>
      <c r="O1930" s="69"/>
      <c r="P1930" s="69"/>
      <c r="Q1930" s="69"/>
      <c r="R1930" s="69"/>
    </row>
    <row r="1931" spans="1:18">
      <c r="A1931" s="14"/>
      <c r="B1931" s="121"/>
      <c r="C1931" s="122"/>
      <c r="D1931" s="123"/>
      <c r="E1931" s="123"/>
      <c r="F1931" s="124"/>
      <c r="G1931" s="121"/>
      <c r="H1931" s="125"/>
      <c r="I1931" s="126"/>
      <c r="J1931" s="121"/>
      <c r="K1931" s="127"/>
      <c r="L1931" s="128"/>
      <c r="M1931" s="129"/>
      <c r="N1931" s="68"/>
      <c r="O1931" s="69"/>
      <c r="P1931" s="69"/>
      <c r="Q1931" s="69"/>
      <c r="R1931" s="69"/>
    </row>
    <row r="1932" spans="1:18">
      <c r="A1932" s="14"/>
      <c r="B1932" s="121"/>
      <c r="C1932" s="122"/>
      <c r="D1932" s="123"/>
      <c r="E1932" s="123"/>
      <c r="F1932" s="124"/>
      <c r="G1932" s="121"/>
      <c r="H1932" s="125"/>
      <c r="I1932" s="126"/>
      <c r="J1932" s="121"/>
      <c r="K1932" s="127"/>
      <c r="L1932" s="128"/>
      <c r="M1932" s="129"/>
      <c r="N1932" s="68"/>
      <c r="O1932" s="69"/>
      <c r="P1932" s="69"/>
      <c r="Q1932" s="69"/>
      <c r="R1932" s="69"/>
    </row>
    <row r="1933" spans="1:18">
      <c r="A1933" s="14"/>
      <c r="B1933" s="121"/>
      <c r="C1933" s="122"/>
      <c r="D1933" s="123"/>
      <c r="E1933" s="123"/>
      <c r="F1933" s="124"/>
      <c r="G1933" s="121"/>
      <c r="H1933" s="125"/>
      <c r="I1933" s="126"/>
      <c r="J1933" s="121"/>
      <c r="K1933" s="127"/>
      <c r="L1933" s="128"/>
      <c r="M1933" s="129"/>
      <c r="N1933" s="68"/>
      <c r="O1933" s="69"/>
      <c r="P1933" s="69"/>
      <c r="Q1933" s="69"/>
      <c r="R1933" s="69"/>
    </row>
    <row r="1934" spans="1:18">
      <c r="A1934" s="14"/>
      <c r="B1934" s="121"/>
      <c r="C1934" s="122"/>
      <c r="D1934" s="123"/>
      <c r="E1934" s="123"/>
      <c r="F1934" s="124"/>
      <c r="G1934" s="121"/>
      <c r="H1934" s="125"/>
      <c r="I1934" s="126"/>
      <c r="J1934" s="121"/>
      <c r="K1934" s="127"/>
      <c r="L1934" s="128"/>
      <c r="M1934" s="129"/>
      <c r="N1934" s="68"/>
      <c r="O1934" s="69"/>
      <c r="P1934" s="69"/>
      <c r="Q1934" s="69"/>
      <c r="R1934" s="69"/>
    </row>
    <row r="1935" spans="1:18">
      <c r="A1935" s="14"/>
      <c r="B1935" s="121"/>
      <c r="C1935" s="122"/>
      <c r="D1935" s="123"/>
      <c r="E1935" s="123"/>
      <c r="F1935" s="124"/>
      <c r="G1935" s="121"/>
      <c r="H1935" s="125"/>
      <c r="I1935" s="126"/>
      <c r="J1935" s="121"/>
      <c r="K1935" s="127"/>
      <c r="L1935" s="128"/>
      <c r="M1935" s="129"/>
      <c r="N1935" s="68"/>
      <c r="O1935" s="69"/>
      <c r="P1935" s="69"/>
      <c r="Q1935" s="69"/>
      <c r="R1935" s="69"/>
    </row>
    <row r="1936" spans="1:18">
      <c r="A1936" s="14"/>
      <c r="B1936" s="121"/>
      <c r="C1936" s="122"/>
      <c r="D1936" s="123"/>
      <c r="E1936" s="123"/>
      <c r="F1936" s="124"/>
      <c r="G1936" s="121"/>
      <c r="H1936" s="125"/>
      <c r="I1936" s="126"/>
      <c r="J1936" s="121"/>
      <c r="K1936" s="127"/>
      <c r="L1936" s="128"/>
      <c r="M1936" s="129"/>
      <c r="N1936" s="68"/>
      <c r="O1936" s="69"/>
      <c r="P1936" s="69"/>
      <c r="Q1936" s="69"/>
      <c r="R1936" s="69"/>
    </row>
    <row r="1937" spans="1:18">
      <c r="A1937" s="14"/>
      <c r="B1937" s="121"/>
      <c r="C1937" s="122"/>
      <c r="D1937" s="123"/>
      <c r="E1937" s="123"/>
      <c r="F1937" s="124"/>
      <c r="G1937" s="121"/>
      <c r="H1937" s="125"/>
      <c r="I1937" s="126"/>
      <c r="J1937" s="121"/>
      <c r="K1937" s="127"/>
      <c r="L1937" s="128"/>
      <c r="M1937" s="129"/>
      <c r="N1937" s="68"/>
      <c r="O1937" s="69"/>
      <c r="P1937" s="69"/>
      <c r="Q1937" s="69"/>
      <c r="R1937" s="69"/>
    </row>
    <row r="1938" spans="1:18">
      <c r="A1938" s="14"/>
      <c r="B1938" s="121"/>
      <c r="C1938" s="122"/>
      <c r="D1938" s="123"/>
      <c r="E1938" s="123"/>
      <c r="F1938" s="124"/>
      <c r="G1938" s="121"/>
      <c r="H1938" s="125"/>
      <c r="I1938" s="126"/>
      <c r="J1938" s="121"/>
      <c r="K1938" s="127"/>
      <c r="L1938" s="128"/>
      <c r="M1938" s="129"/>
      <c r="N1938" s="68"/>
      <c r="O1938" s="69"/>
      <c r="P1938" s="69"/>
      <c r="Q1938" s="69"/>
      <c r="R1938" s="69"/>
    </row>
    <row r="1939" spans="1:18">
      <c r="A1939" s="14"/>
      <c r="B1939" s="121"/>
      <c r="C1939" s="122"/>
      <c r="D1939" s="123"/>
      <c r="E1939" s="123"/>
      <c r="F1939" s="124"/>
      <c r="G1939" s="121"/>
      <c r="H1939" s="125"/>
      <c r="I1939" s="126"/>
      <c r="J1939" s="121"/>
      <c r="K1939" s="127"/>
      <c r="L1939" s="128"/>
      <c r="M1939" s="129"/>
      <c r="N1939" s="68"/>
      <c r="O1939" s="69"/>
      <c r="P1939" s="69"/>
      <c r="Q1939" s="69"/>
      <c r="R1939" s="69"/>
    </row>
    <row r="1940" spans="1:18">
      <c r="A1940" s="14"/>
      <c r="B1940" s="121"/>
      <c r="C1940" s="122"/>
      <c r="D1940" s="123"/>
      <c r="E1940" s="123"/>
      <c r="F1940" s="124"/>
      <c r="G1940" s="121"/>
      <c r="H1940" s="125"/>
      <c r="I1940" s="126"/>
      <c r="J1940" s="121"/>
      <c r="K1940" s="127"/>
      <c r="L1940" s="128"/>
      <c r="M1940" s="129"/>
      <c r="N1940" s="68"/>
      <c r="O1940" s="69"/>
      <c r="P1940" s="69"/>
      <c r="Q1940" s="69"/>
      <c r="R1940" s="69"/>
    </row>
    <row r="1941" spans="1:18">
      <c r="A1941" s="14"/>
      <c r="B1941" s="121"/>
      <c r="C1941" s="122"/>
      <c r="D1941" s="123"/>
      <c r="E1941" s="123"/>
      <c r="F1941" s="124"/>
      <c r="G1941" s="121"/>
      <c r="H1941" s="125"/>
      <c r="I1941" s="126"/>
      <c r="J1941" s="121"/>
      <c r="K1941" s="127"/>
      <c r="L1941" s="128"/>
      <c r="M1941" s="129"/>
      <c r="N1941" s="68"/>
      <c r="O1941" s="69"/>
      <c r="P1941" s="69"/>
      <c r="Q1941" s="69"/>
      <c r="R1941" s="69"/>
    </row>
    <row r="1942" spans="1:18">
      <c r="A1942" s="14"/>
      <c r="B1942" s="121"/>
      <c r="C1942" s="122"/>
      <c r="D1942" s="123"/>
      <c r="E1942" s="123"/>
      <c r="F1942" s="124"/>
      <c r="G1942" s="121"/>
      <c r="H1942" s="125"/>
      <c r="I1942" s="126"/>
      <c r="J1942" s="121"/>
      <c r="K1942" s="127"/>
      <c r="L1942" s="128"/>
      <c r="M1942" s="129"/>
      <c r="N1942" s="68"/>
      <c r="O1942" s="69"/>
      <c r="P1942" s="69"/>
      <c r="Q1942" s="69"/>
      <c r="R1942" s="69"/>
    </row>
    <row r="1943" spans="1:18">
      <c r="A1943" s="14"/>
      <c r="B1943" s="121"/>
      <c r="C1943" s="122"/>
      <c r="D1943" s="123"/>
      <c r="E1943" s="123"/>
      <c r="F1943" s="124"/>
      <c r="G1943" s="121"/>
      <c r="H1943" s="125"/>
      <c r="I1943" s="126"/>
      <c r="J1943" s="121"/>
      <c r="K1943" s="127"/>
      <c r="L1943" s="128"/>
      <c r="M1943" s="129"/>
      <c r="N1943" s="68"/>
      <c r="O1943" s="69"/>
      <c r="P1943" s="69"/>
      <c r="Q1943" s="69"/>
      <c r="R1943" s="69"/>
    </row>
    <row r="1944" spans="1:18">
      <c r="A1944" s="14"/>
      <c r="B1944" s="121"/>
      <c r="C1944" s="122"/>
      <c r="D1944" s="123"/>
      <c r="E1944" s="123"/>
      <c r="F1944" s="124"/>
      <c r="G1944" s="121"/>
      <c r="H1944" s="125"/>
      <c r="I1944" s="126"/>
      <c r="J1944" s="121"/>
      <c r="K1944" s="127"/>
      <c r="L1944" s="128"/>
      <c r="M1944" s="129"/>
      <c r="N1944" s="68"/>
      <c r="O1944" s="69"/>
      <c r="P1944" s="69"/>
      <c r="Q1944" s="69"/>
      <c r="R1944" s="69"/>
    </row>
    <row r="1945" spans="1:18">
      <c r="A1945" s="14"/>
      <c r="B1945" s="121"/>
      <c r="C1945" s="122"/>
      <c r="D1945" s="123"/>
      <c r="E1945" s="123"/>
      <c r="F1945" s="124"/>
      <c r="G1945" s="121"/>
      <c r="H1945" s="125"/>
      <c r="I1945" s="126"/>
      <c r="J1945" s="121"/>
      <c r="K1945" s="127"/>
      <c r="L1945" s="128"/>
      <c r="M1945" s="129"/>
      <c r="N1945" s="68"/>
      <c r="O1945" s="69"/>
      <c r="P1945" s="69"/>
      <c r="Q1945" s="69"/>
      <c r="R1945" s="69"/>
    </row>
    <row r="1946" spans="1:18">
      <c r="A1946" s="14"/>
      <c r="B1946" s="121"/>
      <c r="C1946" s="122"/>
      <c r="D1946" s="123"/>
      <c r="E1946" s="123"/>
      <c r="F1946" s="124"/>
      <c r="G1946" s="121"/>
      <c r="H1946" s="125"/>
      <c r="I1946" s="126"/>
      <c r="J1946" s="121"/>
      <c r="K1946" s="127"/>
      <c r="L1946" s="128"/>
      <c r="M1946" s="129"/>
      <c r="N1946" s="68"/>
      <c r="O1946" s="69"/>
      <c r="P1946" s="69"/>
      <c r="Q1946" s="69"/>
      <c r="R1946" s="69"/>
    </row>
    <row r="1947" spans="1:18">
      <c r="A1947" s="14"/>
      <c r="B1947" s="121"/>
      <c r="C1947" s="122"/>
      <c r="D1947" s="123"/>
      <c r="E1947" s="123"/>
      <c r="F1947" s="124"/>
      <c r="G1947" s="121"/>
      <c r="H1947" s="125"/>
      <c r="I1947" s="126"/>
      <c r="J1947" s="121"/>
      <c r="K1947" s="127"/>
      <c r="L1947" s="128"/>
      <c r="M1947" s="129"/>
      <c r="N1947" s="68"/>
      <c r="O1947" s="69"/>
      <c r="P1947" s="69"/>
      <c r="Q1947" s="69"/>
      <c r="R1947" s="69"/>
    </row>
    <row r="1948" spans="1:18">
      <c r="A1948" s="14"/>
      <c r="B1948" s="121"/>
      <c r="C1948" s="122"/>
      <c r="D1948" s="123"/>
      <c r="E1948" s="123"/>
      <c r="F1948" s="124"/>
      <c r="G1948" s="121"/>
      <c r="H1948" s="125"/>
      <c r="I1948" s="126"/>
      <c r="J1948" s="121"/>
      <c r="K1948" s="127"/>
      <c r="L1948" s="128"/>
      <c r="M1948" s="129"/>
      <c r="N1948" s="68"/>
      <c r="O1948" s="69"/>
      <c r="P1948" s="69"/>
      <c r="Q1948" s="69"/>
      <c r="R1948" s="69"/>
    </row>
    <row r="1949" spans="1:18">
      <c r="A1949" s="14"/>
      <c r="B1949" s="121"/>
      <c r="C1949" s="122"/>
      <c r="D1949" s="123"/>
      <c r="E1949" s="123"/>
      <c r="F1949" s="124"/>
      <c r="G1949" s="121"/>
      <c r="H1949" s="125"/>
      <c r="I1949" s="126"/>
      <c r="J1949" s="121"/>
      <c r="K1949" s="127"/>
      <c r="L1949" s="128"/>
      <c r="M1949" s="129"/>
      <c r="N1949" s="68"/>
      <c r="O1949" s="69"/>
      <c r="P1949" s="69"/>
      <c r="Q1949" s="69"/>
      <c r="R1949" s="69"/>
    </row>
    <row r="1950" spans="1:18">
      <c r="A1950" s="14"/>
      <c r="B1950" s="121"/>
      <c r="C1950" s="122"/>
      <c r="D1950" s="123"/>
      <c r="E1950" s="123"/>
      <c r="F1950" s="124"/>
      <c r="G1950" s="121"/>
      <c r="H1950" s="125"/>
      <c r="I1950" s="126"/>
      <c r="J1950" s="121"/>
      <c r="K1950" s="127"/>
      <c r="L1950" s="128"/>
      <c r="M1950" s="129"/>
      <c r="N1950" s="68"/>
      <c r="O1950" s="69"/>
      <c r="P1950" s="69"/>
      <c r="Q1950" s="69"/>
      <c r="R1950" s="69"/>
    </row>
    <row r="1951" spans="1:18">
      <c r="A1951" s="14"/>
      <c r="B1951" s="121"/>
      <c r="C1951" s="122"/>
      <c r="D1951" s="123"/>
      <c r="E1951" s="123"/>
      <c r="F1951" s="124"/>
      <c r="G1951" s="121"/>
      <c r="H1951" s="125"/>
      <c r="I1951" s="126"/>
      <c r="J1951" s="121"/>
      <c r="K1951" s="127"/>
      <c r="L1951" s="128"/>
      <c r="M1951" s="129"/>
      <c r="N1951" s="68"/>
      <c r="O1951" s="69"/>
      <c r="P1951" s="69"/>
      <c r="Q1951" s="69"/>
      <c r="R1951" s="69"/>
    </row>
    <row r="1952" spans="1:18">
      <c r="A1952" s="14"/>
      <c r="B1952" s="121"/>
      <c r="C1952" s="122"/>
      <c r="D1952" s="123"/>
      <c r="E1952" s="123"/>
      <c r="F1952" s="124"/>
      <c r="G1952" s="121"/>
      <c r="H1952" s="125"/>
      <c r="I1952" s="126"/>
      <c r="J1952" s="121"/>
      <c r="K1952" s="127"/>
      <c r="L1952" s="128"/>
      <c r="M1952" s="129"/>
      <c r="N1952" s="68"/>
      <c r="O1952" s="69"/>
      <c r="P1952" s="69"/>
      <c r="Q1952" s="69"/>
      <c r="R1952" s="69"/>
    </row>
    <row r="1953" spans="1:18">
      <c r="A1953" s="14"/>
      <c r="B1953" s="121"/>
      <c r="C1953" s="122"/>
      <c r="D1953" s="123"/>
      <c r="E1953" s="123"/>
      <c r="F1953" s="124"/>
      <c r="G1953" s="121"/>
      <c r="H1953" s="125"/>
      <c r="I1953" s="126"/>
      <c r="J1953" s="121"/>
      <c r="K1953" s="127"/>
      <c r="L1953" s="128"/>
      <c r="M1953" s="129"/>
      <c r="N1953" s="68"/>
      <c r="O1953" s="69"/>
      <c r="P1953" s="69"/>
      <c r="Q1953" s="69"/>
      <c r="R1953" s="69"/>
    </row>
    <row r="1954" spans="1:18">
      <c r="A1954" s="14"/>
      <c r="B1954" s="121"/>
      <c r="C1954" s="122"/>
      <c r="D1954" s="123"/>
      <c r="E1954" s="123"/>
      <c r="F1954" s="124"/>
      <c r="G1954" s="121"/>
      <c r="H1954" s="125"/>
      <c r="I1954" s="126"/>
      <c r="J1954" s="121"/>
      <c r="K1954" s="127"/>
      <c r="L1954" s="128"/>
      <c r="M1954" s="129"/>
      <c r="N1954" s="68"/>
      <c r="O1954" s="69"/>
      <c r="P1954" s="69"/>
      <c r="Q1954" s="69"/>
      <c r="R1954" s="69"/>
    </row>
    <row r="1955" spans="1:18">
      <c r="A1955" s="14"/>
      <c r="B1955" s="121"/>
      <c r="C1955" s="122"/>
      <c r="D1955" s="123"/>
      <c r="E1955" s="123"/>
      <c r="F1955" s="124"/>
      <c r="G1955" s="121"/>
      <c r="H1955" s="125"/>
      <c r="I1955" s="126"/>
      <c r="J1955" s="121"/>
      <c r="K1955" s="127"/>
      <c r="L1955" s="128"/>
      <c r="M1955" s="129"/>
      <c r="N1955" s="68"/>
      <c r="O1955" s="69"/>
      <c r="P1955" s="69"/>
      <c r="Q1955" s="69"/>
      <c r="R1955" s="69"/>
    </row>
    <row r="1956" spans="1:18">
      <c r="A1956" s="14"/>
      <c r="B1956" s="121"/>
      <c r="C1956" s="122"/>
      <c r="D1956" s="123"/>
      <c r="E1956" s="123"/>
      <c r="F1956" s="124"/>
      <c r="G1956" s="121"/>
      <c r="H1956" s="125"/>
      <c r="I1956" s="126"/>
      <c r="J1956" s="121"/>
      <c r="K1956" s="127"/>
      <c r="L1956" s="128"/>
      <c r="M1956" s="129"/>
      <c r="N1956" s="68"/>
      <c r="O1956" s="69"/>
      <c r="P1956" s="69"/>
      <c r="Q1956" s="69"/>
      <c r="R1956" s="69"/>
    </row>
    <row r="1957" spans="1:18">
      <c r="A1957" s="14"/>
      <c r="B1957" s="121"/>
      <c r="C1957" s="122"/>
      <c r="D1957" s="123"/>
      <c r="E1957" s="123"/>
      <c r="F1957" s="124"/>
      <c r="G1957" s="121"/>
      <c r="H1957" s="125"/>
      <c r="I1957" s="126"/>
      <c r="J1957" s="121"/>
      <c r="K1957" s="127"/>
      <c r="L1957" s="128"/>
      <c r="M1957" s="129"/>
      <c r="N1957" s="68"/>
      <c r="O1957" s="69"/>
      <c r="P1957" s="69"/>
      <c r="Q1957" s="69"/>
      <c r="R1957" s="69"/>
    </row>
    <row r="1958" spans="1:18">
      <c r="A1958" s="14"/>
      <c r="B1958" s="121"/>
      <c r="C1958" s="122"/>
      <c r="D1958" s="123"/>
      <c r="E1958" s="123"/>
      <c r="F1958" s="124"/>
      <c r="G1958" s="121"/>
      <c r="H1958" s="125"/>
      <c r="I1958" s="126"/>
      <c r="J1958" s="121"/>
      <c r="K1958" s="127"/>
      <c r="L1958" s="128"/>
      <c r="M1958" s="129"/>
      <c r="N1958" s="68"/>
      <c r="O1958" s="69"/>
      <c r="P1958" s="69"/>
      <c r="Q1958" s="69"/>
      <c r="R1958" s="69"/>
    </row>
    <row r="1959" spans="1:18">
      <c r="A1959" s="14"/>
      <c r="B1959" s="121"/>
      <c r="C1959" s="122"/>
      <c r="D1959" s="123"/>
      <c r="E1959" s="123"/>
      <c r="F1959" s="124"/>
      <c r="G1959" s="121"/>
      <c r="H1959" s="125"/>
      <c r="I1959" s="126"/>
      <c r="J1959" s="121"/>
      <c r="K1959" s="127"/>
      <c r="L1959" s="128"/>
      <c r="M1959" s="129"/>
      <c r="N1959" s="68"/>
      <c r="O1959" s="69"/>
      <c r="P1959" s="69"/>
      <c r="Q1959" s="69"/>
      <c r="R1959" s="69"/>
    </row>
    <row r="1960" spans="1:18">
      <c r="A1960" s="14"/>
      <c r="B1960" s="121"/>
      <c r="C1960" s="122"/>
      <c r="D1960" s="123"/>
      <c r="E1960" s="123"/>
      <c r="F1960" s="124"/>
      <c r="G1960" s="121"/>
      <c r="H1960" s="125"/>
      <c r="I1960" s="126"/>
      <c r="J1960" s="121"/>
      <c r="K1960" s="127"/>
      <c r="L1960" s="128"/>
      <c r="M1960" s="129"/>
      <c r="N1960" s="68"/>
      <c r="O1960" s="69"/>
      <c r="P1960" s="69"/>
      <c r="Q1960" s="69"/>
      <c r="R1960" s="69"/>
    </row>
    <row r="1961" spans="1:18">
      <c r="A1961" s="14"/>
      <c r="B1961" s="121"/>
      <c r="C1961" s="122"/>
      <c r="D1961" s="123"/>
      <c r="E1961" s="123"/>
      <c r="F1961" s="124"/>
      <c r="G1961" s="121"/>
      <c r="H1961" s="125"/>
      <c r="I1961" s="126"/>
      <c r="J1961" s="121"/>
      <c r="K1961" s="127"/>
      <c r="L1961" s="128"/>
      <c r="M1961" s="129"/>
      <c r="N1961" s="68"/>
      <c r="O1961" s="69"/>
      <c r="P1961" s="69"/>
      <c r="Q1961" s="69"/>
      <c r="R1961" s="69"/>
    </row>
    <row r="1962" spans="1:18">
      <c r="A1962" s="14"/>
      <c r="B1962" s="121"/>
      <c r="C1962" s="122"/>
      <c r="D1962" s="123"/>
      <c r="E1962" s="123"/>
      <c r="F1962" s="124"/>
      <c r="G1962" s="121"/>
      <c r="H1962" s="125"/>
      <c r="I1962" s="126"/>
      <c r="J1962" s="121"/>
      <c r="K1962" s="127"/>
      <c r="L1962" s="128"/>
      <c r="M1962" s="129"/>
      <c r="N1962" s="68"/>
      <c r="O1962" s="69"/>
      <c r="P1962" s="69"/>
      <c r="Q1962" s="69"/>
      <c r="R1962" s="69"/>
    </row>
    <row r="1963" spans="1:18">
      <c r="A1963" s="14"/>
      <c r="B1963" s="121"/>
      <c r="C1963" s="122"/>
      <c r="D1963" s="123"/>
      <c r="E1963" s="123"/>
      <c r="F1963" s="124"/>
      <c r="G1963" s="121"/>
      <c r="H1963" s="125"/>
      <c r="I1963" s="126"/>
      <c r="J1963" s="121"/>
      <c r="K1963" s="127"/>
      <c r="L1963" s="128"/>
      <c r="M1963" s="129"/>
      <c r="N1963" s="68"/>
      <c r="O1963" s="69"/>
      <c r="P1963" s="69"/>
      <c r="Q1963" s="69"/>
      <c r="R1963" s="69"/>
    </row>
    <row r="1964" spans="1:18">
      <c r="A1964" s="14"/>
      <c r="B1964" s="121"/>
      <c r="C1964" s="122"/>
      <c r="D1964" s="123"/>
      <c r="E1964" s="123"/>
      <c r="F1964" s="124"/>
      <c r="G1964" s="121"/>
      <c r="H1964" s="125"/>
      <c r="I1964" s="126"/>
      <c r="J1964" s="121"/>
      <c r="K1964" s="127"/>
      <c r="L1964" s="128"/>
      <c r="M1964" s="129"/>
      <c r="N1964" s="68"/>
      <c r="O1964" s="69"/>
      <c r="P1964" s="69"/>
      <c r="Q1964" s="69"/>
      <c r="R1964" s="69"/>
    </row>
    <row r="1965" spans="1:18">
      <c r="A1965" s="14"/>
      <c r="B1965" s="121"/>
      <c r="C1965" s="122"/>
      <c r="D1965" s="123"/>
      <c r="E1965" s="123"/>
      <c r="F1965" s="124"/>
      <c r="G1965" s="121"/>
      <c r="H1965" s="125"/>
      <c r="I1965" s="126"/>
      <c r="J1965" s="121"/>
      <c r="K1965" s="127"/>
      <c r="L1965" s="128"/>
      <c r="M1965" s="129"/>
      <c r="N1965" s="68"/>
      <c r="O1965" s="69"/>
      <c r="P1965" s="69"/>
      <c r="Q1965" s="69"/>
      <c r="R1965" s="69"/>
    </row>
    <row r="1966" spans="1:18">
      <c r="A1966" s="14"/>
      <c r="B1966" s="121"/>
      <c r="C1966" s="122"/>
      <c r="D1966" s="123"/>
      <c r="E1966" s="123"/>
      <c r="F1966" s="124"/>
      <c r="G1966" s="121"/>
      <c r="H1966" s="125"/>
      <c r="I1966" s="126"/>
      <c r="J1966" s="121"/>
      <c r="K1966" s="127"/>
      <c r="L1966" s="128"/>
      <c r="M1966" s="129"/>
      <c r="N1966" s="68"/>
      <c r="O1966" s="69"/>
      <c r="P1966" s="69"/>
      <c r="Q1966" s="69"/>
      <c r="R1966" s="69"/>
    </row>
    <row r="1967" spans="1:18">
      <c r="A1967" s="14"/>
      <c r="B1967" s="121"/>
      <c r="C1967" s="122"/>
      <c r="D1967" s="123"/>
      <c r="E1967" s="123"/>
      <c r="F1967" s="124"/>
      <c r="G1967" s="121"/>
      <c r="H1967" s="125"/>
      <c r="I1967" s="126"/>
      <c r="J1967" s="121"/>
      <c r="K1967" s="127"/>
      <c r="L1967" s="128"/>
      <c r="M1967" s="129"/>
      <c r="N1967" s="68"/>
      <c r="O1967" s="69"/>
      <c r="P1967" s="69"/>
      <c r="Q1967" s="69"/>
      <c r="R1967" s="69"/>
    </row>
    <row r="1968" spans="1:18">
      <c r="A1968" s="14"/>
      <c r="B1968" s="121"/>
      <c r="C1968" s="122"/>
      <c r="D1968" s="123"/>
      <c r="E1968" s="123"/>
      <c r="F1968" s="124"/>
      <c r="G1968" s="121"/>
      <c r="H1968" s="125"/>
      <c r="I1968" s="126"/>
      <c r="J1968" s="121"/>
      <c r="K1968" s="127"/>
      <c r="L1968" s="128"/>
      <c r="M1968" s="129"/>
      <c r="N1968" s="68"/>
      <c r="O1968" s="69"/>
      <c r="P1968" s="69"/>
      <c r="Q1968" s="69"/>
      <c r="R1968" s="69"/>
    </row>
    <row r="1969" spans="1:18">
      <c r="A1969" s="14"/>
      <c r="B1969" s="121"/>
      <c r="C1969" s="122"/>
      <c r="D1969" s="123"/>
      <c r="E1969" s="123"/>
      <c r="F1969" s="124"/>
      <c r="G1969" s="121"/>
      <c r="H1969" s="125"/>
      <c r="I1969" s="126"/>
      <c r="J1969" s="121"/>
      <c r="K1969" s="127"/>
      <c r="L1969" s="128"/>
      <c r="M1969" s="129"/>
      <c r="N1969" s="68"/>
      <c r="O1969" s="69"/>
      <c r="P1969" s="69"/>
      <c r="Q1969" s="69"/>
      <c r="R1969" s="69"/>
    </row>
    <row r="1970" spans="1:18">
      <c r="A1970" s="14"/>
      <c r="B1970" s="121"/>
      <c r="C1970" s="122"/>
      <c r="D1970" s="123"/>
      <c r="E1970" s="123"/>
      <c r="F1970" s="124"/>
      <c r="G1970" s="121"/>
      <c r="H1970" s="125"/>
      <c r="I1970" s="126"/>
      <c r="J1970" s="121"/>
      <c r="K1970" s="127"/>
      <c r="L1970" s="128"/>
      <c r="M1970" s="129"/>
      <c r="N1970" s="68"/>
      <c r="O1970" s="69"/>
      <c r="P1970" s="69"/>
      <c r="Q1970" s="69"/>
      <c r="R1970" s="69"/>
    </row>
    <row r="1971" spans="1:18">
      <c r="A1971" s="14"/>
      <c r="B1971" s="121"/>
      <c r="C1971" s="122"/>
      <c r="D1971" s="123"/>
      <c r="E1971" s="123"/>
      <c r="F1971" s="124"/>
      <c r="G1971" s="121"/>
      <c r="H1971" s="125"/>
      <c r="I1971" s="126"/>
      <c r="J1971" s="121"/>
      <c r="K1971" s="127"/>
      <c r="L1971" s="128"/>
      <c r="M1971" s="129"/>
      <c r="N1971" s="68"/>
      <c r="O1971" s="69"/>
      <c r="P1971" s="69"/>
      <c r="Q1971" s="69"/>
      <c r="R1971" s="69"/>
    </row>
    <row r="1972" spans="1:18">
      <c r="A1972" s="14"/>
      <c r="B1972" s="121"/>
      <c r="C1972" s="122"/>
      <c r="D1972" s="123"/>
      <c r="E1972" s="123"/>
      <c r="F1972" s="124"/>
      <c r="G1972" s="121"/>
      <c r="H1972" s="125"/>
      <c r="I1972" s="126"/>
      <c r="J1972" s="121"/>
      <c r="K1972" s="127"/>
      <c r="L1972" s="128"/>
      <c r="M1972" s="129"/>
      <c r="N1972" s="68"/>
      <c r="O1972" s="69"/>
      <c r="P1972" s="69"/>
      <c r="Q1972" s="69"/>
      <c r="R1972" s="69"/>
    </row>
    <row r="1973" spans="1:18">
      <c r="A1973" s="14"/>
      <c r="B1973" s="121"/>
      <c r="C1973" s="122"/>
      <c r="D1973" s="123"/>
      <c r="E1973" s="123"/>
      <c r="F1973" s="124"/>
      <c r="G1973" s="121"/>
      <c r="H1973" s="125"/>
      <c r="I1973" s="126"/>
      <c r="J1973" s="121"/>
      <c r="K1973" s="127"/>
      <c r="L1973" s="128"/>
      <c r="M1973" s="129"/>
      <c r="N1973" s="68"/>
      <c r="O1973" s="69"/>
      <c r="P1973" s="69"/>
      <c r="Q1973" s="69"/>
      <c r="R1973" s="69"/>
    </row>
    <row r="1974" spans="1:18">
      <c r="A1974" s="14"/>
      <c r="B1974" s="121"/>
      <c r="C1974" s="122"/>
      <c r="D1974" s="123"/>
      <c r="E1974" s="123"/>
      <c r="F1974" s="124"/>
      <c r="G1974" s="121"/>
      <c r="H1974" s="125"/>
      <c r="I1974" s="126"/>
      <c r="J1974" s="121"/>
      <c r="K1974" s="127"/>
      <c r="L1974" s="128"/>
      <c r="M1974" s="129"/>
      <c r="N1974" s="68"/>
      <c r="O1974" s="69"/>
      <c r="P1974" s="69"/>
      <c r="Q1974" s="69"/>
      <c r="R1974" s="69"/>
    </row>
    <row r="1975" spans="1:18">
      <c r="A1975" s="14"/>
      <c r="B1975" s="121"/>
      <c r="C1975" s="122"/>
      <c r="D1975" s="123"/>
      <c r="E1975" s="123"/>
      <c r="F1975" s="124"/>
      <c r="G1975" s="121"/>
      <c r="H1975" s="125"/>
      <c r="I1975" s="126"/>
      <c r="J1975" s="121"/>
      <c r="K1975" s="127"/>
      <c r="L1975" s="128"/>
      <c r="M1975" s="129"/>
      <c r="N1975" s="68"/>
      <c r="O1975" s="69"/>
      <c r="P1975" s="69"/>
      <c r="Q1975" s="69"/>
      <c r="R1975" s="69"/>
    </row>
    <row r="1976" spans="1:18">
      <c r="A1976" s="14"/>
      <c r="B1976" s="121"/>
      <c r="C1976" s="122"/>
      <c r="D1976" s="123"/>
      <c r="E1976" s="123"/>
      <c r="F1976" s="124"/>
      <c r="G1976" s="121"/>
      <c r="H1976" s="125"/>
      <c r="I1976" s="126"/>
      <c r="J1976" s="121"/>
      <c r="K1976" s="127"/>
      <c r="L1976" s="128"/>
      <c r="M1976" s="129"/>
      <c r="N1976" s="68"/>
      <c r="O1976" s="69"/>
      <c r="P1976" s="69"/>
      <c r="Q1976" s="69"/>
      <c r="R1976" s="69"/>
    </row>
    <row r="1977" spans="1:18">
      <c r="A1977" s="14"/>
      <c r="B1977" s="121"/>
      <c r="C1977" s="122"/>
      <c r="D1977" s="123"/>
      <c r="E1977" s="123"/>
      <c r="F1977" s="124"/>
      <c r="G1977" s="121"/>
      <c r="H1977" s="125"/>
      <c r="I1977" s="126"/>
      <c r="J1977" s="121"/>
      <c r="K1977" s="127"/>
      <c r="L1977" s="128"/>
      <c r="M1977" s="129"/>
      <c r="N1977" s="68"/>
      <c r="O1977" s="69"/>
      <c r="P1977" s="69"/>
      <c r="Q1977" s="69"/>
      <c r="R1977" s="69"/>
    </row>
    <row r="1978" spans="1:18">
      <c r="A1978" s="14"/>
      <c r="B1978" s="121"/>
      <c r="C1978" s="122"/>
      <c r="D1978" s="123"/>
      <c r="E1978" s="123"/>
      <c r="F1978" s="124"/>
      <c r="G1978" s="121"/>
      <c r="H1978" s="125"/>
      <c r="I1978" s="126"/>
      <c r="J1978" s="121"/>
      <c r="K1978" s="127"/>
      <c r="L1978" s="128"/>
      <c r="M1978" s="129"/>
      <c r="N1978" s="68"/>
      <c r="O1978" s="69"/>
      <c r="P1978" s="69"/>
      <c r="Q1978" s="69"/>
      <c r="R1978" s="69"/>
    </row>
    <row r="1979" spans="1:18">
      <c r="A1979" s="14"/>
      <c r="B1979" s="121"/>
      <c r="C1979" s="122"/>
      <c r="D1979" s="123"/>
      <c r="E1979" s="123"/>
      <c r="F1979" s="124"/>
      <c r="G1979" s="121"/>
      <c r="H1979" s="125"/>
      <c r="I1979" s="126"/>
      <c r="J1979" s="121"/>
      <c r="K1979" s="127"/>
      <c r="L1979" s="128"/>
      <c r="M1979" s="129"/>
      <c r="N1979" s="68"/>
      <c r="O1979" s="69"/>
      <c r="P1979" s="69"/>
      <c r="Q1979" s="69"/>
      <c r="R1979" s="69"/>
    </row>
    <row r="1980" spans="1:18">
      <c r="A1980" s="14"/>
      <c r="B1980" s="121"/>
      <c r="C1980" s="122"/>
      <c r="D1980" s="123"/>
      <c r="E1980" s="123"/>
      <c r="F1980" s="124"/>
      <c r="G1980" s="121"/>
      <c r="H1980" s="125"/>
      <c r="I1980" s="126"/>
      <c r="J1980" s="121"/>
      <c r="K1980" s="127"/>
      <c r="L1980" s="128"/>
      <c r="M1980" s="129"/>
      <c r="N1980" s="68"/>
      <c r="O1980" s="69"/>
      <c r="P1980" s="69"/>
      <c r="Q1980" s="69"/>
      <c r="R1980" s="69"/>
    </row>
    <row r="1981" spans="1:18">
      <c r="A1981" s="14"/>
      <c r="B1981" s="121"/>
      <c r="C1981" s="122"/>
      <c r="D1981" s="123"/>
      <c r="E1981" s="123"/>
      <c r="F1981" s="124"/>
      <c r="G1981" s="121"/>
      <c r="H1981" s="125"/>
      <c r="I1981" s="126"/>
      <c r="J1981" s="121"/>
      <c r="K1981" s="127"/>
      <c r="L1981" s="128"/>
      <c r="M1981" s="129"/>
      <c r="N1981" s="68"/>
      <c r="O1981" s="69"/>
      <c r="P1981" s="69"/>
      <c r="Q1981" s="69"/>
      <c r="R1981" s="69"/>
    </row>
    <row r="1982" spans="1:18">
      <c r="A1982" s="14"/>
      <c r="B1982" s="121"/>
      <c r="C1982" s="122"/>
      <c r="D1982" s="123"/>
      <c r="E1982" s="123"/>
      <c r="F1982" s="124"/>
      <c r="G1982" s="121"/>
      <c r="H1982" s="125"/>
      <c r="I1982" s="126"/>
      <c r="J1982" s="121"/>
      <c r="K1982" s="127"/>
      <c r="L1982" s="128"/>
      <c r="M1982" s="129"/>
      <c r="N1982" s="68"/>
      <c r="O1982" s="69"/>
      <c r="P1982" s="69"/>
      <c r="Q1982" s="69"/>
      <c r="R1982" s="69"/>
    </row>
    <row r="1983" spans="1:18">
      <c r="A1983" s="14"/>
      <c r="B1983" s="121"/>
      <c r="C1983" s="122"/>
      <c r="D1983" s="123"/>
      <c r="E1983" s="123"/>
      <c r="F1983" s="124"/>
      <c r="G1983" s="121"/>
      <c r="H1983" s="125"/>
      <c r="I1983" s="126"/>
      <c r="J1983" s="121"/>
      <c r="K1983" s="127"/>
      <c r="L1983" s="128"/>
      <c r="M1983" s="129"/>
      <c r="N1983" s="68"/>
      <c r="O1983" s="69"/>
      <c r="P1983" s="69"/>
      <c r="Q1983" s="69"/>
      <c r="R1983" s="69"/>
    </row>
    <row r="1984" spans="1:18">
      <c r="A1984" s="14"/>
      <c r="B1984" s="121"/>
      <c r="C1984" s="122"/>
      <c r="D1984" s="123"/>
      <c r="E1984" s="123"/>
      <c r="F1984" s="124"/>
      <c r="G1984" s="121"/>
      <c r="H1984" s="125"/>
      <c r="I1984" s="126"/>
      <c r="J1984" s="121"/>
      <c r="K1984" s="127"/>
      <c r="L1984" s="128"/>
      <c r="M1984" s="129"/>
      <c r="N1984" s="68"/>
      <c r="O1984" s="69"/>
      <c r="P1984" s="69"/>
      <c r="Q1984" s="69"/>
      <c r="R1984" s="69"/>
    </row>
    <row r="1985" spans="1:18">
      <c r="A1985" s="14"/>
      <c r="B1985" s="121"/>
      <c r="C1985" s="122"/>
      <c r="D1985" s="123"/>
      <c r="E1985" s="123"/>
      <c r="F1985" s="124"/>
      <c r="G1985" s="121"/>
      <c r="H1985" s="125"/>
      <c r="I1985" s="126"/>
      <c r="J1985" s="121"/>
      <c r="K1985" s="127"/>
      <c r="L1985" s="128"/>
      <c r="M1985" s="129"/>
      <c r="N1985" s="68"/>
      <c r="O1985" s="69"/>
      <c r="P1985" s="69"/>
      <c r="Q1985" s="69"/>
      <c r="R1985" s="69"/>
    </row>
    <row r="1986" spans="1:18">
      <c r="A1986" s="14"/>
      <c r="B1986" s="121"/>
      <c r="C1986" s="122"/>
      <c r="D1986" s="123"/>
      <c r="E1986" s="123"/>
      <c r="F1986" s="124"/>
      <c r="G1986" s="121"/>
      <c r="H1986" s="125"/>
      <c r="I1986" s="126"/>
      <c r="J1986" s="121"/>
      <c r="K1986" s="127"/>
      <c r="L1986" s="128"/>
      <c r="M1986" s="129"/>
      <c r="N1986" s="68"/>
      <c r="O1986" s="69"/>
      <c r="P1986" s="69"/>
      <c r="Q1986" s="69"/>
      <c r="R1986" s="69"/>
    </row>
    <row r="1987" spans="1:18">
      <c r="A1987" s="14"/>
      <c r="B1987" s="121"/>
      <c r="C1987" s="122"/>
      <c r="D1987" s="123"/>
      <c r="E1987" s="123"/>
      <c r="F1987" s="124"/>
      <c r="G1987" s="121"/>
      <c r="H1987" s="125"/>
      <c r="I1987" s="126"/>
      <c r="J1987" s="121"/>
      <c r="K1987" s="127"/>
      <c r="L1987" s="128"/>
      <c r="M1987" s="129"/>
      <c r="N1987" s="68"/>
      <c r="O1987" s="69"/>
      <c r="P1987" s="69"/>
      <c r="Q1987" s="69"/>
      <c r="R1987" s="69"/>
    </row>
    <row r="1988" spans="1:18">
      <c r="A1988" s="14"/>
      <c r="B1988" s="121"/>
      <c r="C1988" s="122"/>
      <c r="D1988" s="123"/>
      <c r="E1988" s="123"/>
      <c r="F1988" s="124"/>
      <c r="G1988" s="121"/>
      <c r="H1988" s="125"/>
      <c r="I1988" s="126"/>
      <c r="J1988" s="121"/>
      <c r="K1988" s="127"/>
      <c r="L1988" s="128"/>
      <c r="M1988" s="129"/>
      <c r="N1988" s="68"/>
      <c r="O1988" s="69"/>
      <c r="P1988" s="69"/>
      <c r="Q1988" s="69"/>
      <c r="R1988" s="69"/>
    </row>
    <row r="1989" spans="1:18">
      <c r="A1989" s="14"/>
      <c r="B1989" s="121"/>
      <c r="C1989" s="122"/>
      <c r="D1989" s="123"/>
      <c r="E1989" s="123"/>
      <c r="F1989" s="124"/>
      <c r="G1989" s="121"/>
      <c r="H1989" s="125"/>
      <c r="I1989" s="126"/>
      <c r="J1989" s="121"/>
      <c r="K1989" s="127"/>
      <c r="L1989" s="128"/>
      <c r="M1989" s="129"/>
      <c r="N1989" s="68"/>
      <c r="O1989" s="69"/>
      <c r="P1989" s="69"/>
      <c r="Q1989" s="69"/>
      <c r="R1989" s="69"/>
    </row>
    <row r="1990" spans="1:18">
      <c r="A1990" s="14"/>
      <c r="B1990" s="121"/>
      <c r="C1990" s="122"/>
      <c r="D1990" s="123"/>
      <c r="E1990" s="123"/>
      <c r="F1990" s="124"/>
      <c r="G1990" s="121"/>
      <c r="H1990" s="125"/>
      <c r="I1990" s="126"/>
      <c r="J1990" s="121"/>
      <c r="K1990" s="127"/>
      <c r="L1990" s="128"/>
      <c r="M1990" s="129"/>
      <c r="N1990" s="68"/>
      <c r="O1990" s="69"/>
      <c r="P1990" s="69"/>
      <c r="Q1990" s="69"/>
      <c r="R1990" s="69"/>
    </row>
    <row r="1991" spans="1:18">
      <c r="A1991" s="14"/>
      <c r="B1991" s="121"/>
      <c r="C1991" s="122"/>
      <c r="D1991" s="123"/>
      <c r="E1991" s="123"/>
      <c r="F1991" s="124"/>
      <c r="G1991" s="121"/>
      <c r="H1991" s="125"/>
      <c r="I1991" s="126"/>
      <c r="J1991" s="121"/>
      <c r="K1991" s="127"/>
      <c r="L1991" s="128"/>
      <c r="M1991" s="129"/>
      <c r="N1991" s="68"/>
      <c r="O1991" s="69"/>
      <c r="P1991" s="69"/>
      <c r="Q1991" s="69"/>
      <c r="R1991" s="69"/>
    </row>
    <row r="1992" spans="1:18">
      <c r="A1992" s="14"/>
      <c r="B1992" s="121"/>
      <c r="C1992" s="122"/>
      <c r="D1992" s="123"/>
      <c r="E1992" s="123"/>
      <c r="F1992" s="124"/>
      <c r="G1992" s="121"/>
      <c r="H1992" s="125"/>
      <c r="I1992" s="126"/>
      <c r="J1992" s="121"/>
      <c r="K1992" s="127"/>
      <c r="L1992" s="128"/>
      <c r="M1992" s="129"/>
      <c r="N1992" s="68"/>
      <c r="O1992" s="69"/>
      <c r="P1992" s="69"/>
      <c r="Q1992" s="69"/>
      <c r="R1992" s="69"/>
    </row>
    <row r="1993" spans="1:18">
      <c r="A1993" s="14"/>
      <c r="B1993" s="121"/>
      <c r="C1993" s="122"/>
      <c r="D1993" s="123"/>
      <c r="E1993" s="123"/>
      <c r="F1993" s="124"/>
      <c r="G1993" s="121"/>
      <c r="H1993" s="125"/>
      <c r="I1993" s="126"/>
      <c r="J1993" s="121"/>
      <c r="K1993" s="127"/>
      <c r="L1993" s="128"/>
      <c r="M1993" s="129"/>
      <c r="N1993" s="68"/>
      <c r="O1993" s="69"/>
      <c r="P1993" s="69"/>
      <c r="Q1993" s="69"/>
      <c r="R1993" s="69"/>
    </row>
    <row r="1994" spans="1:18">
      <c r="A1994" s="14"/>
      <c r="B1994" s="121"/>
      <c r="C1994" s="122"/>
      <c r="D1994" s="123"/>
      <c r="E1994" s="123"/>
      <c r="F1994" s="124"/>
      <c r="G1994" s="121"/>
      <c r="H1994" s="125"/>
      <c r="I1994" s="126"/>
      <c r="J1994" s="121"/>
      <c r="K1994" s="127"/>
      <c r="L1994" s="128"/>
      <c r="M1994" s="129"/>
      <c r="N1994" s="68"/>
      <c r="O1994" s="69"/>
      <c r="P1994" s="69"/>
      <c r="Q1994" s="69"/>
      <c r="R1994" s="69"/>
    </row>
    <row r="1995" spans="1:18">
      <c r="A1995" s="14"/>
      <c r="B1995" s="121"/>
      <c r="C1995" s="122"/>
      <c r="D1995" s="123"/>
      <c r="E1995" s="123"/>
      <c r="F1995" s="124"/>
      <c r="G1995" s="121"/>
      <c r="H1995" s="125"/>
      <c r="I1995" s="126"/>
      <c r="J1995" s="121"/>
      <c r="K1995" s="127"/>
      <c r="L1995" s="128"/>
      <c r="M1995" s="129"/>
      <c r="N1995" s="68"/>
      <c r="O1995" s="69"/>
      <c r="P1995" s="69"/>
      <c r="Q1995" s="69"/>
      <c r="R1995" s="69"/>
    </row>
    <row r="1996" spans="1:18">
      <c r="A1996" s="14"/>
      <c r="B1996" s="121"/>
      <c r="C1996" s="122"/>
      <c r="D1996" s="123"/>
      <c r="E1996" s="123"/>
      <c r="F1996" s="124"/>
      <c r="G1996" s="121"/>
      <c r="H1996" s="125"/>
      <c r="I1996" s="126"/>
      <c r="J1996" s="121"/>
      <c r="K1996" s="127"/>
      <c r="L1996" s="128"/>
      <c r="M1996" s="129"/>
      <c r="N1996" s="68"/>
      <c r="O1996" s="69"/>
      <c r="P1996" s="69"/>
      <c r="Q1996" s="69"/>
      <c r="R1996" s="69"/>
    </row>
    <row r="1997" spans="1:18">
      <c r="A1997" s="14"/>
      <c r="B1997" s="121"/>
      <c r="C1997" s="122"/>
      <c r="D1997" s="123"/>
      <c r="E1997" s="123"/>
      <c r="F1997" s="124"/>
      <c r="G1997" s="121"/>
      <c r="H1997" s="125"/>
      <c r="I1997" s="126"/>
      <c r="J1997" s="121"/>
      <c r="K1997" s="127"/>
      <c r="L1997" s="128"/>
      <c r="M1997" s="129"/>
      <c r="N1997" s="68"/>
      <c r="O1997" s="69"/>
      <c r="P1997" s="69"/>
      <c r="Q1997" s="69"/>
      <c r="R1997" s="69"/>
    </row>
    <row r="1998" spans="1:18">
      <c r="A1998" s="14"/>
      <c r="B1998" s="121"/>
      <c r="C1998" s="122"/>
      <c r="D1998" s="123"/>
      <c r="E1998" s="123"/>
      <c r="F1998" s="124"/>
      <c r="G1998" s="121"/>
      <c r="H1998" s="125"/>
      <c r="I1998" s="126"/>
      <c r="J1998" s="121"/>
      <c r="K1998" s="127"/>
      <c r="L1998" s="128"/>
      <c r="M1998" s="129"/>
      <c r="N1998" s="68"/>
      <c r="O1998" s="69"/>
      <c r="P1998" s="69"/>
      <c r="Q1998" s="69"/>
      <c r="R1998" s="69"/>
    </row>
    <row r="1999" spans="1:18">
      <c r="A1999" s="14"/>
      <c r="B1999" s="121"/>
      <c r="C1999" s="122"/>
      <c r="D1999" s="123"/>
      <c r="E1999" s="123"/>
      <c r="F1999" s="124"/>
      <c r="G1999" s="121"/>
      <c r="H1999" s="125"/>
      <c r="I1999" s="126"/>
      <c r="J1999" s="121"/>
      <c r="K1999" s="127"/>
      <c r="L1999" s="128"/>
      <c r="M1999" s="129"/>
      <c r="N1999" s="68"/>
      <c r="O1999" s="69"/>
      <c r="P1999" s="69"/>
      <c r="Q1999" s="69"/>
      <c r="R1999" s="69"/>
    </row>
    <row r="2000" spans="1:18">
      <c r="A2000" s="14"/>
      <c r="B2000" s="121"/>
      <c r="C2000" s="122"/>
      <c r="D2000" s="123"/>
      <c r="E2000" s="123"/>
      <c r="F2000" s="124"/>
      <c r="G2000" s="121"/>
      <c r="H2000" s="125"/>
      <c r="I2000" s="126"/>
      <c r="J2000" s="121"/>
      <c r="K2000" s="127"/>
      <c r="L2000" s="128"/>
      <c r="M2000" s="129"/>
      <c r="N2000" s="68"/>
      <c r="O2000" s="69"/>
      <c r="P2000" s="69"/>
      <c r="Q2000" s="69"/>
      <c r="R2000" s="69"/>
    </row>
    <row r="2001" spans="1:18">
      <c r="A2001" s="14"/>
      <c r="B2001" s="121"/>
      <c r="C2001" s="122"/>
      <c r="D2001" s="123"/>
      <c r="E2001" s="123"/>
      <c r="F2001" s="124"/>
      <c r="G2001" s="121"/>
      <c r="H2001" s="125"/>
      <c r="I2001" s="126"/>
      <c r="J2001" s="121"/>
      <c r="K2001" s="127"/>
      <c r="L2001" s="128"/>
      <c r="M2001" s="129"/>
      <c r="N2001" s="68"/>
      <c r="O2001" s="69"/>
      <c r="P2001" s="69"/>
      <c r="Q2001" s="69"/>
      <c r="R2001" s="69"/>
    </row>
    <row r="2002" spans="1:18">
      <c r="A2002" s="14"/>
      <c r="B2002" s="121"/>
      <c r="C2002" s="122"/>
      <c r="D2002" s="123"/>
      <c r="E2002" s="123"/>
      <c r="F2002" s="124"/>
      <c r="G2002" s="121"/>
      <c r="H2002" s="125"/>
      <c r="I2002" s="126"/>
      <c r="J2002" s="121"/>
      <c r="K2002" s="127"/>
      <c r="L2002" s="128"/>
      <c r="M2002" s="129"/>
      <c r="N2002" s="68"/>
      <c r="O2002" s="69"/>
      <c r="P2002" s="69"/>
      <c r="Q2002" s="69"/>
      <c r="R2002" s="69"/>
    </row>
    <row r="2003" spans="1:18">
      <c r="A2003" s="14"/>
      <c r="B2003" s="121"/>
      <c r="C2003" s="122"/>
      <c r="D2003" s="123"/>
      <c r="E2003" s="123"/>
      <c r="F2003" s="124"/>
      <c r="G2003" s="121"/>
      <c r="H2003" s="125"/>
      <c r="I2003" s="126"/>
      <c r="J2003" s="121"/>
      <c r="K2003" s="127"/>
      <c r="L2003" s="128"/>
      <c r="M2003" s="129"/>
      <c r="N2003" s="68"/>
      <c r="O2003" s="69"/>
      <c r="P2003" s="69"/>
      <c r="Q2003" s="69"/>
      <c r="R2003" s="69"/>
    </row>
    <row r="2004" spans="1:18">
      <c r="A2004" s="14"/>
      <c r="B2004" s="121"/>
      <c r="C2004" s="122"/>
      <c r="D2004" s="123"/>
      <c r="E2004" s="123"/>
      <c r="F2004" s="124"/>
      <c r="G2004" s="121"/>
      <c r="H2004" s="125"/>
      <c r="I2004" s="126"/>
      <c r="J2004" s="121"/>
      <c r="K2004" s="127"/>
      <c r="L2004" s="128"/>
      <c r="M2004" s="129"/>
      <c r="N2004" s="68"/>
      <c r="O2004" s="69"/>
      <c r="P2004" s="69"/>
      <c r="Q2004" s="69"/>
      <c r="R2004" s="69"/>
    </row>
    <row r="2005" spans="1:18">
      <c r="A2005" s="14"/>
      <c r="B2005" s="121"/>
      <c r="C2005" s="122"/>
      <c r="D2005" s="123"/>
      <c r="E2005" s="123"/>
      <c r="F2005" s="124"/>
      <c r="G2005" s="121"/>
      <c r="H2005" s="125"/>
      <c r="I2005" s="126"/>
      <c r="J2005" s="121"/>
      <c r="K2005" s="127"/>
      <c r="L2005" s="128"/>
      <c r="M2005" s="129"/>
      <c r="N2005" s="68"/>
      <c r="O2005" s="69"/>
      <c r="P2005" s="69"/>
      <c r="Q2005" s="69"/>
      <c r="R2005" s="69"/>
    </row>
    <row r="2006" spans="1:18">
      <c r="A2006" s="14"/>
      <c r="B2006" s="121"/>
      <c r="C2006" s="122"/>
      <c r="D2006" s="123"/>
      <c r="E2006" s="123"/>
      <c r="F2006" s="124"/>
      <c r="G2006" s="121"/>
      <c r="H2006" s="125"/>
      <c r="I2006" s="126"/>
      <c r="J2006" s="121"/>
      <c r="K2006" s="127"/>
      <c r="L2006" s="128"/>
      <c r="M2006" s="129"/>
      <c r="N2006" s="68"/>
      <c r="O2006" s="69"/>
      <c r="P2006" s="69"/>
      <c r="Q2006" s="69"/>
      <c r="R2006" s="69"/>
    </row>
    <row r="2007" spans="1:18">
      <c r="A2007" s="14"/>
      <c r="B2007" s="121"/>
      <c r="C2007" s="122"/>
      <c r="D2007" s="123"/>
      <c r="E2007" s="123"/>
      <c r="F2007" s="124"/>
      <c r="G2007" s="121"/>
      <c r="H2007" s="125"/>
      <c r="I2007" s="126"/>
      <c r="J2007" s="121"/>
      <c r="K2007" s="127"/>
      <c r="L2007" s="128"/>
      <c r="M2007" s="129"/>
      <c r="N2007" s="68"/>
      <c r="O2007" s="69"/>
      <c r="P2007" s="69"/>
      <c r="Q2007" s="69"/>
      <c r="R2007" s="69"/>
    </row>
    <row r="2008" spans="1:18">
      <c r="A2008" s="14"/>
      <c r="B2008" s="121"/>
      <c r="C2008" s="122"/>
      <c r="D2008" s="123"/>
      <c r="E2008" s="123"/>
      <c r="F2008" s="124"/>
      <c r="G2008" s="121"/>
      <c r="H2008" s="125"/>
      <c r="I2008" s="126"/>
      <c r="J2008" s="121"/>
      <c r="K2008" s="127"/>
      <c r="L2008" s="128"/>
      <c r="M2008" s="129"/>
      <c r="N2008" s="68"/>
      <c r="O2008" s="69"/>
      <c r="P2008" s="69"/>
      <c r="Q2008" s="69"/>
      <c r="R2008" s="69"/>
    </row>
    <row r="2009" spans="1:18">
      <c r="A2009" s="14"/>
      <c r="B2009" s="121"/>
      <c r="C2009" s="122"/>
      <c r="D2009" s="123"/>
      <c r="E2009" s="123"/>
      <c r="F2009" s="124"/>
      <c r="G2009" s="121"/>
      <c r="H2009" s="125"/>
      <c r="I2009" s="126"/>
      <c r="J2009" s="121"/>
      <c r="K2009" s="127"/>
      <c r="L2009" s="128"/>
      <c r="M2009" s="129"/>
      <c r="N2009" s="68"/>
      <c r="O2009" s="69"/>
      <c r="P2009" s="69"/>
      <c r="Q2009" s="69"/>
      <c r="R2009" s="69"/>
    </row>
    <row r="2010" spans="1:18">
      <c r="A2010" s="14"/>
      <c r="B2010" s="121"/>
      <c r="C2010" s="122"/>
      <c r="D2010" s="123"/>
      <c r="E2010" s="123"/>
      <c r="F2010" s="124"/>
      <c r="G2010" s="121"/>
      <c r="H2010" s="125"/>
      <c r="I2010" s="126"/>
      <c r="J2010" s="121"/>
      <c r="K2010" s="127"/>
      <c r="L2010" s="128"/>
      <c r="M2010" s="129"/>
      <c r="N2010" s="68"/>
      <c r="O2010" s="69"/>
      <c r="P2010" s="69"/>
      <c r="Q2010" s="69"/>
      <c r="R2010" s="69"/>
    </row>
    <row r="2011" spans="1:18">
      <c r="A2011" s="14"/>
      <c r="B2011" s="121"/>
      <c r="C2011" s="122"/>
      <c r="D2011" s="123"/>
      <c r="E2011" s="123"/>
      <c r="F2011" s="124"/>
      <c r="G2011" s="121"/>
      <c r="H2011" s="125"/>
      <c r="I2011" s="126"/>
      <c r="J2011" s="121"/>
      <c r="K2011" s="127"/>
      <c r="L2011" s="128"/>
      <c r="M2011" s="129"/>
      <c r="N2011" s="68"/>
      <c r="O2011" s="69"/>
      <c r="P2011" s="69"/>
      <c r="Q2011" s="69"/>
      <c r="R2011" s="69"/>
    </row>
    <row r="2012" spans="1:18">
      <c r="A2012" s="14"/>
      <c r="B2012" s="121"/>
      <c r="C2012" s="122"/>
      <c r="D2012" s="123"/>
      <c r="E2012" s="123"/>
      <c r="F2012" s="124"/>
      <c r="G2012" s="121"/>
      <c r="H2012" s="125"/>
      <c r="I2012" s="126"/>
      <c r="J2012" s="121"/>
      <c r="K2012" s="127"/>
      <c r="L2012" s="128"/>
      <c r="M2012" s="129"/>
      <c r="N2012" s="68"/>
      <c r="O2012" s="69"/>
      <c r="P2012" s="69"/>
      <c r="Q2012" s="69"/>
      <c r="R2012" s="69"/>
    </row>
    <row r="2013" spans="1:18">
      <c r="A2013" s="14"/>
      <c r="B2013" s="121"/>
      <c r="C2013" s="122"/>
      <c r="D2013" s="123"/>
      <c r="E2013" s="123"/>
      <c r="F2013" s="124"/>
      <c r="G2013" s="121"/>
      <c r="H2013" s="125"/>
      <c r="I2013" s="126"/>
      <c r="J2013" s="121"/>
      <c r="K2013" s="127"/>
      <c r="L2013" s="128"/>
      <c r="M2013" s="129"/>
      <c r="N2013" s="68"/>
      <c r="O2013" s="69"/>
      <c r="P2013" s="69"/>
      <c r="Q2013" s="69"/>
      <c r="R2013" s="69"/>
    </row>
    <row r="2014" spans="1:18">
      <c r="A2014" s="14"/>
      <c r="B2014" s="121"/>
      <c r="C2014" s="122"/>
      <c r="D2014" s="123"/>
      <c r="E2014" s="123"/>
      <c r="F2014" s="124"/>
      <c r="G2014" s="121"/>
      <c r="H2014" s="125"/>
      <c r="I2014" s="126"/>
      <c r="J2014" s="121"/>
      <c r="K2014" s="127"/>
      <c r="L2014" s="128"/>
      <c r="M2014" s="129"/>
      <c r="N2014" s="68"/>
      <c r="O2014" s="69"/>
      <c r="P2014" s="69"/>
      <c r="Q2014" s="69"/>
      <c r="R2014" s="69"/>
    </row>
    <row r="2015" spans="1:18">
      <c r="A2015" s="14"/>
      <c r="B2015" s="121"/>
      <c r="C2015" s="122"/>
      <c r="D2015" s="123"/>
      <c r="E2015" s="123"/>
      <c r="F2015" s="124"/>
      <c r="G2015" s="121"/>
      <c r="H2015" s="125"/>
      <c r="I2015" s="126"/>
      <c r="J2015" s="121"/>
      <c r="K2015" s="127"/>
      <c r="L2015" s="128"/>
      <c r="M2015" s="129"/>
      <c r="N2015" s="68"/>
      <c r="O2015" s="69"/>
      <c r="P2015" s="69"/>
      <c r="Q2015" s="69"/>
      <c r="R2015" s="69"/>
    </row>
    <row r="2016" spans="1:18">
      <c r="A2016" s="14"/>
      <c r="B2016" s="121"/>
      <c r="C2016" s="122"/>
      <c r="D2016" s="123"/>
      <c r="E2016" s="123"/>
      <c r="F2016" s="124"/>
      <c r="G2016" s="121"/>
      <c r="H2016" s="125"/>
      <c r="I2016" s="126"/>
      <c r="J2016" s="121"/>
      <c r="K2016" s="127"/>
      <c r="L2016" s="128"/>
      <c r="M2016" s="129"/>
      <c r="N2016" s="68"/>
      <c r="O2016" s="69"/>
      <c r="P2016" s="69"/>
      <c r="Q2016" s="69"/>
      <c r="R2016" s="69"/>
    </row>
    <row r="2017" spans="1:18">
      <c r="A2017" s="14"/>
      <c r="B2017" s="121"/>
      <c r="C2017" s="122"/>
      <c r="D2017" s="123"/>
      <c r="E2017" s="123"/>
      <c r="F2017" s="124"/>
      <c r="G2017" s="121"/>
      <c r="H2017" s="125"/>
      <c r="I2017" s="126"/>
      <c r="J2017" s="121"/>
      <c r="K2017" s="127"/>
      <c r="L2017" s="128"/>
      <c r="M2017" s="129"/>
      <c r="N2017" s="68"/>
      <c r="O2017" s="69"/>
      <c r="P2017" s="69"/>
      <c r="Q2017" s="69"/>
      <c r="R2017" s="69"/>
    </row>
    <row r="2018" spans="1:18">
      <c r="A2018" s="14"/>
      <c r="B2018" s="121"/>
      <c r="C2018" s="122"/>
      <c r="D2018" s="123"/>
      <c r="E2018" s="123"/>
      <c r="F2018" s="124"/>
      <c r="G2018" s="121"/>
      <c r="H2018" s="125"/>
      <c r="I2018" s="126"/>
      <c r="J2018" s="121"/>
      <c r="K2018" s="127"/>
      <c r="L2018" s="128"/>
      <c r="M2018" s="129"/>
      <c r="N2018" s="68"/>
      <c r="O2018" s="69"/>
      <c r="P2018" s="69"/>
      <c r="Q2018" s="69"/>
      <c r="R2018" s="69"/>
    </row>
    <row r="2019" spans="1:18">
      <c r="A2019" s="14"/>
      <c r="B2019" s="121"/>
      <c r="C2019" s="122"/>
      <c r="D2019" s="123"/>
      <c r="E2019" s="123"/>
      <c r="F2019" s="124"/>
      <c r="G2019" s="121"/>
      <c r="H2019" s="125"/>
      <c r="I2019" s="126"/>
      <c r="J2019" s="121"/>
      <c r="K2019" s="127"/>
      <c r="L2019" s="128"/>
      <c r="M2019" s="129"/>
      <c r="N2019" s="68"/>
      <c r="O2019" s="69"/>
      <c r="P2019" s="69"/>
      <c r="Q2019" s="69"/>
      <c r="R2019" s="69"/>
    </row>
    <row r="2020" spans="1:18">
      <c r="A2020" s="14"/>
      <c r="B2020" s="121"/>
      <c r="C2020" s="122"/>
      <c r="D2020" s="123"/>
      <c r="E2020" s="123"/>
      <c r="F2020" s="124"/>
      <c r="G2020" s="121"/>
      <c r="H2020" s="125"/>
      <c r="I2020" s="126"/>
      <c r="J2020" s="121"/>
      <c r="K2020" s="127"/>
      <c r="L2020" s="128"/>
      <c r="M2020" s="129"/>
      <c r="N2020" s="68"/>
      <c r="O2020" s="69"/>
      <c r="P2020" s="69"/>
      <c r="Q2020" s="69"/>
      <c r="R2020" s="69"/>
    </row>
    <row r="2021" spans="1:18">
      <c r="A2021" s="14"/>
      <c r="B2021" s="121"/>
      <c r="C2021" s="122"/>
      <c r="D2021" s="123"/>
      <c r="E2021" s="123"/>
      <c r="F2021" s="124"/>
      <c r="G2021" s="121"/>
      <c r="H2021" s="125"/>
      <c r="I2021" s="126"/>
      <c r="J2021" s="121"/>
      <c r="K2021" s="127"/>
      <c r="L2021" s="128"/>
      <c r="M2021" s="129"/>
      <c r="N2021" s="68"/>
      <c r="O2021" s="69"/>
      <c r="P2021" s="69"/>
      <c r="Q2021" s="69"/>
      <c r="R2021" s="69"/>
    </row>
    <row r="2022" spans="1:18">
      <c r="A2022" s="14"/>
      <c r="B2022" s="121"/>
      <c r="C2022" s="122"/>
      <c r="D2022" s="123"/>
      <c r="E2022" s="123"/>
      <c r="F2022" s="124"/>
      <c r="G2022" s="121"/>
      <c r="H2022" s="125"/>
      <c r="I2022" s="126"/>
      <c r="J2022" s="121"/>
      <c r="K2022" s="127"/>
      <c r="L2022" s="128"/>
      <c r="M2022" s="129"/>
      <c r="N2022" s="68"/>
      <c r="O2022" s="69"/>
      <c r="P2022" s="69"/>
      <c r="Q2022" s="69"/>
      <c r="R2022" s="69"/>
    </row>
    <row r="2023" spans="1:18">
      <c r="A2023" s="14"/>
      <c r="B2023" s="121"/>
      <c r="C2023" s="122"/>
      <c r="D2023" s="123"/>
      <c r="E2023" s="123"/>
      <c r="F2023" s="124"/>
      <c r="G2023" s="121"/>
      <c r="H2023" s="125"/>
      <c r="I2023" s="126"/>
      <c r="J2023" s="121"/>
      <c r="K2023" s="127"/>
      <c r="L2023" s="128"/>
      <c r="M2023" s="129"/>
      <c r="N2023" s="68"/>
      <c r="O2023" s="69"/>
      <c r="P2023" s="69"/>
      <c r="Q2023" s="69"/>
      <c r="R2023" s="69"/>
    </row>
    <row r="2024" spans="1:18">
      <c r="A2024" s="14"/>
      <c r="B2024" s="121"/>
      <c r="C2024" s="122"/>
      <c r="D2024" s="123"/>
      <c r="E2024" s="123"/>
      <c r="F2024" s="124"/>
      <c r="G2024" s="121"/>
      <c r="H2024" s="125"/>
      <c r="I2024" s="126"/>
      <c r="J2024" s="121"/>
      <c r="K2024" s="127"/>
      <c r="L2024" s="128"/>
      <c r="M2024" s="129"/>
      <c r="N2024" s="68"/>
      <c r="O2024" s="69"/>
      <c r="P2024" s="69"/>
      <c r="Q2024" s="69"/>
      <c r="R2024" s="69"/>
    </row>
    <row r="2025" spans="1:18">
      <c r="A2025" s="14"/>
      <c r="B2025" s="121"/>
      <c r="C2025" s="122"/>
      <c r="D2025" s="123"/>
      <c r="E2025" s="123"/>
      <c r="F2025" s="124"/>
      <c r="G2025" s="121"/>
      <c r="H2025" s="125"/>
      <c r="I2025" s="126"/>
      <c r="J2025" s="121"/>
      <c r="K2025" s="127"/>
      <c r="L2025" s="128"/>
      <c r="M2025" s="129"/>
      <c r="N2025" s="68"/>
      <c r="O2025" s="69"/>
      <c r="P2025" s="69"/>
      <c r="Q2025" s="69"/>
      <c r="R2025" s="69"/>
    </row>
    <row r="2026" spans="1:18">
      <c r="A2026" s="14"/>
      <c r="B2026" s="121"/>
      <c r="C2026" s="122"/>
      <c r="D2026" s="123"/>
      <c r="E2026" s="123"/>
      <c r="F2026" s="124"/>
      <c r="G2026" s="121"/>
      <c r="H2026" s="125"/>
      <c r="I2026" s="126"/>
      <c r="J2026" s="121"/>
      <c r="K2026" s="127"/>
      <c r="L2026" s="128"/>
      <c r="M2026" s="129"/>
      <c r="N2026" s="68"/>
      <c r="O2026" s="69"/>
      <c r="P2026" s="69"/>
      <c r="Q2026" s="69"/>
      <c r="R2026" s="69"/>
    </row>
    <row r="2027" spans="1:18">
      <c r="A2027" s="14"/>
      <c r="B2027" s="121"/>
      <c r="C2027" s="122"/>
      <c r="D2027" s="123"/>
      <c r="E2027" s="123"/>
      <c r="F2027" s="124"/>
      <c r="G2027" s="121"/>
      <c r="H2027" s="125"/>
      <c r="I2027" s="126"/>
      <c r="J2027" s="121"/>
      <c r="K2027" s="127"/>
      <c r="L2027" s="128"/>
      <c r="M2027" s="129"/>
      <c r="N2027" s="68"/>
      <c r="O2027" s="69"/>
      <c r="P2027" s="69"/>
      <c r="Q2027" s="69"/>
      <c r="R2027" s="69"/>
    </row>
    <row r="2028" spans="1:18">
      <c r="A2028" s="14"/>
      <c r="B2028" s="121"/>
      <c r="C2028" s="122"/>
      <c r="D2028" s="123"/>
      <c r="E2028" s="123"/>
      <c r="F2028" s="124"/>
      <c r="G2028" s="121"/>
      <c r="H2028" s="125"/>
      <c r="I2028" s="126"/>
      <c r="J2028" s="121"/>
      <c r="K2028" s="127"/>
      <c r="L2028" s="128"/>
      <c r="M2028" s="129"/>
      <c r="N2028" s="68"/>
      <c r="O2028" s="69"/>
      <c r="P2028" s="69"/>
      <c r="Q2028" s="69"/>
      <c r="R2028" s="69"/>
    </row>
    <row r="2029" spans="1:18">
      <c r="A2029" s="14"/>
      <c r="B2029" s="121"/>
      <c r="C2029" s="122"/>
      <c r="D2029" s="123"/>
      <c r="E2029" s="123"/>
      <c r="F2029" s="124"/>
      <c r="G2029" s="121"/>
      <c r="H2029" s="125"/>
      <c r="I2029" s="126"/>
      <c r="J2029" s="121"/>
      <c r="K2029" s="127"/>
      <c r="L2029" s="128"/>
      <c r="M2029" s="129"/>
      <c r="N2029" s="68"/>
      <c r="O2029" s="69"/>
      <c r="P2029" s="69"/>
      <c r="Q2029" s="69"/>
      <c r="R2029" s="69"/>
    </row>
    <row r="2030" spans="1:18">
      <c r="A2030" s="14"/>
      <c r="B2030" s="121"/>
      <c r="C2030" s="122"/>
      <c r="D2030" s="123"/>
      <c r="E2030" s="123"/>
      <c r="F2030" s="124"/>
      <c r="G2030" s="121"/>
      <c r="H2030" s="125"/>
      <c r="I2030" s="126"/>
      <c r="J2030" s="121"/>
      <c r="K2030" s="127"/>
      <c r="L2030" s="128"/>
      <c r="M2030" s="129"/>
      <c r="N2030" s="68"/>
      <c r="O2030" s="69"/>
      <c r="P2030" s="69"/>
      <c r="Q2030" s="69"/>
      <c r="R2030" s="69"/>
    </row>
    <row r="2031" spans="1:18">
      <c r="A2031" s="14"/>
      <c r="B2031" s="121"/>
      <c r="C2031" s="122"/>
      <c r="D2031" s="123"/>
      <c r="E2031" s="123"/>
      <c r="F2031" s="124"/>
      <c r="G2031" s="121"/>
      <c r="H2031" s="125"/>
      <c r="I2031" s="126"/>
      <c r="J2031" s="121"/>
      <c r="K2031" s="127"/>
      <c r="L2031" s="128"/>
      <c r="M2031" s="129"/>
      <c r="N2031" s="68"/>
      <c r="O2031" s="69"/>
      <c r="P2031" s="69"/>
      <c r="Q2031" s="69"/>
      <c r="R2031" s="69"/>
    </row>
    <row r="2032" spans="1:18">
      <c r="A2032" s="14"/>
      <c r="B2032" s="121"/>
      <c r="C2032" s="122"/>
      <c r="D2032" s="123"/>
      <c r="E2032" s="123"/>
      <c r="F2032" s="124"/>
      <c r="G2032" s="121"/>
      <c r="H2032" s="125"/>
      <c r="I2032" s="126"/>
      <c r="J2032" s="121"/>
      <c r="K2032" s="127"/>
      <c r="L2032" s="128"/>
      <c r="M2032" s="129"/>
      <c r="N2032" s="68"/>
      <c r="O2032" s="69"/>
      <c r="P2032" s="69"/>
      <c r="Q2032" s="69"/>
      <c r="R2032" s="69"/>
    </row>
    <row r="2033" spans="1:18">
      <c r="A2033" s="14"/>
      <c r="B2033" s="121"/>
      <c r="C2033" s="122"/>
      <c r="D2033" s="123"/>
      <c r="E2033" s="123"/>
      <c r="F2033" s="124"/>
      <c r="G2033" s="121"/>
      <c r="H2033" s="125"/>
      <c r="I2033" s="126"/>
      <c r="J2033" s="121"/>
      <c r="K2033" s="127"/>
      <c r="L2033" s="128"/>
      <c r="M2033" s="129"/>
      <c r="N2033" s="68"/>
      <c r="O2033" s="69"/>
      <c r="P2033" s="69"/>
      <c r="Q2033" s="69"/>
      <c r="R2033" s="69"/>
    </row>
    <row r="2034" spans="1:18">
      <c r="A2034" s="14"/>
      <c r="B2034" s="121"/>
      <c r="C2034" s="122"/>
      <c r="D2034" s="123"/>
      <c r="E2034" s="123"/>
      <c r="F2034" s="124"/>
      <c r="G2034" s="121"/>
      <c r="H2034" s="125"/>
      <c r="I2034" s="126"/>
      <c r="J2034" s="121"/>
      <c r="K2034" s="127"/>
      <c r="L2034" s="128"/>
      <c r="M2034" s="129"/>
      <c r="N2034" s="68"/>
      <c r="O2034" s="69"/>
      <c r="P2034" s="69"/>
      <c r="Q2034" s="69"/>
      <c r="R2034" s="69"/>
    </row>
    <row r="2035" spans="1:18">
      <c r="A2035" s="14"/>
      <c r="B2035" s="121"/>
      <c r="C2035" s="122"/>
      <c r="D2035" s="123"/>
      <c r="E2035" s="123"/>
      <c r="F2035" s="124"/>
      <c r="G2035" s="121"/>
      <c r="H2035" s="125"/>
      <c r="I2035" s="126"/>
      <c r="J2035" s="121"/>
      <c r="K2035" s="127"/>
      <c r="L2035" s="128"/>
      <c r="M2035" s="129"/>
      <c r="N2035" s="68"/>
      <c r="O2035" s="69"/>
      <c r="P2035" s="69"/>
      <c r="Q2035" s="69"/>
      <c r="R2035" s="69"/>
    </row>
    <row r="2036" spans="1:18">
      <c r="A2036" s="14"/>
      <c r="B2036" s="121"/>
      <c r="C2036" s="122"/>
      <c r="D2036" s="123"/>
      <c r="E2036" s="123"/>
      <c r="F2036" s="124"/>
      <c r="G2036" s="121"/>
      <c r="H2036" s="125"/>
      <c r="I2036" s="126"/>
      <c r="J2036" s="121"/>
      <c r="K2036" s="127"/>
      <c r="L2036" s="128"/>
      <c r="M2036" s="129"/>
      <c r="N2036" s="68"/>
      <c r="O2036" s="69"/>
      <c r="P2036" s="69"/>
      <c r="Q2036" s="69"/>
      <c r="R2036" s="69"/>
    </row>
    <row r="2037" spans="1:18">
      <c r="A2037" s="14"/>
      <c r="B2037" s="121"/>
      <c r="C2037" s="122"/>
      <c r="D2037" s="123"/>
      <c r="E2037" s="123"/>
      <c r="F2037" s="124"/>
      <c r="G2037" s="121"/>
      <c r="H2037" s="125"/>
      <c r="I2037" s="126"/>
      <c r="J2037" s="121"/>
      <c r="K2037" s="127"/>
      <c r="L2037" s="128"/>
      <c r="M2037" s="129"/>
      <c r="N2037" s="68"/>
      <c r="O2037" s="69"/>
      <c r="P2037" s="69"/>
      <c r="Q2037" s="69"/>
      <c r="R2037" s="69"/>
    </row>
    <row r="2038" spans="1:18">
      <c r="A2038" s="14"/>
      <c r="B2038" s="121"/>
      <c r="C2038" s="122"/>
      <c r="D2038" s="123"/>
      <c r="E2038" s="123"/>
      <c r="F2038" s="124"/>
      <c r="G2038" s="121"/>
      <c r="H2038" s="125"/>
      <c r="I2038" s="126"/>
      <c r="J2038" s="121"/>
      <c r="K2038" s="127"/>
      <c r="L2038" s="128"/>
      <c r="M2038" s="129"/>
      <c r="N2038" s="68"/>
      <c r="O2038" s="69"/>
      <c r="P2038" s="69"/>
      <c r="Q2038" s="69"/>
      <c r="R2038" s="69"/>
    </row>
    <row r="2039" spans="1:18">
      <c r="A2039" s="14"/>
      <c r="B2039" s="121"/>
      <c r="C2039" s="122"/>
      <c r="D2039" s="123"/>
      <c r="E2039" s="123"/>
      <c r="F2039" s="124"/>
      <c r="G2039" s="121"/>
      <c r="H2039" s="125"/>
      <c r="I2039" s="126"/>
      <c r="J2039" s="121"/>
      <c r="K2039" s="127"/>
      <c r="L2039" s="128"/>
      <c r="M2039" s="129"/>
      <c r="N2039" s="68"/>
      <c r="O2039" s="69"/>
      <c r="P2039" s="69"/>
      <c r="Q2039" s="69"/>
      <c r="R2039" s="69"/>
    </row>
    <row r="2040" spans="1:18">
      <c r="A2040" s="14"/>
      <c r="B2040" s="121"/>
      <c r="C2040" s="122"/>
      <c r="D2040" s="123"/>
      <c r="E2040" s="123"/>
      <c r="F2040" s="124"/>
      <c r="G2040" s="121"/>
      <c r="H2040" s="125"/>
      <c r="I2040" s="126"/>
      <c r="J2040" s="121"/>
      <c r="K2040" s="127"/>
      <c r="L2040" s="128"/>
      <c r="M2040" s="129"/>
      <c r="N2040" s="68"/>
      <c r="O2040" s="69"/>
      <c r="P2040" s="69"/>
      <c r="Q2040" s="69"/>
      <c r="R2040" s="69"/>
    </row>
    <row r="2041" spans="1:18">
      <c r="A2041" s="14"/>
      <c r="B2041" s="121"/>
      <c r="C2041" s="122"/>
      <c r="D2041" s="123"/>
      <c r="E2041" s="123"/>
      <c r="F2041" s="124"/>
      <c r="G2041" s="121"/>
      <c r="H2041" s="125"/>
      <c r="I2041" s="126"/>
      <c r="J2041" s="121"/>
      <c r="K2041" s="127"/>
      <c r="L2041" s="128"/>
      <c r="M2041" s="129"/>
      <c r="N2041" s="68"/>
      <c r="O2041" s="69"/>
      <c r="P2041" s="69"/>
      <c r="Q2041" s="69"/>
      <c r="R2041" s="69"/>
    </row>
    <row r="2042" spans="1:18">
      <c r="A2042" s="14"/>
      <c r="B2042" s="121"/>
      <c r="C2042" s="122"/>
      <c r="D2042" s="123"/>
      <c r="E2042" s="123"/>
      <c r="F2042" s="124"/>
      <c r="G2042" s="121"/>
      <c r="H2042" s="125"/>
      <c r="I2042" s="126"/>
      <c r="J2042" s="121"/>
      <c r="K2042" s="127"/>
      <c r="L2042" s="128"/>
      <c r="M2042" s="129"/>
      <c r="N2042" s="68"/>
      <c r="O2042" s="69"/>
      <c r="P2042" s="69"/>
      <c r="Q2042" s="69"/>
      <c r="R2042" s="69"/>
    </row>
    <row r="2043" spans="1:18">
      <c r="A2043" s="14"/>
      <c r="B2043" s="121"/>
      <c r="C2043" s="122"/>
      <c r="D2043" s="123"/>
      <c r="E2043" s="123"/>
      <c r="F2043" s="124"/>
      <c r="G2043" s="121"/>
      <c r="H2043" s="125"/>
      <c r="I2043" s="126"/>
      <c r="J2043" s="121"/>
      <c r="K2043" s="127"/>
      <c r="L2043" s="128"/>
      <c r="M2043" s="129"/>
      <c r="N2043" s="68"/>
      <c r="O2043" s="69"/>
      <c r="P2043" s="69"/>
      <c r="Q2043" s="69"/>
      <c r="R2043" s="69"/>
    </row>
    <row r="2044" spans="1:18">
      <c r="A2044" s="14"/>
      <c r="B2044" s="121"/>
      <c r="C2044" s="122"/>
      <c r="D2044" s="123"/>
      <c r="E2044" s="123"/>
      <c r="F2044" s="124"/>
      <c r="G2044" s="121"/>
      <c r="H2044" s="125"/>
      <c r="I2044" s="126"/>
      <c r="J2044" s="121"/>
      <c r="K2044" s="127"/>
      <c r="L2044" s="128"/>
      <c r="M2044" s="129"/>
      <c r="N2044" s="68"/>
      <c r="O2044" s="69"/>
      <c r="P2044" s="69"/>
      <c r="Q2044" s="69"/>
      <c r="R2044" s="69"/>
    </row>
    <row r="2045" spans="1:18">
      <c r="A2045" s="14"/>
      <c r="B2045" s="121"/>
      <c r="C2045" s="122"/>
      <c r="D2045" s="123"/>
      <c r="E2045" s="123"/>
      <c r="F2045" s="124"/>
      <c r="G2045" s="121"/>
      <c r="H2045" s="125"/>
      <c r="I2045" s="126"/>
      <c r="J2045" s="121"/>
      <c r="K2045" s="127"/>
      <c r="L2045" s="128"/>
      <c r="M2045" s="129"/>
      <c r="N2045" s="68"/>
      <c r="O2045" s="69"/>
      <c r="P2045" s="69"/>
      <c r="Q2045" s="69"/>
      <c r="R2045" s="69"/>
    </row>
    <row r="2046" spans="1:18">
      <c r="A2046" s="14"/>
      <c r="B2046" s="121"/>
      <c r="C2046" s="122"/>
      <c r="D2046" s="123"/>
      <c r="E2046" s="123"/>
      <c r="F2046" s="124"/>
      <c r="G2046" s="121"/>
      <c r="H2046" s="125"/>
      <c r="I2046" s="126"/>
      <c r="J2046" s="121"/>
      <c r="K2046" s="127"/>
      <c r="L2046" s="128"/>
      <c r="M2046" s="129"/>
      <c r="N2046" s="68"/>
      <c r="O2046" s="69"/>
      <c r="P2046" s="69"/>
      <c r="Q2046" s="69"/>
      <c r="R2046" s="69"/>
    </row>
    <row r="2047" spans="1:18">
      <c r="A2047" s="14"/>
      <c r="B2047" s="121"/>
      <c r="C2047" s="122"/>
      <c r="D2047" s="123"/>
      <c r="E2047" s="123"/>
      <c r="F2047" s="124"/>
      <c r="G2047" s="121"/>
      <c r="H2047" s="125"/>
      <c r="I2047" s="126"/>
      <c r="J2047" s="121"/>
      <c r="K2047" s="127"/>
      <c r="L2047" s="128"/>
      <c r="M2047" s="129"/>
      <c r="N2047" s="68"/>
      <c r="O2047" s="69"/>
      <c r="P2047" s="69"/>
      <c r="Q2047" s="69"/>
      <c r="R2047" s="69"/>
    </row>
    <row r="2048" spans="1:18">
      <c r="A2048" s="14"/>
      <c r="B2048" s="121"/>
      <c r="C2048" s="122"/>
      <c r="D2048" s="123"/>
      <c r="E2048" s="123"/>
      <c r="F2048" s="124"/>
      <c r="G2048" s="121"/>
      <c r="H2048" s="125"/>
      <c r="I2048" s="126"/>
      <c r="J2048" s="121"/>
      <c r="K2048" s="127"/>
      <c r="L2048" s="128"/>
      <c r="M2048" s="129"/>
      <c r="N2048" s="68"/>
      <c r="O2048" s="69"/>
      <c r="P2048" s="69"/>
      <c r="Q2048" s="69"/>
      <c r="R2048" s="69"/>
    </row>
    <row r="2049" spans="1:18">
      <c r="A2049" s="14"/>
      <c r="B2049" s="121"/>
      <c r="C2049" s="122"/>
      <c r="D2049" s="123"/>
      <c r="E2049" s="123"/>
      <c r="F2049" s="124"/>
      <c r="G2049" s="121"/>
      <c r="H2049" s="125"/>
      <c r="I2049" s="126"/>
      <c r="J2049" s="121"/>
      <c r="K2049" s="127"/>
      <c r="L2049" s="128"/>
      <c r="M2049" s="129"/>
      <c r="N2049" s="68"/>
      <c r="O2049" s="69"/>
      <c r="P2049" s="69"/>
      <c r="Q2049" s="69"/>
      <c r="R2049" s="69"/>
    </row>
    <row r="2050" spans="1:18">
      <c r="A2050" s="14"/>
      <c r="B2050" s="121"/>
      <c r="C2050" s="122"/>
      <c r="D2050" s="123"/>
      <c r="E2050" s="123"/>
      <c r="F2050" s="124"/>
      <c r="G2050" s="121"/>
      <c r="H2050" s="125"/>
      <c r="I2050" s="126"/>
      <c r="J2050" s="121"/>
      <c r="K2050" s="127"/>
      <c r="L2050" s="128"/>
      <c r="M2050" s="129"/>
      <c r="N2050" s="68"/>
      <c r="O2050" s="69"/>
      <c r="P2050" s="69"/>
      <c r="Q2050" s="69"/>
      <c r="R2050" s="69"/>
    </row>
    <row r="2051" spans="1:18">
      <c r="A2051" s="14"/>
      <c r="B2051" s="121"/>
      <c r="C2051" s="122"/>
      <c r="D2051" s="123"/>
      <c r="E2051" s="123"/>
      <c r="F2051" s="124"/>
      <c r="G2051" s="121"/>
      <c r="H2051" s="125"/>
      <c r="I2051" s="126"/>
      <c r="J2051" s="121"/>
      <c r="K2051" s="127"/>
      <c r="L2051" s="128"/>
      <c r="M2051" s="129"/>
      <c r="N2051" s="68"/>
      <c r="O2051" s="69"/>
      <c r="P2051" s="69"/>
      <c r="Q2051" s="69"/>
      <c r="R2051" s="69"/>
    </row>
    <row r="2052" spans="1:18">
      <c r="A2052" s="14"/>
      <c r="B2052" s="121"/>
      <c r="C2052" s="122"/>
      <c r="D2052" s="123"/>
      <c r="E2052" s="123"/>
      <c r="F2052" s="124"/>
      <c r="G2052" s="121"/>
      <c r="H2052" s="125"/>
      <c r="I2052" s="126"/>
      <c r="J2052" s="121"/>
      <c r="K2052" s="127"/>
      <c r="L2052" s="128"/>
      <c r="M2052" s="129"/>
      <c r="N2052" s="68"/>
      <c r="O2052" s="69"/>
      <c r="P2052" s="69"/>
      <c r="Q2052" s="69"/>
      <c r="R2052" s="69"/>
    </row>
    <row r="2053" spans="1:18">
      <c r="A2053" s="14"/>
      <c r="B2053" s="121"/>
      <c r="C2053" s="122"/>
      <c r="D2053" s="123"/>
      <c r="E2053" s="123"/>
      <c r="F2053" s="124"/>
      <c r="G2053" s="121"/>
      <c r="H2053" s="125"/>
      <c r="I2053" s="126"/>
      <c r="J2053" s="121"/>
      <c r="K2053" s="127"/>
      <c r="L2053" s="128"/>
      <c r="M2053" s="129"/>
      <c r="N2053" s="68"/>
      <c r="O2053" s="69"/>
      <c r="P2053" s="69"/>
      <c r="Q2053" s="69"/>
      <c r="R2053" s="69"/>
    </row>
    <row r="2054" spans="1:18">
      <c r="A2054" s="14"/>
      <c r="B2054" s="121"/>
      <c r="C2054" s="122"/>
      <c r="D2054" s="123"/>
      <c r="E2054" s="123"/>
      <c r="F2054" s="124"/>
      <c r="G2054" s="121"/>
      <c r="H2054" s="125"/>
      <c r="I2054" s="126"/>
      <c r="J2054" s="121"/>
      <c r="K2054" s="127"/>
      <c r="L2054" s="128"/>
      <c r="M2054" s="129"/>
      <c r="N2054" s="68"/>
      <c r="O2054" s="69"/>
      <c r="P2054" s="69"/>
      <c r="Q2054" s="69"/>
      <c r="R2054" s="69"/>
    </row>
    <row r="2055" spans="1:18">
      <c r="A2055" s="14"/>
      <c r="B2055" s="121"/>
      <c r="C2055" s="122"/>
      <c r="D2055" s="123"/>
      <c r="E2055" s="123"/>
      <c r="F2055" s="124"/>
      <c r="G2055" s="121"/>
      <c r="H2055" s="125"/>
      <c r="I2055" s="126"/>
      <c r="J2055" s="121"/>
      <c r="K2055" s="127"/>
      <c r="L2055" s="128"/>
      <c r="M2055" s="129"/>
      <c r="N2055" s="68"/>
      <c r="O2055" s="69"/>
      <c r="P2055" s="69"/>
      <c r="Q2055" s="69"/>
      <c r="R2055" s="69"/>
    </row>
    <row r="2056" spans="1:18">
      <c r="A2056" s="14"/>
      <c r="B2056" s="121"/>
      <c r="C2056" s="122"/>
      <c r="D2056" s="123"/>
      <c r="E2056" s="123"/>
      <c r="F2056" s="124"/>
      <c r="G2056" s="121"/>
      <c r="H2056" s="125"/>
      <c r="I2056" s="126"/>
      <c r="J2056" s="121"/>
      <c r="K2056" s="127"/>
      <c r="L2056" s="128"/>
      <c r="M2056" s="129"/>
      <c r="N2056" s="68"/>
      <c r="O2056" s="69"/>
      <c r="P2056" s="69"/>
      <c r="Q2056" s="69"/>
      <c r="R2056" s="69"/>
    </row>
    <row r="2057" spans="1:18">
      <c r="A2057" s="14"/>
      <c r="B2057" s="121"/>
      <c r="C2057" s="122"/>
      <c r="D2057" s="123"/>
      <c r="E2057" s="123"/>
      <c r="F2057" s="124"/>
      <c r="G2057" s="121"/>
      <c r="H2057" s="125"/>
      <c r="I2057" s="126"/>
      <c r="J2057" s="121"/>
      <c r="K2057" s="127"/>
      <c r="L2057" s="128"/>
      <c r="M2057" s="129"/>
      <c r="N2057" s="68"/>
      <c r="O2057" s="69"/>
      <c r="P2057" s="69"/>
      <c r="Q2057" s="69"/>
      <c r="R2057" s="69"/>
    </row>
    <row r="2058" spans="1:18">
      <c r="A2058" s="14"/>
      <c r="B2058" s="121"/>
      <c r="C2058" s="122"/>
      <c r="D2058" s="123"/>
      <c r="E2058" s="123"/>
      <c r="F2058" s="124"/>
      <c r="G2058" s="121"/>
      <c r="H2058" s="125"/>
      <c r="I2058" s="126"/>
      <c r="J2058" s="121"/>
      <c r="K2058" s="127"/>
      <c r="L2058" s="128"/>
      <c r="M2058" s="129"/>
      <c r="N2058" s="68"/>
      <c r="O2058" s="69"/>
      <c r="P2058" s="69"/>
      <c r="Q2058" s="69"/>
      <c r="R2058" s="69"/>
    </row>
    <row r="2059" spans="1:18">
      <c r="A2059" s="14"/>
      <c r="B2059" s="121"/>
      <c r="C2059" s="122"/>
      <c r="D2059" s="123"/>
      <c r="E2059" s="123"/>
      <c r="F2059" s="124"/>
      <c r="G2059" s="121"/>
      <c r="H2059" s="125"/>
      <c r="I2059" s="126"/>
      <c r="J2059" s="121"/>
      <c r="K2059" s="127"/>
      <c r="L2059" s="128"/>
      <c r="M2059" s="129"/>
      <c r="N2059" s="68"/>
      <c r="O2059" s="69"/>
      <c r="P2059" s="69"/>
      <c r="Q2059" s="69"/>
      <c r="R2059" s="69"/>
    </row>
    <row r="2060" spans="1:18">
      <c r="A2060" s="14"/>
      <c r="B2060" s="121"/>
      <c r="C2060" s="122"/>
      <c r="D2060" s="123"/>
      <c r="E2060" s="123"/>
      <c r="F2060" s="124"/>
      <c r="G2060" s="121"/>
      <c r="H2060" s="125"/>
      <c r="I2060" s="126"/>
      <c r="J2060" s="121"/>
      <c r="K2060" s="127"/>
      <c r="L2060" s="128"/>
      <c r="M2060" s="129"/>
      <c r="N2060" s="68"/>
      <c r="O2060" s="69"/>
      <c r="P2060" s="69"/>
      <c r="Q2060" s="69"/>
      <c r="R2060" s="69"/>
    </row>
    <row r="2061" spans="1:18">
      <c r="A2061" s="14"/>
      <c r="B2061" s="121"/>
      <c r="C2061" s="122"/>
      <c r="D2061" s="123"/>
      <c r="E2061" s="123"/>
      <c r="F2061" s="124"/>
      <c r="G2061" s="121"/>
      <c r="H2061" s="125"/>
      <c r="I2061" s="126"/>
      <c r="J2061" s="121"/>
      <c r="K2061" s="127"/>
      <c r="L2061" s="128"/>
      <c r="M2061" s="129"/>
      <c r="N2061" s="68"/>
      <c r="O2061" s="69"/>
      <c r="P2061" s="69"/>
      <c r="Q2061" s="69"/>
      <c r="R2061" s="69"/>
    </row>
    <row r="2062" spans="1:18">
      <c r="A2062" s="14"/>
      <c r="B2062" s="121"/>
      <c r="C2062" s="122"/>
      <c r="D2062" s="123"/>
      <c r="E2062" s="123"/>
      <c r="F2062" s="124"/>
      <c r="G2062" s="121"/>
      <c r="H2062" s="125"/>
      <c r="I2062" s="126"/>
      <c r="J2062" s="121"/>
      <c r="K2062" s="127"/>
      <c r="L2062" s="128"/>
      <c r="M2062" s="129"/>
      <c r="N2062" s="68"/>
      <c r="O2062" s="69"/>
      <c r="P2062" s="69"/>
      <c r="Q2062" s="69"/>
      <c r="R2062" s="69"/>
    </row>
    <row r="2063" spans="1:18">
      <c r="A2063" s="14"/>
      <c r="B2063" s="121"/>
      <c r="C2063" s="122"/>
      <c r="D2063" s="123"/>
      <c r="E2063" s="123"/>
      <c r="F2063" s="124"/>
      <c r="G2063" s="121"/>
      <c r="H2063" s="125"/>
      <c r="I2063" s="126"/>
      <c r="J2063" s="121"/>
      <c r="K2063" s="127"/>
      <c r="L2063" s="128"/>
      <c r="M2063" s="129"/>
      <c r="N2063" s="68"/>
      <c r="O2063" s="69"/>
      <c r="P2063" s="69"/>
      <c r="Q2063" s="69"/>
      <c r="R2063" s="69"/>
    </row>
    <row r="2064" spans="1:18">
      <c r="A2064" s="14"/>
      <c r="B2064" s="121"/>
      <c r="C2064" s="122"/>
      <c r="D2064" s="123"/>
      <c r="E2064" s="123"/>
      <c r="F2064" s="124"/>
      <c r="G2064" s="121"/>
      <c r="H2064" s="125"/>
      <c r="I2064" s="126"/>
      <c r="J2064" s="121"/>
      <c r="K2064" s="127"/>
      <c r="L2064" s="128"/>
      <c r="M2064" s="129"/>
      <c r="N2064" s="68"/>
      <c r="O2064" s="69"/>
      <c r="P2064" s="69"/>
      <c r="Q2064" s="69"/>
      <c r="R2064" s="69"/>
    </row>
    <row r="2065" spans="1:18">
      <c r="A2065" s="14"/>
      <c r="B2065" s="121"/>
      <c r="C2065" s="122"/>
      <c r="D2065" s="123"/>
      <c r="E2065" s="123"/>
      <c r="F2065" s="124"/>
      <c r="G2065" s="121"/>
      <c r="H2065" s="125"/>
      <c r="I2065" s="126"/>
      <c r="J2065" s="121"/>
      <c r="K2065" s="127"/>
      <c r="L2065" s="128"/>
      <c r="M2065" s="129"/>
      <c r="N2065" s="68"/>
      <c r="O2065" s="69"/>
      <c r="P2065" s="69"/>
      <c r="Q2065" s="69"/>
      <c r="R2065" s="69"/>
    </row>
    <row r="2066" spans="1:18">
      <c r="A2066" s="14"/>
      <c r="B2066" s="121"/>
      <c r="C2066" s="122"/>
      <c r="D2066" s="123"/>
      <c r="E2066" s="123"/>
      <c r="F2066" s="124"/>
      <c r="G2066" s="121"/>
      <c r="H2066" s="125"/>
      <c r="I2066" s="126"/>
      <c r="J2066" s="121"/>
      <c r="K2066" s="127"/>
      <c r="L2066" s="128"/>
      <c r="M2066" s="129"/>
      <c r="N2066" s="68"/>
      <c r="O2066" s="69"/>
      <c r="P2066" s="69"/>
      <c r="Q2066" s="69"/>
      <c r="R2066" s="69"/>
    </row>
    <row r="2067" spans="1:18">
      <c r="A2067" s="14"/>
      <c r="B2067" s="121"/>
      <c r="C2067" s="122"/>
      <c r="D2067" s="123"/>
      <c r="E2067" s="123"/>
      <c r="F2067" s="124"/>
      <c r="G2067" s="121"/>
      <c r="H2067" s="125"/>
      <c r="I2067" s="126"/>
      <c r="J2067" s="121"/>
      <c r="K2067" s="127"/>
      <c r="L2067" s="128"/>
      <c r="M2067" s="129"/>
      <c r="N2067" s="68"/>
      <c r="O2067" s="69"/>
      <c r="P2067" s="69"/>
      <c r="Q2067" s="69"/>
      <c r="R2067" s="69"/>
    </row>
    <row r="2068" spans="1:18">
      <c r="A2068" s="14"/>
      <c r="B2068" s="121"/>
      <c r="C2068" s="122"/>
      <c r="D2068" s="123"/>
      <c r="E2068" s="123"/>
      <c r="F2068" s="124"/>
      <c r="G2068" s="121"/>
      <c r="H2068" s="125"/>
      <c r="I2068" s="126"/>
      <c r="J2068" s="121"/>
      <c r="K2068" s="127"/>
      <c r="L2068" s="128"/>
      <c r="M2068" s="129"/>
      <c r="N2068" s="68"/>
      <c r="O2068" s="69"/>
      <c r="P2068" s="69"/>
      <c r="Q2068" s="69"/>
      <c r="R2068" s="69"/>
    </row>
    <row r="2069" spans="1:18">
      <c r="A2069" s="14"/>
      <c r="B2069" s="121"/>
      <c r="C2069" s="122"/>
      <c r="D2069" s="123"/>
      <c r="E2069" s="123"/>
      <c r="F2069" s="124"/>
      <c r="G2069" s="121"/>
      <c r="H2069" s="125"/>
      <c r="I2069" s="126"/>
      <c r="J2069" s="121"/>
      <c r="K2069" s="127"/>
      <c r="L2069" s="128"/>
      <c r="M2069" s="129"/>
      <c r="N2069" s="68"/>
      <c r="O2069" s="69"/>
      <c r="P2069" s="69"/>
      <c r="Q2069" s="69"/>
      <c r="R2069" s="69"/>
    </row>
    <row r="2070" spans="1:18">
      <c r="A2070" s="14"/>
      <c r="B2070" s="121"/>
      <c r="C2070" s="122"/>
      <c r="D2070" s="123"/>
      <c r="E2070" s="123"/>
      <c r="F2070" s="124"/>
      <c r="G2070" s="121"/>
      <c r="H2070" s="125"/>
      <c r="I2070" s="126"/>
      <c r="J2070" s="121"/>
      <c r="K2070" s="127"/>
      <c r="L2070" s="128"/>
      <c r="M2070" s="129"/>
      <c r="N2070" s="68"/>
      <c r="O2070" s="69"/>
      <c r="P2070" s="69"/>
      <c r="Q2070" s="69"/>
      <c r="R2070" s="69"/>
    </row>
    <row r="2071" spans="1:18">
      <c r="A2071" s="14"/>
      <c r="B2071" s="121"/>
      <c r="C2071" s="122"/>
      <c r="D2071" s="123"/>
      <c r="E2071" s="123"/>
      <c r="F2071" s="124"/>
      <c r="G2071" s="121"/>
      <c r="H2071" s="125"/>
      <c r="I2071" s="126"/>
      <c r="J2071" s="121"/>
      <c r="K2071" s="127"/>
      <c r="L2071" s="128"/>
      <c r="M2071" s="129"/>
      <c r="N2071" s="68"/>
      <c r="O2071" s="69"/>
      <c r="P2071" s="69"/>
      <c r="Q2071" s="69"/>
      <c r="R2071" s="69"/>
    </row>
    <row r="2072" spans="1:18">
      <c r="A2072" s="14"/>
      <c r="B2072" s="121"/>
      <c r="C2072" s="122"/>
      <c r="D2072" s="123"/>
      <c r="E2072" s="123"/>
      <c r="F2072" s="124"/>
      <c r="G2072" s="121"/>
      <c r="H2072" s="125"/>
      <c r="I2072" s="126"/>
      <c r="J2072" s="121"/>
      <c r="K2072" s="127"/>
      <c r="L2072" s="128"/>
      <c r="M2072" s="129"/>
      <c r="N2072" s="68"/>
      <c r="O2072" s="69"/>
      <c r="P2072" s="69"/>
      <c r="Q2072" s="69"/>
      <c r="R2072" s="69"/>
    </row>
    <row r="2073" spans="1:18">
      <c r="A2073" s="14"/>
      <c r="B2073" s="121"/>
      <c r="C2073" s="122"/>
      <c r="D2073" s="123"/>
      <c r="E2073" s="123"/>
      <c r="F2073" s="124"/>
      <c r="G2073" s="121"/>
      <c r="H2073" s="125"/>
      <c r="I2073" s="126"/>
      <c r="J2073" s="121"/>
      <c r="K2073" s="127"/>
      <c r="L2073" s="128"/>
      <c r="M2073" s="129"/>
      <c r="N2073" s="68"/>
      <c r="O2073" s="69"/>
      <c r="P2073" s="69"/>
      <c r="Q2073" s="69"/>
      <c r="R2073" s="69"/>
    </row>
    <row r="2074" spans="1:18">
      <c r="A2074" s="14"/>
      <c r="B2074" s="121"/>
      <c r="C2074" s="122"/>
      <c r="D2074" s="123"/>
      <c r="E2074" s="123"/>
      <c r="F2074" s="124"/>
      <c r="G2074" s="121"/>
      <c r="H2074" s="125"/>
      <c r="I2074" s="126"/>
      <c r="J2074" s="121"/>
      <c r="K2074" s="127"/>
      <c r="L2074" s="128"/>
      <c r="M2074" s="129"/>
      <c r="N2074" s="68"/>
      <c r="O2074" s="69"/>
      <c r="P2074" s="69"/>
      <c r="Q2074" s="69"/>
      <c r="R2074" s="69"/>
    </row>
    <row r="2075" spans="1:18">
      <c r="A2075" s="14"/>
      <c r="B2075" s="121"/>
      <c r="C2075" s="122"/>
      <c r="D2075" s="123"/>
      <c r="E2075" s="123"/>
      <c r="F2075" s="124"/>
      <c r="G2075" s="121"/>
      <c r="H2075" s="125"/>
      <c r="I2075" s="126"/>
      <c r="J2075" s="121"/>
      <c r="K2075" s="127"/>
      <c r="L2075" s="128"/>
      <c r="M2075" s="129"/>
      <c r="N2075" s="68"/>
      <c r="O2075" s="69"/>
      <c r="P2075" s="69"/>
      <c r="Q2075" s="69"/>
      <c r="R2075" s="69"/>
    </row>
    <row r="2076" spans="1:18">
      <c r="A2076" s="14"/>
      <c r="B2076" s="121"/>
      <c r="C2076" s="122"/>
      <c r="D2076" s="123"/>
      <c r="E2076" s="123"/>
      <c r="F2076" s="124"/>
      <c r="G2076" s="121"/>
      <c r="H2076" s="125"/>
      <c r="I2076" s="126"/>
      <c r="J2076" s="121"/>
      <c r="K2076" s="127"/>
      <c r="L2076" s="128"/>
      <c r="M2076" s="129"/>
      <c r="N2076" s="68"/>
      <c r="O2076" s="69"/>
      <c r="P2076" s="69"/>
      <c r="Q2076" s="69"/>
      <c r="R2076" s="69"/>
    </row>
    <row r="2077" spans="1:18">
      <c r="A2077" s="14"/>
      <c r="B2077" s="121"/>
      <c r="C2077" s="122"/>
      <c r="D2077" s="123"/>
      <c r="E2077" s="123"/>
      <c r="F2077" s="124"/>
      <c r="G2077" s="121"/>
      <c r="H2077" s="125"/>
      <c r="I2077" s="126"/>
      <c r="J2077" s="121"/>
      <c r="K2077" s="127"/>
      <c r="L2077" s="128"/>
      <c r="M2077" s="129"/>
      <c r="N2077" s="68"/>
      <c r="O2077" s="69"/>
      <c r="P2077" s="69"/>
      <c r="Q2077" s="69"/>
      <c r="R2077" s="69"/>
    </row>
    <row r="2078" spans="1:18">
      <c r="A2078" s="14"/>
      <c r="B2078" s="121"/>
      <c r="C2078" s="122"/>
      <c r="D2078" s="123"/>
      <c r="E2078" s="123"/>
      <c r="F2078" s="124"/>
      <c r="G2078" s="121"/>
      <c r="H2078" s="125"/>
      <c r="I2078" s="126"/>
      <c r="J2078" s="121"/>
      <c r="K2078" s="127"/>
      <c r="L2078" s="128"/>
      <c r="M2078" s="129"/>
      <c r="N2078" s="68"/>
      <c r="O2078" s="69"/>
      <c r="P2078" s="69"/>
      <c r="Q2078" s="69"/>
      <c r="R2078" s="69"/>
    </row>
    <row r="2079" spans="1:18">
      <c r="A2079" s="14"/>
      <c r="B2079" s="121"/>
      <c r="C2079" s="122"/>
      <c r="D2079" s="123"/>
      <c r="E2079" s="123"/>
      <c r="F2079" s="124"/>
      <c r="G2079" s="121"/>
      <c r="H2079" s="125"/>
      <c r="I2079" s="126"/>
      <c r="J2079" s="121"/>
      <c r="K2079" s="127"/>
      <c r="L2079" s="128"/>
      <c r="M2079" s="129"/>
      <c r="N2079" s="68"/>
      <c r="O2079" s="69"/>
      <c r="P2079" s="69"/>
      <c r="Q2079" s="69"/>
      <c r="R2079" s="69"/>
    </row>
    <row r="2080" spans="1:18">
      <c r="A2080" s="14"/>
      <c r="B2080" s="121"/>
      <c r="C2080" s="122"/>
      <c r="D2080" s="123"/>
      <c r="E2080" s="123"/>
      <c r="F2080" s="124"/>
      <c r="G2080" s="121"/>
      <c r="H2080" s="125"/>
      <c r="I2080" s="126"/>
      <c r="J2080" s="121"/>
      <c r="K2080" s="127"/>
      <c r="L2080" s="128"/>
      <c r="M2080" s="129"/>
      <c r="N2080" s="68"/>
      <c r="O2080" s="69"/>
      <c r="P2080" s="69"/>
      <c r="Q2080" s="69"/>
      <c r="R2080" s="69"/>
    </row>
    <row r="2081" spans="1:18">
      <c r="A2081" s="14"/>
      <c r="B2081" s="121"/>
      <c r="C2081" s="122"/>
      <c r="D2081" s="123"/>
      <c r="E2081" s="123"/>
      <c r="F2081" s="124"/>
      <c r="G2081" s="121"/>
      <c r="H2081" s="125"/>
      <c r="I2081" s="126"/>
      <c r="J2081" s="121"/>
      <c r="K2081" s="127"/>
      <c r="L2081" s="128"/>
      <c r="M2081" s="129"/>
      <c r="N2081" s="68"/>
      <c r="O2081" s="69"/>
      <c r="P2081" s="69"/>
      <c r="Q2081" s="69"/>
      <c r="R2081" s="69"/>
    </row>
    <row r="2082" spans="1:18">
      <c r="A2082" s="14"/>
      <c r="B2082" s="121"/>
      <c r="C2082" s="122"/>
      <c r="D2082" s="123"/>
      <c r="E2082" s="123"/>
      <c r="F2082" s="124"/>
      <c r="G2082" s="121"/>
      <c r="H2082" s="125"/>
      <c r="I2082" s="126"/>
      <c r="J2082" s="121"/>
      <c r="K2082" s="127"/>
      <c r="L2082" s="128"/>
      <c r="M2082" s="129"/>
      <c r="N2082" s="68"/>
      <c r="O2082" s="69"/>
      <c r="P2082" s="69"/>
      <c r="Q2082" s="69"/>
      <c r="R2082" s="69"/>
    </row>
    <row r="2083" spans="1:18">
      <c r="A2083" s="14"/>
      <c r="B2083" s="121"/>
      <c r="C2083" s="122"/>
      <c r="D2083" s="123"/>
      <c r="E2083" s="123"/>
      <c r="F2083" s="124"/>
      <c r="G2083" s="121"/>
      <c r="H2083" s="125"/>
      <c r="I2083" s="126"/>
      <c r="J2083" s="121"/>
      <c r="K2083" s="127"/>
      <c r="L2083" s="128"/>
      <c r="M2083" s="129"/>
      <c r="N2083" s="68"/>
      <c r="O2083" s="69"/>
      <c r="P2083" s="69"/>
      <c r="Q2083" s="69"/>
      <c r="R2083" s="69"/>
    </row>
    <row r="2084" spans="1:18">
      <c r="A2084" s="14"/>
      <c r="B2084" s="121"/>
      <c r="C2084" s="122"/>
      <c r="D2084" s="123"/>
      <c r="E2084" s="123"/>
      <c r="F2084" s="124"/>
      <c r="G2084" s="121"/>
      <c r="H2084" s="125"/>
      <c r="I2084" s="126"/>
      <c r="J2084" s="121"/>
      <c r="K2084" s="127"/>
      <c r="L2084" s="128"/>
      <c r="M2084" s="129"/>
      <c r="N2084" s="68"/>
      <c r="O2084" s="69"/>
      <c r="P2084" s="69"/>
      <c r="Q2084" s="69"/>
      <c r="R2084" s="69"/>
    </row>
    <row r="2085" spans="1:18">
      <c r="A2085" s="14"/>
      <c r="B2085" s="121"/>
      <c r="C2085" s="122"/>
      <c r="D2085" s="123"/>
      <c r="E2085" s="123"/>
      <c r="F2085" s="124"/>
      <c r="G2085" s="121"/>
      <c r="H2085" s="125"/>
      <c r="I2085" s="126"/>
      <c r="J2085" s="121"/>
      <c r="K2085" s="127"/>
      <c r="L2085" s="128"/>
      <c r="M2085" s="129"/>
      <c r="N2085" s="68"/>
      <c r="O2085" s="69"/>
      <c r="P2085" s="69"/>
      <c r="Q2085" s="69"/>
      <c r="R2085" s="69"/>
    </row>
    <row r="2086" spans="1:18">
      <c r="A2086" s="14"/>
      <c r="B2086" s="121"/>
      <c r="C2086" s="122"/>
      <c r="D2086" s="123"/>
      <c r="E2086" s="123"/>
      <c r="F2086" s="124"/>
      <c r="G2086" s="121"/>
      <c r="H2086" s="125"/>
      <c r="I2086" s="126"/>
      <c r="J2086" s="121"/>
      <c r="K2086" s="127"/>
      <c r="L2086" s="128"/>
      <c r="M2086" s="129"/>
      <c r="N2086" s="68"/>
      <c r="O2086" s="69"/>
      <c r="P2086" s="69"/>
      <c r="Q2086" s="69"/>
      <c r="R2086" s="69"/>
    </row>
    <row r="2087" spans="1:18">
      <c r="A2087" s="14"/>
      <c r="B2087" s="121"/>
      <c r="C2087" s="122"/>
      <c r="D2087" s="123"/>
      <c r="E2087" s="123"/>
      <c r="F2087" s="124"/>
      <c r="G2087" s="121"/>
      <c r="H2087" s="125"/>
      <c r="I2087" s="126"/>
      <c r="J2087" s="121"/>
      <c r="K2087" s="127"/>
      <c r="L2087" s="128"/>
      <c r="M2087" s="129"/>
      <c r="N2087" s="68"/>
      <c r="O2087" s="69"/>
      <c r="P2087" s="69"/>
      <c r="Q2087" s="69"/>
      <c r="R2087" s="69"/>
    </row>
    <row r="2088" spans="1:18">
      <c r="A2088" s="14"/>
      <c r="B2088" s="121"/>
      <c r="C2088" s="122"/>
      <c r="D2088" s="123"/>
      <c r="E2088" s="123"/>
      <c r="F2088" s="124"/>
      <c r="G2088" s="121"/>
      <c r="H2088" s="125"/>
      <c r="I2088" s="126"/>
      <c r="J2088" s="121"/>
      <c r="K2088" s="127"/>
      <c r="L2088" s="128"/>
      <c r="M2088" s="129"/>
      <c r="N2088" s="68"/>
      <c r="O2088" s="69"/>
      <c r="P2088" s="69"/>
      <c r="Q2088" s="69"/>
      <c r="R2088" s="69"/>
    </row>
    <row r="2089" spans="1:18">
      <c r="A2089" s="14"/>
      <c r="B2089" s="121"/>
      <c r="C2089" s="122"/>
      <c r="D2089" s="123"/>
      <c r="E2089" s="123"/>
      <c r="F2089" s="124"/>
      <c r="G2089" s="121"/>
      <c r="H2089" s="125"/>
      <c r="I2089" s="126"/>
      <c r="J2089" s="121"/>
      <c r="K2089" s="127"/>
      <c r="L2089" s="128"/>
      <c r="M2089" s="129"/>
      <c r="N2089" s="68"/>
      <c r="O2089" s="69"/>
      <c r="P2089" s="69"/>
      <c r="Q2089" s="69"/>
      <c r="R2089" s="69"/>
    </row>
    <row r="2090" spans="1:18">
      <c r="A2090" s="14"/>
      <c r="B2090" s="121"/>
      <c r="C2090" s="122"/>
      <c r="D2090" s="123"/>
      <c r="E2090" s="123"/>
      <c r="F2090" s="124"/>
      <c r="G2090" s="121"/>
      <c r="H2090" s="125"/>
      <c r="I2090" s="126"/>
      <c r="J2090" s="121"/>
      <c r="K2090" s="127"/>
      <c r="L2090" s="128"/>
      <c r="M2090" s="129"/>
      <c r="N2090" s="68"/>
      <c r="O2090" s="69"/>
      <c r="P2090" s="69"/>
      <c r="Q2090" s="69"/>
      <c r="R2090" s="69"/>
    </row>
    <row r="2091" spans="1:18">
      <c r="A2091" s="14"/>
      <c r="B2091" s="121"/>
      <c r="C2091" s="122"/>
      <c r="D2091" s="123"/>
      <c r="E2091" s="123"/>
      <c r="F2091" s="124"/>
      <c r="G2091" s="121"/>
      <c r="H2091" s="125"/>
      <c r="I2091" s="126"/>
      <c r="J2091" s="121"/>
      <c r="K2091" s="127"/>
      <c r="L2091" s="128"/>
      <c r="M2091" s="129"/>
      <c r="N2091" s="68"/>
      <c r="O2091" s="69"/>
      <c r="P2091" s="69"/>
      <c r="Q2091" s="69"/>
      <c r="R2091" s="69"/>
    </row>
    <row r="2092" spans="1:18">
      <c r="A2092" s="14"/>
      <c r="B2092" s="121"/>
      <c r="C2092" s="122"/>
      <c r="D2092" s="123"/>
      <c r="E2092" s="123"/>
      <c r="F2092" s="124"/>
      <c r="G2092" s="121"/>
      <c r="H2092" s="125"/>
      <c r="I2092" s="126"/>
      <c r="J2092" s="121"/>
      <c r="K2092" s="127"/>
      <c r="L2092" s="128"/>
      <c r="M2092" s="129"/>
      <c r="N2092" s="68"/>
      <c r="O2092" s="69"/>
      <c r="P2092" s="69"/>
      <c r="Q2092" s="69"/>
      <c r="R2092" s="69"/>
    </row>
    <row r="2093" spans="1:18">
      <c r="A2093" s="14"/>
      <c r="B2093" s="121"/>
      <c r="C2093" s="122"/>
      <c r="D2093" s="123"/>
      <c r="E2093" s="123"/>
      <c r="F2093" s="124"/>
      <c r="G2093" s="121"/>
      <c r="H2093" s="125"/>
      <c r="I2093" s="126"/>
      <c r="J2093" s="121"/>
      <c r="K2093" s="127"/>
      <c r="L2093" s="128"/>
      <c r="M2093" s="129"/>
      <c r="N2093" s="68"/>
      <c r="O2093" s="69"/>
      <c r="P2093" s="69"/>
      <c r="Q2093" s="69"/>
      <c r="R2093" s="69"/>
    </row>
    <row r="2094" spans="1:18">
      <c r="A2094" s="14"/>
      <c r="B2094" s="121"/>
      <c r="C2094" s="122"/>
      <c r="D2094" s="123"/>
      <c r="E2094" s="123"/>
      <c r="F2094" s="124"/>
      <c r="G2094" s="121"/>
      <c r="H2094" s="125"/>
      <c r="I2094" s="126"/>
      <c r="J2094" s="121"/>
      <c r="K2094" s="127"/>
      <c r="L2094" s="128"/>
      <c r="M2094" s="129"/>
      <c r="N2094" s="68"/>
      <c r="O2094" s="69"/>
      <c r="P2094" s="69"/>
      <c r="Q2094" s="69"/>
      <c r="R2094" s="69"/>
    </row>
    <row r="2095" spans="1:18">
      <c r="A2095" s="14"/>
      <c r="B2095" s="121"/>
      <c r="C2095" s="122"/>
      <c r="D2095" s="123"/>
      <c r="E2095" s="123"/>
      <c r="F2095" s="124"/>
      <c r="G2095" s="121"/>
      <c r="H2095" s="125"/>
      <c r="I2095" s="126"/>
      <c r="J2095" s="121"/>
      <c r="K2095" s="127"/>
      <c r="L2095" s="128"/>
      <c r="M2095" s="129"/>
      <c r="N2095" s="68"/>
      <c r="O2095" s="69"/>
      <c r="P2095" s="69"/>
      <c r="Q2095" s="69"/>
      <c r="R2095" s="69"/>
    </row>
    <row r="2096" spans="1:18">
      <c r="A2096" s="14"/>
      <c r="B2096" s="121"/>
      <c r="C2096" s="122"/>
      <c r="D2096" s="123"/>
      <c r="E2096" s="123"/>
      <c r="F2096" s="124"/>
      <c r="G2096" s="121"/>
      <c r="H2096" s="125"/>
      <c r="I2096" s="126"/>
      <c r="J2096" s="121"/>
      <c r="K2096" s="127"/>
      <c r="L2096" s="128"/>
      <c r="M2096" s="129"/>
      <c r="N2096" s="68"/>
      <c r="O2096" s="69"/>
      <c r="P2096" s="69"/>
      <c r="Q2096" s="69"/>
      <c r="R2096" s="69"/>
    </row>
    <row r="2097" spans="1:18">
      <c r="A2097" s="14"/>
      <c r="B2097" s="121"/>
      <c r="C2097" s="122"/>
      <c r="D2097" s="123"/>
      <c r="E2097" s="123"/>
      <c r="F2097" s="124"/>
      <c r="G2097" s="121"/>
      <c r="H2097" s="125"/>
      <c r="I2097" s="126"/>
      <c r="J2097" s="121"/>
      <c r="K2097" s="127"/>
      <c r="L2097" s="128"/>
      <c r="M2097" s="129"/>
      <c r="N2097" s="68"/>
      <c r="O2097" s="69"/>
      <c r="P2097" s="69"/>
      <c r="Q2097" s="69"/>
      <c r="R2097" s="69"/>
    </row>
    <row r="2098" spans="1:18">
      <c r="A2098" s="14"/>
      <c r="B2098" s="121"/>
      <c r="C2098" s="122"/>
      <c r="D2098" s="123"/>
      <c r="E2098" s="123"/>
      <c r="F2098" s="124"/>
      <c r="G2098" s="121"/>
      <c r="H2098" s="125"/>
      <c r="I2098" s="126"/>
      <c r="J2098" s="121"/>
      <c r="K2098" s="127"/>
      <c r="L2098" s="128"/>
      <c r="M2098" s="129"/>
      <c r="N2098" s="68"/>
      <c r="O2098" s="69"/>
      <c r="P2098" s="69"/>
      <c r="Q2098" s="69"/>
      <c r="R2098" s="69"/>
    </row>
    <row r="2099" spans="1:18">
      <c r="A2099" s="14"/>
      <c r="B2099" s="121"/>
      <c r="C2099" s="122"/>
      <c r="D2099" s="123"/>
      <c r="E2099" s="123"/>
      <c r="F2099" s="124"/>
      <c r="G2099" s="121"/>
      <c r="H2099" s="125"/>
      <c r="I2099" s="126"/>
      <c r="J2099" s="121"/>
      <c r="K2099" s="127"/>
      <c r="L2099" s="128"/>
      <c r="M2099" s="129"/>
      <c r="N2099" s="68"/>
      <c r="O2099" s="69"/>
      <c r="P2099" s="69"/>
      <c r="Q2099" s="69"/>
      <c r="R2099" s="69"/>
    </row>
    <row r="2100" spans="1:18">
      <c r="A2100" s="14"/>
      <c r="B2100" s="121"/>
      <c r="C2100" s="122"/>
      <c r="D2100" s="123"/>
      <c r="E2100" s="123"/>
      <c r="F2100" s="124"/>
      <c r="G2100" s="121"/>
      <c r="H2100" s="125"/>
      <c r="I2100" s="126"/>
      <c r="J2100" s="121"/>
      <c r="K2100" s="127"/>
      <c r="L2100" s="128"/>
      <c r="M2100" s="129"/>
      <c r="N2100" s="68"/>
      <c r="O2100" s="69"/>
      <c r="P2100" s="69"/>
      <c r="Q2100" s="69"/>
      <c r="R2100" s="69"/>
    </row>
    <row r="2101" spans="1:18">
      <c r="A2101" s="14"/>
      <c r="B2101" s="121"/>
      <c r="C2101" s="122"/>
      <c r="D2101" s="123"/>
      <c r="E2101" s="123"/>
      <c r="F2101" s="124"/>
      <c r="G2101" s="121"/>
      <c r="H2101" s="125"/>
      <c r="I2101" s="126"/>
      <c r="J2101" s="121"/>
      <c r="K2101" s="127"/>
      <c r="L2101" s="128"/>
      <c r="M2101" s="129"/>
      <c r="N2101" s="68"/>
      <c r="O2101" s="69"/>
      <c r="P2101" s="69"/>
      <c r="Q2101" s="69"/>
      <c r="R2101" s="69"/>
    </row>
    <row r="2102" spans="1:18">
      <c r="A2102" s="14"/>
      <c r="B2102" s="121"/>
      <c r="C2102" s="122"/>
      <c r="D2102" s="123"/>
      <c r="E2102" s="123"/>
      <c r="F2102" s="124"/>
      <c r="G2102" s="121"/>
      <c r="H2102" s="125"/>
      <c r="I2102" s="126"/>
      <c r="J2102" s="121"/>
      <c r="K2102" s="127"/>
      <c r="L2102" s="128"/>
      <c r="M2102" s="129"/>
      <c r="N2102" s="68"/>
      <c r="O2102" s="69"/>
      <c r="P2102" s="69"/>
      <c r="Q2102" s="69"/>
      <c r="R2102" s="69"/>
    </row>
    <row r="2103" spans="1:18">
      <c r="A2103" s="14"/>
      <c r="B2103" s="121"/>
      <c r="C2103" s="122"/>
      <c r="D2103" s="123"/>
      <c r="E2103" s="123"/>
      <c r="F2103" s="124"/>
      <c r="G2103" s="121"/>
      <c r="H2103" s="125"/>
      <c r="I2103" s="126"/>
      <c r="J2103" s="121"/>
      <c r="K2103" s="127"/>
      <c r="L2103" s="128"/>
      <c r="M2103" s="129"/>
      <c r="N2103" s="68"/>
      <c r="O2103" s="69"/>
      <c r="P2103" s="69"/>
      <c r="Q2103" s="69"/>
      <c r="R2103" s="69"/>
    </row>
    <row r="2104" spans="1:18">
      <c r="A2104" s="14"/>
      <c r="B2104" s="121"/>
      <c r="C2104" s="122"/>
      <c r="D2104" s="123"/>
      <c r="E2104" s="123"/>
      <c r="F2104" s="124"/>
      <c r="G2104" s="121"/>
      <c r="H2104" s="125"/>
      <c r="I2104" s="126"/>
      <c r="J2104" s="121"/>
      <c r="K2104" s="127"/>
      <c r="L2104" s="128"/>
      <c r="M2104" s="129"/>
      <c r="N2104" s="68"/>
      <c r="O2104" s="69"/>
      <c r="P2104" s="69"/>
      <c r="Q2104" s="69"/>
      <c r="R2104" s="69"/>
    </row>
    <row r="2105" spans="1:18">
      <c r="A2105" s="14"/>
      <c r="B2105" s="121"/>
      <c r="C2105" s="122"/>
      <c r="D2105" s="123"/>
      <c r="E2105" s="123"/>
      <c r="F2105" s="124"/>
      <c r="G2105" s="121"/>
      <c r="H2105" s="125"/>
      <c r="I2105" s="126"/>
      <c r="J2105" s="121"/>
      <c r="K2105" s="127"/>
      <c r="L2105" s="128"/>
      <c r="M2105" s="129"/>
      <c r="N2105" s="68"/>
      <c r="O2105" s="69"/>
      <c r="P2105" s="69"/>
      <c r="Q2105" s="69"/>
      <c r="R2105" s="69"/>
    </row>
    <row r="2106" spans="1:18">
      <c r="A2106" s="14"/>
      <c r="B2106" s="121"/>
      <c r="C2106" s="122"/>
      <c r="D2106" s="123"/>
      <c r="E2106" s="123"/>
      <c r="F2106" s="124"/>
      <c r="G2106" s="121"/>
      <c r="H2106" s="125"/>
      <c r="I2106" s="126"/>
      <c r="J2106" s="121"/>
      <c r="K2106" s="127"/>
      <c r="L2106" s="128"/>
      <c r="M2106" s="129"/>
      <c r="N2106" s="68"/>
      <c r="O2106" s="69"/>
      <c r="P2106" s="69"/>
      <c r="Q2106" s="69"/>
      <c r="R2106" s="69"/>
    </row>
    <row r="2107" spans="1:18">
      <c r="A2107" s="14"/>
      <c r="B2107" s="121"/>
      <c r="C2107" s="122"/>
      <c r="D2107" s="123"/>
      <c r="E2107" s="123"/>
      <c r="F2107" s="124"/>
      <c r="G2107" s="121"/>
      <c r="H2107" s="125"/>
      <c r="I2107" s="126"/>
      <c r="J2107" s="121"/>
      <c r="K2107" s="127"/>
      <c r="L2107" s="128"/>
      <c r="M2107" s="129"/>
      <c r="N2107" s="68"/>
      <c r="O2107" s="69"/>
      <c r="P2107" s="69"/>
      <c r="Q2107" s="69"/>
      <c r="R2107" s="69"/>
    </row>
    <row r="2108" spans="1:18">
      <c r="A2108" s="14"/>
      <c r="B2108" s="121"/>
      <c r="C2108" s="122"/>
      <c r="D2108" s="123"/>
      <c r="E2108" s="123"/>
      <c r="F2108" s="124"/>
      <c r="G2108" s="121"/>
      <c r="H2108" s="125"/>
      <c r="I2108" s="126"/>
      <c r="J2108" s="121"/>
      <c r="K2108" s="127"/>
      <c r="L2108" s="128"/>
      <c r="M2108" s="129"/>
      <c r="N2108" s="68"/>
      <c r="O2108" s="69"/>
      <c r="P2108" s="69"/>
      <c r="Q2108" s="69"/>
      <c r="R2108" s="69"/>
    </row>
    <row r="2109" spans="1:18">
      <c r="A2109" s="14"/>
      <c r="B2109" s="121"/>
      <c r="C2109" s="122"/>
      <c r="D2109" s="123"/>
      <c r="E2109" s="123"/>
      <c r="F2109" s="124"/>
      <c r="G2109" s="121"/>
      <c r="H2109" s="125"/>
      <c r="I2109" s="126"/>
      <c r="J2109" s="121"/>
      <c r="K2109" s="127"/>
      <c r="L2109" s="128"/>
      <c r="M2109" s="129"/>
      <c r="N2109" s="68"/>
      <c r="O2109" s="69"/>
      <c r="P2109" s="69"/>
      <c r="Q2109" s="69"/>
      <c r="R2109" s="69"/>
    </row>
    <row r="2110" spans="1:18">
      <c r="A2110" s="14"/>
      <c r="B2110" s="121"/>
      <c r="C2110" s="122"/>
      <c r="D2110" s="123"/>
      <c r="E2110" s="123"/>
      <c r="F2110" s="124"/>
      <c r="G2110" s="121"/>
      <c r="H2110" s="125"/>
      <c r="I2110" s="126"/>
      <c r="J2110" s="121"/>
      <c r="K2110" s="127"/>
      <c r="L2110" s="128"/>
      <c r="M2110" s="129"/>
      <c r="N2110" s="68"/>
      <c r="O2110" s="69"/>
      <c r="P2110" s="69"/>
      <c r="Q2110" s="69"/>
      <c r="R2110" s="69"/>
    </row>
    <row r="2111" spans="1:18">
      <c r="A2111" s="14"/>
      <c r="B2111" s="121"/>
      <c r="C2111" s="122"/>
      <c r="D2111" s="123"/>
      <c r="E2111" s="123"/>
      <c r="F2111" s="124"/>
      <c r="G2111" s="121"/>
      <c r="H2111" s="125"/>
      <c r="I2111" s="126"/>
      <c r="J2111" s="121"/>
      <c r="K2111" s="127"/>
      <c r="L2111" s="128"/>
      <c r="M2111" s="129"/>
      <c r="N2111" s="68"/>
      <c r="O2111" s="69"/>
      <c r="P2111" s="69"/>
      <c r="Q2111" s="69"/>
      <c r="R2111" s="69"/>
    </row>
    <row r="2112" spans="1:18">
      <c r="A2112" s="14"/>
      <c r="B2112" s="121"/>
      <c r="C2112" s="122"/>
      <c r="D2112" s="123"/>
      <c r="E2112" s="123"/>
      <c r="F2112" s="124"/>
      <c r="G2112" s="121"/>
      <c r="H2112" s="125"/>
      <c r="I2112" s="126"/>
      <c r="J2112" s="121"/>
      <c r="K2112" s="127"/>
      <c r="L2112" s="128"/>
      <c r="M2112" s="129"/>
      <c r="N2112" s="68"/>
      <c r="O2112" s="69"/>
      <c r="P2112" s="69"/>
      <c r="Q2112" s="69"/>
      <c r="R2112" s="69"/>
    </row>
    <row r="2113" spans="1:18">
      <c r="A2113" s="14"/>
      <c r="B2113" s="121"/>
      <c r="C2113" s="122"/>
      <c r="D2113" s="123"/>
      <c r="E2113" s="123"/>
      <c r="F2113" s="124"/>
      <c r="G2113" s="121"/>
      <c r="H2113" s="125"/>
      <c r="I2113" s="126"/>
      <c r="J2113" s="121"/>
      <c r="K2113" s="127"/>
      <c r="L2113" s="128"/>
      <c r="M2113" s="129"/>
      <c r="N2113" s="68"/>
      <c r="O2113" s="69"/>
      <c r="P2113" s="69"/>
      <c r="Q2113" s="69"/>
      <c r="R2113" s="69"/>
    </row>
    <row r="2114" spans="1:18">
      <c r="A2114" s="14"/>
      <c r="B2114" s="121"/>
      <c r="C2114" s="122"/>
      <c r="D2114" s="123"/>
      <c r="E2114" s="123"/>
      <c r="F2114" s="124"/>
      <c r="G2114" s="121"/>
      <c r="H2114" s="125"/>
      <c r="I2114" s="126"/>
      <c r="J2114" s="121"/>
      <c r="K2114" s="127"/>
      <c r="L2114" s="128"/>
      <c r="M2114" s="129"/>
      <c r="N2114" s="68"/>
      <c r="O2114" s="69"/>
      <c r="P2114" s="69"/>
      <c r="Q2114" s="69"/>
      <c r="R2114" s="69"/>
    </row>
    <row r="2115" spans="1:18">
      <c r="A2115" s="14"/>
      <c r="B2115" s="121"/>
      <c r="C2115" s="122"/>
      <c r="D2115" s="123"/>
      <c r="E2115" s="123"/>
      <c r="F2115" s="124"/>
      <c r="G2115" s="121"/>
      <c r="H2115" s="125"/>
      <c r="I2115" s="126"/>
      <c r="J2115" s="121"/>
      <c r="K2115" s="127"/>
      <c r="L2115" s="128"/>
      <c r="M2115" s="129"/>
      <c r="N2115" s="68"/>
      <c r="O2115" s="69"/>
      <c r="P2115" s="69"/>
      <c r="Q2115" s="69"/>
      <c r="R2115" s="69"/>
    </row>
    <row r="2116" spans="1:18">
      <c r="A2116" s="14"/>
      <c r="B2116" s="121"/>
      <c r="C2116" s="122"/>
      <c r="D2116" s="123"/>
      <c r="E2116" s="123"/>
      <c r="F2116" s="124"/>
      <c r="G2116" s="121"/>
      <c r="H2116" s="125"/>
      <c r="I2116" s="126"/>
      <c r="J2116" s="121"/>
      <c r="K2116" s="127"/>
      <c r="L2116" s="128"/>
      <c r="M2116" s="129"/>
      <c r="N2116" s="68"/>
      <c r="O2116" s="69"/>
      <c r="P2116" s="69"/>
      <c r="Q2116" s="69"/>
      <c r="R2116" s="69"/>
    </row>
    <row r="2117" spans="1:18">
      <c r="A2117" s="14"/>
      <c r="B2117" s="121"/>
      <c r="C2117" s="122"/>
      <c r="D2117" s="123"/>
      <c r="E2117" s="123"/>
      <c r="F2117" s="124"/>
      <c r="G2117" s="121"/>
      <c r="H2117" s="125"/>
      <c r="I2117" s="126"/>
      <c r="J2117" s="121"/>
      <c r="K2117" s="127"/>
      <c r="L2117" s="128"/>
      <c r="M2117" s="129"/>
      <c r="N2117" s="68"/>
      <c r="O2117" s="69"/>
      <c r="P2117" s="69"/>
      <c r="Q2117" s="69"/>
      <c r="R2117" s="69"/>
    </row>
    <row r="2118" spans="1:18">
      <c r="A2118" s="14"/>
      <c r="B2118" s="121"/>
      <c r="C2118" s="122"/>
      <c r="D2118" s="123"/>
      <c r="E2118" s="123"/>
      <c r="F2118" s="124"/>
      <c r="G2118" s="121"/>
      <c r="H2118" s="125"/>
      <c r="I2118" s="126"/>
      <c r="J2118" s="121"/>
      <c r="K2118" s="127"/>
      <c r="L2118" s="128"/>
      <c r="M2118" s="129"/>
      <c r="N2118" s="68"/>
      <c r="O2118" s="69"/>
      <c r="P2118" s="69"/>
      <c r="Q2118" s="69"/>
      <c r="R2118" s="69"/>
    </row>
    <row r="2119" spans="1:18">
      <c r="A2119" s="14"/>
      <c r="B2119" s="121"/>
      <c r="C2119" s="122"/>
      <c r="D2119" s="123"/>
      <c r="E2119" s="123"/>
      <c r="F2119" s="124"/>
      <c r="G2119" s="121"/>
      <c r="H2119" s="125"/>
      <c r="I2119" s="126"/>
      <c r="J2119" s="121"/>
      <c r="K2119" s="127"/>
      <c r="L2119" s="128"/>
      <c r="M2119" s="129"/>
      <c r="N2119" s="68"/>
      <c r="O2119" s="69"/>
      <c r="P2119" s="69"/>
      <c r="Q2119" s="69"/>
      <c r="R2119" s="69"/>
    </row>
    <row r="2120" spans="1:18">
      <c r="A2120" s="14"/>
      <c r="B2120" s="121"/>
      <c r="C2120" s="122"/>
      <c r="D2120" s="123"/>
      <c r="E2120" s="123"/>
      <c r="F2120" s="124"/>
      <c r="G2120" s="121"/>
      <c r="H2120" s="125"/>
      <c r="I2120" s="126"/>
      <c r="J2120" s="121"/>
      <c r="K2120" s="127"/>
      <c r="L2120" s="128"/>
      <c r="M2120" s="129"/>
      <c r="N2120" s="68"/>
      <c r="O2120" s="69"/>
      <c r="P2120" s="69"/>
      <c r="Q2120" s="69"/>
      <c r="R2120" s="69"/>
    </row>
    <row r="2121" spans="1:18">
      <c r="A2121" s="14"/>
      <c r="B2121" s="121"/>
      <c r="C2121" s="122"/>
      <c r="D2121" s="123"/>
      <c r="E2121" s="123"/>
      <c r="F2121" s="124"/>
      <c r="G2121" s="121"/>
      <c r="H2121" s="125"/>
      <c r="I2121" s="126"/>
      <c r="J2121" s="121"/>
      <c r="K2121" s="127"/>
      <c r="L2121" s="128"/>
      <c r="M2121" s="129"/>
      <c r="N2121" s="68"/>
      <c r="O2121" s="69"/>
      <c r="P2121" s="69"/>
      <c r="Q2121" s="69"/>
      <c r="R2121" s="69"/>
    </row>
    <row r="2122" spans="1:18">
      <c r="A2122" s="14"/>
      <c r="B2122" s="121"/>
      <c r="C2122" s="122"/>
      <c r="D2122" s="123"/>
      <c r="E2122" s="123"/>
      <c r="F2122" s="124"/>
      <c r="G2122" s="121"/>
      <c r="H2122" s="125"/>
      <c r="I2122" s="126"/>
      <c r="J2122" s="121"/>
      <c r="K2122" s="127"/>
      <c r="L2122" s="128"/>
      <c r="M2122" s="129"/>
      <c r="N2122" s="68"/>
      <c r="O2122" s="69"/>
      <c r="P2122" s="69"/>
      <c r="Q2122" s="69"/>
      <c r="R2122" s="69"/>
    </row>
    <row r="2123" spans="1:18">
      <c r="A2123" s="14"/>
      <c r="B2123" s="121"/>
      <c r="C2123" s="122"/>
      <c r="D2123" s="123"/>
      <c r="E2123" s="123"/>
      <c r="F2123" s="124"/>
      <c r="G2123" s="121"/>
      <c r="H2123" s="125"/>
      <c r="I2123" s="126"/>
      <c r="J2123" s="121"/>
      <c r="K2123" s="127"/>
      <c r="L2123" s="128"/>
      <c r="M2123" s="129"/>
      <c r="N2123" s="68"/>
      <c r="O2123" s="69"/>
      <c r="P2123" s="69"/>
      <c r="Q2123" s="69"/>
      <c r="R2123" s="69"/>
    </row>
    <row r="2124" spans="1:18">
      <c r="A2124" s="14"/>
      <c r="B2124" s="121"/>
      <c r="C2124" s="122"/>
      <c r="D2124" s="123"/>
      <c r="E2124" s="123"/>
      <c r="F2124" s="124"/>
      <c r="G2124" s="121"/>
      <c r="H2124" s="125"/>
      <c r="I2124" s="126"/>
      <c r="J2124" s="121"/>
      <c r="K2124" s="127"/>
      <c r="L2124" s="128"/>
      <c r="M2124" s="129"/>
      <c r="N2124" s="68"/>
      <c r="O2124" s="69"/>
      <c r="P2124" s="69"/>
      <c r="Q2124" s="69"/>
      <c r="R2124" s="69"/>
    </row>
    <row r="2125" spans="1:18">
      <c r="A2125" s="14"/>
      <c r="B2125" s="121"/>
      <c r="C2125" s="122"/>
      <c r="D2125" s="123"/>
      <c r="E2125" s="123"/>
      <c r="F2125" s="124"/>
      <c r="G2125" s="121"/>
      <c r="H2125" s="125"/>
      <c r="I2125" s="126"/>
      <c r="J2125" s="121"/>
      <c r="K2125" s="127"/>
      <c r="L2125" s="128"/>
      <c r="M2125" s="129"/>
      <c r="N2125" s="68"/>
      <c r="O2125" s="69"/>
      <c r="P2125" s="69"/>
      <c r="Q2125" s="69"/>
      <c r="R2125" s="69"/>
    </row>
    <row r="2126" spans="1:18">
      <c r="A2126" s="14"/>
      <c r="B2126" s="121"/>
      <c r="C2126" s="122"/>
      <c r="D2126" s="123"/>
      <c r="E2126" s="123"/>
      <c r="F2126" s="124"/>
      <c r="G2126" s="121"/>
      <c r="H2126" s="125"/>
      <c r="I2126" s="126"/>
      <c r="J2126" s="121"/>
      <c r="K2126" s="127"/>
      <c r="L2126" s="128"/>
      <c r="M2126" s="129"/>
      <c r="N2126" s="68"/>
      <c r="O2126" s="69"/>
      <c r="P2126" s="69"/>
      <c r="Q2126" s="69"/>
      <c r="R2126" s="69"/>
    </row>
    <row r="2127" spans="1:18">
      <c r="A2127" s="14"/>
      <c r="B2127" s="121"/>
      <c r="C2127" s="122"/>
      <c r="D2127" s="123"/>
      <c r="E2127" s="123"/>
      <c r="F2127" s="124"/>
      <c r="G2127" s="121"/>
      <c r="H2127" s="125"/>
      <c r="I2127" s="126"/>
      <c r="J2127" s="121"/>
      <c r="K2127" s="127"/>
      <c r="L2127" s="128"/>
      <c r="M2127" s="129"/>
      <c r="N2127" s="68"/>
      <c r="O2127" s="69"/>
      <c r="P2127" s="69"/>
      <c r="Q2127" s="69"/>
      <c r="R2127" s="69"/>
    </row>
    <row r="2128" spans="1:18">
      <c r="A2128" s="14"/>
      <c r="B2128" s="121"/>
      <c r="C2128" s="122"/>
      <c r="D2128" s="123"/>
      <c r="E2128" s="123"/>
      <c r="F2128" s="124"/>
      <c r="G2128" s="121"/>
      <c r="H2128" s="125"/>
      <c r="I2128" s="126"/>
      <c r="J2128" s="121"/>
      <c r="K2128" s="127"/>
      <c r="L2128" s="128"/>
      <c r="M2128" s="129"/>
      <c r="N2128" s="68"/>
      <c r="O2128" s="69"/>
      <c r="P2128" s="69"/>
      <c r="Q2128" s="69"/>
      <c r="R2128" s="69"/>
    </row>
    <row r="2129" spans="1:18">
      <c r="A2129" s="14"/>
      <c r="B2129" s="121"/>
      <c r="C2129" s="122"/>
      <c r="D2129" s="123"/>
      <c r="E2129" s="123"/>
      <c r="F2129" s="124"/>
      <c r="G2129" s="121"/>
      <c r="H2129" s="125"/>
      <c r="I2129" s="126"/>
      <c r="J2129" s="121"/>
      <c r="K2129" s="127"/>
      <c r="L2129" s="128"/>
      <c r="M2129" s="129"/>
      <c r="N2129" s="68"/>
      <c r="O2129" s="69"/>
      <c r="P2129" s="69"/>
      <c r="Q2129" s="69"/>
      <c r="R2129" s="69"/>
    </row>
    <row r="2130" spans="1:18">
      <c r="A2130" s="14"/>
      <c r="B2130" s="121"/>
      <c r="C2130" s="122"/>
      <c r="D2130" s="123"/>
      <c r="E2130" s="123"/>
      <c r="F2130" s="124"/>
      <c r="G2130" s="121"/>
      <c r="H2130" s="125"/>
      <c r="I2130" s="126"/>
      <c r="J2130" s="121"/>
      <c r="K2130" s="127"/>
      <c r="L2130" s="128"/>
      <c r="M2130" s="129"/>
      <c r="N2130" s="68"/>
      <c r="O2130" s="69"/>
      <c r="P2130" s="69"/>
      <c r="Q2130" s="69"/>
      <c r="R2130" s="69"/>
    </row>
    <row r="2131" spans="1:18">
      <c r="A2131" s="14"/>
      <c r="B2131" s="121"/>
      <c r="C2131" s="122"/>
      <c r="D2131" s="123"/>
      <c r="E2131" s="123"/>
      <c r="F2131" s="124"/>
      <c r="G2131" s="121"/>
      <c r="H2131" s="125"/>
      <c r="I2131" s="126"/>
      <c r="J2131" s="121"/>
      <c r="K2131" s="127"/>
      <c r="L2131" s="128"/>
      <c r="M2131" s="129"/>
      <c r="N2131" s="68"/>
      <c r="O2131" s="69"/>
      <c r="P2131" s="69"/>
      <c r="Q2131" s="69"/>
      <c r="R2131" s="69"/>
    </row>
    <row r="2132" spans="1:18">
      <c r="A2132" s="14"/>
      <c r="B2132" s="121"/>
      <c r="C2132" s="122"/>
      <c r="D2132" s="123"/>
      <c r="E2132" s="123"/>
      <c r="F2132" s="124"/>
      <c r="G2132" s="121"/>
      <c r="H2132" s="125"/>
      <c r="I2132" s="126"/>
      <c r="J2132" s="121"/>
      <c r="K2132" s="127"/>
      <c r="L2132" s="128"/>
      <c r="M2132" s="129"/>
      <c r="N2132" s="68"/>
      <c r="O2132" s="69"/>
      <c r="P2132" s="69"/>
      <c r="Q2132" s="69"/>
      <c r="R2132" s="69"/>
    </row>
    <row r="2133" spans="1:18">
      <c r="A2133" s="14"/>
      <c r="B2133" s="121"/>
      <c r="C2133" s="122"/>
      <c r="D2133" s="123"/>
      <c r="E2133" s="123"/>
      <c r="F2133" s="124"/>
      <c r="G2133" s="121"/>
      <c r="H2133" s="125"/>
      <c r="I2133" s="126"/>
      <c r="J2133" s="121"/>
      <c r="K2133" s="127"/>
      <c r="L2133" s="128"/>
      <c r="M2133" s="129"/>
      <c r="N2133" s="68"/>
      <c r="O2133" s="69"/>
      <c r="P2133" s="69"/>
      <c r="Q2133" s="69"/>
      <c r="R2133" s="69"/>
    </row>
    <row r="2134" spans="1:18">
      <c r="A2134" s="14"/>
      <c r="B2134" s="121"/>
      <c r="C2134" s="122"/>
      <c r="D2134" s="123"/>
      <c r="E2134" s="123"/>
      <c r="F2134" s="124"/>
      <c r="G2134" s="121"/>
      <c r="H2134" s="125"/>
      <c r="I2134" s="126"/>
      <c r="J2134" s="121"/>
      <c r="K2134" s="127"/>
      <c r="L2134" s="128"/>
      <c r="M2134" s="129"/>
      <c r="N2134" s="68"/>
      <c r="O2134" s="69"/>
      <c r="P2134" s="69"/>
      <c r="Q2134" s="69"/>
      <c r="R2134" s="69"/>
    </row>
    <row r="2135" spans="1:18">
      <c r="A2135" s="14"/>
      <c r="B2135" s="121"/>
      <c r="C2135" s="122"/>
      <c r="D2135" s="123"/>
      <c r="E2135" s="123"/>
      <c r="F2135" s="124"/>
      <c r="G2135" s="121"/>
      <c r="H2135" s="125"/>
      <c r="I2135" s="126"/>
      <c r="J2135" s="121"/>
      <c r="K2135" s="127"/>
      <c r="L2135" s="128"/>
      <c r="M2135" s="129"/>
      <c r="N2135" s="68"/>
      <c r="O2135" s="69"/>
      <c r="P2135" s="69"/>
      <c r="Q2135" s="69"/>
      <c r="R2135" s="69"/>
    </row>
    <row r="2136" spans="1:18">
      <c r="A2136" s="14"/>
      <c r="B2136" s="121"/>
      <c r="C2136" s="122"/>
      <c r="D2136" s="123"/>
      <c r="E2136" s="123"/>
      <c r="F2136" s="124"/>
      <c r="G2136" s="121"/>
      <c r="H2136" s="125"/>
      <c r="I2136" s="126"/>
      <c r="J2136" s="121"/>
      <c r="K2136" s="127"/>
      <c r="L2136" s="128"/>
      <c r="M2136" s="129"/>
      <c r="N2136" s="68"/>
      <c r="O2136" s="69"/>
      <c r="P2136" s="69"/>
      <c r="Q2136" s="69"/>
      <c r="R2136" s="69"/>
    </row>
    <row r="2137" spans="1:18">
      <c r="A2137" s="14"/>
      <c r="B2137" s="121"/>
      <c r="C2137" s="122"/>
      <c r="D2137" s="123"/>
      <c r="E2137" s="123"/>
      <c r="F2137" s="124"/>
      <c r="G2137" s="121"/>
      <c r="H2137" s="125"/>
      <c r="I2137" s="126"/>
      <c r="J2137" s="121"/>
      <c r="K2137" s="127"/>
      <c r="L2137" s="128"/>
      <c r="M2137" s="129"/>
      <c r="N2137" s="68"/>
      <c r="O2137" s="69"/>
      <c r="P2137" s="69"/>
      <c r="Q2137" s="69"/>
      <c r="R2137" s="69"/>
    </row>
    <row r="2138" spans="1:18">
      <c r="A2138" s="14"/>
      <c r="B2138" s="121"/>
      <c r="C2138" s="122"/>
      <c r="D2138" s="123"/>
      <c r="E2138" s="123"/>
      <c r="F2138" s="124"/>
      <c r="G2138" s="121"/>
      <c r="H2138" s="125"/>
      <c r="I2138" s="126"/>
      <c r="J2138" s="121"/>
      <c r="K2138" s="127"/>
      <c r="L2138" s="128"/>
      <c r="M2138" s="129"/>
      <c r="N2138" s="68"/>
      <c r="O2138" s="69"/>
      <c r="P2138" s="69"/>
      <c r="Q2138" s="69"/>
      <c r="R2138" s="69"/>
    </row>
    <row r="2139" spans="1:18">
      <c r="A2139" s="14"/>
      <c r="B2139" s="121"/>
      <c r="C2139" s="122"/>
      <c r="D2139" s="123"/>
      <c r="E2139" s="123"/>
      <c r="F2139" s="124"/>
      <c r="G2139" s="121"/>
      <c r="H2139" s="125"/>
      <c r="I2139" s="126"/>
      <c r="J2139" s="121"/>
      <c r="K2139" s="127"/>
      <c r="L2139" s="128"/>
      <c r="M2139" s="129"/>
      <c r="N2139" s="68"/>
      <c r="O2139" s="69"/>
      <c r="P2139" s="69"/>
      <c r="Q2139" s="69"/>
      <c r="R2139" s="69"/>
    </row>
    <row r="2140" spans="1:18">
      <c r="A2140" s="14"/>
      <c r="B2140" s="121"/>
      <c r="C2140" s="122"/>
      <c r="D2140" s="123"/>
      <c r="E2140" s="123"/>
      <c r="F2140" s="124"/>
      <c r="G2140" s="121"/>
      <c r="H2140" s="125"/>
      <c r="I2140" s="126"/>
      <c r="J2140" s="121"/>
      <c r="K2140" s="127"/>
      <c r="L2140" s="128"/>
      <c r="M2140" s="129"/>
      <c r="N2140" s="68"/>
      <c r="O2140" s="69"/>
      <c r="P2140" s="69"/>
      <c r="Q2140" s="69"/>
      <c r="R2140" s="69"/>
    </row>
    <row r="2141" spans="1:18">
      <c r="A2141" s="14"/>
      <c r="B2141" s="121"/>
      <c r="C2141" s="122"/>
      <c r="D2141" s="123"/>
      <c r="E2141" s="123"/>
      <c r="F2141" s="124"/>
      <c r="G2141" s="121"/>
      <c r="H2141" s="125"/>
      <c r="I2141" s="126"/>
      <c r="J2141" s="121"/>
      <c r="K2141" s="127"/>
      <c r="L2141" s="128"/>
      <c r="M2141" s="129"/>
      <c r="N2141" s="68"/>
      <c r="O2141" s="69"/>
      <c r="P2141" s="69"/>
      <c r="Q2141" s="69"/>
      <c r="R2141" s="69"/>
    </row>
    <row r="2142" spans="1:18">
      <c r="A2142" s="14"/>
      <c r="B2142" s="121"/>
      <c r="C2142" s="122"/>
      <c r="D2142" s="123"/>
      <c r="E2142" s="123"/>
      <c r="F2142" s="124"/>
      <c r="G2142" s="121"/>
      <c r="H2142" s="125"/>
      <c r="I2142" s="126"/>
      <c r="J2142" s="121"/>
      <c r="K2142" s="127"/>
      <c r="L2142" s="128"/>
      <c r="M2142" s="129"/>
      <c r="N2142" s="68"/>
      <c r="O2142" s="69"/>
      <c r="P2142" s="69"/>
      <c r="Q2142" s="69"/>
      <c r="R2142" s="69"/>
    </row>
    <row r="2143" spans="1:18">
      <c r="A2143" s="14"/>
      <c r="B2143" s="121"/>
      <c r="C2143" s="122"/>
      <c r="D2143" s="123"/>
      <c r="E2143" s="123"/>
      <c r="F2143" s="124"/>
      <c r="G2143" s="121"/>
      <c r="H2143" s="125"/>
      <c r="I2143" s="126"/>
      <c r="J2143" s="121"/>
      <c r="K2143" s="127"/>
      <c r="L2143" s="128"/>
      <c r="M2143" s="129"/>
      <c r="N2143" s="68"/>
      <c r="O2143" s="69"/>
      <c r="P2143" s="69"/>
      <c r="Q2143" s="69"/>
      <c r="R2143" s="69"/>
    </row>
    <row r="2144" spans="1:18">
      <c r="A2144" s="14"/>
      <c r="B2144" s="121"/>
      <c r="C2144" s="122"/>
      <c r="D2144" s="123"/>
      <c r="E2144" s="123"/>
      <c r="F2144" s="124"/>
      <c r="G2144" s="121"/>
      <c r="H2144" s="125"/>
      <c r="I2144" s="126"/>
      <c r="J2144" s="121"/>
      <c r="K2144" s="127"/>
      <c r="L2144" s="128"/>
      <c r="M2144" s="129"/>
      <c r="N2144" s="68"/>
      <c r="O2144" s="69"/>
      <c r="P2144" s="69"/>
      <c r="Q2144" s="69"/>
      <c r="R2144" s="69"/>
    </row>
    <row r="2145" spans="1:18">
      <c r="A2145" s="14"/>
      <c r="B2145" s="121"/>
      <c r="C2145" s="122"/>
      <c r="D2145" s="123"/>
      <c r="E2145" s="123"/>
      <c r="F2145" s="124"/>
      <c r="G2145" s="121"/>
      <c r="H2145" s="125"/>
      <c r="I2145" s="126"/>
      <c r="J2145" s="121"/>
      <c r="K2145" s="127"/>
      <c r="L2145" s="128"/>
      <c r="M2145" s="129"/>
      <c r="N2145" s="68"/>
      <c r="O2145" s="69"/>
      <c r="P2145" s="69"/>
      <c r="Q2145" s="69"/>
      <c r="R2145" s="69"/>
    </row>
    <row r="2146" spans="1:18">
      <c r="A2146" s="14"/>
      <c r="B2146" s="121"/>
      <c r="C2146" s="122"/>
      <c r="D2146" s="123"/>
      <c r="E2146" s="123"/>
      <c r="F2146" s="124"/>
      <c r="G2146" s="121"/>
      <c r="H2146" s="125"/>
      <c r="I2146" s="126"/>
      <c r="J2146" s="121"/>
      <c r="K2146" s="127"/>
      <c r="L2146" s="128"/>
      <c r="M2146" s="129"/>
      <c r="N2146" s="68"/>
      <c r="O2146" s="69"/>
      <c r="P2146" s="69"/>
      <c r="Q2146" s="69"/>
      <c r="R2146" s="69"/>
    </row>
    <row r="2147" spans="1:18">
      <c r="A2147" s="14"/>
      <c r="B2147" s="121"/>
      <c r="C2147" s="122"/>
      <c r="D2147" s="123"/>
      <c r="E2147" s="123"/>
      <c r="F2147" s="124"/>
      <c r="G2147" s="121"/>
      <c r="H2147" s="125"/>
      <c r="I2147" s="126"/>
      <c r="J2147" s="121"/>
      <c r="K2147" s="127"/>
      <c r="L2147" s="128"/>
      <c r="M2147" s="129"/>
      <c r="N2147" s="68"/>
      <c r="O2147" s="69"/>
      <c r="P2147" s="69"/>
      <c r="Q2147" s="69"/>
      <c r="R2147" s="69"/>
    </row>
    <row r="2148" spans="1:18">
      <c r="A2148" s="14"/>
      <c r="B2148" s="121"/>
      <c r="C2148" s="122"/>
      <c r="D2148" s="123"/>
      <c r="E2148" s="123"/>
      <c r="F2148" s="124"/>
      <c r="G2148" s="121"/>
      <c r="H2148" s="125"/>
      <c r="I2148" s="126"/>
      <c r="J2148" s="121"/>
      <c r="K2148" s="127"/>
      <c r="L2148" s="128"/>
      <c r="M2148" s="129"/>
      <c r="N2148" s="68"/>
      <c r="O2148" s="69"/>
      <c r="P2148" s="69"/>
      <c r="Q2148" s="69"/>
      <c r="R2148" s="69"/>
    </row>
    <row r="2149" spans="1:18">
      <c r="A2149" s="14"/>
      <c r="B2149" s="121"/>
      <c r="C2149" s="122"/>
      <c r="D2149" s="123"/>
      <c r="E2149" s="123"/>
      <c r="F2149" s="124"/>
      <c r="G2149" s="121"/>
      <c r="H2149" s="125"/>
      <c r="I2149" s="126"/>
      <c r="J2149" s="121"/>
      <c r="K2149" s="127"/>
      <c r="L2149" s="128"/>
      <c r="M2149" s="129"/>
      <c r="N2149" s="68"/>
      <c r="O2149" s="69"/>
      <c r="P2149" s="69"/>
      <c r="Q2149" s="69"/>
      <c r="R2149" s="69"/>
    </row>
    <row r="2150" spans="1:18">
      <c r="A2150" s="14"/>
      <c r="B2150" s="121"/>
      <c r="C2150" s="122"/>
      <c r="D2150" s="123"/>
      <c r="E2150" s="123"/>
      <c r="F2150" s="124"/>
      <c r="G2150" s="121"/>
      <c r="H2150" s="125"/>
      <c r="I2150" s="126"/>
      <c r="J2150" s="121"/>
      <c r="K2150" s="127"/>
      <c r="L2150" s="128"/>
      <c r="M2150" s="129"/>
      <c r="N2150" s="68"/>
      <c r="O2150" s="69"/>
      <c r="P2150" s="69"/>
      <c r="Q2150" s="69"/>
      <c r="R2150" s="69"/>
    </row>
    <row r="2151" spans="1:18">
      <c r="A2151" s="14"/>
      <c r="B2151" s="121"/>
      <c r="C2151" s="122"/>
      <c r="D2151" s="123"/>
      <c r="E2151" s="123"/>
      <c r="F2151" s="124"/>
      <c r="G2151" s="121"/>
      <c r="H2151" s="125"/>
      <c r="I2151" s="126"/>
      <c r="J2151" s="121"/>
      <c r="K2151" s="127"/>
      <c r="L2151" s="128"/>
      <c r="M2151" s="129"/>
      <c r="N2151" s="68"/>
      <c r="O2151" s="69"/>
      <c r="P2151" s="69"/>
      <c r="Q2151" s="69"/>
      <c r="R2151" s="69"/>
    </row>
    <row r="2152" spans="1:18">
      <c r="A2152" s="14"/>
      <c r="B2152" s="121"/>
      <c r="C2152" s="122"/>
      <c r="D2152" s="123"/>
      <c r="E2152" s="123"/>
      <c r="F2152" s="124"/>
      <c r="G2152" s="121"/>
      <c r="H2152" s="125"/>
      <c r="I2152" s="126"/>
      <c r="J2152" s="121"/>
      <c r="K2152" s="127"/>
      <c r="L2152" s="128"/>
      <c r="M2152" s="129"/>
      <c r="N2152" s="68"/>
      <c r="O2152" s="69"/>
      <c r="P2152" s="69"/>
      <c r="Q2152" s="69"/>
      <c r="R2152" s="69"/>
    </row>
    <row r="2153" spans="1:18">
      <c r="A2153" s="14"/>
      <c r="B2153" s="121"/>
      <c r="C2153" s="122"/>
      <c r="D2153" s="123"/>
      <c r="E2153" s="123"/>
      <c r="F2153" s="124"/>
      <c r="G2153" s="121"/>
      <c r="H2153" s="125"/>
      <c r="I2153" s="126"/>
      <c r="J2153" s="121"/>
      <c r="K2153" s="127"/>
      <c r="L2153" s="128"/>
      <c r="M2153" s="129"/>
      <c r="N2153" s="68"/>
      <c r="O2153" s="69"/>
      <c r="P2153" s="69"/>
      <c r="Q2153" s="69"/>
      <c r="R2153" s="69"/>
    </row>
    <row r="2154" spans="1:18">
      <c r="A2154" s="14"/>
      <c r="B2154" s="121"/>
      <c r="C2154" s="122"/>
      <c r="D2154" s="123"/>
      <c r="E2154" s="123"/>
      <c r="F2154" s="124"/>
      <c r="G2154" s="121"/>
      <c r="H2154" s="125"/>
      <c r="I2154" s="126"/>
      <c r="J2154" s="121"/>
      <c r="K2154" s="127"/>
      <c r="L2154" s="128"/>
      <c r="M2154" s="129"/>
      <c r="N2154" s="68"/>
      <c r="O2154" s="69"/>
      <c r="P2154" s="69"/>
      <c r="Q2154" s="69"/>
      <c r="R2154" s="69"/>
    </row>
    <row r="2155" spans="1:18">
      <c r="A2155" s="14"/>
      <c r="B2155" s="121"/>
      <c r="C2155" s="122"/>
      <c r="D2155" s="123"/>
      <c r="E2155" s="123"/>
      <c r="F2155" s="124"/>
      <c r="G2155" s="121"/>
      <c r="H2155" s="125"/>
      <c r="I2155" s="126"/>
      <c r="J2155" s="121"/>
      <c r="K2155" s="127"/>
      <c r="L2155" s="128"/>
      <c r="M2155" s="129"/>
      <c r="N2155" s="68"/>
      <c r="O2155" s="69"/>
      <c r="P2155" s="69"/>
      <c r="Q2155" s="69"/>
      <c r="R2155" s="69"/>
    </row>
    <row r="2156" spans="1:18">
      <c r="A2156" s="14"/>
      <c r="B2156" s="121"/>
      <c r="C2156" s="122"/>
      <c r="D2156" s="123"/>
      <c r="E2156" s="123"/>
      <c r="F2156" s="124"/>
      <c r="G2156" s="121"/>
      <c r="H2156" s="125"/>
      <c r="I2156" s="126"/>
      <c r="J2156" s="121"/>
      <c r="K2156" s="127"/>
      <c r="L2156" s="128"/>
      <c r="M2156" s="129"/>
      <c r="N2156" s="68"/>
      <c r="O2156" s="69"/>
      <c r="P2156" s="69"/>
      <c r="Q2156" s="69"/>
      <c r="R2156" s="69"/>
    </row>
    <row r="2157" spans="1:18">
      <c r="A2157" s="14"/>
      <c r="B2157" s="121"/>
      <c r="C2157" s="122"/>
      <c r="D2157" s="123"/>
      <c r="E2157" s="123"/>
      <c r="F2157" s="124"/>
      <c r="G2157" s="121"/>
      <c r="H2157" s="125"/>
      <c r="I2157" s="126"/>
      <c r="J2157" s="121"/>
      <c r="K2157" s="127"/>
      <c r="L2157" s="128"/>
      <c r="M2157" s="129"/>
      <c r="N2157" s="68"/>
      <c r="O2157" s="69"/>
      <c r="P2157" s="69"/>
      <c r="Q2157" s="69"/>
      <c r="R2157" s="69"/>
    </row>
    <row r="2158" spans="1:18">
      <c r="A2158" s="14"/>
      <c r="B2158" s="121"/>
      <c r="C2158" s="122"/>
      <c r="D2158" s="123"/>
      <c r="E2158" s="123"/>
      <c r="F2158" s="124"/>
      <c r="G2158" s="121"/>
      <c r="H2158" s="125"/>
      <c r="I2158" s="126"/>
      <c r="J2158" s="121"/>
      <c r="K2158" s="127"/>
      <c r="L2158" s="128"/>
      <c r="M2158" s="129"/>
      <c r="N2158" s="68"/>
      <c r="O2158" s="69"/>
      <c r="P2158" s="69"/>
      <c r="Q2158" s="69"/>
      <c r="R2158" s="69"/>
    </row>
    <row r="2159" spans="1:18">
      <c r="A2159" s="14"/>
      <c r="B2159" s="121"/>
      <c r="C2159" s="122"/>
      <c r="D2159" s="123"/>
      <c r="E2159" s="123"/>
      <c r="F2159" s="124"/>
      <c r="G2159" s="121"/>
      <c r="H2159" s="125"/>
      <c r="I2159" s="126"/>
      <c r="J2159" s="121"/>
      <c r="K2159" s="127"/>
      <c r="L2159" s="128"/>
      <c r="M2159" s="129"/>
      <c r="N2159" s="68"/>
      <c r="O2159" s="69"/>
      <c r="P2159" s="69"/>
      <c r="Q2159" s="69"/>
      <c r="R2159" s="69"/>
    </row>
    <row r="2160" spans="1:18">
      <c r="A2160" s="14"/>
      <c r="B2160" s="121"/>
      <c r="C2160" s="122"/>
      <c r="D2160" s="123"/>
      <c r="E2160" s="123"/>
      <c r="F2160" s="124"/>
      <c r="G2160" s="121"/>
      <c r="H2160" s="125"/>
      <c r="I2160" s="126"/>
      <c r="J2160" s="121"/>
      <c r="K2160" s="127"/>
      <c r="L2160" s="128"/>
      <c r="M2160" s="129"/>
      <c r="N2160" s="68"/>
      <c r="O2160" s="69"/>
      <c r="P2160" s="69"/>
      <c r="Q2160" s="69"/>
      <c r="R2160" s="69"/>
    </row>
    <row r="2161" spans="1:18">
      <c r="A2161" s="14"/>
      <c r="B2161" s="121"/>
      <c r="C2161" s="122"/>
      <c r="D2161" s="123"/>
      <c r="E2161" s="123"/>
      <c r="F2161" s="124"/>
      <c r="G2161" s="121"/>
      <c r="H2161" s="125"/>
      <c r="I2161" s="126"/>
      <c r="J2161" s="121"/>
      <c r="K2161" s="127"/>
      <c r="L2161" s="128"/>
      <c r="M2161" s="129"/>
      <c r="N2161" s="68"/>
      <c r="O2161" s="69"/>
      <c r="P2161" s="69"/>
      <c r="Q2161" s="69"/>
      <c r="R2161" s="69"/>
    </row>
    <row r="2162" spans="1:18">
      <c r="A2162" s="14"/>
      <c r="B2162" s="121"/>
      <c r="C2162" s="122"/>
      <c r="D2162" s="123"/>
      <c r="E2162" s="123"/>
      <c r="F2162" s="124"/>
      <c r="G2162" s="121"/>
      <c r="H2162" s="125"/>
      <c r="I2162" s="126"/>
      <c r="J2162" s="121"/>
      <c r="K2162" s="127"/>
      <c r="L2162" s="128"/>
      <c r="M2162" s="129"/>
      <c r="N2162" s="68"/>
      <c r="O2162" s="69"/>
      <c r="P2162" s="69"/>
      <c r="Q2162" s="69"/>
      <c r="R2162" s="69"/>
    </row>
    <row r="2163" spans="1:18">
      <c r="A2163" s="14"/>
      <c r="B2163" s="121"/>
      <c r="C2163" s="122"/>
      <c r="D2163" s="123"/>
      <c r="E2163" s="123"/>
      <c r="F2163" s="124"/>
      <c r="G2163" s="121"/>
      <c r="H2163" s="125"/>
      <c r="I2163" s="126"/>
      <c r="J2163" s="121"/>
      <c r="K2163" s="127"/>
      <c r="L2163" s="128"/>
      <c r="M2163" s="129"/>
      <c r="N2163" s="68"/>
      <c r="O2163" s="69"/>
      <c r="P2163" s="69"/>
      <c r="Q2163" s="69"/>
      <c r="R2163" s="69"/>
    </row>
    <row r="2164" spans="1:18">
      <c r="A2164" s="14"/>
      <c r="B2164" s="121"/>
      <c r="C2164" s="122"/>
      <c r="D2164" s="123"/>
      <c r="E2164" s="123"/>
      <c r="F2164" s="124"/>
      <c r="G2164" s="121"/>
      <c r="H2164" s="125"/>
      <c r="I2164" s="126"/>
      <c r="J2164" s="121"/>
      <c r="K2164" s="127"/>
      <c r="L2164" s="128"/>
      <c r="M2164" s="129"/>
      <c r="N2164" s="68"/>
      <c r="O2164" s="69"/>
      <c r="P2164" s="69"/>
      <c r="Q2164" s="69"/>
      <c r="R2164" s="69"/>
    </row>
    <row r="2165" spans="1:18">
      <c r="A2165" s="14"/>
      <c r="B2165" s="121"/>
      <c r="C2165" s="122"/>
      <c r="D2165" s="123"/>
      <c r="E2165" s="123"/>
      <c r="F2165" s="124"/>
      <c r="G2165" s="121"/>
      <c r="H2165" s="125"/>
      <c r="I2165" s="126"/>
      <c r="J2165" s="121"/>
      <c r="K2165" s="127"/>
      <c r="L2165" s="128"/>
      <c r="M2165" s="129"/>
      <c r="N2165" s="68"/>
      <c r="O2165" s="69"/>
      <c r="P2165" s="69"/>
      <c r="Q2165" s="69"/>
      <c r="R2165" s="69"/>
    </row>
    <row r="2166" spans="1:18">
      <c r="A2166" s="14"/>
      <c r="B2166" s="121"/>
      <c r="C2166" s="122"/>
      <c r="D2166" s="123"/>
      <c r="E2166" s="123"/>
      <c r="F2166" s="124"/>
      <c r="G2166" s="121"/>
      <c r="H2166" s="125"/>
      <c r="I2166" s="126"/>
      <c r="J2166" s="121"/>
      <c r="K2166" s="127"/>
      <c r="L2166" s="128"/>
      <c r="M2166" s="129"/>
      <c r="N2166" s="68"/>
      <c r="O2166" s="69"/>
      <c r="P2166" s="69"/>
      <c r="Q2166" s="69"/>
      <c r="R2166" s="69"/>
    </row>
    <row r="2167" spans="1:18">
      <c r="A2167" s="14"/>
      <c r="B2167" s="121"/>
      <c r="C2167" s="122"/>
      <c r="D2167" s="123"/>
      <c r="E2167" s="123"/>
      <c r="F2167" s="124"/>
      <c r="G2167" s="121"/>
      <c r="H2167" s="125"/>
      <c r="I2167" s="126"/>
      <c r="J2167" s="121"/>
      <c r="K2167" s="127"/>
      <c r="L2167" s="128"/>
      <c r="M2167" s="129"/>
      <c r="N2167" s="68"/>
      <c r="O2167" s="69"/>
      <c r="P2167" s="69"/>
      <c r="Q2167" s="69"/>
      <c r="R2167" s="69"/>
    </row>
    <row r="2168" spans="1:18">
      <c r="A2168" s="14"/>
      <c r="B2168" s="121"/>
      <c r="C2168" s="122"/>
      <c r="D2168" s="123"/>
      <c r="E2168" s="123"/>
      <c r="F2168" s="124"/>
      <c r="G2168" s="121"/>
      <c r="H2168" s="125"/>
      <c r="I2168" s="126"/>
      <c r="J2168" s="121"/>
      <c r="K2168" s="127"/>
      <c r="L2168" s="128"/>
      <c r="M2168" s="129"/>
      <c r="N2168" s="68"/>
      <c r="O2168" s="69"/>
      <c r="P2168" s="69"/>
      <c r="Q2168" s="69"/>
      <c r="R2168" s="69"/>
    </row>
    <row r="2169" spans="1:18">
      <c r="A2169" s="14"/>
      <c r="B2169" s="121"/>
      <c r="C2169" s="122"/>
      <c r="D2169" s="123"/>
      <c r="E2169" s="123"/>
      <c r="F2169" s="124"/>
      <c r="G2169" s="121"/>
      <c r="H2169" s="125"/>
      <c r="I2169" s="126"/>
      <c r="J2169" s="121"/>
      <c r="K2169" s="127"/>
      <c r="L2169" s="128"/>
      <c r="M2169" s="129"/>
      <c r="N2169" s="68"/>
      <c r="O2169" s="69"/>
      <c r="P2169" s="69"/>
      <c r="Q2169" s="69"/>
      <c r="R2169" s="69"/>
    </row>
    <row r="2170" spans="1:18">
      <c r="A2170" s="14"/>
      <c r="B2170" s="121"/>
      <c r="C2170" s="122"/>
      <c r="D2170" s="123"/>
      <c r="E2170" s="123"/>
      <c r="F2170" s="124"/>
      <c r="G2170" s="121"/>
      <c r="H2170" s="125"/>
      <c r="I2170" s="126"/>
      <c r="J2170" s="121"/>
      <c r="K2170" s="127"/>
      <c r="L2170" s="128"/>
      <c r="M2170" s="129"/>
      <c r="N2170" s="68"/>
      <c r="O2170" s="69"/>
      <c r="P2170" s="69"/>
      <c r="Q2170" s="69"/>
      <c r="R2170" s="69"/>
    </row>
    <row r="2171" spans="1:18">
      <c r="A2171" s="14"/>
      <c r="B2171" s="121"/>
      <c r="C2171" s="122"/>
      <c r="D2171" s="123"/>
      <c r="E2171" s="123"/>
      <c r="F2171" s="124"/>
      <c r="G2171" s="121"/>
      <c r="H2171" s="125"/>
      <c r="I2171" s="126"/>
      <c r="J2171" s="121"/>
      <c r="K2171" s="127"/>
      <c r="L2171" s="128"/>
      <c r="M2171" s="129"/>
      <c r="N2171" s="68"/>
      <c r="O2171" s="69"/>
      <c r="P2171" s="69"/>
      <c r="Q2171" s="69"/>
      <c r="R2171" s="69"/>
    </row>
    <row r="2172" spans="1:18">
      <c r="A2172" s="14"/>
      <c r="B2172" s="121"/>
      <c r="C2172" s="122"/>
      <c r="D2172" s="123"/>
      <c r="E2172" s="123"/>
      <c r="F2172" s="124"/>
      <c r="G2172" s="121"/>
      <c r="H2172" s="125"/>
      <c r="I2172" s="126"/>
      <c r="J2172" s="121"/>
      <c r="K2172" s="127"/>
      <c r="L2172" s="128"/>
      <c r="M2172" s="129"/>
      <c r="N2172" s="68"/>
      <c r="O2172" s="69"/>
      <c r="P2172" s="69"/>
      <c r="Q2172" s="69"/>
      <c r="R2172" s="69"/>
    </row>
    <row r="2173" spans="1:18">
      <c r="A2173" s="14"/>
      <c r="B2173" s="121"/>
      <c r="C2173" s="122"/>
      <c r="D2173" s="123"/>
      <c r="E2173" s="123"/>
      <c r="F2173" s="124"/>
      <c r="G2173" s="121"/>
      <c r="H2173" s="125"/>
      <c r="I2173" s="126"/>
      <c r="J2173" s="121"/>
      <c r="K2173" s="127"/>
      <c r="L2173" s="128"/>
      <c r="M2173" s="129"/>
      <c r="N2173" s="68"/>
      <c r="O2173" s="69"/>
      <c r="P2173" s="69"/>
      <c r="Q2173" s="69"/>
      <c r="R2173" s="69"/>
    </row>
    <row r="2174" spans="1:18">
      <c r="A2174" s="14"/>
      <c r="B2174" s="121"/>
      <c r="C2174" s="122"/>
      <c r="D2174" s="123"/>
      <c r="E2174" s="123"/>
      <c r="F2174" s="124"/>
      <c r="G2174" s="121"/>
      <c r="H2174" s="125"/>
      <c r="I2174" s="126"/>
      <c r="J2174" s="121"/>
      <c r="K2174" s="127"/>
      <c r="L2174" s="128"/>
      <c r="M2174" s="129"/>
      <c r="N2174" s="68"/>
      <c r="O2174" s="69"/>
      <c r="P2174" s="69"/>
      <c r="Q2174" s="69"/>
      <c r="R2174" s="69"/>
    </row>
    <row r="2175" spans="1:18">
      <c r="A2175" s="14"/>
      <c r="B2175" s="121"/>
      <c r="C2175" s="122"/>
      <c r="D2175" s="123"/>
      <c r="E2175" s="123"/>
      <c r="F2175" s="124"/>
      <c r="G2175" s="121"/>
      <c r="H2175" s="125"/>
      <c r="I2175" s="126"/>
      <c r="J2175" s="121"/>
      <c r="K2175" s="127"/>
      <c r="L2175" s="128"/>
      <c r="M2175" s="129"/>
      <c r="N2175" s="68"/>
      <c r="O2175" s="69"/>
      <c r="P2175" s="69"/>
      <c r="Q2175" s="69"/>
      <c r="R2175" s="69"/>
    </row>
    <row r="2176" spans="1:18">
      <c r="A2176" s="14"/>
      <c r="B2176" s="121"/>
      <c r="C2176" s="122"/>
      <c r="D2176" s="123"/>
      <c r="E2176" s="123"/>
      <c r="F2176" s="124"/>
      <c r="G2176" s="121"/>
      <c r="H2176" s="125"/>
      <c r="I2176" s="126"/>
      <c r="J2176" s="121"/>
      <c r="K2176" s="127"/>
      <c r="L2176" s="128"/>
      <c r="M2176" s="129"/>
      <c r="N2176" s="68"/>
      <c r="O2176" s="69"/>
      <c r="P2176" s="69"/>
      <c r="Q2176" s="69"/>
      <c r="R2176" s="69"/>
    </row>
    <row r="2177" spans="1:18">
      <c r="A2177" s="14"/>
      <c r="B2177" s="121"/>
      <c r="C2177" s="122"/>
      <c r="D2177" s="123"/>
      <c r="E2177" s="123"/>
      <c r="F2177" s="124"/>
      <c r="G2177" s="121"/>
      <c r="H2177" s="125"/>
      <c r="I2177" s="126"/>
      <c r="J2177" s="121"/>
      <c r="K2177" s="127"/>
      <c r="L2177" s="128"/>
      <c r="M2177" s="129"/>
      <c r="N2177" s="68"/>
      <c r="O2177" s="69"/>
      <c r="P2177" s="69"/>
      <c r="Q2177" s="69"/>
      <c r="R2177" s="69"/>
    </row>
    <row r="2178" spans="1:18">
      <c r="A2178" s="14"/>
      <c r="B2178" s="121"/>
      <c r="C2178" s="122"/>
      <c r="D2178" s="123"/>
      <c r="E2178" s="123"/>
      <c r="F2178" s="124"/>
      <c r="G2178" s="121"/>
      <c r="H2178" s="125"/>
      <c r="I2178" s="126"/>
      <c r="J2178" s="121"/>
      <c r="K2178" s="127"/>
      <c r="L2178" s="128"/>
      <c r="M2178" s="129"/>
      <c r="N2178" s="68"/>
      <c r="O2178" s="69"/>
      <c r="P2178" s="69"/>
      <c r="Q2178" s="69"/>
      <c r="R2178" s="69"/>
    </row>
    <row r="2179" spans="1:18">
      <c r="A2179" s="14"/>
      <c r="B2179" s="121"/>
      <c r="C2179" s="122"/>
      <c r="D2179" s="123"/>
      <c r="E2179" s="123"/>
      <c r="F2179" s="124"/>
      <c r="G2179" s="121"/>
      <c r="H2179" s="125"/>
      <c r="I2179" s="126"/>
      <c r="J2179" s="121"/>
      <c r="K2179" s="127"/>
      <c r="L2179" s="128"/>
      <c r="M2179" s="129"/>
      <c r="N2179" s="68"/>
      <c r="O2179" s="69"/>
      <c r="P2179" s="69"/>
      <c r="Q2179" s="69"/>
      <c r="R2179" s="69"/>
    </row>
    <row r="2180" spans="1:18">
      <c r="A2180" s="14"/>
      <c r="B2180" s="121"/>
      <c r="C2180" s="122"/>
      <c r="D2180" s="123"/>
      <c r="E2180" s="123"/>
      <c r="F2180" s="124"/>
      <c r="G2180" s="121"/>
      <c r="H2180" s="125"/>
      <c r="I2180" s="126"/>
      <c r="J2180" s="121"/>
      <c r="K2180" s="127"/>
      <c r="L2180" s="128"/>
      <c r="M2180" s="129"/>
      <c r="N2180" s="68"/>
      <c r="O2180" s="69"/>
      <c r="P2180" s="69"/>
      <c r="Q2180" s="69"/>
      <c r="R2180" s="69"/>
    </row>
    <row r="2181" spans="1:18">
      <c r="A2181" s="14"/>
      <c r="B2181" s="121"/>
      <c r="C2181" s="122"/>
      <c r="D2181" s="123"/>
      <c r="E2181" s="123"/>
      <c r="F2181" s="124"/>
      <c r="G2181" s="121"/>
      <c r="H2181" s="125"/>
      <c r="I2181" s="126"/>
      <c r="J2181" s="121"/>
      <c r="K2181" s="127"/>
      <c r="L2181" s="128"/>
      <c r="M2181" s="129"/>
      <c r="N2181" s="68"/>
      <c r="O2181" s="69"/>
      <c r="P2181" s="69"/>
      <c r="Q2181" s="69"/>
      <c r="R2181" s="69"/>
    </row>
    <row r="2182" spans="1:18">
      <c r="A2182" s="14"/>
      <c r="B2182" s="121"/>
      <c r="C2182" s="122"/>
      <c r="D2182" s="123"/>
      <c r="E2182" s="123"/>
      <c r="F2182" s="124"/>
      <c r="G2182" s="121"/>
      <c r="H2182" s="125"/>
      <c r="I2182" s="126"/>
      <c r="J2182" s="121"/>
      <c r="K2182" s="127"/>
      <c r="L2182" s="128"/>
      <c r="M2182" s="129"/>
      <c r="N2182" s="68"/>
      <c r="O2182" s="69"/>
      <c r="P2182" s="69"/>
      <c r="Q2182" s="69"/>
      <c r="R2182" s="69"/>
    </row>
    <row r="2183" spans="1:18">
      <c r="A2183" s="14"/>
      <c r="B2183" s="121"/>
      <c r="C2183" s="122"/>
      <c r="D2183" s="123"/>
      <c r="E2183" s="123"/>
      <c r="F2183" s="124"/>
      <c r="G2183" s="121"/>
      <c r="H2183" s="125"/>
      <c r="I2183" s="126"/>
      <c r="J2183" s="121"/>
      <c r="K2183" s="127"/>
      <c r="L2183" s="128"/>
      <c r="M2183" s="129"/>
      <c r="N2183" s="68"/>
      <c r="O2183" s="69"/>
      <c r="P2183" s="69"/>
      <c r="Q2183" s="69"/>
      <c r="R2183" s="69"/>
    </row>
    <row r="2184" spans="1:18">
      <c r="A2184" s="14"/>
      <c r="B2184" s="121"/>
      <c r="C2184" s="122"/>
      <c r="D2184" s="123"/>
      <c r="E2184" s="123"/>
      <c r="F2184" s="124"/>
      <c r="G2184" s="121"/>
      <c r="H2184" s="125"/>
      <c r="I2184" s="126"/>
      <c r="J2184" s="121"/>
      <c r="K2184" s="127"/>
      <c r="L2184" s="128"/>
      <c r="M2184" s="129"/>
      <c r="N2184" s="68"/>
      <c r="O2184" s="69"/>
      <c r="P2184" s="69"/>
      <c r="Q2184" s="69"/>
      <c r="R2184" s="69"/>
    </row>
    <row r="2185" spans="1:18">
      <c r="A2185" s="14"/>
      <c r="B2185" s="121"/>
      <c r="C2185" s="122"/>
      <c r="D2185" s="123"/>
      <c r="E2185" s="123"/>
      <c r="F2185" s="124"/>
      <c r="G2185" s="121"/>
      <c r="H2185" s="125"/>
      <c r="I2185" s="126"/>
      <c r="J2185" s="121"/>
      <c r="K2185" s="127"/>
      <c r="L2185" s="128"/>
      <c r="M2185" s="129"/>
      <c r="N2185" s="68"/>
      <c r="O2185" s="69"/>
      <c r="P2185" s="69"/>
      <c r="Q2185" s="69"/>
      <c r="R2185" s="69"/>
    </row>
    <row r="2186" spans="1:18">
      <c r="A2186" s="14"/>
      <c r="B2186" s="121"/>
      <c r="C2186" s="122"/>
      <c r="D2186" s="123"/>
      <c r="E2186" s="123"/>
      <c r="F2186" s="124"/>
      <c r="G2186" s="121"/>
      <c r="H2186" s="125"/>
      <c r="I2186" s="126"/>
      <c r="J2186" s="121"/>
      <c r="K2186" s="127"/>
      <c r="L2186" s="128"/>
      <c r="M2186" s="129"/>
      <c r="N2186" s="68"/>
      <c r="O2186" s="69"/>
      <c r="P2186" s="69"/>
      <c r="Q2186" s="69"/>
      <c r="R2186" s="69"/>
    </row>
    <row r="2187" spans="1:18">
      <c r="A2187" s="14"/>
      <c r="B2187" s="121"/>
      <c r="C2187" s="122"/>
      <c r="D2187" s="123"/>
      <c r="E2187" s="123"/>
      <c r="F2187" s="124"/>
      <c r="G2187" s="121"/>
      <c r="H2187" s="125"/>
      <c r="I2187" s="126"/>
      <c r="J2187" s="121"/>
      <c r="K2187" s="127"/>
      <c r="L2187" s="128"/>
      <c r="M2187" s="129"/>
      <c r="N2187" s="68"/>
      <c r="O2187" s="69"/>
      <c r="P2187" s="69"/>
      <c r="Q2187" s="69"/>
      <c r="R2187" s="69"/>
    </row>
    <row r="2188" spans="1:18">
      <c r="A2188" s="14"/>
      <c r="B2188" s="121"/>
      <c r="C2188" s="122"/>
      <c r="D2188" s="123"/>
      <c r="E2188" s="123"/>
      <c r="F2188" s="124"/>
      <c r="G2188" s="121"/>
      <c r="H2188" s="125"/>
      <c r="I2188" s="126"/>
      <c r="J2188" s="121"/>
      <c r="K2188" s="127"/>
      <c r="L2188" s="128"/>
      <c r="M2188" s="129"/>
      <c r="N2188" s="68"/>
      <c r="O2188" s="69"/>
      <c r="P2188" s="69"/>
      <c r="Q2188" s="69"/>
      <c r="R2188" s="69"/>
    </row>
    <row r="2189" spans="1:18">
      <c r="A2189" s="14"/>
      <c r="B2189" s="121"/>
      <c r="C2189" s="122"/>
      <c r="D2189" s="123"/>
      <c r="E2189" s="123"/>
      <c r="F2189" s="124"/>
      <c r="G2189" s="121"/>
      <c r="H2189" s="125"/>
      <c r="I2189" s="126"/>
      <c r="J2189" s="121"/>
      <c r="K2189" s="127"/>
      <c r="L2189" s="128"/>
      <c r="M2189" s="129"/>
      <c r="N2189" s="68"/>
      <c r="O2189" s="69"/>
      <c r="P2189" s="69"/>
      <c r="Q2189" s="69"/>
      <c r="R2189" s="69"/>
    </row>
    <row r="2190" spans="1:18">
      <c r="A2190" s="14"/>
      <c r="B2190" s="121"/>
      <c r="C2190" s="122"/>
      <c r="D2190" s="123"/>
      <c r="E2190" s="123"/>
      <c r="F2190" s="124"/>
      <c r="G2190" s="121"/>
      <c r="H2190" s="125"/>
      <c r="I2190" s="126"/>
      <c r="J2190" s="121"/>
      <c r="K2190" s="127"/>
      <c r="L2190" s="128"/>
      <c r="M2190" s="129"/>
      <c r="N2190" s="68"/>
      <c r="O2190" s="69"/>
      <c r="P2190" s="69"/>
      <c r="Q2190" s="69"/>
      <c r="R2190" s="69"/>
    </row>
    <row r="2191" spans="1:18">
      <c r="A2191" s="14"/>
      <c r="B2191" s="121"/>
      <c r="C2191" s="122"/>
      <c r="D2191" s="123"/>
      <c r="E2191" s="123"/>
      <c r="F2191" s="124"/>
      <c r="G2191" s="121"/>
      <c r="H2191" s="125"/>
      <c r="I2191" s="126"/>
      <c r="J2191" s="121"/>
      <c r="K2191" s="127"/>
      <c r="L2191" s="128"/>
      <c r="M2191" s="129"/>
      <c r="N2191" s="68"/>
      <c r="O2191" s="69"/>
      <c r="P2191" s="69"/>
      <c r="Q2191" s="69"/>
      <c r="R2191" s="69"/>
    </row>
    <row r="2192" spans="1:18">
      <c r="A2192" s="14"/>
      <c r="B2192" s="121"/>
      <c r="C2192" s="122"/>
      <c r="D2192" s="123"/>
      <c r="E2192" s="123"/>
      <c r="F2192" s="124"/>
      <c r="G2192" s="121"/>
      <c r="H2192" s="125"/>
      <c r="I2192" s="126"/>
      <c r="J2192" s="121"/>
      <c r="K2192" s="127"/>
      <c r="L2192" s="128"/>
      <c r="M2192" s="129"/>
      <c r="N2192" s="68"/>
      <c r="O2192" s="69"/>
      <c r="P2192" s="69"/>
      <c r="Q2192" s="69"/>
      <c r="R2192" s="69"/>
    </row>
    <row r="2193" spans="1:18">
      <c r="A2193" s="14"/>
      <c r="B2193" s="121"/>
      <c r="C2193" s="122"/>
      <c r="D2193" s="123"/>
      <c r="E2193" s="123"/>
      <c r="F2193" s="124"/>
      <c r="G2193" s="121"/>
      <c r="H2193" s="125"/>
      <c r="I2193" s="126"/>
      <c r="J2193" s="121"/>
      <c r="K2193" s="127"/>
      <c r="L2193" s="128"/>
      <c r="M2193" s="129"/>
      <c r="N2193" s="68"/>
      <c r="O2193" s="69"/>
      <c r="P2193" s="69"/>
      <c r="Q2193" s="69"/>
      <c r="R2193" s="69"/>
    </row>
    <row r="2194" spans="1:18">
      <c r="A2194" s="14"/>
      <c r="B2194" s="121"/>
      <c r="C2194" s="122"/>
      <c r="D2194" s="123"/>
      <c r="E2194" s="123"/>
      <c r="F2194" s="124"/>
      <c r="G2194" s="121"/>
      <c r="H2194" s="125"/>
      <c r="I2194" s="126"/>
      <c r="J2194" s="121"/>
      <c r="K2194" s="127"/>
      <c r="L2194" s="128"/>
      <c r="M2194" s="129"/>
      <c r="N2194" s="68"/>
      <c r="O2194" s="69"/>
      <c r="P2194" s="69"/>
      <c r="Q2194" s="69"/>
      <c r="R2194" s="69"/>
    </row>
    <row r="2195" spans="1:18">
      <c r="A2195" s="14"/>
      <c r="B2195" s="121"/>
      <c r="C2195" s="122"/>
      <c r="D2195" s="123"/>
      <c r="E2195" s="123"/>
      <c r="F2195" s="124"/>
      <c r="G2195" s="121"/>
      <c r="H2195" s="125"/>
      <c r="I2195" s="126"/>
      <c r="J2195" s="121"/>
      <c r="K2195" s="127"/>
      <c r="L2195" s="128"/>
      <c r="M2195" s="129"/>
      <c r="N2195" s="68"/>
      <c r="O2195" s="69"/>
      <c r="P2195" s="69"/>
      <c r="Q2195" s="69"/>
      <c r="R2195" s="69"/>
    </row>
    <row r="2196" spans="1:18">
      <c r="A2196" s="14"/>
      <c r="B2196" s="121"/>
      <c r="C2196" s="122"/>
      <c r="D2196" s="123"/>
      <c r="E2196" s="123"/>
      <c r="F2196" s="124"/>
      <c r="G2196" s="121"/>
      <c r="H2196" s="125"/>
      <c r="I2196" s="126"/>
      <c r="J2196" s="121"/>
      <c r="K2196" s="127"/>
      <c r="L2196" s="128"/>
      <c r="M2196" s="129"/>
      <c r="N2196" s="68"/>
      <c r="O2196" s="69"/>
      <c r="P2196" s="69"/>
      <c r="Q2196" s="69"/>
      <c r="R2196" s="69"/>
    </row>
    <row r="2197" spans="1:18">
      <c r="A2197" s="14"/>
      <c r="B2197" s="121"/>
      <c r="C2197" s="122"/>
      <c r="D2197" s="123"/>
      <c r="E2197" s="123"/>
      <c r="F2197" s="124"/>
      <c r="G2197" s="121"/>
      <c r="H2197" s="125"/>
      <c r="I2197" s="126"/>
      <c r="J2197" s="121"/>
      <c r="K2197" s="127"/>
      <c r="L2197" s="128"/>
      <c r="M2197" s="129"/>
      <c r="N2197" s="68"/>
      <c r="O2197" s="69"/>
      <c r="P2197" s="69"/>
      <c r="Q2197" s="69"/>
      <c r="R2197" s="69"/>
    </row>
    <row r="2198" spans="1:18">
      <c r="A2198" s="14"/>
      <c r="B2198" s="121"/>
      <c r="C2198" s="122"/>
      <c r="D2198" s="123"/>
      <c r="E2198" s="123"/>
      <c r="F2198" s="124"/>
      <c r="G2198" s="121"/>
      <c r="H2198" s="125"/>
      <c r="I2198" s="126"/>
      <c r="J2198" s="121"/>
      <c r="K2198" s="127"/>
      <c r="L2198" s="128"/>
      <c r="M2198" s="129"/>
      <c r="N2198" s="68"/>
      <c r="O2198" s="69"/>
      <c r="P2198" s="69"/>
      <c r="Q2198" s="69"/>
      <c r="R2198" s="69"/>
    </row>
    <row r="2199" spans="1:18">
      <c r="A2199" s="14"/>
      <c r="B2199" s="121"/>
      <c r="C2199" s="122"/>
      <c r="D2199" s="123"/>
      <c r="E2199" s="123"/>
      <c r="F2199" s="124"/>
      <c r="G2199" s="121"/>
      <c r="H2199" s="125"/>
      <c r="I2199" s="126"/>
      <c r="J2199" s="121"/>
      <c r="K2199" s="127"/>
      <c r="L2199" s="128"/>
      <c r="M2199" s="129"/>
      <c r="N2199" s="68"/>
      <c r="O2199" s="69"/>
      <c r="P2199" s="69"/>
      <c r="Q2199" s="69"/>
      <c r="R2199" s="69"/>
    </row>
    <row r="2200" spans="1:18">
      <c r="A2200" s="14"/>
      <c r="B2200" s="121"/>
      <c r="C2200" s="122"/>
      <c r="D2200" s="123"/>
      <c r="E2200" s="123"/>
      <c r="F2200" s="124"/>
      <c r="G2200" s="121"/>
      <c r="H2200" s="125"/>
      <c r="I2200" s="126"/>
      <c r="J2200" s="121"/>
      <c r="K2200" s="127"/>
      <c r="L2200" s="128"/>
      <c r="M2200" s="129"/>
      <c r="N2200" s="68"/>
      <c r="O2200" s="69"/>
      <c r="P2200" s="69"/>
      <c r="Q2200" s="69"/>
      <c r="R2200" s="69"/>
    </row>
    <row r="2201" spans="1:18">
      <c r="A2201" s="14"/>
      <c r="B2201" s="121"/>
      <c r="C2201" s="122"/>
      <c r="D2201" s="123"/>
      <c r="E2201" s="123"/>
      <c r="F2201" s="124"/>
      <c r="G2201" s="121"/>
      <c r="H2201" s="125"/>
      <c r="I2201" s="126"/>
      <c r="J2201" s="121"/>
      <c r="K2201" s="127"/>
      <c r="L2201" s="128"/>
      <c r="M2201" s="129"/>
      <c r="N2201" s="68"/>
      <c r="O2201" s="69"/>
      <c r="P2201" s="69"/>
      <c r="Q2201" s="69"/>
      <c r="R2201" s="69"/>
    </row>
    <row r="2202" spans="1:18">
      <c r="A2202" s="14"/>
      <c r="B2202" s="121"/>
      <c r="C2202" s="122"/>
      <c r="D2202" s="123"/>
      <c r="E2202" s="123"/>
      <c r="F2202" s="124"/>
      <c r="G2202" s="121"/>
      <c r="H2202" s="125"/>
      <c r="I2202" s="126"/>
      <c r="J2202" s="121"/>
      <c r="K2202" s="127"/>
      <c r="L2202" s="128"/>
      <c r="M2202" s="129"/>
      <c r="N2202" s="68"/>
      <c r="O2202" s="69"/>
      <c r="P2202" s="69"/>
      <c r="Q2202" s="69"/>
      <c r="R2202" s="69"/>
    </row>
    <row r="2203" spans="1:18">
      <c r="A2203" s="14"/>
      <c r="B2203" s="121"/>
      <c r="C2203" s="122"/>
      <c r="D2203" s="123"/>
      <c r="E2203" s="123"/>
      <c r="F2203" s="124"/>
      <c r="G2203" s="121"/>
      <c r="H2203" s="125"/>
      <c r="I2203" s="126"/>
      <c r="J2203" s="121"/>
      <c r="K2203" s="127"/>
      <c r="L2203" s="128"/>
      <c r="M2203" s="129"/>
      <c r="N2203" s="68"/>
      <c r="O2203" s="69"/>
      <c r="P2203" s="69"/>
      <c r="Q2203" s="69"/>
      <c r="R2203" s="69"/>
    </row>
    <row r="2204" spans="1:18">
      <c r="A2204" s="14"/>
      <c r="B2204" s="121"/>
      <c r="C2204" s="122"/>
      <c r="D2204" s="123"/>
      <c r="E2204" s="123"/>
      <c r="F2204" s="124"/>
      <c r="G2204" s="121"/>
      <c r="H2204" s="125"/>
      <c r="I2204" s="126"/>
      <c r="J2204" s="121"/>
      <c r="K2204" s="127"/>
      <c r="L2204" s="128"/>
      <c r="M2204" s="129"/>
      <c r="N2204" s="68"/>
      <c r="O2204" s="69"/>
      <c r="P2204" s="69"/>
      <c r="Q2204" s="69"/>
      <c r="R2204" s="69"/>
    </row>
    <row r="2205" spans="1:18">
      <c r="A2205" s="14"/>
      <c r="B2205" s="121"/>
      <c r="C2205" s="122"/>
      <c r="D2205" s="123"/>
      <c r="E2205" s="123"/>
      <c r="F2205" s="124"/>
      <c r="G2205" s="121"/>
      <c r="H2205" s="125"/>
      <c r="I2205" s="126"/>
      <c r="J2205" s="121"/>
      <c r="K2205" s="127"/>
      <c r="L2205" s="128"/>
      <c r="M2205" s="129"/>
      <c r="N2205" s="68"/>
      <c r="O2205" s="69"/>
      <c r="P2205" s="69"/>
      <c r="Q2205" s="69"/>
      <c r="R2205" s="69"/>
    </row>
    <row r="2206" spans="1:18">
      <c r="A2206" s="14"/>
      <c r="B2206" s="121"/>
      <c r="C2206" s="122"/>
      <c r="D2206" s="123"/>
      <c r="E2206" s="123"/>
      <c r="F2206" s="124"/>
      <c r="G2206" s="121"/>
      <c r="H2206" s="125"/>
      <c r="I2206" s="126"/>
      <c r="J2206" s="121"/>
      <c r="K2206" s="127"/>
      <c r="L2206" s="128"/>
      <c r="M2206" s="129"/>
      <c r="N2206" s="68"/>
      <c r="O2206" s="69"/>
      <c r="P2206" s="69"/>
      <c r="Q2206" s="69"/>
      <c r="R2206" s="69"/>
    </row>
    <row r="2207" spans="1:18">
      <c r="A2207" s="14"/>
      <c r="B2207" s="121"/>
      <c r="C2207" s="122"/>
      <c r="D2207" s="123"/>
      <c r="E2207" s="123"/>
      <c r="F2207" s="124"/>
      <c r="G2207" s="121"/>
      <c r="H2207" s="125"/>
      <c r="I2207" s="126"/>
      <c r="J2207" s="121"/>
      <c r="K2207" s="127"/>
      <c r="L2207" s="128"/>
      <c r="M2207" s="129"/>
      <c r="N2207" s="68"/>
      <c r="O2207" s="69"/>
      <c r="P2207" s="69"/>
      <c r="Q2207" s="69"/>
      <c r="R2207" s="69"/>
    </row>
    <row r="2208" spans="1:18">
      <c r="A2208" s="14"/>
      <c r="B2208" s="121"/>
      <c r="C2208" s="122"/>
      <c r="D2208" s="123"/>
      <c r="E2208" s="123"/>
      <c r="F2208" s="124"/>
      <c r="G2208" s="121"/>
      <c r="H2208" s="125"/>
      <c r="I2208" s="126"/>
      <c r="J2208" s="121"/>
      <c r="K2208" s="127"/>
      <c r="L2208" s="128"/>
      <c r="M2208" s="129"/>
      <c r="N2208" s="68"/>
      <c r="O2208" s="69"/>
      <c r="P2208" s="69"/>
      <c r="Q2208" s="69"/>
      <c r="R2208" s="69"/>
    </row>
    <row r="2209" spans="1:18">
      <c r="A2209" s="14"/>
      <c r="B2209" s="121"/>
      <c r="C2209" s="122"/>
      <c r="D2209" s="123"/>
      <c r="E2209" s="123"/>
      <c r="F2209" s="124"/>
      <c r="G2209" s="121"/>
      <c r="H2209" s="125"/>
      <c r="I2209" s="126"/>
      <c r="J2209" s="121"/>
      <c r="K2209" s="127"/>
      <c r="L2209" s="128"/>
      <c r="M2209" s="129"/>
      <c r="N2209" s="68"/>
      <c r="O2209" s="69"/>
      <c r="P2209" s="69"/>
      <c r="Q2209" s="69"/>
      <c r="R2209" s="69"/>
    </row>
    <row r="2210" spans="1:18">
      <c r="A2210" s="14"/>
      <c r="B2210" s="121"/>
      <c r="C2210" s="122"/>
      <c r="D2210" s="123"/>
      <c r="E2210" s="123"/>
      <c r="F2210" s="124"/>
      <c r="G2210" s="121"/>
      <c r="H2210" s="125"/>
      <c r="I2210" s="126"/>
      <c r="J2210" s="121"/>
      <c r="K2210" s="127"/>
      <c r="L2210" s="128"/>
      <c r="M2210" s="129"/>
      <c r="N2210" s="68"/>
      <c r="O2210" s="69"/>
      <c r="P2210" s="69"/>
      <c r="Q2210" s="69"/>
      <c r="R2210" s="69"/>
    </row>
    <row r="2211" spans="1:18">
      <c r="A2211" s="14"/>
      <c r="B2211" s="121"/>
      <c r="C2211" s="122"/>
      <c r="D2211" s="123"/>
      <c r="E2211" s="123"/>
      <c r="F2211" s="124"/>
      <c r="G2211" s="121"/>
      <c r="H2211" s="125"/>
      <c r="I2211" s="126"/>
      <c r="J2211" s="121"/>
      <c r="K2211" s="127"/>
      <c r="L2211" s="128"/>
      <c r="M2211" s="129"/>
      <c r="N2211" s="68"/>
      <c r="O2211" s="69"/>
      <c r="P2211" s="69"/>
      <c r="Q2211" s="69"/>
      <c r="R2211" s="69"/>
    </row>
    <row r="2212" spans="1:18">
      <c r="A2212" s="14"/>
      <c r="B2212" s="121"/>
      <c r="C2212" s="122"/>
      <c r="D2212" s="123"/>
      <c r="E2212" s="123"/>
      <c r="F2212" s="124"/>
      <c r="G2212" s="121"/>
      <c r="H2212" s="125"/>
      <c r="I2212" s="126"/>
      <c r="J2212" s="121"/>
      <c r="K2212" s="127"/>
      <c r="L2212" s="128"/>
      <c r="M2212" s="129"/>
      <c r="N2212" s="68"/>
      <c r="O2212" s="69"/>
      <c r="P2212" s="69"/>
      <c r="Q2212" s="69"/>
      <c r="R2212" s="69"/>
    </row>
    <row r="2213" spans="1:18">
      <c r="A2213" s="14"/>
      <c r="B2213" s="121"/>
      <c r="C2213" s="122"/>
      <c r="D2213" s="123"/>
      <c r="E2213" s="123"/>
      <c r="F2213" s="124"/>
      <c r="G2213" s="121"/>
      <c r="H2213" s="125"/>
      <c r="I2213" s="126"/>
      <c r="J2213" s="121"/>
      <c r="K2213" s="127"/>
      <c r="L2213" s="128"/>
      <c r="M2213" s="129"/>
      <c r="N2213" s="68"/>
      <c r="O2213" s="69"/>
      <c r="P2213" s="69"/>
      <c r="Q2213" s="69"/>
      <c r="R2213" s="69"/>
    </row>
    <row r="2214" spans="1:18">
      <c r="A2214" s="14"/>
      <c r="B2214" s="121"/>
      <c r="C2214" s="122"/>
      <c r="D2214" s="123"/>
      <c r="E2214" s="123"/>
      <c r="F2214" s="124"/>
      <c r="G2214" s="121"/>
      <c r="H2214" s="125"/>
      <c r="I2214" s="126"/>
      <c r="J2214" s="121"/>
      <c r="K2214" s="127"/>
      <c r="L2214" s="128"/>
      <c r="M2214" s="129"/>
      <c r="N2214" s="68"/>
      <c r="O2214" s="69"/>
      <c r="P2214" s="69"/>
      <c r="Q2214" s="69"/>
      <c r="R2214" s="69"/>
    </row>
    <row r="2215" spans="1:18">
      <c r="A2215" s="14"/>
      <c r="B2215" s="121"/>
      <c r="C2215" s="122"/>
      <c r="D2215" s="123"/>
      <c r="E2215" s="123"/>
      <c r="F2215" s="124"/>
      <c r="G2215" s="121"/>
      <c r="H2215" s="125"/>
      <c r="I2215" s="126"/>
      <c r="J2215" s="121"/>
      <c r="K2215" s="127"/>
      <c r="L2215" s="128"/>
      <c r="M2215" s="129"/>
      <c r="N2215" s="68"/>
      <c r="O2215" s="69"/>
      <c r="P2215" s="69"/>
      <c r="Q2215" s="69"/>
      <c r="R2215" s="69"/>
    </row>
    <row r="2216" spans="1:18">
      <c r="A2216" s="14"/>
      <c r="B2216" s="121"/>
      <c r="C2216" s="122"/>
      <c r="D2216" s="123"/>
      <c r="E2216" s="123"/>
      <c r="F2216" s="124"/>
      <c r="G2216" s="121"/>
      <c r="H2216" s="125"/>
      <c r="I2216" s="126"/>
      <c r="J2216" s="121"/>
      <c r="K2216" s="127"/>
      <c r="L2216" s="128"/>
      <c r="M2216" s="129"/>
      <c r="N2216" s="68"/>
      <c r="O2216" s="69"/>
      <c r="P2216" s="69"/>
      <c r="Q2216" s="69"/>
      <c r="R2216" s="69"/>
    </row>
    <row r="2217" spans="1:18">
      <c r="A2217" s="14"/>
      <c r="B2217" s="121"/>
      <c r="C2217" s="122"/>
      <c r="D2217" s="123"/>
      <c r="E2217" s="123"/>
      <c r="F2217" s="124"/>
      <c r="G2217" s="121"/>
      <c r="H2217" s="125"/>
      <c r="I2217" s="126"/>
      <c r="J2217" s="121"/>
      <c r="K2217" s="127"/>
      <c r="L2217" s="128"/>
      <c r="M2217" s="129"/>
      <c r="N2217" s="68"/>
      <c r="O2217" s="69"/>
      <c r="P2217" s="69"/>
      <c r="Q2217" s="69"/>
      <c r="R2217" s="69"/>
    </row>
    <row r="2218" spans="1:18">
      <c r="A2218" s="14"/>
      <c r="B2218" s="121"/>
      <c r="C2218" s="122"/>
      <c r="D2218" s="123"/>
      <c r="E2218" s="123"/>
      <c r="F2218" s="124"/>
      <c r="G2218" s="121"/>
      <c r="H2218" s="125"/>
      <c r="I2218" s="126"/>
      <c r="J2218" s="121"/>
      <c r="K2218" s="127"/>
      <c r="L2218" s="128"/>
      <c r="M2218" s="129"/>
      <c r="N2218" s="68"/>
      <c r="O2218" s="69"/>
      <c r="P2218" s="69"/>
      <c r="Q2218" s="69"/>
      <c r="R2218" s="69"/>
    </row>
    <row r="2219" spans="1:18">
      <c r="A2219" s="14"/>
      <c r="B2219" s="121"/>
      <c r="C2219" s="122"/>
      <c r="D2219" s="123"/>
      <c r="E2219" s="123"/>
      <c r="F2219" s="124"/>
      <c r="G2219" s="121"/>
      <c r="H2219" s="125"/>
      <c r="I2219" s="126"/>
      <c r="J2219" s="121"/>
      <c r="K2219" s="127"/>
      <c r="L2219" s="128"/>
      <c r="M2219" s="129"/>
      <c r="N2219" s="68"/>
      <c r="O2219" s="69"/>
      <c r="P2219" s="69"/>
      <c r="Q2219" s="69"/>
      <c r="R2219" s="69"/>
    </row>
    <row r="2220" spans="1:18">
      <c r="A2220" s="14"/>
      <c r="B2220" s="121"/>
      <c r="C2220" s="122"/>
      <c r="D2220" s="123"/>
      <c r="E2220" s="123"/>
      <c r="F2220" s="124"/>
      <c r="G2220" s="121"/>
      <c r="H2220" s="125"/>
      <c r="I2220" s="126"/>
      <c r="J2220" s="121"/>
      <c r="K2220" s="127"/>
      <c r="L2220" s="128"/>
      <c r="M2220" s="129"/>
      <c r="N2220" s="68"/>
      <c r="O2220" s="69"/>
      <c r="P2220" s="69"/>
      <c r="Q2220" s="69"/>
      <c r="R2220" s="69"/>
    </row>
    <row r="2221" spans="1:18">
      <c r="A2221" s="14"/>
      <c r="B2221" s="121"/>
      <c r="C2221" s="122"/>
      <c r="D2221" s="123"/>
      <c r="E2221" s="123"/>
      <c r="F2221" s="124"/>
      <c r="G2221" s="121"/>
      <c r="H2221" s="125"/>
      <c r="I2221" s="126"/>
      <c r="J2221" s="121"/>
      <c r="K2221" s="127"/>
      <c r="L2221" s="128"/>
      <c r="M2221" s="129"/>
      <c r="N2221" s="68"/>
      <c r="O2221" s="69"/>
      <c r="P2221" s="69"/>
      <c r="Q2221" s="69"/>
      <c r="R2221" s="69"/>
    </row>
    <row r="2222" spans="1:18">
      <c r="A2222" s="14"/>
      <c r="B2222" s="121"/>
      <c r="C2222" s="122"/>
      <c r="D2222" s="123"/>
      <c r="E2222" s="123"/>
      <c r="F2222" s="124"/>
      <c r="G2222" s="121"/>
      <c r="H2222" s="125"/>
      <c r="I2222" s="126"/>
      <c r="J2222" s="121"/>
      <c r="K2222" s="127"/>
      <c r="L2222" s="128"/>
      <c r="M2222" s="129"/>
      <c r="N2222" s="68"/>
      <c r="O2222" s="69"/>
      <c r="P2222" s="69"/>
      <c r="Q2222" s="69"/>
      <c r="R2222" s="69"/>
    </row>
    <row r="2223" spans="1:18">
      <c r="A2223" s="14"/>
      <c r="B2223" s="121"/>
      <c r="C2223" s="122"/>
      <c r="D2223" s="123"/>
      <c r="E2223" s="123"/>
      <c r="F2223" s="124"/>
      <c r="G2223" s="121"/>
      <c r="H2223" s="125"/>
      <c r="I2223" s="126"/>
      <c r="J2223" s="121"/>
      <c r="K2223" s="127"/>
      <c r="L2223" s="128"/>
      <c r="M2223" s="129"/>
      <c r="N2223" s="68"/>
      <c r="O2223" s="69"/>
      <c r="P2223" s="69"/>
      <c r="Q2223" s="69"/>
      <c r="R2223" s="69"/>
    </row>
    <row r="2224" spans="1:18">
      <c r="A2224" s="14"/>
      <c r="B2224" s="121"/>
      <c r="C2224" s="122"/>
      <c r="D2224" s="123"/>
      <c r="E2224" s="123"/>
      <c r="F2224" s="124"/>
      <c r="G2224" s="121"/>
      <c r="H2224" s="125"/>
      <c r="I2224" s="126"/>
      <c r="J2224" s="121"/>
      <c r="K2224" s="127"/>
      <c r="L2224" s="128"/>
      <c r="M2224" s="129"/>
      <c r="N2224" s="68"/>
      <c r="O2224" s="69"/>
      <c r="P2224" s="69"/>
      <c r="Q2224" s="69"/>
      <c r="R2224" s="69"/>
    </row>
    <row r="2225" spans="1:18">
      <c r="A2225" s="14"/>
      <c r="B2225" s="121"/>
      <c r="C2225" s="122"/>
      <c r="D2225" s="123"/>
      <c r="E2225" s="123"/>
      <c r="F2225" s="124"/>
      <c r="G2225" s="121"/>
      <c r="H2225" s="125"/>
      <c r="I2225" s="126"/>
      <c r="J2225" s="121"/>
      <c r="K2225" s="127"/>
      <c r="L2225" s="128"/>
      <c r="M2225" s="129"/>
      <c r="N2225" s="68"/>
      <c r="O2225" s="69"/>
      <c r="P2225" s="69"/>
      <c r="Q2225" s="69"/>
      <c r="R2225" s="69"/>
    </row>
    <row r="2226" spans="1:18">
      <c r="A2226" s="14"/>
      <c r="B2226" s="121"/>
      <c r="C2226" s="122"/>
      <c r="D2226" s="123"/>
      <c r="E2226" s="123"/>
      <c r="F2226" s="124"/>
      <c r="G2226" s="121"/>
      <c r="H2226" s="125"/>
      <c r="I2226" s="126"/>
      <c r="J2226" s="121"/>
      <c r="K2226" s="127"/>
      <c r="L2226" s="128"/>
      <c r="M2226" s="129"/>
      <c r="N2226" s="68"/>
      <c r="O2226" s="69"/>
      <c r="P2226" s="69"/>
      <c r="Q2226" s="69"/>
      <c r="R2226" s="69"/>
    </row>
    <row r="2227" spans="1:18">
      <c r="A2227" s="14"/>
      <c r="B2227" s="121"/>
      <c r="C2227" s="122"/>
      <c r="D2227" s="123"/>
      <c r="E2227" s="123"/>
      <c r="F2227" s="124"/>
      <c r="G2227" s="121"/>
      <c r="H2227" s="125"/>
      <c r="I2227" s="126"/>
      <c r="J2227" s="121"/>
      <c r="K2227" s="127"/>
      <c r="L2227" s="128"/>
      <c r="M2227" s="129"/>
      <c r="N2227" s="68"/>
      <c r="O2227" s="69"/>
      <c r="P2227" s="69"/>
      <c r="Q2227" s="69"/>
      <c r="R2227" s="69"/>
    </row>
    <row r="2228" spans="1:18">
      <c r="A2228" s="14"/>
      <c r="B2228" s="121"/>
      <c r="C2228" s="122"/>
      <c r="D2228" s="123"/>
      <c r="E2228" s="123"/>
      <c r="F2228" s="124"/>
      <c r="G2228" s="121"/>
      <c r="H2228" s="125"/>
      <c r="I2228" s="126"/>
      <c r="J2228" s="121"/>
      <c r="K2228" s="127"/>
      <c r="L2228" s="128"/>
      <c r="M2228" s="129"/>
      <c r="N2228" s="68"/>
      <c r="O2228" s="69"/>
      <c r="P2228" s="69"/>
      <c r="Q2228" s="69"/>
      <c r="R2228" s="69"/>
    </row>
    <row r="2229" spans="1:18">
      <c r="A2229" s="14"/>
      <c r="B2229" s="121"/>
      <c r="C2229" s="122"/>
      <c r="D2229" s="123"/>
      <c r="E2229" s="123"/>
      <c r="F2229" s="124"/>
      <c r="G2229" s="121"/>
      <c r="H2229" s="125"/>
      <c r="I2229" s="126"/>
      <c r="J2229" s="121"/>
      <c r="K2229" s="127"/>
      <c r="L2229" s="128"/>
      <c r="M2229" s="129"/>
      <c r="N2229" s="68"/>
      <c r="O2229" s="69"/>
      <c r="P2229" s="69"/>
      <c r="Q2229" s="69"/>
      <c r="R2229" s="69"/>
    </row>
    <row r="2230" spans="1:18">
      <c r="A2230" s="14"/>
      <c r="B2230" s="121"/>
      <c r="C2230" s="122"/>
      <c r="D2230" s="123"/>
      <c r="E2230" s="123"/>
      <c r="F2230" s="124"/>
      <c r="G2230" s="121"/>
      <c r="H2230" s="125"/>
      <c r="I2230" s="126"/>
      <c r="J2230" s="121"/>
      <c r="K2230" s="127"/>
      <c r="L2230" s="128"/>
      <c r="M2230" s="129"/>
      <c r="N2230" s="68"/>
      <c r="O2230" s="69"/>
      <c r="P2230" s="69"/>
      <c r="Q2230" s="69"/>
      <c r="R2230" s="69"/>
    </row>
    <row r="2231" spans="1:18">
      <c r="A2231" s="14"/>
      <c r="B2231" s="121"/>
      <c r="C2231" s="122"/>
      <c r="D2231" s="123"/>
      <c r="E2231" s="123"/>
      <c r="F2231" s="124"/>
      <c r="G2231" s="121"/>
      <c r="H2231" s="125"/>
      <c r="I2231" s="126"/>
      <c r="J2231" s="121"/>
      <c r="K2231" s="127"/>
      <c r="L2231" s="128"/>
      <c r="M2231" s="129"/>
      <c r="N2231" s="68"/>
      <c r="O2231" s="69"/>
      <c r="P2231" s="69"/>
      <c r="Q2231" s="69"/>
      <c r="R2231" s="69"/>
    </row>
    <row r="2232" spans="1:18">
      <c r="A2232" s="14"/>
      <c r="B2232" s="121"/>
      <c r="C2232" s="122"/>
      <c r="D2232" s="123"/>
      <c r="E2232" s="123"/>
      <c r="F2232" s="124"/>
      <c r="G2232" s="121"/>
      <c r="H2232" s="125"/>
      <c r="I2232" s="126"/>
      <c r="J2232" s="121"/>
      <c r="K2232" s="127"/>
      <c r="L2232" s="128"/>
      <c r="M2232" s="129"/>
      <c r="N2232" s="68"/>
      <c r="O2232" s="69"/>
      <c r="P2232" s="69"/>
      <c r="Q2232" s="69"/>
      <c r="R2232" s="69"/>
    </row>
    <row r="2233" spans="1:18">
      <c r="A2233" s="14"/>
      <c r="B2233" s="121"/>
      <c r="C2233" s="122"/>
      <c r="D2233" s="123"/>
      <c r="E2233" s="123"/>
      <c r="F2233" s="124"/>
      <c r="G2233" s="121"/>
      <c r="H2233" s="125"/>
      <c r="I2233" s="126"/>
      <c r="J2233" s="121"/>
      <c r="K2233" s="127"/>
      <c r="L2233" s="128"/>
      <c r="M2233" s="129"/>
      <c r="N2233" s="68"/>
      <c r="O2233" s="69"/>
      <c r="P2233" s="69"/>
      <c r="Q2233" s="69"/>
      <c r="R2233" s="69"/>
    </row>
    <row r="2234" spans="1:18">
      <c r="A2234" s="14"/>
      <c r="B2234" s="121"/>
      <c r="C2234" s="122"/>
      <c r="D2234" s="123"/>
      <c r="E2234" s="123"/>
      <c r="F2234" s="124"/>
      <c r="G2234" s="121"/>
      <c r="H2234" s="125"/>
      <c r="I2234" s="126"/>
      <c r="J2234" s="121"/>
      <c r="K2234" s="127"/>
      <c r="L2234" s="128"/>
      <c r="M2234" s="129"/>
      <c r="N2234" s="68"/>
      <c r="O2234" s="69"/>
      <c r="P2234" s="69"/>
      <c r="Q2234" s="69"/>
      <c r="R2234" s="69"/>
    </row>
    <row r="2235" spans="1:18">
      <c r="A2235" s="14"/>
      <c r="B2235" s="121"/>
      <c r="C2235" s="122"/>
      <c r="D2235" s="123"/>
      <c r="E2235" s="123"/>
      <c r="F2235" s="124"/>
      <c r="G2235" s="121"/>
      <c r="H2235" s="125"/>
      <c r="I2235" s="126"/>
      <c r="J2235" s="121"/>
      <c r="K2235" s="127"/>
      <c r="L2235" s="128"/>
      <c r="M2235" s="129"/>
      <c r="N2235" s="68"/>
      <c r="O2235" s="69"/>
      <c r="P2235" s="69"/>
      <c r="Q2235" s="69"/>
      <c r="R2235" s="69"/>
    </row>
    <row r="2236" spans="1:18">
      <c r="A2236" s="14"/>
      <c r="B2236" s="121"/>
      <c r="C2236" s="122"/>
      <c r="D2236" s="123"/>
      <c r="E2236" s="123"/>
      <c r="F2236" s="124"/>
      <c r="G2236" s="121"/>
      <c r="H2236" s="125"/>
      <c r="I2236" s="126"/>
      <c r="J2236" s="121"/>
      <c r="K2236" s="127"/>
      <c r="L2236" s="128"/>
      <c r="M2236" s="129"/>
      <c r="N2236" s="68"/>
      <c r="O2236" s="69"/>
      <c r="P2236" s="69"/>
      <c r="Q2236" s="69"/>
      <c r="R2236" s="69"/>
    </row>
    <row r="2237" spans="1:18">
      <c r="A2237" s="14"/>
      <c r="B2237" s="121"/>
      <c r="C2237" s="122"/>
      <c r="D2237" s="123"/>
      <c r="E2237" s="123"/>
      <c r="F2237" s="124"/>
      <c r="G2237" s="121"/>
      <c r="H2237" s="125"/>
      <c r="I2237" s="126"/>
      <c r="J2237" s="121"/>
      <c r="K2237" s="127"/>
      <c r="L2237" s="128"/>
      <c r="M2237" s="129"/>
      <c r="N2237" s="68"/>
      <c r="O2237" s="69"/>
      <c r="P2237" s="69"/>
      <c r="Q2237" s="69"/>
      <c r="R2237" s="69"/>
    </row>
    <row r="2238" spans="1:18">
      <c r="A2238" s="14"/>
      <c r="B2238" s="121"/>
      <c r="C2238" s="122"/>
      <c r="D2238" s="123"/>
      <c r="E2238" s="123"/>
      <c r="F2238" s="124"/>
      <c r="G2238" s="121"/>
      <c r="H2238" s="125"/>
      <c r="I2238" s="126"/>
      <c r="J2238" s="121"/>
      <c r="K2238" s="127"/>
      <c r="L2238" s="128"/>
      <c r="M2238" s="129"/>
      <c r="N2238" s="68"/>
      <c r="O2238" s="69"/>
      <c r="P2238" s="69"/>
      <c r="Q2238" s="69"/>
      <c r="R2238" s="69"/>
    </row>
    <row r="2239" spans="1:18">
      <c r="A2239" s="14"/>
      <c r="B2239" s="121"/>
      <c r="C2239" s="122"/>
      <c r="D2239" s="123"/>
      <c r="E2239" s="123"/>
      <c r="F2239" s="124"/>
      <c r="G2239" s="121"/>
      <c r="H2239" s="125"/>
      <c r="I2239" s="126"/>
      <c r="J2239" s="121"/>
      <c r="K2239" s="127"/>
      <c r="L2239" s="128"/>
      <c r="M2239" s="129"/>
      <c r="N2239" s="68"/>
      <c r="O2239" s="69"/>
      <c r="P2239" s="69"/>
      <c r="Q2239" s="69"/>
      <c r="R2239" s="69"/>
    </row>
    <row r="2240" spans="1:18">
      <c r="A2240" s="14"/>
      <c r="B2240" s="121"/>
      <c r="C2240" s="122"/>
      <c r="D2240" s="123"/>
      <c r="E2240" s="123"/>
      <c r="F2240" s="124"/>
      <c r="G2240" s="121"/>
      <c r="H2240" s="125"/>
      <c r="I2240" s="126"/>
      <c r="J2240" s="121"/>
      <c r="K2240" s="127"/>
      <c r="L2240" s="128"/>
      <c r="M2240" s="129"/>
      <c r="N2240" s="68"/>
      <c r="O2240" s="69"/>
      <c r="P2240" s="69"/>
      <c r="Q2240" s="69"/>
      <c r="R2240" s="69"/>
    </row>
    <row r="2241" spans="1:18">
      <c r="A2241" s="14"/>
      <c r="B2241" s="121"/>
      <c r="C2241" s="122"/>
      <c r="D2241" s="123"/>
      <c r="E2241" s="123"/>
      <c r="F2241" s="124"/>
      <c r="G2241" s="121"/>
      <c r="H2241" s="125"/>
      <c r="I2241" s="126"/>
      <c r="J2241" s="121"/>
      <c r="K2241" s="127"/>
      <c r="L2241" s="128"/>
      <c r="M2241" s="129"/>
      <c r="N2241" s="68"/>
      <c r="O2241" s="69"/>
      <c r="P2241" s="69"/>
      <c r="Q2241" s="69"/>
      <c r="R2241" s="69"/>
    </row>
    <row r="2242" spans="1:18">
      <c r="A2242" s="14"/>
      <c r="B2242" s="121"/>
      <c r="C2242" s="122"/>
      <c r="D2242" s="123"/>
      <c r="E2242" s="123"/>
      <c r="F2242" s="124"/>
      <c r="G2242" s="121"/>
      <c r="H2242" s="125"/>
      <c r="I2242" s="126"/>
      <c r="J2242" s="121"/>
      <c r="K2242" s="127"/>
      <c r="L2242" s="128"/>
      <c r="M2242" s="129"/>
      <c r="N2242" s="68"/>
      <c r="O2242" s="69"/>
      <c r="P2242" s="69"/>
      <c r="Q2242" s="69"/>
      <c r="R2242" s="69"/>
    </row>
    <row r="2243" spans="1:18">
      <c r="A2243" s="14"/>
      <c r="B2243" s="121"/>
      <c r="C2243" s="122"/>
      <c r="D2243" s="123"/>
      <c r="E2243" s="123"/>
      <c r="F2243" s="124"/>
      <c r="G2243" s="121"/>
      <c r="H2243" s="125"/>
      <c r="I2243" s="126"/>
      <c r="J2243" s="121"/>
      <c r="K2243" s="127"/>
      <c r="L2243" s="128"/>
      <c r="M2243" s="129"/>
      <c r="N2243" s="68"/>
      <c r="O2243" s="69"/>
      <c r="P2243" s="69"/>
      <c r="Q2243" s="69"/>
      <c r="R2243" s="69"/>
    </row>
    <row r="2244" spans="1:18">
      <c r="A2244" s="14"/>
      <c r="B2244" s="121"/>
      <c r="C2244" s="122"/>
      <c r="D2244" s="123"/>
      <c r="E2244" s="123"/>
      <c r="F2244" s="124"/>
      <c r="G2244" s="121"/>
      <c r="H2244" s="125"/>
      <c r="I2244" s="126"/>
      <c r="J2244" s="121"/>
      <c r="K2244" s="127"/>
      <c r="L2244" s="128"/>
      <c r="M2244" s="129"/>
      <c r="N2244" s="68"/>
      <c r="O2244" s="69"/>
      <c r="P2244" s="69"/>
      <c r="Q2244" s="69"/>
      <c r="R2244" s="69"/>
    </row>
    <row r="2245" spans="1:18">
      <c r="A2245" s="14"/>
      <c r="B2245" s="121"/>
      <c r="C2245" s="122"/>
      <c r="D2245" s="123"/>
      <c r="E2245" s="123"/>
      <c r="F2245" s="124"/>
      <c r="G2245" s="121"/>
      <c r="H2245" s="125"/>
      <c r="I2245" s="126"/>
      <c r="J2245" s="121"/>
      <c r="K2245" s="127"/>
      <c r="L2245" s="128"/>
      <c r="M2245" s="129"/>
      <c r="N2245" s="68"/>
      <c r="O2245" s="69"/>
      <c r="P2245" s="69"/>
      <c r="Q2245" s="69"/>
      <c r="R2245" s="69"/>
    </row>
    <row r="2246" spans="1:18">
      <c r="A2246" s="14"/>
      <c r="B2246" s="121"/>
      <c r="C2246" s="122"/>
      <c r="D2246" s="123"/>
      <c r="E2246" s="123"/>
      <c r="F2246" s="124"/>
      <c r="G2246" s="121"/>
      <c r="H2246" s="125"/>
      <c r="I2246" s="126"/>
      <c r="J2246" s="121"/>
      <c r="K2246" s="127"/>
      <c r="L2246" s="128"/>
      <c r="M2246" s="129"/>
      <c r="N2246" s="68"/>
      <c r="O2246" s="69"/>
      <c r="P2246" s="69"/>
      <c r="Q2246" s="69"/>
      <c r="R2246" s="69"/>
    </row>
    <row r="2247" spans="1:18">
      <c r="A2247" s="14"/>
      <c r="B2247" s="121"/>
      <c r="C2247" s="122"/>
      <c r="D2247" s="123"/>
      <c r="E2247" s="123"/>
      <c r="F2247" s="124"/>
      <c r="G2247" s="121"/>
      <c r="H2247" s="125"/>
      <c r="I2247" s="126"/>
      <c r="J2247" s="121"/>
      <c r="K2247" s="127"/>
      <c r="L2247" s="128"/>
      <c r="M2247" s="129"/>
      <c r="N2247" s="68"/>
      <c r="O2247" s="69"/>
      <c r="P2247" s="69"/>
      <c r="Q2247" s="69"/>
      <c r="R2247" s="69"/>
    </row>
    <row r="2248" spans="1:18">
      <c r="A2248" s="14"/>
      <c r="B2248" s="121"/>
      <c r="C2248" s="122"/>
      <c r="D2248" s="123"/>
      <c r="E2248" s="123"/>
      <c r="F2248" s="124"/>
      <c r="G2248" s="121"/>
      <c r="H2248" s="125"/>
      <c r="I2248" s="126"/>
      <c r="J2248" s="121"/>
      <c r="K2248" s="127"/>
      <c r="L2248" s="128"/>
      <c r="M2248" s="129"/>
      <c r="N2248" s="68"/>
      <c r="O2248" s="69"/>
      <c r="P2248" s="69"/>
      <c r="Q2248" s="69"/>
      <c r="R2248" s="69"/>
    </row>
    <row r="2249" spans="1:18">
      <c r="A2249" s="14"/>
      <c r="B2249" s="121"/>
      <c r="C2249" s="122"/>
      <c r="D2249" s="123"/>
      <c r="E2249" s="123"/>
      <c r="F2249" s="124"/>
      <c r="G2249" s="121"/>
      <c r="H2249" s="125"/>
      <c r="I2249" s="126"/>
      <c r="J2249" s="121"/>
      <c r="K2249" s="127"/>
      <c r="L2249" s="128"/>
      <c r="M2249" s="129"/>
      <c r="N2249" s="68"/>
      <c r="O2249" s="69"/>
      <c r="P2249" s="69"/>
      <c r="Q2249" s="69"/>
      <c r="R2249" s="69"/>
    </row>
    <row r="2250" spans="1:18">
      <c r="A2250" s="14"/>
      <c r="B2250" s="121"/>
      <c r="C2250" s="122"/>
      <c r="D2250" s="123"/>
      <c r="E2250" s="123"/>
      <c r="F2250" s="124"/>
      <c r="G2250" s="121"/>
      <c r="H2250" s="125"/>
      <c r="I2250" s="126"/>
      <c r="J2250" s="121"/>
      <c r="K2250" s="127"/>
      <c r="L2250" s="128"/>
      <c r="M2250" s="129"/>
      <c r="N2250" s="68"/>
      <c r="O2250" s="69"/>
      <c r="P2250" s="69"/>
      <c r="Q2250" s="69"/>
      <c r="R2250" s="69"/>
    </row>
    <row r="2251" spans="1:18">
      <c r="A2251" s="14"/>
      <c r="B2251" s="121"/>
      <c r="C2251" s="122"/>
      <c r="D2251" s="123"/>
      <c r="E2251" s="123"/>
      <c r="F2251" s="124"/>
      <c r="G2251" s="121"/>
      <c r="H2251" s="125"/>
      <c r="I2251" s="126"/>
      <c r="J2251" s="121"/>
      <c r="K2251" s="127"/>
      <c r="L2251" s="128"/>
      <c r="M2251" s="129"/>
      <c r="N2251" s="68"/>
      <c r="O2251" s="69"/>
      <c r="P2251" s="69"/>
      <c r="Q2251" s="69"/>
      <c r="R2251" s="69"/>
    </row>
    <row r="2252" spans="1:18">
      <c r="A2252" s="14"/>
      <c r="B2252" s="121"/>
      <c r="C2252" s="122"/>
      <c r="D2252" s="123"/>
      <c r="E2252" s="123"/>
      <c r="F2252" s="124"/>
      <c r="G2252" s="121"/>
      <c r="H2252" s="125"/>
      <c r="I2252" s="126"/>
      <c r="J2252" s="121"/>
      <c r="K2252" s="127"/>
      <c r="L2252" s="128"/>
      <c r="M2252" s="129"/>
      <c r="N2252" s="68"/>
      <c r="O2252" s="69"/>
      <c r="P2252" s="69"/>
      <c r="Q2252" s="69"/>
      <c r="R2252" s="69"/>
    </row>
    <row r="2253" spans="1:18">
      <c r="A2253" s="14"/>
      <c r="B2253" s="121"/>
      <c r="C2253" s="122"/>
      <c r="D2253" s="123"/>
      <c r="E2253" s="123"/>
      <c r="F2253" s="124"/>
      <c r="G2253" s="121"/>
      <c r="H2253" s="125"/>
      <c r="I2253" s="126"/>
      <c r="J2253" s="121"/>
      <c r="K2253" s="127"/>
      <c r="L2253" s="128"/>
      <c r="M2253" s="129"/>
      <c r="N2253" s="68"/>
      <c r="O2253" s="69"/>
      <c r="P2253" s="69"/>
      <c r="Q2253" s="69"/>
      <c r="R2253" s="69"/>
    </row>
    <row r="2254" spans="1:18">
      <c r="A2254" s="14"/>
      <c r="B2254" s="121"/>
      <c r="C2254" s="122"/>
      <c r="D2254" s="123"/>
      <c r="E2254" s="123"/>
      <c r="F2254" s="124"/>
      <c r="G2254" s="121"/>
      <c r="H2254" s="125"/>
      <c r="I2254" s="126"/>
      <c r="J2254" s="121"/>
      <c r="K2254" s="127"/>
      <c r="L2254" s="128"/>
      <c r="M2254" s="129"/>
      <c r="N2254" s="68"/>
      <c r="O2254" s="69"/>
      <c r="P2254" s="69"/>
      <c r="Q2254" s="69"/>
      <c r="R2254" s="69"/>
    </row>
    <row r="2255" spans="1:18">
      <c r="A2255" s="14"/>
      <c r="B2255" s="121"/>
      <c r="C2255" s="122"/>
      <c r="D2255" s="123"/>
      <c r="E2255" s="123"/>
      <c r="F2255" s="124"/>
      <c r="G2255" s="121"/>
      <c r="H2255" s="125"/>
      <c r="I2255" s="126"/>
      <c r="J2255" s="121"/>
      <c r="K2255" s="127"/>
      <c r="L2255" s="128"/>
      <c r="M2255" s="129"/>
      <c r="N2255" s="68"/>
      <c r="O2255" s="69"/>
      <c r="P2255" s="69"/>
      <c r="Q2255" s="69"/>
      <c r="R2255" s="69"/>
    </row>
    <row r="2256" spans="1:18">
      <c r="A2256" s="14"/>
      <c r="B2256" s="121"/>
      <c r="C2256" s="122"/>
      <c r="D2256" s="123"/>
      <c r="E2256" s="123"/>
      <c r="F2256" s="124"/>
      <c r="G2256" s="121"/>
      <c r="H2256" s="125"/>
      <c r="I2256" s="126"/>
      <c r="J2256" s="121"/>
      <c r="K2256" s="127"/>
      <c r="L2256" s="128"/>
      <c r="M2256" s="129"/>
      <c r="N2256" s="68"/>
      <c r="O2256" s="69"/>
      <c r="P2256" s="69"/>
      <c r="Q2256" s="69"/>
      <c r="R2256" s="69"/>
    </row>
    <row r="2257" spans="1:18">
      <c r="A2257" s="14"/>
      <c r="B2257" s="121"/>
      <c r="C2257" s="122"/>
      <c r="D2257" s="123"/>
      <c r="E2257" s="123"/>
      <c r="F2257" s="124"/>
      <c r="G2257" s="121"/>
      <c r="H2257" s="125"/>
      <c r="I2257" s="126"/>
      <c r="J2257" s="121"/>
      <c r="K2257" s="127"/>
      <c r="L2257" s="128"/>
      <c r="M2257" s="129"/>
      <c r="N2257" s="68"/>
      <c r="O2257" s="69"/>
      <c r="P2257" s="69"/>
      <c r="Q2257" s="69"/>
      <c r="R2257" s="69"/>
    </row>
    <row r="2258" spans="1:18">
      <c r="A2258" s="14"/>
      <c r="B2258" s="121"/>
      <c r="C2258" s="122"/>
      <c r="D2258" s="123"/>
      <c r="E2258" s="123"/>
      <c r="F2258" s="124"/>
      <c r="G2258" s="121"/>
      <c r="H2258" s="125"/>
      <c r="I2258" s="126"/>
      <c r="J2258" s="121"/>
      <c r="K2258" s="127"/>
      <c r="L2258" s="128"/>
      <c r="M2258" s="129"/>
      <c r="N2258" s="68"/>
      <c r="O2258" s="69"/>
      <c r="P2258" s="69"/>
      <c r="Q2258" s="69"/>
      <c r="R2258" s="69"/>
    </row>
    <row r="2259" spans="1:18">
      <c r="A2259" s="14"/>
      <c r="B2259" s="121"/>
      <c r="C2259" s="122"/>
      <c r="D2259" s="123"/>
      <c r="E2259" s="123"/>
      <c r="F2259" s="124"/>
      <c r="G2259" s="121"/>
      <c r="H2259" s="125"/>
      <c r="I2259" s="126"/>
      <c r="J2259" s="121"/>
      <c r="K2259" s="127"/>
      <c r="L2259" s="128"/>
      <c r="M2259" s="129"/>
      <c r="N2259" s="68"/>
      <c r="O2259" s="69"/>
      <c r="P2259" s="69"/>
      <c r="Q2259" s="69"/>
      <c r="R2259" s="69"/>
    </row>
    <row r="2260" spans="1:18">
      <c r="A2260" s="14"/>
      <c r="B2260" s="121"/>
      <c r="C2260" s="122"/>
      <c r="D2260" s="123"/>
      <c r="E2260" s="123"/>
      <c r="F2260" s="124"/>
      <c r="G2260" s="121"/>
      <c r="H2260" s="125"/>
      <c r="I2260" s="126"/>
      <c r="J2260" s="121"/>
      <c r="K2260" s="127"/>
      <c r="L2260" s="128"/>
      <c r="M2260" s="129"/>
      <c r="N2260" s="68"/>
      <c r="O2260" s="69"/>
      <c r="P2260" s="69"/>
      <c r="Q2260" s="69"/>
      <c r="R2260" s="69"/>
    </row>
    <row r="2261" spans="1:18">
      <c r="A2261" s="14"/>
      <c r="B2261" s="121"/>
      <c r="C2261" s="122"/>
      <c r="D2261" s="123"/>
      <c r="E2261" s="123"/>
      <c r="F2261" s="124"/>
      <c r="G2261" s="121"/>
      <c r="H2261" s="125"/>
      <c r="I2261" s="126"/>
      <c r="J2261" s="121"/>
      <c r="K2261" s="127"/>
      <c r="L2261" s="128"/>
      <c r="M2261" s="129"/>
      <c r="N2261" s="68"/>
      <c r="O2261" s="69"/>
      <c r="P2261" s="69"/>
      <c r="Q2261" s="69"/>
      <c r="R2261" s="69"/>
    </row>
    <row r="2262" spans="1:18">
      <c r="A2262" s="14"/>
      <c r="B2262" s="121"/>
      <c r="C2262" s="122"/>
      <c r="D2262" s="123"/>
      <c r="E2262" s="123"/>
      <c r="F2262" s="124"/>
      <c r="G2262" s="121"/>
      <c r="H2262" s="125"/>
      <c r="I2262" s="126"/>
      <c r="J2262" s="121"/>
      <c r="K2262" s="127"/>
      <c r="L2262" s="128"/>
      <c r="M2262" s="129"/>
      <c r="N2262" s="68"/>
      <c r="O2262" s="69"/>
      <c r="P2262" s="69"/>
      <c r="Q2262" s="69"/>
      <c r="R2262" s="69"/>
    </row>
    <row r="2263" spans="1:18">
      <c r="A2263" s="14"/>
      <c r="B2263" s="121"/>
      <c r="C2263" s="122"/>
      <c r="D2263" s="123"/>
      <c r="E2263" s="123"/>
      <c r="F2263" s="124"/>
      <c r="G2263" s="121"/>
      <c r="H2263" s="125"/>
      <c r="I2263" s="126"/>
      <c r="J2263" s="121"/>
      <c r="K2263" s="127"/>
      <c r="L2263" s="128"/>
      <c r="M2263" s="129"/>
      <c r="N2263" s="68"/>
      <c r="O2263" s="69"/>
      <c r="P2263" s="69"/>
      <c r="Q2263" s="69"/>
      <c r="R2263" s="69"/>
    </row>
    <row r="2264" spans="1:18">
      <c r="A2264" s="14"/>
      <c r="B2264" s="121"/>
      <c r="C2264" s="122"/>
      <c r="D2264" s="123"/>
      <c r="E2264" s="123"/>
      <c r="F2264" s="124"/>
      <c r="G2264" s="121"/>
      <c r="H2264" s="125"/>
      <c r="I2264" s="126"/>
      <c r="J2264" s="121"/>
      <c r="K2264" s="127"/>
      <c r="L2264" s="128"/>
      <c r="M2264" s="129"/>
      <c r="N2264" s="68"/>
      <c r="O2264" s="69"/>
      <c r="P2264" s="69"/>
      <c r="Q2264" s="69"/>
      <c r="R2264" s="69"/>
    </row>
    <row r="2265" spans="1:18">
      <c r="A2265" s="14"/>
      <c r="B2265" s="121"/>
      <c r="C2265" s="122"/>
      <c r="D2265" s="123"/>
      <c r="E2265" s="123"/>
      <c r="F2265" s="124"/>
      <c r="G2265" s="121"/>
      <c r="H2265" s="125"/>
      <c r="I2265" s="126"/>
      <c r="J2265" s="121"/>
      <c r="K2265" s="127"/>
      <c r="L2265" s="128"/>
      <c r="M2265" s="129"/>
      <c r="N2265" s="68"/>
      <c r="O2265" s="69"/>
      <c r="P2265" s="69"/>
      <c r="Q2265" s="69"/>
      <c r="R2265" s="69"/>
    </row>
    <row r="2266" spans="1:18">
      <c r="A2266" s="14"/>
      <c r="B2266" s="121"/>
      <c r="C2266" s="122"/>
      <c r="D2266" s="123"/>
      <c r="E2266" s="123"/>
      <c r="F2266" s="124"/>
      <c r="G2266" s="121"/>
      <c r="H2266" s="125"/>
      <c r="I2266" s="126"/>
      <c r="J2266" s="121"/>
      <c r="K2266" s="127"/>
      <c r="L2266" s="128"/>
      <c r="M2266" s="129"/>
      <c r="N2266" s="68"/>
      <c r="O2266" s="69"/>
      <c r="P2266" s="69"/>
      <c r="Q2266" s="69"/>
      <c r="R2266" s="69"/>
    </row>
    <row r="2267" spans="1:18">
      <c r="A2267" s="14"/>
      <c r="B2267" s="121"/>
      <c r="C2267" s="122"/>
      <c r="D2267" s="123"/>
      <c r="E2267" s="123"/>
      <c r="F2267" s="124"/>
      <c r="G2267" s="121"/>
      <c r="H2267" s="125"/>
      <c r="I2267" s="126"/>
      <c r="J2267" s="121"/>
      <c r="K2267" s="127"/>
      <c r="L2267" s="128"/>
      <c r="M2267" s="129"/>
      <c r="N2267" s="68"/>
      <c r="O2267" s="69"/>
      <c r="P2267" s="69"/>
      <c r="Q2267" s="69"/>
      <c r="R2267" s="69"/>
    </row>
    <row r="2268" spans="1:18">
      <c r="A2268" s="14"/>
      <c r="B2268" s="121"/>
      <c r="C2268" s="122"/>
      <c r="D2268" s="123"/>
      <c r="E2268" s="123"/>
      <c r="F2268" s="124"/>
      <c r="G2268" s="121"/>
      <c r="H2268" s="125"/>
      <c r="I2268" s="126"/>
      <c r="J2268" s="121"/>
      <c r="K2268" s="127"/>
      <c r="L2268" s="128"/>
      <c r="M2268" s="129"/>
      <c r="N2268" s="68"/>
      <c r="O2268" s="69"/>
      <c r="P2268" s="69"/>
      <c r="Q2268" s="69"/>
      <c r="R2268" s="69"/>
    </row>
    <row r="2269" spans="1:18">
      <c r="A2269" s="14"/>
      <c r="B2269" s="121"/>
      <c r="C2269" s="122"/>
      <c r="D2269" s="123"/>
      <c r="E2269" s="123"/>
      <c r="F2269" s="124"/>
      <c r="G2269" s="121"/>
      <c r="H2269" s="125"/>
      <c r="I2269" s="126"/>
      <c r="J2269" s="121"/>
      <c r="K2269" s="127"/>
      <c r="L2269" s="128"/>
      <c r="M2269" s="129"/>
      <c r="N2269" s="68"/>
      <c r="O2269" s="69"/>
      <c r="P2269" s="69"/>
      <c r="Q2269" s="69"/>
      <c r="R2269" s="69"/>
    </row>
    <row r="2270" spans="1:18">
      <c r="A2270" s="14"/>
      <c r="B2270" s="121"/>
      <c r="C2270" s="122"/>
      <c r="D2270" s="123"/>
      <c r="E2270" s="123"/>
      <c r="F2270" s="124"/>
      <c r="G2270" s="121"/>
      <c r="H2270" s="125"/>
      <c r="I2270" s="126"/>
      <c r="J2270" s="121"/>
      <c r="K2270" s="127"/>
      <c r="L2270" s="128"/>
      <c r="M2270" s="129"/>
      <c r="N2270" s="68"/>
      <c r="O2270" s="69"/>
      <c r="P2270" s="69"/>
      <c r="Q2270" s="69"/>
      <c r="R2270" s="69"/>
    </row>
    <row r="2271" spans="1:18">
      <c r="A2271" s="14"/>
      <c r="B2271" s="121"/>
      <c r="C2271" s="122"/>
      <c r="D2271" s="123"/>
      <c r="E2271" s="123"/>
      <c r="F2271" s="124"/>
      <c r="G2271" s="121"/>
      <c r="H2271" s="125"/>
      <c r="I2271" s="126"/>
      <c r="J2271" s="121"/>
      <c r="K2271" s="127"/>
      <c r="L2271" s="128"/>
      <c r="M2271" s="129"/>
      <c r="N2271" s="68"/>
      <c r="O2271" s="69"/>
      <c r="P2271" s="69"/>
      <c r="Q2271" s="69"/>
      <c r="R2271" s="69"/>
    </row>
    <row r="2272" spans="1:18">
      <c r="A2272" s="14"/>
      <c r="B2272" s="121"/>
      <c r="C2272" s="122"/>
      <c r="D2272" s="123"/>
      <c r="E2272" s="123"/>
      <c r="F2272" s="124"/>
      <c r="G2272" s="121"/>
      <c r="H2272" s="125"/>
      <c r="I2272" s="126"/>
      <c r="J2272" s="121"/>
      <c r="K2272" s="127"/>
      <c r="L2272" s="128"/>
      <c r="M2272" s="129"/>
      <c r="N2272" s="68"/>
      <c r="O2272" s="69"/>
      <c r="P2272" s="69"/>
      <c r="Q2272" s="69"/>
      <c r="R2272" s="69"/>
    </row>
    <row r="2273" spans="1:18">
      <c r="A2273" s="14"/>
      <c r="B2273" s="121"/>
      <c r="C2273" s="122"/>
      <c r="D2273" s="123"/>
      <c r="E2273" s="123"/>
      <c r="F2273" s="124"/>
      <c r="G2273" s="121"/>
      <c r="H2273" s="125"/>
      <c r="I2273" s="126"/>
      <c r="J2273" s="121"/>
      <c r="K2273" s="127"/>
      <c r="L2273" s="128"/>
      <c r="M2273" s="129"/>
      <c r="N2273" s="68"/>
      <c r="O2273" s="69"/>
      <c r="P2273" s="69"/>
      <c r="Q2273" s="69"/>
      <c r="R2273" s="69"/>
    </row>
    <row r="2274" spans="1:18">
      <c r="A2274" s="14"/>
      <c r="B2274" s="121"/>
      <c r="C2274" s="122"/>
      <c r="D2274" s="123"/>
      <c r="E2274" s="123"/>
      <c r="F2274" s="124"/>
      <c r="G2274" s="121"/>
      <c r="H2274" s="125"/>
      <c r="I2274" s="126"/>
      <c r="J2274" s="121"/>
      <c r="K2274" s="127"/>
      <c r="L2274" s="128"/>
      <c r="M2274" s="129"/>
      <c r="N2274" s="68"/>
      <c r="O2274" s="69"/>
      <c r="P2274" s="69"/>
      <c r="Q2274" s="69"/>
      <c r="R2274" s="69"/>
    </row>
    <row r="2275" spans="1:18">
      <c r="A2275" s="14"/>
      <c r="B2275" s="121"/>
      <c r="C2275" s="122"/>
      <c r="D2275" s="123"/>
      <c r="E2275" s="123"/>
      <c r="F2275" s="124"/>
      <c r="G2275" s="121"/>
      <c r="H2275" s="125"/>
      <c r="I2275" s="126"/>
      <c r="J2275" s="121"/>
      <c r="K2275" s="127"/>
      <c r="L2275" s="128"/>
      <c r="M2275" s="129"/>
      <c r="N2275" s="68"/>
      <c r="O2275" s="69"/>
      <c r="P2275" s="69"/>
      <c r="Q2275" s="69"/>
      <c r="R2275" s="69"/>
    </row>
    <row r="2276" spans="1:18">
      <c r="A2276" s="14"/>
      <c r="B2276" s="121"/>
      <c r="C2276" s="122"/>
      <c r="D2276" s="123"/>
      <c r="E2276" s="123"/>
      <c r="F2276" s="124"/>
      <c r="G2276" s="121"/>
      <c r="H2276" s="125"/>
      <c r="I2276" s="126"/>
      <c r="J2276" s="121"/>
      <c r="K2276" s="127"/>
      <c r="L2276" s="128"/>
      <c r="M2276" s="129"/>
      <c r="N2276" s="68"/>
      <c r="O2276" s="69"/>
      <c r="P2276" s="69"/>
      <c r="Q2276" s="69"/>
      <c r="R2276" s="69"/>
    </row>
    <row r="2277" spans="1:18">
      <c r="A2277" s="14"/>
      <c r="B2277" s="121"/>
      <c r="C2277" s="122"/>
      <c r="D2277" s="123"/>
      <c r="E2277" s="123"/>
      <c r="F2277" s="124"/>
      <c r="G2277" s="121"/>
      <c r="H2277" s="125"/>
      <c r="I2277" s="126"/>
      <c r="J2277" s="121"/>
      <c r="K2277" s="127"/>
      <c r="L2277" s="128"/>
      <c r="M2277" s="129"/>
      <c r="N2277" s="68"/>
      <c r="O2277" s="69"/>
      <c r="P2277" s="69"/>
      <c r="Q2277" s="69"/>
      <c r="R2277" s="69"/>
    </row>
    <row r="2278" spans="1:18">
      <c r="A2278" s="14"/>
      <c r="B2278" s="121"/>
      <c r="C2278" s="122"/>
      <c r="D2278" s="123"/>
      <c r="E2278" s="123"/>
      <c r="F2278" s="124"/>
      <c r="G2278" s="121"/>
      <c r="H2278" s="125"/>
      <c r="I2278" s="126"/>
      <c r="J2278" s="121"/>
      <c r="K2278" s="127"/>
      <c r="L2278" s="128"/>
      <c r="M2278" s="129"/>
      <c r="N2278" s="68"/>
      <c r="O2278" s="69"/>
      <c r="P2278" s="69"/>
      <c r="Q2278" s="69"/>
      <c r="R2278" s="69"/>
    </row>
    <row r="2279" spans="1:18">
      <c r="A2279" s="14"/>
      <c r="B2279" s="121"/>
      <c r="C2279" s="122"/>
      <c r="D2279" s="123"/>
      <c r="E2279" s="123"/>
      <c r="F2279" s="124"/>
      <c r="G2279" s="121"/>
      <c r="H2279" s="125"/>
      <c r="I2279" s="126"/>
      <c r="J2279" s="121"/>
      <c r="K2279" s="127"/>
      <c r="L2279" s="128"/>
      <c r="M2279" s="129"/>
      <c r="N2279" s="68"/>
      <c r="O2279" s="69"/>
      <c r="P2279" s="69"/>
      <c r="Q2279" s="69"/>
      <c r="R2279" s="69"/>
    </row>
    <row r="2280" spans="1:18">
      <c r="A2280" s="14"/>
      <c r="B2280" s="121"/>
      <c r="C2280" s="122"/>
      <c r="D2280" s="123"/>
      <c r="E2280" s="123"/>
      <c r="F2280" s="124"/>
      <c r="G2280" s="121"/>
      <c r="H2280" s="125"/>
      <c r="I2280" s="126"/>
      <c r="J2280" s="121"/>
      <c r="K2280" s="127"/>
      <c r="L2280" s="128"/>
      <c r="M2280" s="129"/>
      <c r="N2280" s="68"/>
      <c r="O2280" s="69"/>
      <c r="P2280" s="69"/>
      <c r="Q2280" s="69"/>
      <c r="R2280" s="69"/>
    </row>
    <row r="2281" spans="1:18">
      <c r="A2281" s="14"/>
      <c r="B2281" s="121"/>
      <c r="C2281" s="122"/>
      <c r="D2281" s="123"/>
      <c r="E2281" s="123"/>
      <c r="F2281" s="124"/>
      <c r="G2281" s="121"/>
      <c r="H2281" s="125"/>
      <c r="I2281" s="126"/>
      <c r="J2281" s="121"/>
      <c r="K2281" s="127"/>
      <c r="L2281" s="128"/>
      <c r="M2281" s="129"/>
      <c r="N2281" s="68"/>
      <c r="O2281" s="69"/>
      <c r="P2281" s="69"/>
      <c r="Q2281" s="69"/>
      <c r="R2281" s="69"/>
    </row>
    <row r="2282" spans="1:18">
      <c r="A2282" s="14"/>
      <c r="B2282" s="121"/>
      <c r="C2282" s="122"/>
      <c r="D2282" s="123"/>
      <c r="E2282" s="123"/>
      <c r="F2282" s="124"/>
      <c r="G2282" s="121"/>
      <c r="H2282" s="125"/>
      <c r="I2282" s="126"/>
      <c r="J2282" s="121"/>
      <c r="K2282" s="127"/>
      <c r="L2282" s="128"/>
      <c r="M2282" s="129"/>
      <c r="N2282" s="68"/>
      <c r="O2282" s="69"/>
      <c r="P2282" s="69"/>
      <c r="Q2282" s="69"/>
      <c r="R2282" s="69"/>
    </row>
    <row r="2283" spans="1:18">
      <c r="A2283" s="14"/>
      <c r="B2283" s="121"/>
      <c r="C2283" s="122"/>
      <c r="D2283" s="123"/>
      <c r="E2283" s="123"/>
      <c r="F2283" s="124"/>
      <c r="G2283" s="121"/>
      <c r="H2283" s="125"/>
      <c r="I2283" s="126"/>
      <c r="J2283" s="121"/>
      <c r="K2283" s="127"/>
      <c r="L2283" s="128"/>
      <c r="M2283" s="129"/>
      <c r="N2283" s="68"/>
      <c r="O2283" s="69"/>
      <c r="P2283" s="69"/>
      <c r="Q2283" s="69"/>
      <c r="R2283" s="69"/>
    </row>
    <row r="2284" spans="1:18">
      <c r="A2284" s="14"/>
      <c r="B2284" s="121"/>
      <c r="C2284" s="122"/>
      <c r="D2284" s="123"/>
      <c r="E2284" s="123"/>
      <c r="F2284" s="124"/>
      <c r="G2284" s="121"/>
      <c r="H2284" s="125"/>
      <c r="I2284" s="126"/>
      <c r="J2284" s="121"/>
      <c r="K2284" s="127"/>
      <c r="L2284" s="128"/>
      <c r="M2284" s="129"/>
      <c r="N2284" s="68"/>
      <c r="O2284" s="69"/>
      <c r="P2284" s="69"/>
      <c r="Q2284" s="69"/>
      <c r="R2284" s="69"/>
    </row>
    <row r="2285" spans="1:18">
      <c r="A2285" s="14"/>
      <c r="B2285" s="121"/>
      <c r="C2285" s="122"/>
      <c r="D2285" s="123"/>
      <c r="E2285" s="123"/>
      <c r="F2285" s="124"/>
      <c r="G2285" s="121"/>
      <c r="H2285" s="125"/>
      <c r="I2285" s="126"/>
      <c r="J2285" s="121"/>
      <c r="K2285" s="127"/>
      <c r="L2285" s="128"/>
      <c r="M2285" s="129"/>
      <c r="N2285" s="68"/>
      <c r="O2285" s="69"/>
      <c r="P2285" s="69"/>
      <c r="Q2285" s="69"/>
      <c r="R2285" s="69"/>
    </row>
    <row r="2286" spans="1:18">
      <c r="A2286" s="14"/>
      <c r="B2286" s="121"/>
      <c r="C2286" s="122"/>
      <c r="D2286" s="123"/>
      <c r="E2286" s="123"/>
      <c r="F2286" s="124"/>
      <c r="G2286" s="121"/>
      <c r="H2286" s="125"/>
      <c r="I2286" s="126"/>
      <c r="J2286" s="121"/>
      <c r="K2286" s="127"/>
      <c r="L2286" s="128"/>
      <c r="M2286" s="129"/>
      <c r="N2286" s="68"/>
      <c r="O2286" s="69"/>
      <c r="P2286" s="69"/>
      <c r="Q2286" s="69"/>
      <c r="R2286" s="69"/>
    </row>
    <row r="2287" spans="1:18">
      <c r="A2287" s="14"/>
      <c r="B2287" s="121"/>
      <c r="C2287" s="122"/>
      <c r="D2287" s="123"/>
      <c r="E2287" s="123"/>
      <c r="F2287" s="124"/>
      <c r="G2287" s="121"/>
      <c r="H2287" s="125"/>
      <c r="I2287" s="126"/>
      <c r="J2287" s="121"/>
      <c r="K2287" s="127"/>
      <c r="L2287" s="128"/>
      <c r="M2287" s="129"/>
      <c r="N2287" s="68"/>
      <c r="O2287" s="69"/>
      <c r="P2287" s="69"/>
      <c r="Q2287" s="69"/>
      <c r="R2287" s="69"/>
    </row>
    <row r="2288" spans="1:18">
      <c r="A2288" s="14"/>
      <c r="B2288" s="121"/>
      <c r="C2288" s="122"/>
      <c r="D2288" s="123"/>
      <c r="E2288" s="123"/>
      <c r="F2288" s="124"/>
      <c r="G2288" s="121"/>
      <c r="H2288" s="125"/>
      <c r="I2288" s="126"/>
      <c r="J2288" s="121"/>
      <c r="K2288" s="127"/>
      <c r="L2288" s="128"/>
      <c r="M2288" s="129"/>
      <c r="N2288" s="68"/>
      <c r="O2288" s="69"/>
      <c r="P2288" s="69"/>
      <c r="Q2288" s="69"/>
      <c r="R2288" s="69"/>
    </row>
    <row r="2289" spans="1:18">
      <c r="A2289" s="14"/>
      <c r="B2289" s="121"/>
      <c r="C2289" s="122"/>
      <c r="D2289" s="123"/>
      <c r="E2289" s="123"/>
      <c r="F2289" s="124"/>
      <c r="G2289" s="121"/>
      <c r="H2289" s="125"/>
      <c r="I2289" s="126"/>
      <c r="J2289" s="121"/>
      <c r="K2289" s="127"/>
      <c r="L2289" s="128"/>
      <c r="M2289" s="129"/>
      <c r="N2289" s="68"/>
      <c r="O2289" s="69"/>
      <c r="P2289" s="69"/>
      <c r="Q2289" s="69"/>
      <c r="R2289" s="69"/>
    </row>
    <row r="2290" spans="1:18">
      <c r="A2290" s="14"/>
      <c r="B2290" s="121"/>
      <c r="C2290" s="122"/>
      <c r="D2290" s="123"/>
      <c r="E2290" s="123"/>
      <c r="F2290" s="124"/>
      <c r="G2290" s="121"/>
      <c r="H2290" s="125"/>
      <c r="I2290" s="126"/>
      <c r="J2290" s="121"/>
      <c r="K2290" s="127"/>
      <c r="L2290" s="128"/>
      <c r="M2290" s="129"/>
      <c r="N2290" s="68"/>
      <c r="O2290" s="69"/>
      <c r="P2290" s="69"/>
      <c r="Q2290" s="69"/>
      <c r="R2290" s="69"/>
    </row>
    <row r="2291" spans="1:18">
      <c r="A2291" s="14"/>
      <c r="B2291" s="121"/>
      <c r="C2291" s="122"/>
      <c r="D2291" s="123"/>
      <c r="E2291" s="123"/>
      <c r="F2291" s="124"/>
      <c r="G2291" s="121"/>
      <c r="H2291" s="125"/>
      <c r="I2291" s="126"/>
      <c r="J2291" s="121"/>
      <c r="K2291" s="127"/>
      <c r="L2291" s="128"/>
      <c r="M2291" s="129"/>
      <c r="N2291" s="68"/>
      <c r="O2291" s="69"/>
      <c r="P2291" s="69"/>
      <c r="Q2291" s="69"/>
      <c r="R2291" s="69"/>
    </row>
    <row r="2292" spans="1:18">
      <c r="A2292" s="14"/>
      <c r="B2292" s="121"/>
      <c r="C2292" s="122"/>
      <c r="D2292" s="123"/>
      <c r="E2292" s="123"/>
      <c r="F2292" s="124"/>
      <c r="G2292" s="121"/>
      <c r="H2292" s="125"/>
      <c r="I2292" s="126"/>
      <c r="J2292" s="121"/>
      <c r="K2292" s="127"/>
      <c r="L2292" s="128"/>
      <c r="M2292" s="129"/>
      <c r="N2292" s="68"/>
      <c r="O2292" s="69"/>
      <c r="P2292" s="69"/>
      <c r="Q2292" s="69"/>
      <c r="R2292" s="69"/>
    </row>
    <row r="2293" spans="1:18">
      <c r="A2293" s="14"/>
      <c r="B2293" s="121"/>
      <c r="C2293" s="122"/>
      <c r="D2293" s="123"/>
      <c r="E2293" s="123"/>
      <c r="F2293" s="124"/>
      <c r="G2293" s="121"/>
      <c r="H2293" s="125"/>
      <c r="I2293" s="126"/>
      <c r="J2293" s="121"/>
      <c r="K2293" s="127"/>
      <c r="L2293" s="128"/>
      <c r="M2293" s="129"/>
      <c r="N2293" s="68"/>
      <c r="O2293" s="69"/>
      <c r="P2293" s="69"/>
      <c r="Q2293" s="69"/>
      <c r="R2293" s="69"/>
    </row>
    <row r="2294" spans="1:18">
      <c r="A2294" s="14"/>
      <c r="B2294" s="121"/>
      <c r="C2294" s="122"/>
      <c r="D2294" s="123"/>
      <c r="E2294" s="123"/>
      <c r="F2294" s="124"/>
      <c r="G2294" s="121"/>
      <c r="H2294" s="125"/>
      <c r="I2294" s="126"/>
      <c r="J2294" s="121"/>
      <c r="K2294" s="127"/>
      <c r="L2294" s="128"/>
      <c r="M2294" s="129"/>
      <c r="N2294" s="68"/>
      <c r="O2294" s="69"/>
      <c r="P2294" s="69"/>
      <c r="Q2294" s="69"/>
      <c r="R2294" s="69"/>
    </row>
    <row r="2295" spans="1:18">
      <c r="A2295" s="14"/>
      <c r="B2295" s="121"/>
      <c r="C2295" s="122"/>
      <c r="D2295" s="123"/>
      <c r="E2295" s="123"/>
      <c r="F2295" s="124"/>
      <c r="G2295" s="121"/>
      <c r="H2295" s="125"/>
      <c r="I2295" s="126"/>
      <c r="J2295" s="121"/>
      <c r="K2295" s="127"/>
      <c r="L2295" s="128"/>
      <c r="M2295" s="129"/>
      <c r="N2295" s="68"/>
      <c r="O2295" s="69"/>
      <c r="P2295" s="69"/>
      <c r="Q2295" s="69"/>
      <c r="R2295" s="69"/>
    </row>
    <row r="2296" spans="1:18">
      <c r="A2296" s="14"/>
      <c r="B2296" s="121"/>
      <c r="C2296" s="122"/>
      <c r="D2296" s="123"/>
      <c r="E2296" s="123"/>
      <c r="F2296" s="124"/>
      <c r="G2296" s="121"/>
      <c r="H2296" s="125"/>
      <c r="I2296" s="126"/>
      <c r="J2296" s="121"/>
      <c r="K2296" s="127"/>
      <c r="L2296" s="128"/>
      <c r="M2296" s="129"/>
      <c r="N2296" s="68"/>
      <c r="O2296" s="69"/>
      <c r="P2296" s="69"/>
      <c r="Q2296" s="69"/>
      <c r="R2296" s="69"/>
    </row>
    <row r="2297" spans="1:18">
      <c r="A2297" s="14"/>
      <c r="B2297" s="121"/>
      <c r="C2297" s="122"/>
      <c r="D2297" s="123"/>
      <c r="E2297" s="123"/>
      <c r="F2297" s="124"/>
      <c r="G2297" s="121"/>
      <c r="H2297" s="125"/>
      <c r="I2297" s="126"/>
      <c r="J2297" s="121"/>
      <c r="K2297" s="127"/>
      <c r="L2297" s="128"/>
      <c r="M2297" s="129"/>
      <c r="N2297" s="68"/>
      <c r="O2297" s="69"/>
      <c r="P2297" s="69"/>
      <c r="Q2297" s="69"/>
      <c r="R2297" s="69"/>
    </row>
    <row r="2298" spans="1:18">
      <c r="A2298" s="14"/>
      <c r="B2298" s="121"/>
      <c r="C2298" s="122"/>
      <c r="D2298" s="123"/>
      <c r="E2298" s="123"/>
      <c r="F2298" s="124"/>
      <c r="G2298" s="121"/>
      <c r="H2298" s="125"/>
      <c r="I2298" s="126"/>
      <c r="J2298" s="121"/>
      <c r="K2298" s="127"/>
      <c r="L2298" s="128"/>
      <c r="M2298" s="129"/>
      <c r="N2298" s="68"/>
      <c r="O2298" s="69"/>
      <c r="P2298" s="69"/>
      <c r="Q2298" s="69"/>
      <c r="R2298" s="69"/>
    </row>
    <row r="2299" spans="1:18">
      <c r="A2299" s="14"/>
      <c r="B2299" s="121"/>
      <c r="C2299" s="122"/>
      <c r="D2299" s="123"/>
      <c r="E2299" s="123"/>
      <c r="F2299" s="124"/>
      <c r="G2299" s="121"/>
      <c r="H2299" s="125"/>
      <c r="I2299" s="126"/>
      <c r="J2299" s="121"/>
      <c r="K2299" s="127"/>
      <c r="L2299" s="128"/>
      <c r="M2299" s="129"/>
      <c r="N2299" s="68"/>
      <c r="O2299" s="69"/>
      <c r="P2299" s="69"/>
      <c r="Q2299" s="69"/>
      <c r="R2299" s="69"/>
    </row>
    <row r="2300" spans="1:18">
      <c r="A2300" s="14"/>
      <c r="B2300" s="121"/>
      <c r="C2300" s="122"/>
      <c r="D2300" s="123"/>
      <c r="E2300" s="123"/>
      <c r="F2300" s="124"/>
      <c r="G2300" s="121"/>
      <c r="H2300" s="125"/>
      <c r="I2300" s="126"/>
      <c r="J2300" s="121"/>
      <c r="K2300" s="127"/>
      <c r="L2300" s="128"/>
      <c r="M2300" s="129"/>
      <c r="N2300" s="68"/>
      <c r="O2300" s="69"/>
      <c r="P2300" s="69"/>
      <c r="Q2300" s="69"/>
      <c r="R2300" s="69"/>
    </row>
    <row r="2301" spans="1:18">
      <c r="A2301" s="14"/>
      <c r="B2301" s="121"/>
      <c r="C2301" s="122"/>
      <c r="D2301" s="123"/>
      <c r="E2301" s="123"/>
      <c r="F2301" s="124"/>
      <c r="G2301" s="121"/>
      <c r="H2301" s="125"/>
      <c r="I2301" s="126"/>
      <c r="J2301" s="121"/>
      <c r="K2301" s="127"/>
      <c r="L2301" s="128"/>
      <c r="M2301" s="129"/>
      <c r="N2301" s="68"/>
      <c r="O2301" s="69"/>
      <c r="P2301" s="69"/>
      <c r="Q2301" s="69"/>
      <c r="R2301" s="69"/>
    </row>
    <row r="2302" spans="1:18">
      <c r="A2302" s="14"/>
      <c r="B2302" s="121"/>
      <c r="C2302" s="122"/>
      <c r="D2302" s="123"/>
      <c r="E2302" s="123"/>
      <c r="F2302" s="124"/>
      <c r="G2302" s="121"/>
      <c r="H2302" s="125"/>
      <c r="I2302" s="126"/>
      <c r="J2302" s="121"/>
      <c r="K2302" s="127"/>
      <c r="L2302" s="128"/>
      <c r="M2302" s="129"/>
      <c r="N2302" s="68"/>
      <c r="O2302" s="69"/>
      <c r="P2302" s="69"/>
      <c r="Q2302" s="69"/>
      <c r="R2302" s="69"/>
    </row>
    <row r="2303" spans="1:18">
      <c r="A2303" s="14"/>
      <c r="B2303" s="121"/>
      <c r="C2303" s="122"/>
      <c r="D2303" s="123"/>
      <c r="E2303" s="123"/>
      <c r="F2303" s="124"/>
      <c r="G2303" s="121"/>
      <c r="H2303" s="125"/>
      <c r="I2303" s="126"/>
      <c r="J2303" s="121"/>
      <c r="K2303" s="127"/>
      <c r="L2303" s="128"/>
      <c r="M2303" s="129"/>
      <c r="N2303" s="68"/>
      <c r="O2303" s="69"/>
      <c r="P2303" s="69"/>
      <c r="Q2303" s="69"/>
      <c r="R2303" s="69"/>
    </row>
    <row r="2304" spans="1:18">
      <c r="A2304" s="14"/>
      <c r="B2304" s="121"/>
      <c r="C2304" s="122"/>
      <c r="D2304" s="123"/>
      <c r="E2304" s="123"/>
      <c r="F2304" s="124"/>
      <c r="G2304" s="121"/>
      <c r="H2304" s="125"/>
      <c r="I2304" s="126"/>
      <c r="J2304" s="121"/>
      <c r="K2304" s="127"/>
      <c r="L2304" s="128"/>
      <c r="M2304" s="129"/>
      <c r="N2304" s="68"/>
      <c r="O2304" s="69"/>
      <c r="P2304" s="69"/>
      <c r="Q2304" s="69"/>
      <c r="R2304" s="69"/>
    </row>
    <row r="2305" spans="1:18">
      <c r="A2305" s="14"/>
      <c r="B2305" s="121"/>
      <c r="C2305" s="122"/>
      <c r="D2305" s="123"/>
      <c r="E2305" s="123"/>
      <c r="F2305" s="124"/>
      <c r="G2305" s="121"/>
      <c r="H2305" s="125"/>
      <c r="I2305" s="126"/>
      <c r="J2305" s="121"/>
      <c r="K2305" s="127"/>
      <c r="L2305" s="128"/>
      <c r="M2305" s="129"/>
      <c r="N2305" s="68"/>
      <c r="O2305" s="69"/>
      <c r="P2305" s="69"/>
      <c r="Q2305" s="69"/>
      <c r="R2305" s="69"/>
    </row>
    <row r="2306" spans="1:18">
      <c r="A2306" s="14"/>
      <c r="B2306" s="121"/>
      <c r="C2306" s="122"/>
      <c r="D2306" s="123"/>
      <c r="E2306" s="123"/>
      <c r="F2306" s="124"/>
      <c r="G2306" s="121"/>
      <c r="H2306" s="125"/>
      <c r="I2306" s="126"/>
      <c r="J2306" s="121"/>
      <c r="K2306" s="127"/>
      <c r="L2306" s="128"/>
      <c r="M2306" s="129"/>
      <c r="N2306" s="68"/>
      <c r="O2306" s="69"/>
      <c r="P2306" s="69"/>
      <c r="Q2306" s="69"/>
      <c r="R2306" s="69"/>
    </row>
    <row r="2307" spans="1:18">
      <c r="A2307" s="14"/>
      <c r="B2307" s="121"/>
      <c r="C2307" s="122"/>
      <c r="D2307" s="123"/>
      <c r="E2307" s="123"/>
      <c r="F2307" s="124"/>
      <c r="G2307" s="121"/>
      <c r="H2307" s="125"/>
      <c r="I2307" s="126"/>
      <c r="J2307" s="121"/>
      <c r="K2307" s="127"/>
      <c r="L2307" s="128"/>
      <c r="M2307" s="129"/>
      <c r="N2307" s="68"/>
      <c r="O2307" s="69"/>
      <c r="P2307" s="69"/>
      <c r="Q2307" s="69"/>
      <c r="R2307" s="69"/>
    </row>
    <row r="2308" spans="1:18">
      <c r="A2308" s="14"/>
      <c r="B2308" s="121"/>
      <c r="C2308" s="122"/>
      <c r="D2308" s="123"/>
      <c r="E2308" s="123"/>
      <c r="F2308" s="124"/>
      <c r="G2308" s="121"/>
      <c r="H2308" s="125"/>
      <c r="I2308" s="126"/>
      <c r="J2308" s="121"/>
      <c r="K2308" s="127"/>
      <c r="L2308" s="128"/>
      <c r="M2308" s="129"/>
      <c r="N2308" s="68"/>
      <c r="O2308" s="69"/>
      <c r="P2308" s="69"/>
      <c r="Q2308" s="69"/>
      <c r="R2308" s="69"/>
    </row>
    <row r="2309" spans="1:18">
      <c r="A2309" s="14"/>
      <c r="B2309" s="121"/>
      <c r="C2309" s="122"/>
      <c r="D2309" s="123"/>
      <c r="E2309" s="123"/>
      <c r="F2309" s="124"/>
      <c r="G2309" s="121"/>
      <c r="H2309" s="125"/>
      <c r="I2309" s="126"/>
      <c r="J2309" s="121"/>
      <c r="K2309" s="127"/>
      <c r="L2309" s="128"/>
      <c r="M2309" s="129"/>
      <c r="N2309" s="68"/>
      <c r="O2309" s="69"/>
      <c r="P2309" s="69"/>
      <c r="Q2309" s="69"/>
      <c r="R2309" s="69"/>
    </row>
    <row r="2310" spans="1:18">
      <c r="A2310" s="14"/>
      <c r="B2310" s="121"/>
      <c r="C2310" s="122"/>
      <c r="D2310" s="123"/>
      <c r="E2310" s="123"/>
      <c r="F2310" s="124"/>
      <c r="G2310" s="121"/>
      <c r="H2310" s="125"/>
      <c r="I2310" s="126"/>
      <c r="J2310" s="121"/>
      <c r="K2310" s="127"/>
      <c r="L2310" s="128"/>
      <c r="M2310" s="129"/>
      <c r="N2310" s="68"/>
      <c r="O2310" s="69"/>
      <c r="P2310" s="69"/>
      <c r="Q2310" s="69"/>
      <c r="R2310" s="69"/>
    </row>
    <row r="2311" spans="1:18">
      <c r="A2311" s="14"/>
      <c r="B2311" s="121"/>
      <c r="C2311" s="122"/>
      <c r="D2311" s="123"/>
      <c r="E2311" s="123"/>
      <c r="F2311" s="124"/>
      <c r="G2311" s="121"/>
      <c r="H2311" s="125"/>
      <c r="I2311" s="126"/>
      <c r="J2311" s="121"/>
      <c r="K2311" s="127"/>
      <c r="L2311" s="128"/>
      <c r="M2311" s="129"/>
      <c r="N2311" s="68"/>
      <c r="O2311" s="69"/>
      <c r="P2311" s="69"/>
      <c r="Q2311" s="69"/>
      <c r="R2311" s="69"/>
    </row>
    <row r="2312" spans="1:18">
      <c r="A2312" s="14"/>
      <c r="B2312" s="121"/>
      <c r="C2312" s="122"/>
      <c r="D2312" s="123"/>
      <c r="E2312" s="123"/>
      <c r="F2312" s="124"/>
      <c r="G2312" s="121"/>
      <c r="H2312" s="125"/>
      <c r="I2312" s="126"/>
      <c r="J2312" s="121"/>
      <c r="K2312" s="127"/>
      <c r="L2312" s="128"/>
      <c r="M2312" s="129"/>
      <c r="N2312" s="68"/>
      <c r="O2312" s="69"/>
      <c r="P2312" s="69"/>
      <c r="Q2312" s="69"/>
      <c r="R2312" s="69"/>
    </row>
    <row r="2313" spans="1:18">
      <c r="A2313" s="14"/>
      <c r="B2313" s="121"/>
      <c r="C2313" s="122"/>
      <c r="D2313" s="123"/>
      <c r="E2313" s="123"/>
      <c r="F2313" s="124"/>
      <c r="G2313" s="121"/>
      <c r="H2313" s="125"/>
      <c r="I2313" s="126"/>
      <c r="J2313" s="121"/>
      <c r="K2313" s="127"/>
      <c r="L2313" s="128"/>
      <c r="M2313" s="129"/>
      <c r="N2313" s="68"/>
      <c r="O2313" s="69"/>
      <c r="P2313" s="69"/>
      <c r="Q2313" s="69"/>
      <c r="R2313" s="69"/>
    </row>
    <row r="2314" spans="1:18">
      <c r="A2314" s="14"/>
      <c r="B2314" s="121"/>
      <c r="C2314" s="122"/>
      <c r="D2314" s="123"/>
      <c r="E2314" s="123"/>
      <c r="F2314" s="124"/>
      <c r="G2314" s="121"/>
      <c r="H2314" s="125"/>
      <c r="I2314" s="126"/>
      <c r="J2314" s="121"/>
      <c r="K2314" s="127"/>
      <c r="L2314" s="128"/>
      <c r="M2314" s="129"/>
      <c r="N2314" s="68"/>
      <c r="O2314" s="69"/>
      <c r="P2314" s="69"/>
      <c r="Q2314" s="69"/>
      <c r="R2314" s="69"/>
    </row>
    <row r="2315" spans="1:18">
      <c r="A2315" s="14"/>
      <c r="B2315" s="121"/>
      <c r="C2315" s="122"/>
      <c r="D2315" s="123"/>
      <c r="E2315" s="123"/>
      <c r="F2315" s="124"/>
      <c r="G2315" s="121"/>
      <c r="H2315" s="125"/>
      <c r="I2315" s="126"/>
      <c r="J2315" s="121"/>
      <c r="K2315" s="127"/>
      <c r="L2315" s="128"/>
      <c r="M2315" s="129"/>
      <c r="N2315" s="68"/>
      <c r="O2315" s="69"/>
      <c r="P2315" s="69"/>
      <c r="Q2315" s="69"/>
      <c r="R2315" s="69"/>
    </row>
    <row r="2316" spans="1:18">
      <c r="A2316" s="14"/>
      <c r="B2316" s="121"/>
      <c r="C2316" s="122"/>
      <c r="D2316" s="123"/>
      <c r="E2316" s="123"/>
      <c r="F2316" s="124"/>
      <c r="G2316" s="121"/>
      <c r="H2316" s="125"/>
      <c r="I2316" s="126"/>
      <c r="J2316" s="121"/>
      <c r="K2316" s="127"/>
      <c r="L2316" s="128"/>
      <c r="M2316" s="129"/>
      <c r="N2316" s="68"/>
      <c r="O2316" s="69"/>
      <c r="P2316" s="69"/>
      <c r="Q2316" s="69"/>
      <c r="R2316" s="69"/>
    </row>
    <row r="2317" spans="1:18">
      <c r="A2317" s="14"/>
      <c r="B2317" s="121"/>
      <c r="C2317" s="122"/>
      <c r="D2317" s="123"/>
      <c r="E2317" s="123"/>
      <c r="F2317" s="124"/>
      <c r="G2317" s="121"/>
      <c r="H2317" s="125"/>
      <c r="I2317" s="126"/>
      <c r="J2317" s="121"/>
      <c r="K2317" s="127"/>
      <c r="L2317" s="128"/>
      <c r="M2317" s="129"/>
      <c r="N2317" s="68"/>
      <c r="O2317" s="69"/>
      <c r="P2317" s="69"/>
      <c r="Q2317" s="69"/>
      <c r="R2317" s="69"/>
    </row>
    <row r="2318" spans="1:18">
      <c r="A2318" s="14"/>
      <c r="B2318" s="121"/>
      <c r="C2318" s="122"/>
      <c r="D2318" s="123"/>
      <c r="E2318" s="123"/>
      <c r="F2318" s="124"/>
      <c r="G2318" s="121"/>
      <c r="H2318" s="125"/>
      <c r="I2318" s="126"/>
      <c r="J2318" s="121"/>
      <c r="K2318" s="127"/>
      <c r="L2318" s="128"/>
      <c r="M2318" s="129"/>
      <c r="N2318" s="68"/>
      <c r="O2318" s="69"/>
      <c r="P2318" s="69"/>
      <c r="Q2318" s="69"/>
      <c r="R2318" s="69"/>
    </row>
    <row r="2319" spans="1:18">
      <c r="A2319" s="14"/>
      <c r="B2319" s="121"/>
      <c r="C2319" s="122"/>
      <c r="D2319" s="123"/>
      <c r="E2319" s="123"/>
      <c r="F2319" s="124"/>
      <c r="G2319" s="121"/>
      <c r="H2319" s="125"/>
      <c r="I2319" s="126"/>
      <c r="J2319" s="121"/>
      <c r="K2319" s="127"/>
      <c r="L2319" s="128"/>
      <c r="M2319" s="129"/>
      <c r="N2319" s="68"/>
      <c r="O2319" s="69"/>
      <c r="P2319" s="69"/>
      <c r="Q2319" s="69"/>
      <c r="R2319" s="69"/>
    </row>
    <row r="2320" spans="1:18">
      <c r="A2320" s="14"/>
      <c r="B2320" s="121"/>
      <c r="C2320" s="122"/>
      <c r="D2320" s="123"/>
      <c r="E2320" s="123"/>
      <c r="F2320" s="124"/>
      <c r="G2320" s="121"/>
      <c r="H2320" s="125"/>
      <c r="I2320" s="126"/>
      <c r="J2320" s="121"/>
      <c r="K2320" s="127"/>
      <c r="L2320" s="128"/>
      <c r="M2320" s="129"/>
      <c r="N2320" s="68"/>
      <c r="O2320" s="69"/>
      <c r="P2320" s="69"/>
      <c r="Q2320" s="69"/>
      <c r="R2320" s="69"/>
    </row>
    <row r="2321" spans="1:18">
      <c r="A2321" s="14"/>
      <c r="B2321" s="121"/>
      <c r="C2321" s="122"/>
      <c r="D2321" s="123"/>
      <c r="E2321" s="123"/>
      <c r="F2321" s="124"/>
      <c r="G2321" s="121"/>
      <c r="H2321" s="125"/>
      <c r="I2321" s="126"/>
      <c r="J2321" s="121"/>
      <c r="K2321" s="127"/>
      <c r="L2321" s="128"/>
      <c r="M2321" s="129"/>
      <c r="N2321" s="68"/>
      <c r="O2321" s="69"/>
      <c r="P2321" s="69"/>
      <c r="Q2321" s="69"/>
      <c r="R2321" s="69"/>
    </row>
    <row r="2322" spans="1:18">
      <c r="A2322" s="14"/>
      <c r="B2322" s="121"/>
      <c r="C2322" s="122"/>
      <c r="D2322" s="123"/>
      <c r="E2322" s="123"/>
      <c r="F2322" s="124"/>
      <c r="G2322" s="121"/>
      <c r="H2322" s="125"/>
      <c r="I2322" s="126"/>
      <c r="J2322" s="121"/>
      <c r="K2322" s="127"/>
      <c r="L2322" s="128"/>
      <c r="M2322" s="129"/>
      <c r="N2322" s="68"/>
      <c r="O2322" s="69"/>
      <c r="P2322" s="69"/>
      <c r="Q2322" s="69"/>
      <c r="R2322" s="69"/>
    </row>
    <row r="2323" spans="1:18">
      <c r="A2323" s="14"/>
      <c r="B2323" s="121"/>
      <c r="C2323" s="122"/>
      <c r="D2323" s="123"/>
      <c r="E2323" s="123"/>
      <c r="F2323" s="124"/>
      <c r="G2323" s="121"/>
      <c r="H2323" s="125"/>
      <c r="I2323" s="126"/>
      <c r="J2323" s="121"/>
      <c r="K2323" s="127"/>
      <c r="L2323" s="128"/>
      <c r="M2323" s="129"/>
      <c r="N2323" s="68"/>
      <c r="O2323" s="69"/>
      <c r="P2323" s="69"/>
      <c r="Q2323" s="69"/>
      <c r="R2323" s="69"/>
    </row>
    <row r="2324" spans="1:18">
      <c r="A2324" s="14"/>
      <c r="B2324" s="121"/>
      <c r="C2324" s="122"/>
      <c r="D2324" s="123"/>
      <c r="E2324" s="123"/>
      <c r="F2324" s="124"/>
      <c r="G2324" s="121"/>
      <c r="H2324" s="125"/>
      <c r="I2324" s="126"/>
      <c r="J2324" s="121"/>
      <c r="K2324" s="127"/>
      <c r="L2324" s="128"/>
      <c r="M2324" s="129"/>
      <c r="N2324" s="68"/>
      <c r="O2324" s="69"/>
      <c r="P2324" s="69"/>
      <c r="Q2324" s="69"/>
      <c r="R2324" s="69"/>
    </row>
    <row r="2325" spans="1:18">
      <c r="A2325" s="14"/>
      <c r="B2325" s="121"/>
      <c r="C2325" s="122"/>
      <c r="D2325" s="123"/>
      <c r="E2325" s="123"/>
      <c r="F2325" s="124"/>
      <c r="G2325" s="121"/>
      <c r="H2325" s="125"/>
      <c r="I2325" s="126"/>
      <c r="J2325" s="121"/>
      <c r="K2325" s="127"/>
      <c r="L2325" s="128"/>
      <c r="M2325" s="129"/>
      <c r="N2325" s="68"/>
      <c r="O2325" s="69"/>
      <c r="P2325" s="69"/>
      <c r="Q2325" s="69"/>
      <c r="R2325" s="69"/>
    </row>
    <row r="2326" spans="1:18">
      <c r="A2326" s="14"/>
      <c r="B2326" s="121"/>
      <c r="C2326" s="122"/>
      <c r="D2326" s="123"/>
      <c r="E2326" s="123"/>
      <c r="F2326" s="124"/>
      <c r="G2326" s="121"/>
      <c r="H2326" s="125"/>
      <c r="I2326" s="126"/>
      <c r="J2326" s="121"/>
      <c r="K2326" s="127"/>
      <c r="L2326" s="128"/>
      <c r="M2326" s="129"/>
      <c r="N2326" s="68"/>
      <c r="O2326" s="69"/>
      <c r="P2326" s="69"/>
      <c r="Q2326" s="69"/>
      <c r="R2326" s="69"/>
    </row>
    <row r="2327" spans="1:18">
      <c r="A2327" s="14"/>
      <c r="B2327" s="121"/>
      <c r="C2327" s="122"/>
      <c r="D2327" s="123"/>
      <c r="E2327" s="123"/>
      <c r="F2327" s="124"/>
      <c r="G2327" s="121"/>
      <c r="H2327" s="125"/>
      <c r="I2327" s="126"/>
      <c r="J2327" s="121"/>
      <c r="K2327" s="127"/>
      <c r="L2327" s="128"/>
      <c r="M2327" s="129"/>
      <c r="N2327" s="68"/>
      <c r="O2327" s="69"/>
      <c r="P2327" s="69"/>
      <c r="Q2327" s="69"/>
      <c r="R2327" s="69"/>
    </row>
    <row r="2328" spans="1:18">
      <c r="A2328" s="14"/>
      <c r="B2328" s="121"/>
      <c r="C2328" s="122"/>
      <c r="D2328" s="123"/>
      <c r="E2328" s="123"/>
      <c r="F2328" s="124"/>
      <c r="G2328" s="121"/>
      <c r="H2328" s="125"/>
      <c r="I2328" s="126"/>
      <c r="J2328" s="121"/>
      <c r="K2328" s="127"/>
      <c r="L2328" s="128"/>
      <c r="M2328" s="129"/>
      <c r="N2328" s="68"/>
      <c r="O2328" s="69"/>
      <c r="P2328" s="69"/>
      <c r="Q2328" s="69"/>
      <c r="R2328" s="69"/>
    </row>
    <row r="2329" spans="1:18">
      <c r="A2329" s="14"/>
      <c r="B2329" s="121"/>
      <c r="C2329" s="122"/>
      <c r="D2329" s="123"/>
      <c r="E2329" s="123"/>
      <c r="F2329" s="124"/>
      <c r="G2329" s="121"/>
      <c r="H2329" s="125"/>
      <c r="I2329" s="126"/>
      <c r="J2329" s="121"/>
      <c r="K2329" s="127"/>
      <c r="L2329" s="128"/>
      <c r="M2329" s="129"/>
      <c r="N2329" s="68"/>
      <c r="O2329" s="69"/>
      <c r="P2329" s="69"/>
      <c r="Q2329" s="69"/>
      <c r="R2329" s="69"/>
    </row>
    <row r="2330" spans="1:18">
      <c r="A2330" s="14"/>
      <c r="B2330" s="121"/>
      <c r="C2330" s="122"/>
      <c r="D2330" s="123"/>
      <c r="E2330" s="123"/>
      <c r="F2330" s="124"/>
      <c r="G2330" s="121"/>
      <c r="H2330" s="125"/>
      <c r="I2330" s="126"/>
      <c r="J2330" s="121"/>
      <c r="K2330" s="127"/>
      <c r="L2330" s="128"/>
      <c r="M2330" s="129"/>
      <c r="N2330" s="68"/>
      <c r="O2330" s="69"/>
      <c r="P2330" s="69"/>
      <c r="Q2330" s="69"/>
      <c r="R2330" s="69"/>
    </row>
    <row r="2331" spans="1:18">
      <c r="A2331" s="14"/>
      <c r="B2331" s="121"/>
      <c r="C2331" s="122"/>
      <c r="D2331" s="123"/>
      <c r="E2331" s="123"/>
      <c r="F2331" s="124"/>
      <c r="G2331" s="121"/>
      <c r="H2331" s="125"/>
      <c r="I2331" s="126"/>
      <c r="J2331" s="121"/>
      <c r="K2331" s="127"/>
      <c r="L2331" s="128"/>
      <c r="M2331" s="129"/>
      <c r="N2331" s="68"/>
      <c r="O2331" s="69"/>
      <c r="P2331" s="69"/>
      <c r="Q2331" s="69"/>
      <c r="R2331" s="69"/>
    </row>
    <row r="2332" spans="1:18">
      <c r="A2332" s="14"/>
      <c r="B2332" s="121"/>
      <c r="C2332" s="122"/>
      <c r="D2332" s="123"/>
      <c r="E2332" s="123"/>
      <c r="F2332" s="124"/>
      <c r="G2332" s="121"/>
      <c r="H2332" s="125"/>
      <c r="I2332" s="126"/>
      <c r="J2332" s="121"/>
      <c r="K2332" s="127"/>
      <c r="L2332" s="128"/>
      <c r="M2332" s="129"/>
      <c r="N2332" s="68"/>
      <c r="O2332" s="69"/>
      <c r="P2332" s="69"/>
      <c r="Q2332" s="69"/>
      <c r="R2332" s="69"/>
    </row>
    <row r="2333" spans="1:18">
      <c r="A2333" s="14"/>
      <c r="B2333" s="121"/>
      <c r="C2333" s="122"/>
      <c r="D2333" s="123"/>
      <c r="E2333" s="123"/>
      <c r="F2333" s="124"/>
      <c r="G2333" s="121"/>
      <c r="H2333" s="125"/>
      <c r="I2333" s="126"/>
      <c r="J2333" s="121"/>
      <c r="K2333" s="127"/>
      <c r="L2333" s="128"/>
      <c r="M2333" s="129"/>
      <c r="N2333" s="68"/>
      <c r="O2333" s="69"/>
      <c r="P2333" s="69"/>
      <c r="Q2333" s="69"/>
      <c r="R2333" s="69"/>
    </row>
    <row r="2334" spans="1:18">
      <c r="A2334" s="14"/>
      <c r="B2334" s="121"/>
      <c r="C2334" s="122"/>
      <c r="D2334" s="123"/>
      <c r="E2334" s="123"/>
      <c r="F2334" s="124"/>
      <c r="G2334" s="121"/>
      <c r="H2334" s="125"/>
      <c r="I2334" s="126"/>
      <c r="J2334" s="121"/>
      <c r="K2334" s="127"/>
      <c r="L2334" s="128"/>
      <c r="M2334" s="129"/>
      <c r="N2334" s="68"/>
      <c r="O2334" s="69"/>
      <c r="P2334" s="69"/>
      <c r="Q2334" s="69"/>
      <c r="R2334" s="69"/>
    </row>
    <row r="2335" spans="1:18">
      <c r="A2335" s="14"/>
      <c r="B2335" s="121"/>
      <c r="C2335" s="122"/>
      <c r="D2335" s="123"/>
      <c r="E2335" s="123"/>
      <c r="F2335" s="124"/>
      <c r="G2335" s="121"/>
      <c r="H2335" s="125"/>
      <c r="I2335" s="126"/>
      <c r="J2335" s="121"/>
      <c r="K2335" s="127"/>
      <c r="L2335" s="128"/>
      <c r="M2335" s="129"/>
      <c r="N2335" s="68"/>
      <c r="O2335" s="69"/>
      <c r="P2335" s="69"/>
      <c r="Q2335" s="69"/>
      <c r="R2335" s="69"/>
    </row>
    <row r="2336" spans="1:18">
      <c r="A2336" s="14"/>
      <c r="B2336" s="121"/>
      <c r="C2336" s="122"/>
      <c r="D2336" s="123"/>
      <c r="E2336" s="123"/>
      <c r="F2336" s="124"/>
      <c r="G2336" s="121"/>
      <c r="H2336" s="125"/>
      <c r="I2336" s="126"/>
      <c r="J2336" s="121"/>
      <c r="K2336" s="127"/>
      <c r="L2336" s="128"/>
      <c r="M2336" s="129"/>
      <c r="N2336" s="68"/>
      <c r="O2336" s="69"/>
      <c r="P2336" s="69"/>
      <c r="Q2336" s="69"/>
      <c r="R2336" s="69"/>
    </row>
    <row r="2337" spans="1:18">
      <c r="A2337" s="14"/>
      <c r="B2337" s="121"/>
      <c r="C2337" s="122"/>
      <c r="D2337" s="123"/>
      <c r="E2337" s="123"/>
      <c r="F2337" s="124"/>
      <c r="G2337" s="121"/>
      <c r="H2337" s="125"/>
      <c r="I2337" s="126"/>
      <c r="J2337" s="121"/>
      <c r="K2337" s="127"/>
      <c r="L2337" s="128"/>
      <c r="M2337" s="129"/>
      <c r="N2337" s="68"/>
      <c r="O2337" s="69"/>
      <c r="P2337" s="69"/>
      <c r="Q2337" s="69"/>
      <c r="R2337" s="69"/>
    </row>
    <row r="2338" spans="1:18">
      <c r="A2338" s="14"/>
      <c r="B2338" s="121"/>
      <c r="C2338" s="122"/>
      <c r="D2338" s="123"/>
      <c r="E2338" s="123"/>
      <c r="F2338" s="124"/>
      <c r="G2338" s="121"/>
      <c r="H2338" s="125"/>
      <c r="I2338" s="126"/>
      <c r="J2338" s="121"/>
      <c r="K2338" s="127"/>
      <c r="L2338" s="128"/>
      <c r="M2338" s="129"/>
      <c r="N2338" s="68"/>
      <c r="O2338" s="69"/>
      <c r="P2338" s="69"/>
      <c r="Q2338" s="69"/>
      <c r="R2338" s="69"/>
    </row>
    <row r="2339" spans="1:18">
      <c r="A2339" s="14"/>
      <c r="B2339" s="121"/>
      <c r="C2339" s="122"/>
      <c r="D2339" s="123"/>
      <c r="E2339" s="123"/>
      <c r="F2339" s="124"/>
      <c r="G2339" s="121"/>
      <c r="H2339" s="125"/>
      <c r="I2339" s="126"/>
      <c r="J2339" s="121"/>
      <c r="K2339" s="127"/>
      <c r="L2339" s="128"/>
      <c r="M2339" s="129"/>
      <c r="N2339" s="68"/>
      <c r="O2339" s="69"/>
      <c r="P2339" s="69"/>
      <c r="Q2339" s="69"/>
      <c r="R2339" s="69"/>
    </row>
    <row r="2340" spans="1:18">
      <c r="A2340" s="14"/>
      <c r="B2340" s="121"/>
      <c r="C2340" s="122"/>
      <c r="D2340" s="123"/>
      <c r="E2340" s="123"/>
      <c r="F2340" s="124"/>
      <c r="G2340" s="121"/>
      <c r="H2340" s="125"/>
      <c r="I2340" s="126"/>
      <c r="J2340" s="121"/>
      <c r="K2340" s="127"/>
      <c r="L2340" s="128"/>
      <c r="M2340" s="129"/>
      <c r="N2340" s="68"/>
      <c r="O2340" s="69"/>
      <c r="P2340" s="69"/>
      <c r="Q2340" s="69"/>
      <c r="R2340" s="69"/>
    </row>
    <row r="2341" spans="1:18">
      <c r="A2341" s="14"/>
      <c r="B2341" s="121"/>
      <c r="C2341" s="122"/>
      <c r="D2341" s="123"/>
      <c r="E2341" s="123"/>
      <c r="F2341" s="124"/>
      <c r="G2341" s="121"/>
      <c r="H2341" s="125"/>
      <c r="I2341" s="126"/>
      <c r="J2341" s="121"/>
      <c r="K2341" s="127"/>
      <c r="L2341" s="128"/>
      <c r="M2341" s="129"/>
      <c r="N2341" s="68"/>
      <c r="O2341" s="69"/>
      <c r="P2341" s="69"/>
      <c r="Q2341" s="69"/>
      <c r="R2341" s="69"/>
    </row>
    <row r="2342" spans="1:18">
      <c r="A2342" s="14"/>
      <c r="B2342" s="121"/>
      <c r="C2342" s="122"/>
      <c r="D2342" s="123"/>
      <c r="E2342" s="123"/>
      <c r="F2342" s="124"/>
      <c r="G2342" s="121"/>
      <c r="H2342" s="125"/>
      <c r="I2342" s="126"/>
      <c r="J2342" s="121"/>
      <c r="K2342" s="127"/>
      <c r="L2342" s="128"/>
      <c r="M2342" s="129"/>
      <c r="N2342" s="68"/>
      <c r="O2342" s="69"/>
      <c r="P2342" s="69"/>
      <c r="Q2342" s="69"/>
      <c r="R2342" s="69"/>
    </row>
    <row r="2343" spans="1:18">
      <c r="A2343" s="14"/>
      <c r="B2343" s="121"/>
      <c r="C2343" s="122"/>
      <c r="D2343" s="123"/>
      <c r="E2343" s="123"/>
      <c r="F2343" s="124"/>
      <c r="G2343" s="121"/>
      <c r="H2343" s="125"/>
      <c r="I2343" s="126"/>
      <c r="J2343" s="121"/>
      <c r="K2343" s="127"/>
      <c r="L2343" s="128"/>
      <c r="M2343" s="129"/>
      <c r="N2343" s="68"/>
      <c r="O2343" s="69"/>
      <c r="P2343" s="69"/>
      <c r="Q2343" s="69"/>
      <c r="R2343" s="69"/>
    </row>
    <row r="2344" spans="1:18">
      <c r="A2344" s="14"/>
      <c r="B2344" s="121"/>
      <c r="C2344" s="122"/>
      <c r="D2344" s="123"/>
      <c r="E2344" s="123"/>
      <c r="F2344" s="124"/>
      <c r="G2344" s="121"/>
      <c r="H2344" s="125"/>
      <c r="I2344" s="126"/>
      <c r="J2344" s="121"/>
      <c r="K2344" s="127"/>
      <c r="L2344" s="128"/>
      <c r="M2344" s="129"/>
      <c r="N2344" s="68"/>
      <c r="O2344" s="69"/>
      <c r="P2344" s="69"/>
      <c r="Q2344" s="69"/>
      <c r="R2344" s="69"/>
    </row>
    <row r="2345" spans="1:18">
      <c r="A2345" s="14"/>
      <c r="B2345" s="121"/>
      <c r="C2345" s="122"/>
      <c r="D2345" s="123"/>
      <c r="E2345" s="123"/>
      <c r="F2345" s="124"/>
      <c r="G2345" s="121"/>
      <c r="H2345" s="125"/>
      <c r="I2345" s="126"/>
      <c r="J2345" s="121"/>
      <c r="K2345" s="127"/>
      <c r="L2345" s="128"/>
      <c r="M2345" s="129"/>
      <c r="N2345" s="68"/>
      <c r="O2345" s="69"/>
      <c r="P2345" s="69"/>
      <c r="Q2345" s="69"/>
      <c r="R2345" s="69"/>
    </row>
    <row r="2346" spans="1:18">
      <c r="A2346" s="14"/>
      <c r="B2346" s="121"/>
      <c r="C2346" s="122"/>
      <c r="D2346" s="123"/>
      <c r="E2346" s="123"/>
      <c r="F2346" s="124"/>
      <c r="G2346" s="121"/>
      <c r="H2346" s="125"/>
      <c r="I2346" s="126"/>
      <c r="J2346" s="121"/>
      <c r="K2346" s="127"/>
      <c r="L2346" s="128"/>
      <c r="M2346" s="129"/>
      <c r="N2346" s="68"/>
      <c r="O2346" s="69"/>
      <c r="P2346" s="69"/>
      <c r="Q2346" s="69"/>
      <c r="R2346" s="69"/>
    </row>
    <row r="2347" spans="1:18">
      <c r="A2347" s="14"/>
      <c r="B2347" s="121"/>
      <c r="C2347" s="122"/>
      <c r="D2347" s="123"/>
      <c r="E2347" s="123"/>
      <c r="F2347" s="124"/>
      <c r="G2347" s="121"/>
      <c r="H2347" s="125"/>
      <c r="I2347" s="126"/>
      <c r="J2347" s="121"/>
      <c r="K2347" s="127"/>
      <c r="L2347" s="128"/>
      <c r="M2347" s="129"/>
      <c r="N2347" s="68"/>
      <c r="O2347" s="69"/>
      <c r="P2347" s="69"/>
      <c r="Q2347" s="69"/>
      <c r="R2347" s="69"/>
    </row>
    <row r="2348" spans="1:18">
      <c r="A2348" s="14"/>
      <c r="B2348" s="121"/>
      <c r="C2348" s="122"/>
      <c r="D2348" s="123"/>
      <c r="E2348" s="123"/>
      <c r="F2348" s="124"/>
      <c r="G2348" s="121"/>
      <c r="H2348" s="125"/>
      <c r="I2348" s="126"/>
      <c r="J2348" s="121"/>
      <c r="K2348" s="127"/>
      <c r="L2348" s="128"/>
      <c r="M2348" s="129"/>
      <c r="N2348" s="68"/>
      <c r="O2348" s="69"/>
      <c r="P2348" s="69"/>
      <c r="Q2348" s="69"/>
      <c r="R2348" s="69"/>
    </row>
    <row r="2349" spans="1:18">
      <c r="A2349" s="14"/>
      <c r="B2349" s="121"/>
      <c r="C2349" s="122"/>
      <c r="D2349" s="123"/>
      <c r="E2349" s="123"/>
      <c r="F2349" s="124"/>
      <c r="G2349" s="121"/>
      <c r="H2349" s="125"/>
      <c r="I2349" s="126"/>
      <c r="J2349" s="121"/>
      <c r="K2349" s="127"/>
      <c r="L2349" s="128"/>
      <c r="M2349" s="129"/>
      <c r="N2349" s="68"/>
      <c r="O2349" s="69"/>
      <c r="P2349" s="69"/>
      <c r="Q2349" s="69"/>
      <c r="R2349" s="69"/>
    </row>
    <row r="2350" spans="1:18">
      <c r="A2350" s="14"/>
      <c r="B2350" s="121"/>
      <c r="C2350" s="122"/>
      <c r="D2350" s="123"/>
      <c r="E2350" s="123"/>
      <c r="F2350" s="124"/>
      <c r="G2350" s="121"/>
      <c r="H2350" s="125"/>
      <c r="I2350" s="126"/>
      <c r="J2350" s="121"/>
      <c r="K2350" s="127"/>
      <c r="L2350" s="128"/>
      <c r="M2350" s="129"/>
      <c r="N2350" s="68"/>
      <c r="O2350" s="69"/>
      <c r="P2350" s="69"/>
      <c r="Q2350" s="69"/>
      <c r="R2350" s="69"/>
    </row>
    <row r="2351" spans="1:18">
      <c r="A2351" s="14"/>
      <c r="B2351" s="121"/>
      <c r="C2351" s="122"/>
      <c r="D2351" s="123"/>
      <c r="E2351" s="123"/>
      <c r="F2351" s="124"/>
      <c r="G2351" s="121"/>
      <c r="H2351" s="125"/>
      <c r="I2351" s="126"/>
      <c r="J2351" s="121"/>
      <c r="K2351" s="127"/>
      <c r="L2351" s="128"/>
      <c r="M2351" s="129"/>
      <c r="N2351" s="68"/>
      <c r="O2351" s="69"/>
      <c r="P2351" s="69"/>
      <c r="Q2351" s="69"/>
      <c r="R2351" s="69"/>
    </row>
    <row r="2352" spans="1:18">
      <c r="A2352" s="14"/>
      <c r="B2352" s="121"/>
      <c r="C2352" s="122"/>
      <c r="D2352" s="123"/>
      <c r="E2352" s="123"/>
      <c r="F2352" s="124"/>
      <c r="G2352" s="121"/>
      <c r="H2352" s="125"/>
      <c r="I2352" s="126"/>
      <c r="J2352" s="121"/>
      <c r="K2352" s="127"/>
      <c r="L2352" s="128"/>
      <c r="M2352" s="129"/>
      <c r="N2352" s="68"/>
      <c r="O2352" s="69"/>
      <c r="P2352" s="69"/>
      <c r="Q2352" s="69"/>
      <c r="R2352" s="69"/>
    </row>
    <row r="2353" spans="1:18">
      <c r="A2353" s="14"/>
      <c r="B2353" s="121"/>
      <c r="C2353" s="122"/>
      <c r="D2353" s="123"/>
      <c r="E2353" s="123"/>
      <c r="F2353" s="124"/>
      <c r="G2353" s="121"/>
      <c r="H2353" s="125"/>
      <c r="I2353" s="126"/>
      <c r="J2353" s="121"/>
      <c r="K2353" s="127"/>
      <c r="L2353" s="128"/>
      <c r="M2353" s="129"/>
      <c r="N2353" s="68"/>
      <c r="O2353" s="69"/>
      <c r="P2353" s="69"/>
      <c r="Q2353" s="69"/>
      <c r="R2353" s="69"/>
    </row>
    <row r="2354" spans="1:18">
      <c r="A2354" s="14"/>
      <c r="B2354" s="121"/>
      <c r="C2354" s="122"/>
      <c r="D2354" s="123"/>
      <c r="E2354" s="123"/>
      <c r="F2354" s="124"/>
      <c r="G2354" s="121"/>
      <c r="H2354" s="125"/>
      <c r="I2354" s="126"/>
      <c r="J2354" s="121"/>
      <c r="K2354" s="127"/>
      <c r="L2354" s="128"/>
      <c r="M2354" s="129"/>
      <c r="N2354" s="68"/>
      <c r="O2354" s="69"/>
      <c r="P2354" s="69"/>
      <c r="Q2354" s="69"/>
      <c r="R2354" s="69"/>
    </row>
    <row r="2355" spans="1:18">
      <c r="A2355" s="14"/>
      <c r="B2355" s="121"/>
      <c r="C2355" s="122"/>
      <c r="D2355" s="123"/>
      <c r="E2355" s="123"/>
      <c r="F2355" s="124"/>
      <c r="G2355" s="121"/>
      <c r="H2355" s="125"/>
      <c r="I2355" s="126"/>
      <c r="J2355" s="121"/>
      <c r="K2355" s="127"/>
      <c r="L2355" s="128"/>
      <c r="M2355" s="129"/>
      <c r="N2355" s="68"/>
      <c r="O2355" s="69"/>
      <c r="P2355" s="69"/>
      <c r="Q2355" s="69"/>
      <c r="R2355" s="69"/>
    </row>
    <row r="2356" spans="1:18">
      <c r="A2356" s="14"/>
      <c r="B2356" s="121"/>
      <c r="C2356" s="122"/>
      <c r="D2356" s="123"/>
      <c r="E2356" s="123"/>
      <c r="F2356" s="124"/>
      <c r="G2356" s="121"/>
      <c r="H2356" s="125"/>
      <c r="I2356" s="126"/>
      <c r="J2356" s="121"/>
      <c r="K2356" s="127"/>
      <c r="L2356" s="128"/>
      <c r="M2356" s="129"/>
      <c r="N2356" s="68"/>
      <c r="O2356" s="69"/>
      <c r="P2356" s="69"/>
      <c r="Q2356" s="69"/>
      <c r="R2356" s="69"/>
    </row>
    <row r="2357" spans="1:18">
      <c r="A2357" s="14"/>
      <c r="B2357" s="121"/>
      <c r="C2357" s="122"/>
      <c r="D2357" s="123"/>
      <c r="E2357" s="123"/>
      <c r="F2357" s="124"/>
      <c r="G2357" s="121"/>
      <c r="H2357" s="125"/>
      <c r="I2357" s="126"/>
      <c r="J2357" s="121"/>
      <c r="K2357" s="127"/>
      <c r="L2357" s="128"/>
      <c r="M2357" s="129"/>
      <c r="N2357" s="68"/>
      <c r="O2357" s="69"/>
      <c r="P2357" s="69"/>
      <c r="Q2357" s="69"/>
      <c r="R2357" s="69"/>
    </row>
    <row r="2358" spans="1:18">
      <c r="A2358" s="14"/>
      <c r="B2358" s="121"/>
      <c r="C2358" s="122"/>
      <c r="D2358" s="123"/>
      <c r="E2358" s="123"/>
      <c r="F2358" s="124"/>
      <c r="G2358" s="121"/>
      <c r="H2358" s="125"/>
      <c r="I2358" s="126"/>
      <c r="J2358" s="121"/>
      <c r="K2358" s="127"/>
      <c r="L2358" s="128"/>
      <c r="M2358" s="129"/>
      <c r="N2358" s="68"/>
      <c r="O2358" s="69"/>
      <c r="P2358" s="69"/>
      <c r="Q2358" s="69"/>
      <c r="R2358" s="69"/>
    </row>
    <row r="2359" spans="1:18">
      <c r="A2359" s="14"/>
      <c r="B2359" s="121"/>
      <c r="C2359" s="122"/>
      <c r="D2359" s="123"/>
      <c r="E2359" s="123"/>
      <c r="F2359" s="124"/>
      <c r="G2359" s="121"/>
      <c r="H2359" s="125"/>
      <c r="I2359" s="126"/>
      <c r="J2359" s="121"/>
      <c r="K2359" s="127"/>
      <c r="L2359" s="128"/>
      <c r="M2359" s="129"/>
      <c r="N2359" s="68"/>
      <c r="O2359" s="69"/>
      <c r="P2359" s="69"/>
      <c r="Q2359" s="69"/>
      <c r="R2359" s="69"/>
    </row>
    <row r="2360" spans="1:18">
      <c r="A2360" s="14"/>
      <c r="B2360" s="121"/>
      <c r="C2360" s="122"/>
      <c r="D2360" s="123"/>
      <c r="E2360" s="123"/>
      <c r="F2360" s="124"/>
      <c r="G2360" s="121"/>
      <c r="H2360" s="125"/>
      <c r="I2360" s="126"/>
      <c r="J2360" s="121"/>
      <c r="K2360" s="127"/>
      <c r="L2360" s="128"/>
      <c r="M2360" s="129"/>
      <c r="N2360" s="68"/>
      <c r="O2360" s="69"/>
      <c r="P2360" s="69"/>
      <c r="Q2360" s="69"/>
      <c r="R2360" s="69"/>
    </row>
    <row r="2361" spans="1:18">
      <c r="A2361" s="14"/>
      <c r="B2361" s="121"/>
      <c r="C2361" s="122"/>
      <c r="D2361" s="123"/>
      <c r="E2361" s="123"/>
      <c r="F2361" s="124"/>
      <c r="G2361" s="121"/>
      <c r="H2361" s="125"/>
      <c r="I2361" s="126"/>
      <c r="J2361" s="121"/>
      <c r="K2361" s="127"/>
      <c r="L2361" s="128"/>
      <c r="M2361" s="129"/>
      <c r="N2361" s="68"/>
      <c r="O2361" s="69"/>
      <c r="P2361" s="69"/>
      <c r="Q2361" s="69"/>
      <c r="R2361" s="69"/>
    </row>
    <row r="2362" spans="1:18">
      <c r="A2362" s="14"/>
      <c r="B2362" s="121"/>
      <c r="C2362" s="122"/>
      <c r="D2362" s="123"/>
      <c r="E2362" s="123"/>
      <c r="F2362" s="124"/>
      <c r="G2362" s="121"/>
      <c r="H2362" s="125"/>
      <c r="I2362" s="126"/>
      <c r="J2362" s="121"/>
      <c r="K2362" s="127"/>
      <c r="L2362" s="128"/>
      <c r="M2362" s="129"/>
      <c r="N2362" s="68"/>
      <c r="O2362" s="69"/>
      <c r="P2362" s="69"/>
      <c r="Q2362" s="69"/>
      <c r="R2362" s="69"/>
    </row>
    <row r="2363" spans="1:18">
      <c r="A2363" s="14"/>
      <c r="B2363" s="121"/>
      <c r="C2363" s="122"/>
      <c r="D2363" s="123"/>
      <c r="E2363" s="123"/>
      <c r="F2363" s="124"/>
      <c r="G2363" s="121"/>
      <c r="H2363" s="125"/>
      <c r="I2363" s="126"/>
      <c r="J2363" s="121"/>
      <c r="K2363" s="127"/>
      <c r="L2363" s="128"/>
      <c r="M2363" s="129"/>
      <c r="N2363" s="68"/>
      <c r="O2363" s="69"/>
      <c r="P2363" s="69"/>
      <c r="Q2363" s="69"/>
      <c r="R2363" s="69"/>
    </row>
    <row r="2364" spans="1:18">
      <c r="A2364" s="14"/>
      <c r="B2364" s="121"/>
      <c r="C2364" s="122"/>
      <c r="D2364" s="123"/>
      <c r="E2364" s="123"/>
      <c r="F2364" s="124"/>
      <c r="G2364" s="121"/>
      <c r="H2364" s="125"/>
      <c r="I2364" s="126"/>
      <c r="J2364" s="121"/>
      <c r="K2364" s="127"/>
      <c r="L2364" s="128"/>
      <c r="M2364" s="129"/>
      <c r="N2364" s="68"/>
      <c r="O2364" s="69"/>
      <c r="P2364" s="69"/>
      <c r="Q2364" s="69"/>
      <c r="R2364" s="69"/>
    </row>
    <row r="2365" spans="1:18">
      <c r="A2365" s="14"/>
      <c r="B2365" s="121"/>
      <c r="C2365" s="122"/>
      <c r="D2365" s="123"/>
      <c r="E2365" s="123"/>
      <c r="F2365" s="124"/>
      <c r="G2365" s="121"/>
      <c r="H2365" s="125"/>
      <c r="I2365" s="126"/>
      <c r="J2365" s="121"/>
      <c r="K2365" s="127"/>
      <c r="L2365" s="128"/>
      <c r="M2365" s="129"/>
      <c r="N2365" s="68"/>
      <c r="O2365" s="69"/>
      <c r="P2365" s="69"/>
      <c r="Q2365" s="69"/>
      <c r="R2365" s="69"/>
    </row>
    <row r="2366" spans="1:18">
      <c r="A2366" s="14"/>
      <c r="B2366" s="121"/>
      <c r="C2366" s="122"/>
      <c r="D2366" s="123"/>
      <c r="E2366" s="123"/>
      <c r="F2366" s="124"/>
      <c r="G2366" s="121"/>
      <c r="H2366" s="125"/>
      <c r="I2366" s="126"/>
      <c r="J2366" s="121"/>
      <c r="K2366" s="127"/>
      <c r="L2366" s="128"/>
      <c r="M2366" s="129"/>
      <c r="N2366" s="68"/>
      <c r="O2366" s="69"/>
      <c r="P2366" s="69"/>
      <c r="Q2366" s="69"/>
      <c r="R2366" s="69"/>
    </row>
    <row r="2367" spans="1:18">
      <c r="A2367" s="14"/>
      <c r="B2367" s="121"/>
      <c r="C2367" s="122"/>
      <c r="D2367" s="123"/>
      <c r="E2367" s="123"/>
      <c r="F2367" s="124"/>
      <c r="G2367" s="121"/>
      <c r="H2367" s="125"/>
      <c r="I2367" s="126"/>
      <c r="J2367" s="121"/>
      <c r="K2367" s="127"/>
      <c r="L2367" s="128"/>
      <c r="M2367" s="129"/>
      <c r="N2367" s="68"/>
      <c r="O2367" s="69"/>
      <c r="P2367" s="69"/>
      <c r="Q2367" s="69"/>
      <c r="R2367" s="69"/>
    </row>
    <row r="2368" spans="1:18">
      <c r="A2368" s="14"/>
      <c r="B2368" s="121"/>
      <c r="C2368" s="122"/>
      <c r="D2368" s="123"/>
      <c r="E2368" s="123"/>
      <c r="F2368" s="124"/>
      <c r="G2368" s="121"/>
      <c r="H2368" s="125"/>
      <c r="I2368" s="126"/>
      <c r="J2368" s="121"/>
      <c r="K2368" s="127"/>
      <c r="L2368" s="128"/>
      <c r="M2368" s="129"/>
      <c r="N2368" s="68"/>
      <c r="O2368" s="69"/>
      <c r="P2368" s="69"/>
      <c r="Q2368" s="69"/>
      <c r="R2368" s="69"/>
    </row>
    <row r="2369" spans="1:18">
      <c r="A2369" s="14"/>
      <c r="B2369" s="121"/>
      <c r="C2369" s="122"/>
      <c r="D2369" s="123"/>
      <c r="E2369" s="123"/>
      <c r="F2369" s="124"/>
      <c r="G2369" s="121"/>
      <c r="H2369" s="125"/>
      <c r="I2369" s="126"/>
      <c r="J2369" s="121"/>
      <c r="K2369" s="127"/>
      <c r="L2369" s="128"/>
      <c r="M2369" s="129"/>
      <c r="N2369" s="68"/>
      <c r="O2369" s="69"/>
      <c r="P2369" s="69"/>
      <c r="Q2369" s="69"/>
      <c r="R2369" s="69"/>
    </row>
    <row r="2370" spans="1:18">
      <c r="A2370" s="14"/>
      <c r="B2370" s="121"/>
      <c r="C2370" s="122"/>
      <c r="D2370" s="123"/>
      <c r="E2370" s="123"/>
      <c r="F2370" s="124"/>
      <c r="G2370" s="121"/>
      <c r="H2370" s="125"/>
      <c r="I2370" s="126"/>
      <c r="J2370" s="121"/>
      <c r="K2370" s="127"/>
      <c r="L2370" s="128"/>
      <c r="M2370" s="129"/>
      <c r="N2370" s="68"/>
      <c r="O2370" s="69"/>
      <c r="P2370" s="69"/>
      <c r="Q2370" s="69"/>
      <c r="R2370" s="69"/>
    </row>
    <row r="2371" spans="1:18">
      <c r="A2371" s="14"/>
      <c r="B2371" s="121"/>
      <c r="C2371" s="122"/>
      <c r="D2371" s="123"/>
      <c r="E2371" s="123"/>
      <c r="F2371" s="124"/>
      <c r="G2371" s="121"/>
      <c r="H2371" s="125"/>
      <c r="I2371" s="126"/>
      <c r="J2371" s="121"/>
      <c r="K2371" s="127"/>
      <c r="L2371" s="128"/>
      <c r="M2371" s="129"/>
      <c r="N2371" s="68"/>
      <c r="O2371" s="69"/>
      <c r="P2371" s="69"/>
      <c r="Q2371" s="69"/>
      <c r="R2371" s="69"/>
    </row>
    <row r="2372" spans="1:18">
      <c r="A2372" s="14"/>
      <c r="B2372" s="121"/>
      <c r="C2372" s="122"/>
      <c r="D2372" s="123"/>
      <c r="E2372" s="123"/>
      <c r="F2372" s="124"/>
      <c r="G2372" s="121"/>
      <c r="H2372" s="125"/>
      <c r="I2372" s="126"/>
      <c r="J2372" s="121"/>
      <c r="K2372" s="127"/>
      <c r="L2372" s="128"/>
      <c r="M2372" s="129"/>
      <c r="N2372" s="68"/>
      <c r="O2372" s="69"/>
      <c r="P2372" s="69"/>
      <c r="Q2372" s="69"/>
      <c r="R2372" s="69"/>
    </row>
    <row r="2373" spans="1:18">
      <c r="A2373" s="14"/>
      <c r="B2373" s="121"/>
      <c r="C2373" s="122"/>
      <c r="D2373" s="123"/>
      <c r="E2373" s="123"/>
      <c r="F2373" s="124"/>
      <c r="G2373" s="121"/>
      <c r="H2373" s="125"/>
      <c r="I2373" s="126"/>
      <c r="J2373" s="121"/>
      <c r="K2373" s="127"/>
      <c r="L2373" s="128"/>
      <c r="M2373" s="129"/>
      <c r="N2373" s="68"/>
      <c r="O2373" s="69"/>
      <c r="P2373" s="69"/>
      <c r="Q2373" s="69"/>
      <c r="R2373" s="69"/>
    </row>
    <row r="2374" spans="1:18">
      <c r="A2374" s="14"/>
      <c r="B2374" s="121"/>
      <c r="C2374" s="122"/>
      <c r="D2374" s="123"/>
      <c r="E2374" s="123"/>
      <c r="F2374" s="124"/>
      <c r="G2374" s="121"/>
      <c r="H2374" s="125"/>
      <c r="I2374" s="126"/>
      <c r="J2374" s="121"/>
      <c r="K2374" s="127"/>
      <c r="L2374" s="128"/>
      <c r="M2374" s="129"/>
      <c r="N2374" s="68"/>
      <c r="O2374" s="69"/>
      <c r="P2374" s="69"/>
      <c r="Q2374" s="69"/>
      <c r="R2374" s="69"/>
    </row>
    <row r="2375" spans="1:18">
      <c r="A2375" s="14"/>
      <c r="B2375" s="121"/>
      <c r="C2375" s="122"/>
      <c r="D2375" s="123"/>
      <c r="E2375" s="123"/>
      <c r="F2375" s="124"/>
      <c r="G2375" s="121"/>
      <c r="H2375" s="125"/>
      <c r="I2375" s="126"/>
      <c r="J2375" s="121"/>
      <c r="K2375" s="127"/>
      <c r="L2375" s="128"/>
      <c r="M2375" s="129"/>
      <c r="N2375" s="68"/>
      <c r="O2375" s="69"/>
      <c r="P2375" s="69"/>
      <c r="Q2375" s="69"/>
      <c r="R2375" s="69"/>
    </row>
    <row r="2376" spans="1:18">
      <c r="A2376" s="14"/>
      <c r="B2376" s="121"/>
      <c r="C2376" s="122"/>
      <c r="D2376" s="123"/>
      <c r="E2376" s="123"/>
      <c r="F2376" s="124"/>
      <c r="G2376" s="121"/>
      <c r="H2376" s="125"/>
      <c r="I2376" s="126"/>
      <c r="J2376" s="121"/>
      <c r="K2376" s="127"/>
      <c r="L2376" s="128"/>
      <c r="M2376" s="129"/>
      <c r="N2376" s="68"/>
      <c r="O2376" s="69"/>
      <c r="P2376" s="69"/>
      <c r="Q2376" s="69"/>
      <c r="R2376" s="69"/>
    </row>
    <row r="2377" spans="1:18">
      <c r="A2377" s="14"/>
      <c r="B2377" s="121"/>
      <c r="C2377" s="122"/>
      <c r="D2377" s="123"/>
      <c r="E2377" s="123"/>
      <c r="F2377" s="124"/>
      <c r="G2377" s="121"/>
      <c r="H2377" s="125"/>
      <c r="I2377" s="126"/>
      <c r="J2377" s="121"/>
      <c r="K2377" s="127"/>
      <c r="L2377" s="128"/>
      <c r="M2377" s="129"/>
      <c r="N2377" s="68"/>
      <c r="O2377" s="69"/>
      <c r="P2377" s="69"/>
      <c r="Q2377" s="69"/>
      <c r="R2377" s="69"/>
    </row>
    <row r="2378" spans="1:18">
      <c r="A2378" s="14"/>
      <c r="B2378" s="121"/>
      <c r="C2378" s="122"/>
      <c r="D2378" s="123"/>
      <c r="E2378" s="123"/>
      <c r="F2378" s="124"/>
      <c r="G2378" s="121"/>
      <c r="H2378" s="125"/>
      <c r="I2378" s="126"/>
      <c r="J2378" s="121"/>
      <c r="K2378" s="127"/>
      <c r="L2378" s="128"/>
      <c r="M2378" s="129"/>
      <c r="N2378" s="68"/>
      <c r="O2378" s="69"/>
      <c r="P2378" s="69"/>
      <c r="Q2378" s="69"/>
      <c r="R2378" s="69"/>
    </row>
    <row r="2379" spans="1:18">
      <c r="A2379" s="14"/>
      <c r="B2379" s="121"/>
      <c r="C2379" s="122"/>
      <c r="D2379" s="123"/>
      <c r="E2379" s="123"/>
      <c r="F2379" s="124"/>
      <c r="G2379" s="121"/>
      <c r="H2379" s="125"/>
      <c r="I2379" s="126"/>
      <c r="J2379" s="121"/>
      <c r="K2379" s="127"/>
      <c r="L2379" s="128"/>
      <c r="M2379" s="129"/>
      <c r="N2379" s="68"/>
      <c r="O2379" s="69"/>
      <c r="P2379" s="69"/>
      <c r="Q2379" s="69"/>
      <c r="R2379" s="69"/>
    </row>
    <row r="2380" spans="1:18">
      <c r="A2380" s="14"/>
      <c r="B2380" s="121"/>
      <c r="C2380" s="122"/>
      <c r="D2380" s="123"/>
      <c r="E2380" s="123"/>
      <c r="F2380" s="124"/>
      <c r="G2380" s="121"/>
      <c r="H2380" s="125"/>
      <c r="I2380" s="126"/>
      <c r="J2380" s="121"/>
      <c r="K2380" s="127"/>
      <c r="L2380" s="128"/>
      <c r="M2380" s="129"/>
      <c r="N2380" s="68"/>
      <c r="O2380" s="69"/>
      <c r="P2380" s="69"/>
      <c r="Q2380" s="69"/>
      <c r="R2380" s="69"/>
    </row>
    <row r="2381" spans="1:18">
      <c r="A2381" s="14"/>
      <c r="B2381" s="121"/>
      <c r="C2381" s="122"/>
      <c r="D2381" s="123"/>
      <c r="E2381" s="123"/>
      <c r="F2381" s="124"/>
      <c r="G2381" s="121"/>
      <c r="H2381" s="125"/>
      <c r="I2381" s="126"/>
      <c r="J2381" s="121"/>
      <c r="K2381" s="127"/>
      <c r="L2381" s="128"/>
      <c r="M2381" s="129"/>
      <c r="N2381" s="68"/>
      <c r="O2381" s="69"/>
      <c r="P2381" s="69"/>
      <c r="Q2381" s="69"/>
      <c r="R2381" s="69"/>
    </row>
    <row r="2382" spans="1:18">
      <c r="A2382" s="14"/>
      <c r="B2382" s="121"/>
      <c r="C2382" s="122"/>
      <c r="D2382" s="123"/>
      <c r="E2382" s="123"/>
      <c r="F2382" s="124"/>
      <c r="G2382" s="121"/>
      <c r="H2382" s="125"/>
      <c r="I2382" s="126"/>
      <c r="J2382" s="121"/>
      <c r="K2382" s="127"/>
      <c r="L2382" s="128"/>
      <c r="M2382" s="129"/>
      <c r="N2382" s="68"/>
      <c r="O2382" s="69"/>
      <c r="P2382" s="69"/>
      <c r="Q2382" s="69"/>
      <c r="R2382" s="69"/>
    </row>
    <row r="2383" spans="1:18">
      <c r="A2383" s="14"/>
      <c r="B2383" s="121"/>
      <c r="C2383" s="122"/>
      <c r="D2383" s="123"/>
      <c r="E2383" s="123"/>
      <c r="F2383" s="124"/>
      <c r="G2383" s="121"/>
      <c r="H2383" s="125"/>
      <c r="I2383" s="126"/>
      <c r="J2383" s="121"/>
      <c r="K2383" s="127"/>
      <c r="L2383" s="128"/>
      <c r="M2383" s="129"/>
      <c r="N2383" s="68"/>
      <c r="O2383" s="69"/>
      <c r="P2383" s="69"/>
      <c r="Q2383" s="69"/>
      <c r="R2383" s="69"/>
    </row>
    <row r="2384" spans="1:18">
      <c r="A2384" s="14"/>
      <c r="B2384" s="121"/>
      <c r="C2384" s="122"/>
      <c r="D2384" s="123"/>
      <c r="E2384" s="123"/>
      <c r="F2384" s="124"/>
      <c r="G2384" s="121"/>
      <c r="H2384" s="125"/>
      <c r="I2384" s="126"/>
      <c r="J2384" s="121"/>
      <c r="K2384" s="127"/>
      <c r="L2384" s="128"/>
      <c r="M2384" s="129"/>
      <c r="N2384" s="68"/>
      <c r="O2384" s="69"/>
      <c r="P2384" s="69"/>
      <c r="Q2384" s="69"/>
      <c r="R2384" s="69"/>
    </row>
    <row r="2385" spans="1:18">
      <c r="A2385" s="14"/>
      <c r="B2385" s="121"/>
      <c r="C2385" s="122"/>
      <c r="D2385" s="123"/>
      <c r="E2385" s="123"/>
      <c r="F2385" s="124"/>
      <c r="G2385" s="121"/>
      <c r="H2385" s="125"/>
      <c r="I2385" s="126"/>
      <c r="J2385" s="121"/>
      <c r="K2385" s="127"/>
      <c r="L2385" s="128"/>
      <c r="M2385" s="129"/>
      <c r="N2385" s="68"/>
      <c r="O2385" s="69"/>
      <c r="P2385" s="69"/>
      <c r="Q2385" s="69"/>
      <c r="R2385" s="69"/>
    </row>
    <row r="2386" spans="1:18">
      <c r="A2386" s="14"/>
      <c r="B2386" s="121"/>
      <c r="C2386" s="122"/>
      <c r="D2386" s="123"/>
      <c r="E2386" s="123"/>
      <c r="F2386" s="124"/>
      <c r="G2386" s="121"/>
      <c r="H2386" s="125"/>
      <c r="I2386" s="126"/>
      <c r="J2386" s="121"/>
      <c r="K2386" s="127"/>
      <c r="L2386" s="128"/>
      <c r="M2386" s="129"/>
      <c r="N2386" s="68"/>
      <c r="O2386" s="69"/>
      <c r="P2386" s="69"/>
      <c r="Q2386" s="69"/>
      <c r="R2386" s="69"/>
    </row>
    <row r="2387" spans="1:18">
      <c r="A2387" s="14"/>
      <c r="B2387" s="121"/>
      <c r="C2387" s="122"/>
      <c r="D2387" s="123"/>
      <c r="E2387" s="123"/>
      <c r="F2387" s="124"/>
      <c r="G2387" s="121"/>
      <c r="H2387" s="125"/>
      <c r="I2387" s="126"/>
      <c r="J2387" s="121"/>
      <c r="K2387" s="127"/>
      <c r="L2387" s="128"/>
      <c r="M2387" s="129"/>
      <c r="N2387" s="68"/>
      <c r="O2387" s="69"/>
      <c r="P2387" s="69"/>
      <c r="Q2387" s="69"/>
      <c r="R2387" s="69"/>
    </row>
    <row r="2388" spans="1:18">
      <c r="A2388" s="14"/>
      <c r="B2388" s="121"/>
      <c r="C2388" s="122"/>
      <c r="D2388" s="123"/>
      <c r="E2388" s="123"/>
      <c r="F2388" s="124"/>
      <c r="G2388" s="121"/>
      <c r="H2388" s="125"/>
      <c r="I2388" s="126"/>
      <c r="J2388" s="121"/>
      <c r="K2388" s="127"/>
      <c r="L2388" s="128"/>
      <c r="M2388" s="129"/>
      <c r="N2388" s="68"/>
      <c r="O2388" s="69"/>
      <c r="P2388" s="69"/>
      <c r="Q2388" s="69"/>
      <c r="R2388" s="69"/>
    </row>
    <row r="2389" spans="1:18">
      <c r="A2389" s="14"/>
      <c r="B2389" s="121"/>
      <c r="C2389" s="122"/>
      <c r="D2389" s="123"/>
      <c r="E2389" s="123"/>
      <c r="F2389" s="124"/>
      <c r="G2389" s="121"/>
      <c r="H2389" s="125"/>
      <c r="I2389" s="126"/>
      <c r="J2389" s="121"/>
      <c r="K2389" s="127"/>
      <c r="L2389" s="128"/>
      <c r="M2389" s="129"/>
      <c r="N2389" s="68"/>
      <c r="O2389" s="69"/>
      <c r="P2389" s="69"/>
      <c r="Q2389" s="69"/>
      <c r="R2389" s="69"/>
    </row>
    <row r="2390" spans="1:18">
      <c r="A2390" s="14"/>
      <c r="B2390" s="121"/>
      <c r="C2390" s="122"/>
      <c r="D2390" s="123"/>
      <c r="E2390" s="123"/>
      <c r="F2390" s="124"/>
      <c r="G2390" s="121"/>
      <c r="H2390" s="125"/>
      <c r="I2390" s="126"/>
      <c r="J2390" s="121"/>
      <c r="K2390" s="127"/>
      <c r="L2390" s="128"/>
      <c r="M2390" s="129"/>
      <c r="N2390" s="68"/>
      <c r="O2390" s="69"/>
      <c r="P2390" s="69"/>
      <c r="Q2390" s="69"/>
      <c r="R2390" s="69"/>
    </row>
    <row r="2391" spans="1:18">
      <c r="A2391" s="14"/>
      <c r="B2391" s="121"/>
      <c r="C2391" s="122"/>
      <c r="D2391" s="123"/>
      <c r="E2391" s="123"/>
      <c r="F2391" s="124"/>
      <c r="G2391" s="121"/>
      <c r="H2391" s="125"/>
      <c r="I2391" s="126"/>
      <c r="J2391" s="121"/>
      <c r="K2391" s="127"/>
      <c r="L2391" s="128"/>
      <c r="M2391" s="129"/>
      <c r="N2391" s="68"/>
      <c r="O2391" s="69"/>
      <c r="P2391" s="69"/>
      <c r="Q2391" s="69"/>
      <c r="R2391" s="69"/>
    </row>
    <row r="2392" spans="1:18">
      <c r="A2392" s="14"/>
      <c r="B2392" s="121"/>
      <c r="C2392" s="122"/>
      <c r="D2392" s="123"/>
      <c r="E2392" s="123"/>
      <c r="F2392" s="124"/>
      <c r="G2392" s="121"/>
      <c r="H2392" s="125"/>
      <c r="I2392" s="126"/>
      <c r="J2392" s="121"/>
      <c r="K2392" s="127"/>
      <c r="L2392" s="128"/>
      <c r="M2392" s="129"/>
      <c r="N2392" s="68"/>
      <c r="O2392" s="69"/>
      <c r="P2392" s="69"/>
      <c r="Q2392" s="69"/>
      <c r="R2392" s="69"/>
    </row>
    <row r="2393" spans="1:18">
      <c r="A2393" s="14"/>
      <c r="B2393" s="121"/>
      <c r="C2393" s="122"/>
      <c r="D2393" s="123"/>
      <c r="E2393" s="123"/>
      <c r="F2393" s="124"/>
      <c r="G2393" s="121"/>
      <c r="H2393" s="125"/>
      <c r="I2393" s="126"/>
      <c r="J2393" s="121"/>
      <c r="K2393" s="127"/>
      <c r="L2393" s="128"/>
      <c r="M2393" s="129"/>
      <c r="N2393" s="68"/>
      <c r="O2393" s="69"/>
      <c r="P2393" s="69"/>
      <c r="Q2393" s="69"/>
      <c r="R2393" s="69"/>
    </row>
    <row r="2394" spans="1:18">
      <c r="A2394" s="14"/>
      <c r="B2394" s="121"/>
      <c r="C2394" s="122"/>
      <c r="D2394" s="123"/>
      <c r="E2394" s="123"/>
      <c r="F2394" s="124"/>
      <c r="G2394" s="121"/>
      <c r="H2394" s="125"/>
      <c r="I2394" s="126"/>
      <c r="J2394" s="121"/>
      <c r="K2394" s="127"/>
      <c r="L2394" s="128"/>
      <c r="M2394" s="129"/>
      <c r="N2394" s="68"/>
      <c r="O2394" s="69"/>
      <c r="P2394" s="69"/>
      <c r="Q2394" s="69"/>
      <c r="R2394" s="69"/>
    </row>
    <row r="2395" spans="1:18">
      <c r="A2395" s="14"/>
      <c r="B2395" s="121"/>
      <c r="C2395" s="122"/>
      <c r="D2395" s="123"/>
      <c r="E2395" s="123"/>
      <c r="F2395" s="124"/>
      <c r="G2395" s="121"/>
      <c r="H2395" s="125"/>
      <c r="I2395" s="126"/>
      <c r="J2395" s="121"/>
      <c r="K2395" s="127"/>
      <c r="L2395" s="128"/>
      <c r="M2395" s="129"/>
      <c r="N2395" s="68"/>
      <c r="O2395" s="69"/>
      <c r="P2395" s="69"/>
      <c r="Q2395" s="69"/>
      <c r="R2395" s="69"/>
    </row>
    <row r="2396" spans="1:18">
      <c r="A2396" s="14"/>
      <c r="B2396" s="121"/>
      <c r="C2396" s="122"/>
      <c r="D2396" s="123"/>
      <c r="E2396" s="123"/>
      <c r="F2396" s="124"/>
      <c r="G2396" s="121"/>
      <c r="H2396" s="125"/>
      <c r="I2396" s="126"/>
      <c r="J2396" s="121"/>
      <c r="K2396" s="127"/>
      <c r="L2396" s="128"/>
      <c r="M2396" s="129"/>
      <c r="N2396" s="68"/>
      <c r="O2396" s="69"/>
      <c r="P2396" s="69"/>
      <c r="Q2396" s="69"/>
      <c r="R2396" s="69"/>
    </row>
    <row r="2397" spans="1:18">
      <c r="A2397" s="14"/>
      <c r="B2397" s="121"/>
      <c r="C2397" s="122"/>
      <c r="D2397" s="123"/>
      <c r="E2397" s="123"/>
      <c r="F2397" s="124"/>
      <c r="G2397" s="121"/>
      <c r="H2397" s="125"/>
      <c r="I2397" s="126"/>
      <c r="J2397" s="121"/>
      <c r="K2397" s="127"/>
      <c r="L2397" s="128"/>
      <c r="M2397" s="129"/>
      <c r="N2397" s="68"/>
      <c r="O2397" s="69"/>
      <c r="P2397" s="69"/>
      <c r="Q2397" s="69"/>
      <c r="R2397" s="69"/>
    </row>
    <row r="2398" spans="1:18">
      <c r="A2398" s="14"/>
      <c r="B2398" s="121"/>
      <c r="C2398" s="122"/>
      <c r="D2398" s="123"/>
      <c r="E2398" s="123"/>
      <c r="F2398" s="124"/>
      <c r="G2398" s="121"/>
      <c r="H2398" s="125"/>
      <c r="I2398" s="126"/>
      <c r="J2398" s="121"/>
      <c r="K2398" s="127"/>
      <c r="L2398" s="128"/>
      <c r="M2398" s="129"/>
      <c r="N2398" s="68"/>
      <c r="O2398" s="69"/>
      <c r="P2398" s="69"/>
      <c r="Q2398" s="69"/>
      <c r="R2398" s="69"/>
    </row>
    <row r="2399" spans="1:18">
      <c r="A2399" s="14"/>
      <c r="B2399" s="121"/>
      <c r="C2399" s="122"/>
      <c r="D2399" s="123"/>
      <c r="E2399" s="123"/>
      <c r="F2399" s="124"/>
      <c r="G2399" s="121"/>
      <c r="H2399" s="125"/>
      <c r="I2399" s="126"/>
      <c r="J2399" s="121"/>
      <c r="K2399" s="127"/>
      <c r="L2399" s="128"/>
      <c r="M2399" s="129"/>
      <c r="N2399" s="68"/>
      <c r="O2399" s="69"/>
      <c r="P2399" s="69"/>
      <c r="Q2399" s="69"/>
      <c r="R2399" s="69"/>
    </row>
    <row r="2400" spans="1:18">
      <c r="A2400" s="14"/>
      <c r="B2400" s="121"/>
      <c r="C2400" s="122"/>
      <c r="D2400" s="123"/>
      <c r="E2400" s="123"/>
      <c r="F2400" s="124"/>
      <c r="G2400" s="121"/>
      <c r="H2400" s="125"/>
      <c r="I2400" s="126"/>
      <c r="J2400" s="121"/>
      <c r="K2400" s="127"/>
      <c r="L2400" s="128"/>
      <c r="M2400" s="129"/>
      <c r="N2400" s="68"/>
      <c r="O2400" s="69"/>
      <c r="P2400" s="69"/>
      <c r="Q2400" s="69"/>
      <c r="R2400" s="69"/>
    </row>
    <row r="2401" spans="1:18">
      <c r="A2401" s="14"/>
      <c r="B2401" s="121"/>
      <c r="C2401" s="122"/>
      <c r="D2401" s="123"/>
      <c r="E2401" s="123"/>
      <c r="F2401" s="124"/>
      <c r="G2401" s="121"/>
      <c r="H2401" s="125"/>
      <c r="I2401" s="126"/>
      <c r="J2401" s="121"/>
      <c r="K2401" s="127"/>
      <c r="L2401" s="128"/>
      <c r="M2401" s="129"/>
      <c r="N2401" s="68"/>
      <c r="O2401" s="69"/>
      <c r="P2401" s="69"/>
      <c r="Q2401" s="69"/>
      <c r="R2401" s="69"/>
    </row>
    <row r="2402" spans="1:18">
      <c r="A2402" s="14"/>
      <c r="B2402" s="121"/>
      <c r="C2402" s="122"/>
      <c r="D2402" s="123"/>
      <c r="E2402" s="123"/>
      <c r="F2402" s="124"/>
      <c r="G2402" s="121"/>
      <c r="H2402" s="125"/>
      <c r="I2402" s="126"/>
      <c r="J2402" s="121"/>
      <c r="K2402" s="127"/>
      <c r="L2402" s="128"/>
      <c r="M2402" s="129"/>
      <c r="N2402" s="68"/>
      <c r="O2402" s="69"/>
      <c r="P2402" s="69"/>
      <c r="Q2402" s="69"/>
      <c r="R2402" s="69"/>
    </row>
    <row r="2403" spans="1:18">
      <c r="A2403" s="14"/>
      <c r="B2403" s="121"/>
      <c r="C2403" s="122"/>
      <c r="D2403" s="123"/>
      <c r="E2403" s="123"/>
      <c r="F2403" s="124"/>
      <c r="G2403" s="121"/>
      <c r="H2403" s="125"/>
      <c r="I2403" s="126"/>
      <c r="J2403" s="121"/>
      <c r="K2403" s="127"/>
      <c r="L2403" s="128"/>
      <c r="M2403" s="129"/>
      <c r="N2403" s="68"/>
      <c r="O2403" s="69"/>
      <c r="P2403" s="69"/>
      <c r="Q2403" s="69"/>
      <c r="R2403" s="69"/>
    </row>
    <row r="2404" spans="1:18">
      <c r="A2404" s="14"/>
      <c r="B2404" s="121"/>
      <c r="C2404" s="122"/>
      <c r="D2404" s="123"/>
      <c r="E2404" s="123"/>
      <c r="F2404" s="124"/>
      <c r="G2404" s="121"/>
      <c r="H2404" s="125"/>
      <c r="I2404" s="126"/>
      <c r="J2404" s="121"/>
      <c r="K2404" s="127"/>
      <c r="L2404" s="128"/>
      <c r="M2404" s="129"/>
      <c r="N2404" s="68"/>
      <c r="O2404" s="69"/>
      <c r="P2404" s="69"/>
      <c r="Q2404" s="69"/>
      <c r="R2404" s="69"/>
    </row>
    <row r="2405" spans="1:18">
      <c r="A2405" s="14"/>
      <c r="B2405" s="121"/>
      <c r="C2405" s="122"/>
      <c r="D2405" s="123"/>
      <c r="E2405" s="123"/>
      <c r="F2405" s="124"/>
      <c r="G2405" s="121"/>
      <c r="H2405" s="125"/>
      <c r="I2405" s="126"/>
      <c r="J2405" s="121"/>
      <c r="K2405" s="127"/>
      <c r="L2405" s="128"/>
      <c r="M2405" s="129"/>
      <c r="N2405" s="68"/>
      <c r="O2405" s="69"/>
      <c r="P2405" s="69"/>
      <c r="Q2405" s="69"/>
      <c r="R2405" s="69"/>
    </row>
    <row r="2406" spans="1:18">
      <c r="A2406" s="14"/>
      <c r="B2406" s="121"/>
      <c r="C2406" s="122"/>
      <c r="D2406" s="123"/>
      <c r="E2406" s="123"/>
      <c r="F2406" s="124"/>
      <c r="G2406" s="121"/>
      <c r="H2406" s="125"/>
      <c r="I2406" s="126"/>
      <c r="J2406" s="121"/>
      <c r="K2406" s="127"/>
      <c r="L2406" s="128"/>
      <c r="M2406" s="129"/>
      <c r="N2406" s="68"/>
      <c r="O2406" s="69"/>
      <c r="P2406" s="69"/>
      <c r="Q2406" s="69"/>
      <c r="R2406" s="69"/>
    </row>
    <row r="2407" spans="1:18">
      <c r="A2407" s="14"/>
      <c r="B2407" s="121"/>
      <c r="C2407" s="122"/>
      <c r="D2407" s="123"/>
      <c r="E2407" s="123"/>
      <c r="F2407" s="124"/>
      <c r="G2407" s="121"/>
      <c r="H2407" s="125"/>
      <c r="I2407" s="126"/>
      <c r="J2407" s="121"/>
      <c r="K2407" s="127"/>
      <c r="L2407" s="128"/>
      <c r="M2407" s="129"/>
      <c r="N2407" s="68"/>
      <c r="O2407" s="69"/>
      <c r="P2407" s="69"/>
      <c r="Q2407" s="69"/>
      <c r="R2407" s="69"/>
    </row>
    <row r="2408" spans="1:18">
      <c r="A2408" s="14"/>
      <c r="B2408" s="121"/>
      <c r="C2408" s="122"/>
      <c r="D2408" s="123"/>
      <c r="E2408" s="123"/>
      <c r="F2408" s="124"/>
      <c r="G2408" s="121"/>
      <c r="H2408" s="125"/>
      <c r="I2408" s="126"/>
      <c r="J2408" s="121"/>
      <c r="K2408" s="127"/>
      <c r="L2408" s="128"/>
      <c r="M2408" s="129"/>
      <c r="N2408" s="68"/>
      <c r="O2408" s="69"/>
      <c r="P2408" s="69"/>
      <c r="Q2408" s="69"/>
      <c r="R2408" s="69"/>
    </row>
    <row r="2409" spans="1:18">
      <c r="A2409" s="14"/>
      <c r="B2409" s="121"/>
      <c r="C2409" s="122"/>
      <c r="D2409" s="123"/>
      <c r="E2409" s="123"/>
      <c r="F2409" s="124"/>
      <c r="G2409" s="121"/>
      <c r="H2409" s="125"/>
      <c r="I2409" s="126"/>
      <c r="J2409" s="121"/>
      <c r="K2409" s="127"/>
      <c r="L2409" s="128"/>
      <c r="M2409" s="129"/>
      <c r="N2409" s="68"/>
      <c r="O2409" s="69"/>
      <c r="P2409" s="69"/>
      <c r="Q2409" s="69"/>
      <c r="R2409" s="69"/>
    </row>
    <row r="2410" spans="1:18">
      <c r="A2410" s="14"/>
      <c r="B2410" s="121"/>
      <c r="C2410" s="122"/>
      <c r="D2410" s="123"/>
      <c r="E2410" s="123"/>
      <c r="F2410" s="124"/>
      <c r="G2410" s="121"/>
      <c r="H2410" s="125"/>
      <c r="I2410" s="126"/>
      <c r="J2410" s="121"/>
      <c r="K2410" s="127"/>
      <c r="L2410" s="128"/>
      <c r="M2410" s="129"/>
      <c r="N2410" s="68"/>
      <c r="O2410" s="69"/>
      <c r="P2410" s="69"/>
      <c r="Q2410" s="69"/>
      <c r="R2410" s="69"/>
    </row>
    <row r="2411" spans="1:18">
      <c r="A2411" s="14"/>
      <c r="B2411" s="121"/>
      <c r="C2411" s="122"/>
      <c r="D2411" s="123"/>
      <c r="E2411" s="123"/>
      <c r="F2411" s="124"/>
      <c r="G2411" s="121"/>
      <c r="H2411" s="125"/>
      <c r="I2411" s="126"/>
      <c r="J2411" s="121"/>
      <c r="K2411" s="127"/>
      <c r="L2411" s="128"/>
      <c r="M2411" s="129"/>
      <c r="N2411" s="68"/>
      <c r="O2411" s="69"/>
      <c r="P2411" s="69"/>
      <c r="Q2411" s="69"/>
      <c r="R2411" s="69"/>
    </row>
    <row r="2412" spans="1:18">
      <c r="A2412" s="14"/>
      <c r="B2412" s="121"/>
      <c r="C2412" s="122"/>
      <c r="D2412" s="123"/>
      <c r="E2412" s="123"/>
      <c r="F2412" s="124"/>
      <c r="G2412" s="121"/>
      <c r="H2412" s="125"/>
      <c r="I2412" s="126"/>
      <c r="J2412" s="121"/>
      <c r="K2412" s="127"/>
      <c r="L2412" s="128"/>
      <c r="M2412" s="129"/>
      <c r="N2412" s="68"/>
      <c r="O2412" s="69"/>
      <c r="P2412" s="69"/>
      <c r="Q2412" s="69"/>
      <c r="R2412" s="69"/>
    </row>
    <row r="2413" spans="1:18">
      <c r="A2413" s="14"/>
      <c r="B2413" s="121"/>
      <c r="C2413" s="122"/>
      <c r="D2413" s="123"/>
      <c r="E2413" s="123"/>
      <c r="F2413" s="124"/>
      <c r="G2413" s="121"/>
      <c r="H2413" s="125"/>
      <c r="I2413" s="126"/>
      <c r="J2413" s="121"/>
      <c r="K2413" s="127"/>
      <c r="L2413" s="128"/>
      <c r="M2413" s="129"/>
      <c r="N2413" s="68"/>
      <c r="O2413" s="69"/>
      <c r="P2413" s="69"/>
      <c r="Q2413" s="69"/>
      <c r="R2413" s="69"/>
    </row>
    <row r="2414" spans="1:18">
      <c r="A2414" s="14"/>
      <c r="B2414" s="121"/>
      <c r="C2414" s="122"/>
      <c r="D2414" s="123"/>
      <c r="E2414" s="123"/>
      <c r="F2414" s="124"/>
      <c r="G2414" s="121"/>
      <c r="H2414" s="125"/>
      <c r="I2414" s="126"/>
      <c r="J2414" s="121"/>
      <c r="K2414" s="127"/>
      <c r="L2414" s="128"/>
      <c r="M2414" s="129"/>
      <c r="N2414" s="68"/>
      <c r="O2414" s="69"/>
      <c r="P2414" s="69"/>
      <c r="Q2414" s="69"/>
      <c r="R2414" s="69"/>
    </row>
    <row r="2415" spans="1:18">
      <c r="A2415" s="14"/>
      <c r="B2415" s="121"/>
      <c r="C2415" s="122"/>
      <c r="D2415" s="123"/>
      <c r="E2415" s="123"/>
      <c r="F2415" s="124"/>
      <c r="G2415" s="121"/>
      <c r="H2415" s="125"/>
      <c r="I2415" s="126"/>
      <c r="J2415" s="121"/>
      <c r="K2415" s="127"/>
      <c r="L2415" s="128"/>
      <c r="M2415" s="129"/>
      <c r="N2415" s="68"/>
      <c r="O2415" s="69"/>
      <c r="P2415" s="69"/>
      <c r="Q2415" s="69"/>
      <c r="R2415" s="69"/>
    </row>
    <row r="2416" spans="1:18">
      <c r="A2416" s="14"/>
      <c r="B2416" s="121"/>
      <c r="C2416" s="122"/>
      <c r="D2416" s="123"/>
      <c r="E2416" s="123"/>
      <c r="F2416" s="124"/>
      <c r="G2416" s="121"/>
      <c r="H2416" s="125"/>
      <c r="I2416" s="126"/>
      <c r="J2416" s="121"/>
      <c r="K2416" s="127"/>
      <c r="L2416" s="128"/>
      <c r="M2416" s="129"/>
      <c r="N2416" s="68"/>
      <c r="O2416" s="69"/>
      <c r="P2416" s="69"/>
      <c r="Q2416" s="69"/>
      <c r="R2416" s="69"/>
    </row>
    <row r="2417" spans="1:18">
      <c r="A2417" s="14"/>
      <c r="B2417" s="121"/>
      <c r="C2417" s="122"/>
      <c r="D2417" s="123"/>
      <c r="E2417" s="123"/>
      <c r="F2417" s="124"/>
      <c r="G2417" s="121"/>
      <c r="H2417" s="125"/>
      <c r="I2417" s="126"/>
      <c r="J2417" s="121"/>
      <c r="K2417" s="127"/>
      <c r="L2417" s="128"/>
      <c r="M2417" s="129"/>
      <c r="N2417" s="68"/>
      <c r="O2417" s="69"/>
      <c r="P2417" s="69"/>
      <c r="Q2417" s="69"/>
      <c r="R2417" s="69"/>
    </row>
    <row r="2418" spans="1:18">
      <c r="A2418" s="14"/>
      <c r="B2418" s="121"/>
      <c r="C2418" s="122"/>
      <c r="D2418" s="123"/>
      <c r="E2418" s="123"/>
      <c r="F2418" s="124"/>
      <c r="G2418" s="121"/>
      <c r="H2418" s="125"/>
      <c r="I2418" s="126"/>
      <c r="J2418" s="121"/>
      <c r="K2418" s="127"/>
      <c r="L2418" s="128"/>
      <c r="M2418" s="129"/>
      <c r="N2418" s="68"/>
      <c r="O2418" s="69"/>
      <c r="P2418" s="69"/>
      <c r="Q2418" s="69"/>
      <c r="R2418" s="69"/>
    </row>
    <row r="2419" spans="1:18">
      <c r="A2419" s="14"/>
      <c r="B2419" s="121"/>
      <c r="C2419" s="122"/>
      <c r="D2419" s="123"/>
      <c r="E2419" s="123"/>
      <c r="F2419" s="124"/>
      <c r="G2419" s="121"/>
      <c r="H2419" s="125"/>
      <c r="I2419" s="126"/>
      <c r="J2419" s="121"/>
      <c r="K2419" s="127"/>
      <c r="L2419" s="128"/>
      <c r="M2419" s="129"/>
      <c r="N2419" s="68"/>
      <c r="O2419" s="69"/>
      <c r="P2419" s="69"/>
      <c r="Q2419" s="69"/>
      <c r="R2419" s="69"/>
    </row>
    <row r="2420" spans="1:18">
      <c r="A2420" s="14"/>
      <c r="B2420" s="121"/>
      <c r="C2420" s="122"/>
      <c r="D2420" s="123"/>
      <c r="E2420" s="123"/>
      <c r="F2420" s="124"/>
      <c r="G2420" s="121"/>
      <c r="H2420" s="125"/>
      <c r="I2420" s="126"/>
      <c r="J2420" s="121"/>
      <c r="K2420" s="127"/>
      <c r="L2420" s="128"/>
      <c r="M2420" s="129"/>
      <c r="N2420" s="68"/>
      <c r="O2420" s="69"/>
      <c r="P2420" s="69"/>
      <c r="Q2420" s="69"/>
      <c r="R2420" s="69"/>
    </row>
    <row r="2421" spans="1:18">
      <c r="A2421" s="14"/>
      <c r="B2421" s="121"/>
      <c r="C2421" s="122"/>
      <c r="D2421" s="123"/>
      <c r="E2421" s="123"/>
      <c r="F2421" s="124"/>
      <c r="G2421" s="121"/>
      <c r="H2421" s="125"/>
      <c r="I2421" s="126"/>
      <c r="J2421" s="121"/>
      <c r="K2421" s="127"/>
      <c r="L2421" s="128"/>
      <c r="M2421" s="129"/>
      <c r="N2421" s="68"/>
      <c r="O2421" s="69"/>
      <c r="P2421" s="69"/>
      <c r="Q2421" s="69"/>
      <c r="R2421" s="69"/>
    </row>
    <row r="2422" spans="1:18">
      <c r="A2422" s="14"/>
      <c r="B2422" s="121"/>
      <c r="C2422" s="122"/>
      <c r="D2422" s="123"/>
      <c r="E2422" s="123"/>
      <c r="F2422" s="124"/>
      <c r="G2422" s="121"/>
      <c r="H2422" s="125"/>
      <c r="I2422" s="126"/>
      <c r="J2422" s="121"/>
      <c r="K2422" s="127"/>
      <c r="L2422" s="128"/>
      <c r="M2422" s="129"/>
      <c r="N2422" s="68"/>
      <c r="O2422" s="69"/>
      <c r="P2422" s="69"/>
      <c r="Q2422" s="69"/>
      <c r="R2422" s="69"/>
    </row>
    <row r="2423" spans="1:18">
      <c r="A2423" s="14"/>
      <c r="B2423" s="121"/>
      <c r="C2423" s="122"/>
      <c r="D2423" s="123"/>
      <c r="E2423" s="123"/>
      <c r="F2423" s="124"/>
      <c r="G2423" s="121"/>
      <c r="H2423" s="125"/>
      <c r="I2423" s="126"/>
      <c r="J2423" s="121"/>
      <c r="K2423" s="127"/>
      <c r="L2423" s="128"/>
      <c r="M2423" s="129"/>
      <c r="N2423" s="68"/>
      <c r="O2423" s="69"/>
      <c r="P2423" s="69"/>
      <c r="Q2423" s="69"/>
      <c r="R2423" s="69"/>
    </row>
    <row r="2424" spans="1:18">
      <c r="A2424" s="14"/>
      <c r="B2424" s="121"/>
      <c r="C2424" s="122"/>
      <c r="D2424" s="123"/>
      <c r="E2424" s="123"/>
      <c r="F2424" s="124"/>
      <c r="G2424" s="121"/>
      <c r="H2424" s="125"/>
      <c r="I2424" s="126"/>
      <c r="J2424" s="121"/>
      <c r="K2424" s="127"/>
      <c r="L2424" s="128"/>
      <c r="M2424" s="129"/>
      <c r="N2424" s="68"/>
      <c r="O2424" s="69"/>
      <c r="P2424" s="69"/>
      <c r="Q2424" s="69"/>
      <c r="R2424" s="69"/>
    </row>
    <row r="2425" spans="1:18">
      <c r="A2425" s="14"/>
      <c r="B2425" s="121"/>
      <c r="C2425" s="122"/>
      <c r="D2425" s="123"/>
      <c r="E2425" s="123"/>
      <c r="F2425" s="124"/>
      <c r="G2425" s="121"/>
      <c r="H2425" s="125"/>
      <c r="I2425" s="126"/>
      <c r="J2425" s="121"/>
      <c r="K2425" s="127"/>
      <c r="L2425" s="128"/>
      <c r="M2425" s="129"/>
      <c r="N2425" s="68"/>
      <c r="O2425" s="69"/>
      <c r="P2425" s="69"/>
      <c r="Q2425" s="69"/>
      <c r="R2425" s="69"/>
    </row>
    <row r="2426" spans="1:18">
      <c r="A2426" s="14"/>
      <c r="B2426" s="121"/>
      <c r="C2426" s="122"/>
      <c r="D2426" s="123"/>
      <c r="E2426" s="123"/>
      <c r="F2426" s="124"/>
      <c r="G2426" s="121"/>
      <c r="H2426" s="125"/>
      <c r="I2426" s="126"/>
      <c r="J2426" s="121"/>
      <c r="K2426" s="127"/>
      <c r="L2426" s="128"/>
      <c r="M2426" s="129"/>
      <c r="N2426" s="68"/>
      <c r="O2426" s="69"/>
      <c r="P2426" s="69"/>
      <c r="Q2426" s="69"/>
      <c r="R2426" s="69"/>
    </row>
    <row r="2427" spans="1:18">
      <c r="A2427" s="14"/>
      <c r="B2427" s="121"/>
      <c r="C2427" s="122"/>
      <c r="D2427" s="123"/>
      <c r="E2427" s="123"/>
      <c r="F2427" s="124"/>
      <c r="G2427" s="121"/>
      <c r="H2427" s="125"/>
      <c r="I2427" s="126"/>
      <c r="J2427" s="121"/>
      <c r="K2427" s="127"/>
      <c r="L2427" s="128"/>
      <c r="M2427" s="129"/>
      <c r="N2427" s="68"/>
      <c r="O2427" s="69"/>
      <c r="P2427" s="69"/>
      <c r="Q2427" s="69"/>
      <c r="R2427" s="69"/>
    </row>
    <row r="2428" spans="1:18">
      <c r="A2428" s="14"/>
      <c r="B2428" s="121"/>
      <c r="C2428" s="122"/>
      <c r="D2428" s="123"/>
      <c r="E2428" s="123"/>
      <c r="F2428" s="124"/>
      <c r="G2428" s="121"/>
      <c r="H2428" s="125"/>
      <c r="I2428" s="126"/>
      <c r="J2428" s="121"/>
      <c r="K2428" s="127"/>
      <c r="L2428" s="128"/>
      <c r="M2428" s="129"/>
      <c r="N2428" s="68"/>
      <c r="O2428" s="69"/>
      <c r="P2428" s="69"/>
      <c r="Q2428" s="69"/>
      <c r="R2428" s="69"/>
    </row>
    <row r="2429" spans="1:18">
      <c r="A2429" s="14"/>
      <c r="B2429" s="121"/>
      <c r="C2429" s="122"/>
      <c r="D2429" s="123"/>
      <c r="E2429" s="123"/>
      <c r="F2429" s="124"/>
      <c r="G2429" s="121"/>
      <c r="H2429" s="125"/>
      <c r="I2429" s="126"/>
      <c r="J2429" s="121"/>
      <c r="K2429" s="127"/>
      <c r="L2429" s="128"/>
      <c r="M2429" s="129"/>
      <c r="N2429" s="68"/>
      <c r="O2429" s="69"/>
      <c r="P2429" s="69"/>
      <c r="Q2429" s="69"/>
      <c r="R2429" s="69"/>
    </row>
    <row r="2430" spans="1:18">
      <c r="A2430" s="14"/>
      <c r="B2430" s="121"/>
      <c r="C2430" s="122"/>
      <c r="D2430" s="123"/>
      <c r="E2430" s="123"/>
      <c r="F2430" s="124"/>
      <c r="G2430" s="121"/>
      <c r="H2430" s="125"/>
      <c r="I2430" s="126"/>
      <c r="J2430" s="121"/>
      <c r="K2430" s="127"/>
      <c r="L2430" s="128"/>
      <c r="M2430" s="129"/>
      <c r="N2430" s="68"/>
      <c r="O2430" s="69"/>
      <c r="P2430" s="69"/>
      <c r="Q2430" s="69"/>
      <c r="R2430" s="69"/>
    </row>
    <row r="2431" spans="1:18">
      <c r="A2431" s="14"/>
      <c r="B2431" s="121"/>
      <c r="C2431" s="122"/>
      <c r="D2431" s="123"/>
      <c r="E2431" s="123"/>
      <c r="F2431" s="124"/>
      <c r="G2431" s="121"/>
      <c r="H2431" s="125"/>
      <c r="I2431" s="126"/>
      <c r="J2431" s="121"/>
      <c r="K2431" s="127"/>
      <c r="L2431" s="128"/>
      <c r="M2431" s="129"/>
      <c r="N2431" s="68"/>
      <c r="O2431" s="69"/>
      <c r="P2431" s="69"/>
      <c r="Q2431" s="69"/>
      <c r="R2431" s="69"/>
    </row>
    <row r="2432" spans="1:18">
      <c r="A2432" s="14"/>
      <c r="B2432" s="121"/>
      <c r="C2432" s="122"/>
      <c r="D2432" s="123"/>
      <c r="E2432" s="123"/>
      <c r="F2432" s="124"/>
      <c r="G2432" s="121"/>
      <c r="H2432" s="125"/>
      <c r="I2432" s="126"/>
      <c r="J2432" s="121"/>
      <c r="K2432" s="127"/>
      <c r="L2432" s="128"/>
      <c r="M2432" s="129"/>
      <c r="N2432" s="68"/>
      <c r="O2432" s="69"/>
      <c r="P2432" s="69"/>
      <c r="Q2432" s="69"/>
      <c r="R2432" s="69"/>
    </row>
    <row r="2433" spans="1:18">
      <c r="A2433" s="14"/>
      <c r="B2433" s="121"/>
      <c r="C2433" s="122"/>
      <c r="D2433" s="123"/>
      <c r="E2433" s="123"/>
      <c r="F2433" s="124"/>
      <c r="G2433" s="121"/>
      <c r="H2433" s="125"/>
      <c r="I2433" s="126"/>
      <c r="J2433" s="121"/>
      <c r="K2433" s="127"/>
      <c r="L2433" s="128"/>
      <c r="M2433" s="129"/>
      <c r="N2433" s="68"/>
      <c r="O2433" s="69"/>
      <c r="P2433" s="69"/>
      <c r="Q2433" s="69"/>
      <c r="R2433" s="69"/>
    </row>
    <row r="2434" spans="1:18">
      <c r="A2434" s="14"/>
      <c r="B2434" s="121"/>
      <c r="C2434" s="122"/>
      <c r="D2434" s="123"/>
      <c r="E2434" s="123"/>
      <c r="F2434" s="124"/>
      <c r="G2434" s="121"/>
      <c r="H2434" s="125"/>
      <c r="I2434" s="126"/>
      <c r="J2434" s="121"/>
      <c r="K2434" s="127"/>
      <c r="L2434" s="128"/>
      <c r="M2434" s="129"/>
      <c r="N2434" s="68"/>
      <c r="O2434" s="69"/>
      <c r="P2434" s="69"/>
      <c r="Q2434" s="69"/>
      <c r="R2434" s="69"/>
    </row>
    <row r="2435" spans="1:18">
      <c r="A2435" s="14"/>
      <c r="B2435" s="121"/>
      <c r="C2435" s="122"/>
      <c r="D2435" s="123"/>
      <c r="E2435" s="123"/>
      <c r="F2435" s="124"/>
      <c r="G2435" s="121"/>
      <c r="H2435" s="125"/>
      <c r="I2435" s="126"/>
      <c r="J2435" s="121"/>
      <c r="K2435" s="127"/>
      <c r="L2435" s="128"/>
      <c r="M2435" s="129"/>
      <c r="N2435" s="68"/>
      <c r="O2435" s="69"/>
      <c r="P2435" s="69"/>
      <c r="Q2435" s="69"/>
      <c r="R2435" s="69"/>
    </row>
    <row r="2436" spans="1:18">
      <c r="A2436" s="14"/>
      <c r="B2436" s="121"/>
      <c r="C2436" s="122"/>
      <c r="D2436" s="123"/>
      <c r="E2436" s="123"/>
      <c r="F2436" s="124"/>
      <c r="G2436" s="121"/>
      <c r="H2436" s="125"/>
      <c r="I2436" s="126"/>
      <c r="J2436" s="121"/>
      <c r="K2436" s="127"/>
      <c r="L2436" s="128"/>
      <c r="M2436" s="129"/>
      <c r="N2436" s="68"/>
      <c r="O2436" s="69"/>
      <c r="P2436" s="69"/>
      <c r="Q2436" s="69"/>
      <c r="R2436" s="69"/>
    </row>
    <row r="2437" spans="1:18">
      <c r="A2437" s="14"/>
      <c r="B2437" s="121"/>
      <c r="C2437" s="122"/>
      <c r="D2437" s="123"/>
      <c r="E2437" s="123"/>
      <c r="F2437" s="124"/>
      <c r="G2437" s="121"/>
      <c r="H2437" s="125"/>
      <c r="I2437" s="126"/>
      <c r="J2437" s="121"/>
      <c r="K2437" s="127"/>
      <c r="L2437" s="128"/>
      <c r="M2437" s="129"/>
      <c r="N2437" s="68"/>
      <c r="O2437" s="69"/>
      <c r="P2437" s="69"/>
      <c r="Q2437" s="69"/>
      <c r="R2437" s="69"/>
    </row>
    <row r="2438" spans="1:18">
      <c r="A2438" s="14"/>
      <c r="B2438" s="121"/>
      <c r="C2438" s="122"/>
      <c r="D2438" s="123"/>
      <c r="E2438" s="123"/>
      <c r="F2438" s="124"/>
      <c r="G2438" s="121"/>
      <c r="H2438" s="125"/>
      <c r="I2438" s="126"/>
      <c r="J2438" s="121"/>
      <c r="K2438" s="127"/>
      <c r="L2438" s="128"/>
      <c r="M2438" s="129"/>
      <c r="N2438" s="68"/>
      <c r="O2438" s="69"/>
      <c r="P2438" s="69"/>
      <c r="Q2438" s="69"/>
      <c r="R2438" s="69"/>
    </row>
    <row r="2439" spans="1:18">
      <c r="A2439" s="14"/>
      <c r="B2439" s="121"/>
      <c r="C2439" s="122"/>
      <c r="D2439" s="123"/>
      <c r="E2439" s="123"/>
      <c r="F2439" s="124"/>
      <c r="G2439" s="121"/>
      <c r="H2439" s="125"/>
      <c r="I2439" s="126"/>
      <c r="J2439" s="121"/>
      <c r="K2439" s="127"/>
      <c r="L2439" s="128"/>
      <c r="M2439" s="129"/>
      <c r="N2439" s="68"/>
      <c r="O2439" s="69"/>
      <c r="P2439" s="69"/>
      <c r="Q2439" s="69"/>
      <c r="R2439" s="69"/>
    </row>
    <row r="2440" spans="1:18">
      <c r="A2440" s="14"/>
      <c r="B2440" s="121"/>
      <c r="C2440" s="122"/>
      <c r="D2440" s="123"/>
      <c r="E2440" s="123"/>
      <c r="F2440" s="124"/>
      <c r="G2440" s="121"/>
      <c r="H2440" s="125"/>
      <c r="I2440" s="126"/>
      <c r="J2440" s="121"/>
      <c r="K2440" s="127"/>
      <c r="L2440" s="128"/>
      <c r="M2440" s="129"/>
      <c r="N2440" s="68"/>
      <c r="O2440" s="69"/>
      <c r="P2440" s="69"/>
      <c r="Q2440" s="69"/>
      <c r="R2440" s="69"/>
    </row>
    <row r="2441" spans="1:18">
      <c r="A2441" s="14"/>
      <c r="B2441" s="121"/>
      <c r="C2441" s="122"/>
      <c r="D2441" s="123"/>
      <c r="E2441" s="123"/>
      <c r="F2441" s="124"/>
      <c r="G2441" s="121"/>
      <c r="H2441" s="125"/>
      <c r="I2441" s="126"/>
      <c r="J2441" s="121"/>
      <c r="K2441" s="127"/>
      <c r="L2441" s="128"/>
      <c r="M2441" s="129"/>
      <c r="N2441" s="68"/>
      <c r="O2441" s="69"/>
      <c r="P2441" s="69"/>
      <c r="Q2441" s="69"/>
      <c r="R2441" s="69"/>
    </row>
    <row r="2442" spans="1:18">
      <c r="A2442" s="14"/>
      <c r="B2442" s="121"/>
      <c r="C2442" s="122"/>
      <c r="D2442" s="123"/>
      <c r="E2442" s="123"/>
      <c r="F2442" s="124"/>
      <c r="G2442" s="121"/>
      <c r="H2442" s="125"/>
      <c r="I2442" s="126"/>
      <c r="J2442" s="121"/>
      <c r="K2442" s="127"/>
      <c r="L2442" s="128"/>
      <c r="M2442" s="129"/>
      <c r="N2442" s="68"/>
      <c r="O2442" s="69"/>
      <c r="P2442" s="69"/>
      <c r="Q2442" s="69"/>
      <c r="R2442" s="69"/>
    </row>
    <row r="2443" spans="1:18">
      <c r="A2443" s="14"/>
      <c r="B2443" s="121"/>
      <c r="C2443" s="122"/>
      <c r="D2443" s="123"/>
      <c r="E2443" s="123"/>
      <c r="F2443" s="124"/>
      <c r="G2443" s="121"/>
      <c r="H2443" s="125"/>
      <c r="I2443" s="126"/>
      <c r="J2443" s="121"/>
      <c r="K2443" s="127"/>
      <c r="L2443" s="128"/>
      <c r="M2443" s="129"/>
      <c r="N2443" s="68"/>
      <c r="O2443" s="69"/>
      <c r="P2443" s="69"/>
      <c r="Q2443" s="69"/>
      <c r="R2443" s="69"/>
    </row>
    <row r="2444" spans="1:18">
      <c r="A2444" s="14"/>
      <c r="B2444" s="121"/>
      <c r="C2444" s="122"/>
      <c r="D2444" s="123"/>
      <c r="E2444" s="123"/>
      <c r="F2444" s="124"/>
      <c r="G2444" s="121"/>
      <c r="H2444" s="125"/>
      <c r="I2444" s="126"/>
      <c r="J2444" s="121"/>
      <c r="K2444" s="127"/>
      <c r="L2444" s="128"/>
      <c r="M2444" s="129"/>
      <c r="N2444" s="68"/>
      <c r="O2444" s="69"/>
      <c r="P2444" s="69"/>
      <c r="Q2444" s="69"/>
      <c r="R2444" s="69"/>
    </row>
    <row r="2445" spans="1:18">
      <c r="A2445" s="14"/>
      <c r="B2445" s="121"/>
      <c r="C2445" s="122"/>
      <c r="D2445" s="123"/>
      <c r="E2445" s="123"/>
      <c r="F2445" s="124"/>
      <c r="G2445" s="121"/>
      <c r="H2445" s="125"/>
      <c r="I2445" s="126"/>
      <c r="J2445" s="121"/>
      <c r="K2445" s="127"/>
      <c r="L2445" s="128"/>
      <c r="M2445" s="129"/>
      <c r="N2445" s="68"/>
      <c r="O2445" s="69"/>
      <c r="P2445" s="69"/>
      <c r="Q2445" s="69"/>
      <c r="R2445" s="69"/>
    </row>
    <row r="2446" spans="1:18">
      <c r="A2446" s="14"/>
      <c r="B2446" s="121"/>
      <c r="C2446" s="122"/>
      <c r="D2446" s="123"/>
      <c r="E2446" s="123"/>
      <c r="F2446" s="124"/>
      <c r="G2446" s="121"/>
      <c r="H2446" s="125"/>
      <c r="I2446" s="126"/>
      <c r="J2446" s="121"/>
      <c r="K2446" s="127"/>
      <c r="L2446" s="128"/>
      <c r="M2446" s="129"/>
      <c r="N2446" s="68"/>
      <c r="O2446" s="69"/>
      <c r="P2446" s="69"/>
      <c r="Q2446" s="69"/>
      <c r="R2446" s="69"/>
    </row>
    <row r="2447" spans="1:18">
      <c r="A2447" s="14"/>
      <c r="B2447" s="121"/>
      <c r="C2447" s="122"/>
      <c r="D2447" s="123"/>
      <c r="E2447" s="123"/>
      <c r="F2447" s="124"/>
      <c r="G2447" s="121"/>
      <c r="H2447" s="125"/>
      <c r="I2447" s="126"/>
      <c r="J2447" s="121"/>
      <c r="K2447" s="127"/>
      <c r="L2447" s="128"/>
      <c r="M2447" s="129"/>
      <c r="N2447" s="68"/>
      <c r="O2447" s="69"/>
      <c r="P2447" s="69"/>
      <c r="Q2447" s="69"/>
      <c r="R2447" s="69"/>
    </row>
    <row r="2448" spans="1:18">
      <c r="A2448" s="14"/>
      <c r="B2448" s="121"/>
      <c r="C2448" s="122"/>
      <c r="D2448" s="123"/>
      <c r="E2448" s="123"/>
      <c r="F2448" s="124"/>
      <c r="G2448" s="121"/>
      <c r="H2448" s="125"/>
      <c r="I2448" s="126"/>
      <c r="J2448" s="121"/>
      <c r="K2448" s="127"/>
      <c r="L2448" s="128"/>
      <c r="M2448" s="129"/>
      <c r="N2448" s="68"/>
      <c r="O2448" s="69"/>
      <c r="P2448" s="69"/>
      <c r="Q2448" s="69"/>
      <c r="R2448" s="69"/>
    </row>
    <row r="2449" spans="1:18">
      <c r="A2449" s="14"/>
      <c r="B2449" s="121"/>
      <c r="C2449" s="122"/>
      <c r="D2449" s="123"/>
      <c r="E2449" s="123"/>
      <c r="F2449" s="124"/>
      <c r="G2449" s="121"/>
      <c r="H2449" s="125"/>
      <c r="I2449" s="126"/>
      <c r="J2449" s="121"/>
      <c r="K2449" s="127"/>
      <c r="L2449" s="128"/>
      <c r="M2449" s="129"/>
      <c r="N2449" s="68"/>
      <c r="O2449" s="69"/>
      <c r="P2449" s="69"/>
      <c r="Q2449" s="69"/>
      <c r="R2449" s="69"/>
    </row>
    <row r="2450" spans="1:18">
      <c r="A2450" s="14"/>
      <c r="B2450" s="121"/>
      <c r="C2450" s="122"/>
      <c r="D2450" s="123"/>
      <c r="E2450" s="123"/>
      <c r="F2450" s="124"/>
      <c r="G2450" s="121"/>
      <c r="H2450" s="125"/>
      <c r="I2450" s="126"/>
      <c r="J2450" s="121"/>
      <c r="K2450" s="127"/>
      <c r="L2450" s="128"/>
      <c r="M2450" s="129"/>
      <c r="N2450" s="68"/>
      <c r="O2450" s="69"/>
      <c r="P2450" s="69"/>
      <c r="Q2450" s="69"/>
      <c r="R2450" s="69"/>
    </row>
    <row r="2451" spans="1:18">
      <c r="A2451" s="14"/>
      <c r="B2451" s="121"/>
      <c r="C2451" s="122"/>
      <c r="D2451" s="123"/>
      <c r="E2451" s="123"/>
      <c r="F2451" s="124"/>
      <c r="G2451" s="121"/>
      <c r="H2451" s="125"/>
      <c r="I2451" s="126"/>
      <c r="J2451" s="121"/>
      <c r="K2451" s="127"/>
      <c r="L2451" s="128"/>
      <c r="M2451" s="129"/>
      <c r="N2451" s="68"/>
      <c r="O2451" s="69"/>
      <c r="P2451" s="69"/>
      <c r="Q2451" s="69"/>
      <c r="R2451" s="69"/>
    </row>
    <row r="2452" spans="1:18">
      <c r="A2452" s="14"/>
      <c r="B2452" s="121"/>
      <c r="C2452" s="122"/>
      <c r="D2452" s="123"/>
      <c r="E2452" s="123"/>
      <c r="F2452" s="124"/>
      <c r="G2452" s="121"/>
      <c r="H2452" s="125"/>
      <c r="I2452" s="126"/>
      <c r="J2452" s="121"/>
      <c r="K2452" s="127"/>
      <c r="L2452" s="128"/>
      <c r="M2452" s="129"/>
      <c r="N2452" s="68"/>
      <c r="O2452" s="69"/>
      <c r="P2452" s="69"/>
      <c r="Q2452" s="69"/>
      <c r="R2452" s="69"/>
    </row>
    <row r="2453" spans="1:18">
      <c r="A2453" s="14"/>
      <c r="B2453" s="121"/>
      <c r="C2453" s="122"/>
      <c r="D2453" s="123"/>
      <c r="E2453" s="123"/>
      <c r="F2453" s="124"/>
      <c r="G2453" s="121"/>
      <c r="H2453" s="125"/>
      <c r="I2453" s="126"/>
      <c r="J2453" s="121"/>
      <c r="K2453" s="127"/>
      <c r="L2453" s="128"/>
      <c r="M2453" s="129"/>
      <c r="N2453" s="68"/>
      <c r="O2453" s="69"/>
      <c r="P2453" s="69"/>
      <c r="Q2453" s="69"/>
      <c r="R2453" s="69"/>
    </row>
    <row r="2454" spans="1:18">
      <c r="A2454" s="14"/>
      <c r="B2454" s="121"/>
      <c r="C2454" s="122"/>
      <c r="D2454" s="123"/>
      <c r="E2454" s="123"/>
      <c r="F2454" s="124"/>
      <c r="G2454" s="121"/>
      <c r="H2454" s="125"/>
      <c r="I2454" s="126"/>
      <c r="J2454" s="121"/>
      <c r="K2454" s="127"/>
      <c r="L2454" s="128"/>
      <c r="M2454" s="129"/>
      <c r="N2454" s="68"/>
      <c r="O2454" s="69"/>
      <c r="P2454" s="69"/>
      <c r="Q2454" s="69"/>
      <c r="R2454" s="69"/>
    </row>
    <row r="2455" spans="1:18">
      <c r="A2455" s="14"/>
      <c r="B2455" s="121"/>
      <c r="C2455" s="122"/>
      <c r="D2455" s="123"/>
      <c r="E2455" s="123"/>
      <c r="F2455" s="124"/>
      <c r="G2455" s="121"/>
      <c r="H2455" s="125"/>
      <c r="I2455" s="126"/>
      <c r="J2455" s="121"/>
      <c r="K2455" s="127"/>
      <c r="L2455" s="128"/>
      <c r="M2455" s="129"/>
      <c r="N2455" s="68"/>
      <c r="O2455" s="69"/>
      <c r="P2455" s="69"/>
      <c r="Q2455" s="69"/>
      <c r="R2455" s="69"/>
    </row>
    <row r="2456" spans="1:18">
      <c r="A2456" s="14"/>
      <c r="B2456" s="121"/>
      <c r="C2456" s="122"/>
      <c r="D2456" s="123"/>
      <c r="E2456" s="123"/>
      <c r="F2456" s="124"/>
      <c r="G2456" s="121"/>
      <c r="H2456" s="125"/>
      <c r="I2456" s="126"/>
      <c r="J2456" s="121"/>
      <c r="K2456" s="127"/>
      <c r="L2456" s="128"/>
      <c r="M2456" s="129"/>
      <c r="N2456" s="68"/>
      <c r="O2456" s="69"/>
      <c r="P2456" s="69"/>
      <c r="Q2456" s="69"/>
      <c r="R2456" s="69"/>
    </row>
    <row r="2457" spans="1:18">
      <c r="A2457" s="14"/>
      <c r="B2457" s="121"/>
      <c r="C2457" s="122"/>
      <c r="D2457" s="123"/>
      <c r="E2457" s="123"/>
      <c r="F2457" s="124"/>
      <c r="G2457" s="121"/>
      <c r="H2457" s="125"/>
      <c r="I2457" s="126"/>
      <c r="J2457" s="121"/>
      <c r="K2457" s="127"/>
      <c r="L2457" s="128"/>
      <c r="M2457" s="129"/>
      <c r="N2457" s="68"/>
      <c r="O2457" s="69"/>
      <c r="P2457" s="69"/>
      <c r="Q2457" s="69"/>
      <c r="R2457" s="69"/>
    </row>
    <row r="2458" spans="1:18">
      <c r="A2458" s="14"/>
      <c r="B2458" s="121"/>
      <c r="C2458" s="122"/>
      <c r="D2458" s="123"/>
      <c r="E2458" s="123"/>
      <c r="F2458" s="124"/>
      <c r="G2458" s="121"/>
      <c r="H2458" s="125"/>
      <c r="I2458" s="126"/>
      <c r="J2458" s="121"/>
      <c r="K2458" s="127"/>
      <c r="L2458" s="128"/>
      <c r="M2458" s="129"/>
      <c r="N2458" s="68"/>
      <c r="O2458" s="69"/>
      <c r="P2458" s="69"/>
      <c r="Q2458" s="69"/>
      <c r="R2458" s="69"/>
    </row>
    <row r="2459" spans="1:18">
      <c r="A2459" s="14"/>
      <c r="B2459" s="121"/>
      <c r="C2459" s="122"/>
      <c r="D2459" s="123"/>
      <c r="E2459" s="123"/>
      <c r="F2459" s="124"/>
      <c r="G2459" s="121"/>
      <c r="H2459" s="125"/>
      <c r="I2459" s="126"/>
      <c r="J2459" s="121"/>
      <c r="K2459" s="127"/>
      <c r="L2459" s="128"/>
      <c r="M2459" s="129"/>
      <c r="N2459" s="68"/>
      <c r="O2459" s="69"/>
      <c r="P2459" s="69"/>
      <c r="Q2459" s="69"/>
      <c r="R2459" s="69"/>
    </row>
    <row r="2460" spans="1:18">
      <c r="A2460" s="14"/>
      <c r="B2460" s="121"/>
      <c r="C2460" s="122"/>
      <c r="D2460" s="123"/>
      <c r="E2460" s="123"/>
      <c r="F2460" s="124"/>
      <c r="G2460" s="121"/>
      <c r="H2460" s="125"/>
      <c r="I2460" s="126"/>
      <c r="J2460" s="121"/>
      <c r="K2460" s="127"/>
      <c r="L2460" s="128"/>
      <c r="M2460" s="129"/>
      <c r="N2460" s="68"/>
      <c r="O2460" s="69"/>
      <c r="P2460" s="69"/>
      <c r="Q2460" s="69"/>
      <c r="R2460" s="69"/>
    </row>
    <row r="2461" spans="1:18">
      <c r="A2461" s="14"/>
      <c r="B2461" s="121"/>
      <c r="C2461" s="122"/>
      <c r="D2461" s="123"/>
      <c r="E2461" s="123"/>
      <c r="F2461" s="124"/>
      <c r="G2461" s="121"/>
      <c r="H2461" s="125"/>
      <c r="I2461" s="126"/>
      <c r="J2461" s="121"/>
      <c r="K2461" s="127"/>
      <c r="L2461" s="128"/>
      <c r="M2461" s="129"/>
      <c r="N2461" s="68"/>
      <c r="O2461" s="69"/>
      <c r="P2461" s="69"/>
      <c r="Q2461" s="69"/>
      <c r="R2461" s="69"/>
    </row>
    <row r="2462" spans="1:18">
      <c r="A2462" s="14"/>
      <c r="B2462" s="121"/>
      <c r="C2462" s="122"/>
      <c r="D2462" s="123"/>
      <c r="E2462" s="123"/>
      <c r="F2462" s="124"/>
      <c r="G2462" s="121"/>
      <c r="H2462" s="125"/>
      <c r="I2462" s="126"/>
      <c r="J2462" s="121"/>
      <c r="K2462" s="127"/>
      <c r="L2462" s="128"/>
      <c r="M2462" s="129"/>
      <c r="N2462" s="68"/>
      <c r="O2462" s="69"/>
      <c r="P2462" s="69"/>
      <c r="Q2462" s="69"/>
      <c r="R2462" s="69"/>
    </row>
    <row r="2463" spans="1:18">
      <c r="A2463" s="14"/>
      <c r="B2463" s="121"/>
      <c r="C2463" s="122"/>
      <c r="D2463" s="123"/>
      <c r="E2463" s="123"/>
      <c r="F2463" s="124"/>
      <c r="G2463" s="121"/>
      <c r="H2463" s="125"/>
      <c r="I2463" s="126"/>
      <c r="J2463" s="121"/>
      <c r="K2463" s="127"/>
      <c r="L2463" s="128"/>
      <c r="M2463" s="129"/>
      <c r="N2463" s="68"/>
      <c r="O2463" s="69"/>
      <c r="P2463" s="69"/>
      <c r="Q2463" s="69"/>
      <c r="R2463" s="69"/>
    </row>
    <row r="2464" spans="1:18">
      <c r="A2464" s="14"/>
      <c r="B2464" s="121"/>
      <c r="C2464" s="122"/>
      <c r="D2464" s="123"/>
      <c r="E2464" s="123"/>
      <c r="F2464" s="124"/>
      <c r="G2464" s="121"/>
      <c r="H2464" s="125"/>
      <c r="I2464" s="126"/>
      <c r="J2464" s="121"/>
      <c r="K2464" s="127"/>
      <c r="L2464" s="128"/>
      <c r="M2464" s="129"/>
      <c r="N2464" s="68"/>
      <c r="O2464" s="69"/>
      <c r="P2464" s="69"/>
      <c r="Q2464" s="69"/>
      <c r="R2464" s="69"/>
    </row>
    <row r="2465" spans="1:18">
      <c r="A2465" s="14"/>
      <c r="B2465" s="121"/>
      <c r="C2465" s="122"/>
      <c r="D2465" s="123"/>
      <c r="E2465" s="123"/>
      <c r="F2465" s="124"/>
      <c r="G2465" s="121"/>
      <c r="H2465" s="125"/>
      <c r="I2465" s="126"/>
      <c r="J2465" s="121"/>
      <c r="K2465" s="127"/>
      <c r="L2465" s="128"/>
      <c r="M2465" s="129"/>
      <c r="N2465" s="68"/>
      <c r="O2465" s="69"/>
      <c r="P2465" s="69"/>
      <c r="Q2465" s="69"/>
      <c r="R2465" s="69"/>
    </row>
    <row r="2466" spans="1:18">
      <c r="A2466" s="14"/>
      <c r="B2466" s="121"/>
      <c r="C2466" s="122"/>
      <c r="D2466" s="123"/>
      <c r="E2466" s="123"/>
      <c r="F2466" s="124"/>
      <c r="G2466" s="121"/>
      <c r="H2466" s="125"/>
      <c r="I2466" s="126"/>
      <c r="J2466" s="121"/>
      <c r="K2466" s="127"/>
      <c r="L2466" s="128"/>
      <c r="M2466" s="129"/>
      <c r="N2466" s="68"/>
      <c r="O2466" s="69"/>
      <c r="P2466" s="69"/>
      <c r="Q2466" s="69"/>
      <c r="R2466" s="69"/>
    </row>
    <row r="2467" spans="1:18">
      <c r="A2467" s="14"/>
      <c r="B2467" s="121"/>
      <c r="C2467" s="122"/>
      <c r="D2467" s="123"/>
      <c r="E2467" s="123"/>
      <c r="F2467" s="124"/>
      <c r="G2467" s="121"/>
      <c r="H2467" s="125"/>
      <c r="I2467" s="126"/>
      <c r="J2467" s="121"/>
      <c r="K2467" s="127"/>
      <c r="L2467" s="128"/>
      <c r="M2467" s="129"/>
      <c r="N2467" s="68"/>
      <c r="O2467" s="69"/>
      <c r="P2467" s="69"/>
      <c r="Q2467" s="69"/>
      <c r="R2467" s="69"/>
    </row>
    <row r="2468" spans="1:18">
      <c r="A2468" s="14"/>
      <c r="B2468" s="121"/>
      <c r="C2468" s="122"/>
      <c r="D2468" s="123"/>
      <c r="E2468" s="123"/>
      <c r="F2468" s="124"/>
      <c r="G2468" s="121"/>
      <c r="H2468" s="125"/>
      <c r="I2468" s="126"/>
      <c r="J2468" s="121"/>
      <c r="K2468" s="127"/>
      <c r="L2468" s="128"/>
      <c r="M2468" s="129"/>
      <c r="N2468" s="68"/>
      <c r="O2468" s="69"/>
      <c r="P2468" s="69"/>
      <c r="Q2468" s="69"/>
      <c r="R2468" s="69"/>
    </row>
    <row r="2469" spans="1:18">
      <c r="A2469" s="14"/>
      <c r="B2469" s="121"/>
      <c r="C2469" s="122"/>
      <c r="D2469" s="123"/>
      <c r="E2469" s="123"/>
      <c r="F2469" s="124"/>
      <c r="G2469" s="121"/>
      <c r="H2469" s="125"/>
      <c r="I2469" s="126"/>
      <c r="J2469" s="121"/>
      <c r="K2469" s="127"/>
      <c r="L2469" s="128"/>
      <c r="M2469" s="129"/>
      <c r="N2469" s="68"/>
      <c r="O2469" s="69"/>
      <c r="P2469" s="69"/>
      <c r="Q2469" s="69"/>
      <c r="R2469" s="69"/>
    </row>
    <row r="2470" spans="1:18">
      <c r="A2470" s="14"/>
      <c r="B2470" s="121"/>
      <c r="C2470" s="122"/>
      <c r="D2470" s="123"/>
      <c r="E2470" s="123"/>
      <c r="F2470" s="124"/>
      <c r="G2470" s="121"/>
      <c r="H2470" s="125"/>
      <c r="I2470" s="126"/>
      <c r="J2470" s="121"/>
      <c r="K2470" s="127"/>
      <c r="L2470" s="128"/>
      <c r="M2470" s="129"/>
      <c r="N2470" s="68"/>
      <c r="O2470" s="69"/>
      <c r="P2470" s="69"/>
      <c r="Q2470" s="69"/>
      <c r="R2470" s="69"/>
    </row>
    <row r="2471" spans="1:18">
      <c r="A2471" s="14"/>
      <c r="B2471" s="121"/>
      <c r="C2471" s="122"/>
      <c r="D2471" s="123"/>
      <c r="E2471" s="123"/>
      <c r="F2471" s="124"/>
      <c r="G2471" s="121"/>
      <c r="H2471" s="125"/>
      <c r="I2471" s="126"/>
      <c r="J2471" s="121"/>
      <c r="K2471" s="127"/>
      <c r="L2471" s="128"/>
      <c r="M2471" s="129"/>
      <c r="N2471" s="68"/>
      <c r="O2471" s="69"/>
      <c r="P2471" s="69"/>
      <c r="Q2471" s="69"/>
      <c r="R2471" s="69"/>
    </row>
    <row r="2472" spans="1:18">
      <c r="A2472" s="14"/>
      <c r="B2472" s="121"/>
      <c r="C2472" s="122"/>
      <c r="D2472" s="123"/>
      <c r="E2472" s="123"/>
      <c r="F2472" s="124"/>
      <c r="G2472" s="121"/>
      <c r="H2472" s="125"/>
      <c r="I2472" s="126"/>
      <c r="J2472" s="121"/>
      <c r="K2472" s="127"/>
      <c r="L2472" s="128"/>
      <c r="M2472" s="129"/>
      <c r="N2472" s="68"/>
      <c r="O2472" s="69"/>
      <c r="P2472" s="69"/>
      <c r="Q2472" s="69"/>
      <c r="R2472" s="69"/>
    </row>
    <row r="2473" spans="1:18">
      <c r="A2473" s="14"/>
      <c r="B2473" s="121"/>
      <c r="C2473" s="122"/>
      <c r="D2473" s="123"/>
      <c r="E2473" s="123"/>
      <c r="F2473" s="124"/>
      <c r="G2473" s="121"/>
      <c r="H2473" s="125"/>
      <c r="I2473" s="126"/>
      <c r="J2473" s="121"/>
      <c r="K2473" s="127"/>
      <c r="L2473" s="128"/>
      <c r="M2473" s="129"/>
      <c r="N2473" s="68"/>
      <c r="O2473" s="69"/>
      <c r="P2473" s="69"/>
      <c r="Q2473" s="69"/>
      <c r="R2473" s="69"/>
    </row>
    <row r="2474" spans="1:18">
      <c r="A2474" s="14"/>
      <c r="B2474" s="121"/>
      <c r="C2474" s="122"/>
      <c r="D2474" s="123"/>
      <c r="E2474" s="123"/>
      <c r="F2474" s="124"/>
      <c r="G2474" s="121"/>
      <c r="H2474" s="125"/>
      <c r="I2474" s="126"/>
      <c r="J2474" s="121"/>
      <c r="K2474" s="127"/>
      <c r="L2474" s="128"/>
      <c r="M2474" s="129"/>
      <c r="N2474" s="68"/>
      <c r="O2474" s="69"/>
      <c r="P2474" s="69"/>
      <c r="Q2474" s="69"/>
      <c r="R2474" s="69"/>
    </row>
    <row r="2475" spans="1:18">
      <c r="A2475" s="14"/>
      <c r="B2475" s="121"/>
      <c r="C2475" s="122"/>
      <c r="D2475" s="123"/>
      <c r="E2475" s="123"/>
      <c r="F2475" s="124"/>
      <c r="G2475" s="121"/>
      <c r="H2475" s="125"/>
      <c r="I2475" s="126"/>
      <c r="J2475" s="121"/>
      <c r="K2475" s="127"/>
      <c r="L2475" s="128"/>
      <c r="M2475" s="129"/>
      <c r="N2475" s="68"/>
      <c r="O2475" s="69"/>
      <c r="P2475" s="69"/>
      <c r="Q2475" s="69"/>
      <c r="R2475" s="69"/>
    </row>
    <row r="2476" spans="1:18">
      <c r="A2476" s="14"/>
      <c r="B2476" s="121"/>
      <c r="C2476" s="122"/>
      <c r="D2476" s="123"/>
      <c r="E2476" s="123"/>
      <c r="F2476" s="124"/>
      <c r="G2476" s="121"/>
      <c r="H2476" s="125"/>
      <c r="I2476" s="126"/>
      <c r="J2476" s="121"/>
      <c r="K2476" s="127"/>
      <c r="L2476" s="128"/>
      <c r="M2476" s="129"/>
      <c r="N2476" s="68"/>
      <c r="O2476" s="69"/>
      <c r="P2476" s="69"/>
      <c r="Q2476" s="69"/>
      <c r="R2476" s="69"/>
    </row>
    <row r="2477" spans="1:18">
      <c r="A2477" s="14"/>
      <c r="B2477" s="121"/>
      <c r="C2477" s="122"/>
      <c r="D2477" s="123"/>
      <c r="E2477" s="123"/>
      <c r="F2477" s="124"/>
      <c r="G2477" s="121"/>
      <c r="H2477" s="125"/>
      <c r="I2477" s="126"/>
      <c r="J2477" s="121"/>
      <c r="K2477" s="127"/>
      <c r="L2477" s="128"/>
      <c r="M2477" s="129"/>
      <c r="N2477" s="68"/>
      <c r="O2477" s="69"/>
      <c r="P2477" s="69"/>
      <c r="Q2477" s="69"/>
      <c r="R2477" s="69"/>
    </row>
    <row r="2478" spans="1:18">
      <c r="A2478" s="14"/>
      <c r="B2478" s="121"/>
      <c r="C2478" s="122"/>
      <c r="D2478" s="123"/>
      <c r="E2478" s="123"/>
      <c r="F2478" s="124"/>
      <c r="G2478" s="121"/>
      <c r="H2478" s="125"/>
      <c r="I2478" s="126"/>
      <c r="J2478" s="121"/>
      <c r="K2478" s="127"/>
      <c r="L2478" s="128"/>
      <c r="M2478" s="129"/>
      <c r="N2478" s="68"/>
      <c r="O2478" s="69"/>
      <c r="P2478" s="69"/>
      <c r="Q2478" s="69"/>
      <c r="R2478" s="69"/>
    </row>
    <row r="2479" spans="1:18">
      <c r="A2479" s="14"/>
      <c r="B2479" s="121"/>
      <c r="C2479" s="122"/>
      <c r="D2479" s="123"/>
      <c r="E2479" s="123"/>
      <c r="F2479" s="124"/>
      <c r="G2479" s="121"/>
      <c r="H2479" s="125"/>
      <c r="I2479" s="126"/>
      <c r="J2479" s="121"/>
      <c r="K2479" s="127"/>
      <c r="L2479" s="128"/>
      <c r="M2479" s="129"/>
      <c r="N2479" s="68"/>
      <c r="O2479" s="69"/>
      <c r="P2479" s="69"/>
      <c r="Q2479" s="69"/>
      <c r="R2479" s="69"/>
    </row>
    <row r="2480" spans="1:18">
      <c r="A2480" s="14"/>
      <c r="B2480" s="121"/>
      <c r="C2480" s="122"/>
      <c r="D2480" s="123"/>
      <c r="E2480" s="123"/>
      <c r="F2480" s="124"/>
      <c r="G2480" s="121"/>
      <c r="H2480" s="125"/>
      <c r="I2480" s="126"/>
      <c r="J2480" s="121"/>
      <c r="K2480" s="127"/>
      <c r="L2480" s="128"/>
      <c r="M2480" s="129"/>
      <c r="N2480" s="68"/>
      <c r="O2480" s="69"/>
      <c r="P2480" s="69"/>
      <c r="Q2480" s="69"/>
      <c r="R2480" s="69"/>
    </row>
    <row r="2481" spans="1:18">
      <c r="A2481" s="14"/>
      <c r="B2481" s="121"/>
      <c r="C2481" s="122"/>
      <c r="D2481" s="123"/>
      <c r="E2481" s="123"/>
      <c r="F2481" s="124"/>
      <c r="G2481" s="121"/>
      <c r="H2481" s="125"/>
      <c r="I2481" s="126"/>
      <c r="J2481" s="121"/>
      <c r="K2481" s="127"/>
      <c r="L2481" s="128"/>
      <c r="M2481" s="129"/>
      <c r="N2481" s="68"/>
      <c r="O2481" s="69"/>
      <c r="P2481" s="69"/>
      <c r="Q2481" s="69"/>
      <c r="R2481" s="69"/>
    </row>
    <row r="2482" spans="1:18">
      <c r="A2482" s="14"/>
      <c r="B2482" s="121"/>
      <c r="C2482" s="122"/>
      <c r="D2482" s="123"/>
      <c r="E2482" s="123"/>
      <c r="F2482" s="124"/>
      <c r="G2482" s="121"/>
      <c r="H2482" s="125"/>
      <c r="I2482" s="126"/>
      <c r="J2482" s="121"/>
      <c r="K2482" s="127"/>
      <c r="L2482" s="128"/>
      <c r="M2482" s="129"/>
      <c r="N2482" s="68"/>
      <c r="O2482" s="69"/>
      <c r="P2482" s="69"/>
      <c r="Q2482" s="69"/>
      <c r="R2482" s="69"/>
    </row>
    <row r="2483" spans="1:18">
      <c r="A2483" s="14"/>
      <c r="B2483" s="121"/>
      <c r="C2483" s="122"/>
      <c r="D2483" s="123"/>
      <c r="E2483" s="123"/>
      <c r="F2483" s="124"/>
      <c r="G2483" s="121"/>
      <c r="H2483" s="125"/>
      <c r="I2483" s="126"/>
      <c r="J2483" s="121"/>
      <c r="K2483" s="127"/>
      <c r="L2483" s="128"/>
      <c r="M2483" s="129"/>
      <c r="N2483" s="68"/>
      <c r="O2483" s="69"/>
      <c r="P2483" s="69"/>
      <c r="Q2483" s="69"/>
      <c r="R2483" s="69"/>
    </row>
    <row r="2484" spans="1:18">
      <c r="A2484" s="14"/>
      <c r="B2484" s="121"/>
      <c r="C2484" s="122"/>
      <c r="D2484" s="123"/>
      <c r="E2484" s="123"/>
      <c r="F2484" s="124"/>
      <c r="G2484" s="121"/>
      <c r="H2484" s="125"/>
      <c r="I2484" s="126"/>
      <c r="J2484" s="121"/>
      <c r="K2484" s="127"/>
      <c r="L2484" s="128"/>
      <c r="M2484" s="129"/>
      <c r="N2484" s="68"/>
      <c r="O2484" s="69"/>
      <c r="P2484" s="69"/>
      <c r="Q2484" s="69"/>
      <c r="R2484" s="69"/>
    </row>
    <row r="2485" spans="1:18">
      <c r="A2485" s="14"/>
      <c r="B2485" s="121"/>
      <c r="C2485" s="122"/>
      <c r="D2485" s="123"/>
      <c r="E2485" s="123"/>
      <c r="F2485" s="124"/>
      <c r="G2485" s="121"/>
      <c r="H2485" s="125"/>
      <c r="I2485" s="126"/>
      <c r="J2485" s="121"/>
      <c r="K2485" s="127"/>
      <c r="L2485" s="128"/>
      <c r="M2485" s="129"/>
      <c r="N2485" s="68"/>
      <c r="O2485" s="69"/>
      <c r="P2485" s="69"/>
      <c r="Q2485" s="69"/>
      <c r="R2485" s="69"/>
    </row>
    <row r="2486" spans="1:18">
      <c r="A2486" s="14"/>
      <c r="B2486" s="121"/>
      <c r="C2486" s="122"/>
      <c r="D2486" s="123"/>
      <c r="E2486" s="123"/>
      <c r="F2486" s="124"/>
      <c r="G2486" s="121"/>
      <c r="H2486" s="125"/>
      <c r="I2486" s="126"/>
      <c r="J2486" s="121"/>
      <c r="K2486" s="127"/>
      <c r="L2486" s="128"/>
      <c r="M2486" s="129"/>
      <c r="N2486" s="68"/>
      <c r="O2486" s="69"/>
      <c r="P2486" s="69"/>
      <c r="Q2486" s="69"/>
      <c r="R2486" s="69"/>
    </row>
    <row r="2487" spans="1:18">
      <c r="A2487" s="14"/>
      <c r="B2487" s="121"/>
      <c r="C2487" s="122"/>
      <c r="D2487" s="123"/>
      <c r="E2487" s="123"/>
      <c r="F2487" s="124"/>
      <c r="G2487" s="121"/>
      <c r="H2487" s="125"/>
      <c r="I2487" s="126"/>
      <c r="J2487" s="121"/>
      <c r="K2487" s="127"/>
      <c r="L2487" s="128"/>
      <c r="M2487" s="129"/>
      <c r="N2487" s="68"/>
      <c r="O2487" s="69"/>
      <c r="P2487" s="69"/>
      <c r="Q2487" s="69"/>
      <c r="R2487" s="69"/>
    </row>
    <row r="2488" spans="1:18">
      <c r="A2488" s="14"/>
      <c r="B2488" s="121"/>
      <c r="C2488" s="122"/>
      <c r="D2488" s="123"/>
      <c r="E2488" s="123"/>
      <c r="F2488" s="124"/>
      <c r="G2488" s="121"/>
      <c r="H2488" s="125"/>
      <c r="I2488" s="126"/>
      <c r="J2488" s="121"/>
      <c r="K2488" s="127"/>
      <c r="L2488" s="128"/>
      <c r="M2488" s="129"/>
      <c r="N2488" s="68"/>
      <c r="O2488" s="69"/>
      <c r="P2488" s="69"/>
      <c r="Q2488" s="69"/>
      <c r="R2488" s="69"/>
    </row>
    <row r="2489" spans="1:18">
      <c r="A2489" s="14"/>
      <c r="B2489" s="121"/>
      <c r="C2489" s="122"/>
      <c r="D2489" s="123"/>
      <c r="E2489" s="123"/>
      <c r="F2489" s="124"/>
      <c r="G2489" s="121"/>
      <c r="H2489" s="125"/>
      <c r="I2489" s="126"/>
      <c r="J2489" s="121"/>
      <c r="K2489" s="127"/>
      <c r="L2489" s="128"/>
      <c r="M2489" s="129"/>
      <c r="N2489" s="68"/>
      <c r="O2489" s="69"/>
      <c r="P2489" s="69"/>
      <c r="Q2489" s="69"/>
      <c r="R2489" s="69"/>
    </row>
    <row r="2490" spans="1:18">
      <c r="A2490" s="14"/>
      <c r="B2490" s="121"/>
      <c r="C2490" s="122"/>
      <c r="D2490" s="123"/>
      <c r="E2490" s="123"/>
      <c r="F2490" s="124"/>
      <c r="G2490" s="121"/>
      <c r="H2490" s="125"/>
      <c r="I2490" s="126"/>
      <c r="J2490" s="121"/>
      <c r="K2490" s="127"/>
      <c r="L2490" s="128"/>
      <c r="M2490" s="129"/>
      <c r="N2490" s="68"/>
      <c r="O2490" s="69"/>
      <c r="P2490" s="69"/>
      <c r="Q2490" s="69"/>
      <c r="R2490" s="69"/>
    </row>
    <row r="2491" spans="1:18">
      <c r="A2491" s="14"/>
      <c r="B2491" s="121"/>
      <c r="C2491" s="122"/>
      <c r="D2491" s="123"/>
      <c r="E2491" s="123"/>
      <c r="F2491" s="124"/>
      <c r="G2491" s="121"/>
      <c r="H2491" s="125"/>
      <c r="I2491" s="126"/>
      <c r="J2491" s="121"/>
      <c r="K2491" s="127"/>
      <c r="L2491" s="128"/>
      <c r="M2491" s="129"/>
      <c r="N2491" s="68"/>
      <c r="O2491" s="69"/>
      <c r="P2491" s="69"/>
      <c r="Q2491" s="69"/>
      <c r="R2491" s="69"/>
    </row>
    <row r="2492" spans="1:18">
      <c r="A2492" s="14"/>
      <c r="B2492" s="121"/>
      <c r="C2492" s="122"/>
      <c r="D2492" s="123"/>
      <c r="E2492" s="123"/>
      <c r="F2492" s="124"/>
      <c r="G2492" s="121"/>
      <c r="H2492" s="125"/>
      <c r="I2492" s="126"/>
      <c r="J2492" s="121"/>
      <c r="K2492" s="127"/>
      <c r="L2492" s="128"/>
      <c r="M2492" s="129"/>
      <c r="N2492" s="68"/>
      <c r="O2492" s="69"/>
      <c r="P2492" s="69"/>
      <c r="Q2492" s="69"/>
      <c r="R2492" s="69"/>
    </row>
    <row r="2493" spans="1:18">
      <c r="A2493" s="15"/>
      <c r="B2493" s="40"/>
      <c r="C2493" s="134"/>
      <c r="D2493" s="135"/>
      <c r="E2493" s="135"/>
      <c r="F2493" s="40"/>
      <c r="G2493" s="40"/>
      <c r="H2493" s="40"/>
      <c r="I2493" s="134"/>
      <c r="J2493" s="40"/>
      <c r="K2493" s="134"/>
      <c r="L2493" s="134"/>
      <c r="M2493" s="136"/>
    </row>
    <row r="2494" spans="1:18">
      <c r="A2494" s="15"/>
      <c r="B2494" s="40"/>
      <c r="C2494" s="134"/>
      <c r="D2494" s="135"/>
      <c r="E2494" s="135"/>
      <c r="F2494" s="40"/>
      <c r="G2494" s="40"/>
      <c r="H2494" s="40"/>
      <c r="I2494" s="134"/>
      <c r="J2494" s="40"/>
      <c r="K2494" s="134"/>
      <c r="L2494" s="134"/>
      <c r="M2494" s="136"/>
    </row>
    <row r="2495" spans="1:18">
      <c r="A2495" s="15"/>
      <c r="B2495" s="40"/>
      <c r="C2495" s="134"/>
      <c r="D2495" s="135"/>
      <c r="E2495" s="135"/>
      <c r="F2495" s="40"/>
      <c r="G2495" s="40"/>
      <c r="H2495" s="40"/>
      <c r="I2495" s="134"/>
      <c r="J2495" s="40"/>
      <c r="K2495" s="134"/>
      <c r="L2495" s="134"/>
      <c r="M2495" s="136"/>
    </row>
    <row r="2496" spans="1:18">
      <c r="A2496" s="15"/>
      <c r="B2496" s="40"/>
      <c r="C2496" s="134"/>
      <c r="D2496" s="135"/>
      <c r="E2496" s="135"/>
      <c r="F2496" s="40"/>
      <c r="G2496" s="40"/>
      <c r="H2496" s="40"/>
      <c r="I2496" s="134"/>
      <c r="J2496" s="40"/>
      <c r="K2496" s="134"/>
      <c r="L2496" s="134"/>
      <c r="M2496" s="136"/>
    </row>
    <row r="2497" spans="1:13">
      <c r="A2497" s="15"/>
      <c r="B2497" s="40"/>
      <c r="C2497" s="134"/>
      <c r="D2497" s="135"/>
      <c r="E2497" s="135"/>
      <c r="F2497" s="40"/>
      <c r="G2497" s="40"/>
      <c r="H2497" s="40"/>
      <c r="I2497" s="134"/>
      <c r="J2497" s="40"/>
      <c r="K2497" s="134"/>
      <c r="L2497" s="134"/>
      <c r="M2497" s="136"/>
    </row>
    <row r="2498" spans="1:13">
      <c r="A2498" s="15"/>
      <c r="B2498" s="40"/>
      <c r="C2498" s="134"/>
      <c r="D2498" s="135"/>
      <c r="E2498" s="135"/>
      <c r="F2498" s="40"/>
      <c r="G2498" s="40"/>
      <c r="H2498" s="40"/>
      <c r="I2498" s="134"/>
      <c r="J2498" s="40"/>
      <c r="K2498" s="134"/>
      <c r="L2498" s="134"/>
      <c r="M2498" s="136"/>
    </row>
    <row r="2499" spans="1:13">
      <c r="A2499" s="15"/>
      <c r="B2499" s="40"/>
      <c r="C2499" s="134"/>
      <c r="D2499" s="135"/>
      <c r="E2499" s="135"/>
      <c r="F2499" s="40"/>
      <c r="G2499" s="40"/>
      <c r="H2499" s="40"/>
      <c r="I2499" s="134"/>
      <c r="J2499" s="40"/>
      <c r="K2499" s="134"/>
      <c r="L2499" s="134"/>
      <c r="M2499" s="136"/>
    </row>
    <row r="2500" spans="1:13">
      <c r="A2500" s="15"/>
      <c r="B2500" s="40"/>
      <c r="C2500" s="134"/>
      <c r="D2500" s="135"/>
      <c r="E2500" s="135"/>
      <c r="F2500" s="40"/>
      <c r="G2500" s="40"/>
      <c r="H2500" s="40"/>
      <c r="I2500" s="134"/>
      <c r="J2500" s="40"/>
      <c r="K2500" s="134"/>
      <c r="L2500" s="134"/>
      <c r="M2500" s="136"/>
    </row>
    <row r="2501" spans="1:13">
      <c r="A2501" s="15"/>
      <c r="B2501" s="40"/>
      <c r="C2501" s="134"/>
      <c r="D2501" s="135"/>
      <c r="E2501" s="135"/>
      <c r="F2501" s="40"/>
      <c r="G2501" s="40"/>
      <c r="H2501" s="40"/>
      <c r="I2501" s="134"/>
      <c r="J2501" s="40"/>
      <c r="K2501" s="134"/>
      <c r="L2501" s="134"/>
      <c r="M2501" s="136"/>
    </row>
    <row r="2502" spans="1:13">
      <c r="A2502" s="15"/>
      <c r="B2502" s="40"/>
      <c r="C2502" s="134"/>
      <c r="D2502" s="135"/>
      <c r="E2502" s="135"/>
      <c r="F2502" s="40"/>
      <c r="G2502" s="40"/>
      <c r="H2502" s="40"/>
      <c r="I2502" s="134"/>
      <c r="J2502" s="40"/>
      <c r="K2502" s="134"/>
      <c r="L2502" s="134"/>
      <c r="M2502" s="136"/>
    </row>
    <row r="2503" spans="1:13">
      <c r="A2503" s="15"/>
      <c r="B2503" s="40"/>
      <c r="C2503" s="134"/>
      <c r="D2503" s="135"/>
      <c r="E2503" s="135"/>
      <c r="F2503" s="40"/>
      <c r="G2503" s="40"/>
      <c r="H2503" s="40"/>
      <c r="I2503" s="134"/>
      <c r="J2503" s="40"/>
      <c r="K2503" s="134"/>
      <c r="L2503" s="134"/>
      <c r="M2503" s="136"/>
    </row>
    <row r="2504" spans="1:13">
      <c r="A2504" s="15"/>
      <c r="B2504" s="40"/>
      <c r="C2504" s="134"/>
      <c r="D2504" s="135"/>
      <c r="E2504" s="135"/>
      <c r="F2504" s="40"/>
      <c r="G2504" s="40"/>
      <c r="H2504" s="40"/>
      <c r="I2504" s="134"/>
      <c r="J2504" s="40"/>
      <c r="K2504" s="134"/>
      <c r="L2504" s="134"/>
      <c r="M2504" s="136"/>
    </row>
    <row r="2505" spans="1:13">
      <c r="A2505" s="15"/>
      <c r="B2505" s="40"/>
      <c r="C2505" s="134"/>
      <c r="D2505" s="135"/>
      <c r="E2505" s="135"/>
      <c r="F2505" s="40"/>
      <c r="G2505" s="40"/>
      <c r="H2505" s="40"/>
      <c r="I2505" s="134"/>
      <c r="J2505" s="40"/>
      <c r="K2505" s="134"/>
      <c r="L2505" s="134"/>
      <c r="M2505" s="136"/>
    </row>
    <row r="2506" spans="1:13">
      <c r="A2506" s="15"/>
      <c r="B2506" s="40"/>
      <c r="C2506" s="134"/>
      <c r="D2506" s="135"/>
      <c r="E2506" s="135"/>
      <c r="F2506" s="40"/>
      <c r="G2506" s="40"/>
      <c r="H2506" s="40"/>
      <c r="I2506" s="134"/>
      <c r="J2506" s="40"/>
      <c r="K2506" s="134"/>
      <c r="L2506" s="134"/>
      <c r="M2506" s="136"/>
    </row>
    <row r="2507" spans="1:13">
      <c r="A2507" s="15"/>
      <c r="B2507" s="40"/>
      <c r="C2507" s="134"/>
      <c r="D2507" s="135"/>
      <c r="E2507" s="135"/>
      <c r="F2507" s="40"/>
      <c r="G2507" s="40"/>
      <c r="H2507" s="40"/>
      <c r="I2507" s="134"/>
      <c r="J2507" s="40"/>
      <c r="K2507" s="134"/>
      <c r="L2507" s="134"/>
      <c r="M2507" s="136"/>
    </row>
    <row r="2508" spans="1:13">
      <c r="A2508" s="15"/>
      <c r="B2508" s="40"/>
      <c r="C2508" s="134"/>
      <c r="D2508" s="135"/>
      <c r="E2508" s="135"/>
      <c r="F2508" s="40"/>
      <c r="G2508" s="40"/>
      <c r="H2508" s="40"/>
      <c r="I2508" s="134"/>
      <c r="J2508" s="40"/>
      <c r="K2508" s="134"/>
      <c r="L2508" s="134"/>
      <c r="M2508" s="136"/>
    </row>
    <row r="2509" spans="1:13">
      <c r="A2509" s="15"/>
      <c r="B2509" s="40"/>
      <c r="C2509" s="134"/>
      <c r="D2509" s="135"/>
      <c r="E2509" s="135"/>
      <c r="F2509" s="40"/>
      <c r="G2509" s="40"/>
      <c r="H2509" s="40"/>
      <c r="I2509" s="134"/>
      <c r="J2509" s="40"/>
      <c r="K2509" s="134"/>
      <c r="L2509" s="134"/>
      <c r="M2509" s="136"/>
    </row>
    <row r="2510" spans="1:13">
      <c r="A2510" s="15"/>
      <c r="B2510" s="40"/>
      <c r="C2510" s="134"/>
      <c r="D2510" s="135"/>
      <c r="E2510" s="135"/>
      <c r="F2510" s="40"/>
      <c r="G2510" s="40"/>
      <c r="H2510" s="40"/>
      <c r="I2510" s="134"/>
      <c r="J2510" s="40"/>
      <c r="K2510" s="134"/>
      <c r="L2510" s="134"/>
      <c r="M2510" s="136"/>
    </row>
    <row r="2511" spans="1:13">
      <c r="A2511" s="15"/>
      <c r="B2511" s="40"/>
      <c r="C2511" s="134"/>
      <c r="D2511" s="135"/>
      <c r="E2511" s="135"/>
      <c r="F2511" s="40"/>
      <c r="G2511" s="40"/>
      <c r="H2511" s="40"/>
      <c r="I2511" s="134"/>
      <c r="J2511" s="40"/>
      <c r="K2511" s="134"/>
      <c r="L2511" s="134"/>
      <c r="M2511" s="136"/>
    </row>
    <row r="2512" spans="1:13">
      <c r="A2512" s="15"/>
      <c r="B2512" s="40"/>
      <c r="C2512" s="134"/>
      <c r="D2512" s="135"/>
      <c r="E2512" s="135"/>
      <c r="F2512" s="40"/>
      <c r="G2512" s="40"/>
      <c r="H2512" s="40"/>
      <c r="I2512" s="134"/>
      <c r="J2512" s="40"/>
      <c r="K2512" s="134"/>
      <c r="L2512" s="134"/>
      <c r="M2512" s="136"/>
    </row>
    <row r="2513" spans="1:13">
      <c r="A2513" s="15"/>
      <c r="B2513" s="40"/>
      <c r="C2513" s="134"/>
      <c r="D2513" s="135"/>
      <c r="E2513" s="135"/>
      <c r="F2513" s="40"/>
      <c r="G2513" s="40"/>
      <c r="H2513" s="40"/>
      <c r="I2513" s="134"/>
      <c r="J2513" s="40"/>
      <c r="K2513" s="134"/>
      <c r="L2513" s="134"/>
      <c r="M2513" s="136"/>
    </row>
    <row r="2514" spans="1:13">
      <c r="A2514" s="15"/>
      <c r="B2514" s="40"/>
      <c r="C2514" s="134"/>
      <c r="D2514" s="135"/>
      <c r="E2514" s="135"/>
      <c r="F2514" s="40"/>
      <c r="G2514" s="40"/>
      <c r="H2514" s="40"/>
      <c r="I2514" s="134"/>
      <c r="J2514" s="40"/>
      <c r="K2514" s="134"/>
      <c r="L2514" s="134"/>
      <c r="M2514" s="136"/>
    </row>
    <row r="2515" spans="1:13">
      <c r="A2515" s="15"/>
      <c r="B2515" s="40"/>
      <c r="C2515" s="134"/>
      <c r="D2515" s="135"/>
      <c r="E2515" s="135"/>
      <c r="F2515" s="40"/>
      <c r="G2515" s="40"/>
      <c r="H2515" s="40"/>
      <c r="I2515" s="134"/>
      <c r="J2515" s="40"/>
      <c r="K2515" s="134"/>
      <c r="L2515" s="134"/>
      <c r="M2515" s="136"/>
    </row>
    <row r="2516" spans="1:13">
      <c r="A2516" s="15"/>
      <c r="B2516" s="40"/>
      <c r="C2516" s="134"/>
      <c r="D2516" s="135"/>
      <c r="E2516" s="135"/>
      <c r="F2516" s="40"/>
      <c r="G2516" s="40"/>
      <c r="H2516" s="40"/>
      <c r="I2516" s="134"/>
      <c r="J2516" s="40"/>
      <c r="K2516" s="134"/>
      <c r="L2516" s="134"/>
      <c r="M2516" s="136"/>
    </row>
    <row r="2517" spans="1:13">
      <c r="A2517" s="15"/>
      <c r="B2517" s="40"/>
      <c r="C2517" s="134"/>
      <c r="D2517" s="135"/>
      <c r="E2517" s="135"/>
      <c r="F2517" s="40"/>
      <c r="G2517" s="40"/>
      <c r="H2517" s="40"/>
      <c r="I2517" s="134"/>
      <c r="J2517" s="40"/>
      <c r="K2517" s="134"/>
      <c r="L2517" s="134"/>
      <c r="M2517" s="136"/>
    </row>
    <row r="2518" spans="1:13">
      <c r="A2518" s="15"/>
      <c r="B2518" s="40"/>
      <c r="C2518" s="134"/>
      <c r="D2518" s="135"/>
      <c r="E2518" s="135"/>
      <c r="F2518" s="40"/>
      <c r="G2518" s="40"/>
      <c r="H2518" s="40"/>
      <c r="I2518" s="134"/>
      <c r="J2518" s="40"/>
      <c r="K2518" s="134"/>
      <c r="L2518" s="134"/>
      <c r="M2518" s="136"/>
    </row>
    <row r="2519" spans="1:13">
      <c r="A2519" s="15"/>
      <c r="B2519" s="40"/>
      <c r="C2519" s="134"/>
      <c r="D2519" s="135"/>
      <c r="E2519" s="135"/>
      <c r="F2519" s="40"/>
      <c r="G2519" s="40"/>
      <c r="H2519" s="40"/>
      <c r="I2519" s="134"/>
      <c r="J2519" s="40"/>
      <c r="K2519" s="134"/>
      <c r="L2519" s="134"/>
      <c r="M2519" s="136"/>
    </row>
    <row r="2520" spans="1:13">
      <c r="A2520" s="15"/>
      <c r="B2520" s="40"/>
      <c r="C2520" s="134"/>
      <c r="D2520" s="135"/>
      <c r="E2520" s="135"/>
      <c r="F2520" s="40"/>
      <c r="G2520" s="40"/>
      <c r="H2520" s="40"/>
      <c r="I2520" s="134"/>
      <c r="J2520" s="40"/>
      <c r="K2520" s="134"/>
      <c r="L2520" s="134"/>
      <c r="M2520" s="136"/>
    </row>
    <row r="2521" spans="1:13">
      <c r="A2521" s="15"/>
      <c r="B2521" s="40"/>
      <c r="C2521" s="134"/>
      <c r="D2521" s="135"/>
      <c r="E2521" s="135"/>
      <c r="F2521" s="40"/>
      <c r="G2521" s="40"/>
      <c r="H2521" s="40"/>
      <c r="I2521" s="134"/>
      <c r="J2521" s="40"/>
      <c r="K2521" s="134"/>
      <c r="L2521" s="134"/>
      <c r="M2521" s="136"/>
    </row>
    <row r="2522" spans="1:13">
      <c r="A2522" s="15"/>
      <c r="B2522" s="40"/>
      <c r="C2522" s="134"/>
      <c r="D2522" s="135"/>
      <c r="E2522" s="135"/>
      <c r="F2522" s="40"/>
      <c r="G2522" s="40"/>
      <c r="H2522" s="40"/>
      <c r="I2522" s="134"/>
      <c r="J2522" s="40"/>
      <c r="K2522" s="134"/>
      <c r="L2522" s="134"/>
      <c r="M2522" s="136"/>
    </row>
    <row r="2523" spans="1:13">
      <c r="A2523" s="15"/>
      <c r="B2523" s="40"/>
      <c r="C2523" s="134"/>
      <c r="D2523" s="135"/>
      <c r="E2523" s="135"/>
      <c r="F2523" s="40"/>
      <c r="G2523" s="40"/>
      <c r="H2523" s="40"/>
      <c r="I2523" s="134"/>
      <c r="J2523" s="40"/>
      <c r="K2523" s="134"/>
      <c r="L2523" s="134"/>
      <c r="M2523" s="136"/>
    </row>
    <row r="2524" spans="1:13">
      <c r="A2524" s="15"/>
      <c r="B2524" s="40"/>
      <c r="C2524" s="134"/>
      <c r="D2524" s="135"/>
      <c r="E2524" s="135"/>
      <c r="F2524" s="40"/>
      <c r="G2524" s="40"/>
      <c r="H2524" s="40"/>
      <c r="I2524" s="134"/>
      <c r="J2524" s="40"/>
      <c r="K2524" s="134"/>
      <c r="L2524" s="134"/>
      <c r="M2524" s="136"/>
    </row>
    <row r="2525" spans="1:13">
      <c r="A2525" s="15"/>
      <c r="B2525" s="40"/>
      <c r="C2525" s="134"/>
      <c r="D2525" s="135"/>
      <c r="E2525" s="135"/>
      <c r="F2525" s="40"/>
      <c r="G2525" s="40"/>
      <c r="H2525" s="40"/>
      <c r="I2525" s="134"/>
      <c r="J2525" s="40"/>
      <c r="K2525" s="134"/>
      <c r="L2525" s="134"/>
      <c r="M2525" s="136"/>
    </row>
    <row r="2526" spans="1:13">
      <c r="A2526" s="15"/>
      <c r="B2526" s="40"/>
      <c r="C2526" s="134"/>
      <c r="D2526" s="135"/>
      <c r="E2526" s="135"/>
      <c r="F2526" s="40"/>
      <c r="G2526" s="40"/>
      <c r="H2526" s="40"/>
      <c r="I2526" s="134"/>
      <c r="J2526" s="40"/>
      <c r="K2526" s="134"/>
      <c r="L2526" s="134"/>
      <c r="M2526" s="136"/>
    </row>
    <row r="2527" spans="1:13">
      <c r="A2527" s="15"/>
      <c r="B2527" s="40"/>
      <c r="C2527" s="134"/>
      <c r="D2527" s="135"/>
      <c r="E2527" s="135"/>
      <c r="F2527" s="40"/>
      <c r="G2527" s="40"/>
      <c r="H2527" s="40"/>
      <c r="I2527" s="134"/>
      <c r="J2527" s="40"/>
      <c r="K2527" s="134"/>
      <c r="L2527" s="134"/>
      <c r="M2527" s="136"/>
    </row>
    <row r="2528" spans="1:13">
      <c r="A2528" s="15"/>
      <c r="B2528" s="40"/>
      <c r="C2528" s="134"/>
      <c r="D2528" s="135"/>
      <c r="E2528" s="135"/>
      <c r="F2528" s="40"/>
      <c r="G2528" s="40"/>
      <c r="H2528" s="40"/>
      <c r="I2528" s="134"/>
      <c r="J2528" s="40"/>
      <c r="K2528" s="134"/>
      <c r="L2528" s="134"/>
      <c r="M2528" s="136"/>
    </row>
    <row r="2529" spans="1:13">
      <c r="A2529" s="15"/>
      <c r="B2529" s="40"/>
      <c r="C2529" s="134"/>
      <c r="D2529" s="135"/>
      <c r="E2529" s="135"/>
      <c r="F2529" s="40"/>
      <c r="G2529" s="40"/>
      <c r="H2529" s="40"/>
      <c r="I2529" s="134"/>
      <c r="J2529" s="40"/>
      <c r="K2529" s="134"/>
      <c r="L2529" s="134"/>
      <c r="M2529" s="136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N4089"/>
  <sheetViews>
    <sheetView topLeftCell="A25" zoomScale="90" zoomScaleNormal="90" workbookViewId="0">
      <selection sqref="A1:N4090"/>
    </sheetView>
  </sheetViews>
  <sheetFormatPr baseColWidth="10" defaultRowHeight="15"/>
  <cols>
    <col min="1" max="1" width="7.28515625" style="206" bestFit="1" customWidth="1"/>
    <col min="2" max="2" width="21.7109375" style="206" customWidth="1"/>
    <col min="3" max="3" width="7.7109375" style="207" bestFit="1" customWidth="1"/>
    <col min="4" max="4" width="7.5703125" style="193" customWidth="1"/>
    <col min="5" max="5" width="7.28515625" style="193" customWidth="1"/>
    <col min="6" max="6" width="17" style="194" bestFit="1" customWidth="1"/>
    <col min="7" max="7" width="6" style="206" customWidth="1"/>
    <col min="8" max="8" width="7.7109375" style="206" customWidth="1"/>
    <col min="9" max="9" width="8.85546875" style="206" customWidth="1"/>
    <col min="10" max="10" width="11.7109375" style="208" customWidth="1"/>
    <col min="11" max="11" width="15.85546875" style="206" bestFit="1" customWidth="1"/>
    <col min="12" max="12" width="2.42578125" style="206" customWidth="1"/>
    <col min="13" max="13" width="11.28515625" style="193" customWidth="1"/>
    <col min="14" max="14" width="61" style="206" customWidth="1"/>
  </cols>
  <sheetData>
    <row r="1" spans="1:14" ht="15.75" thickBot="1">
      <c r="A1" s="139" t="s">
        <v>7</v>
      </c>
      <c r="B1" s="140" t="s">
        <v>8</v>
      </c>
      <c r="C1" s="141" t="s">
        <v>9</v>
      </c>
      <c r="D1" s="142" t="s">
        <v>10</v>
      </c>
      <c r="E1" s="143" t="s">
        <v>12</v>
      </c>
      <c r="F1" s="141" t="s">
        <v>24</v>
      </c>
      <c r="G1" s="144" t="s">
        <v>15</v>
      </c>
      <c r="H1" s="144" t="s">
        <v>16</v>
      </c>
      <c r="I1" s="144" t="s">
        <v>17</v>
      </c>
      <c r="J1" s="144" t="s">
        <v>18</v>
      </c>
      <c r="K1" s="145" t="s">
        <v>19</v>
      </c>
      <c r="L1" s="140" t="s">
        <v>25</v>
      </c>
      <c r="M1" s="146" t="s">
        <v>26</v>
      </c>
      <c r="N1" s="147" t="s">
        <v>27</v>
      </c>
    </row>
    <row r="2" spans="1:14">
      <c r="A2" s="148">
        <v>46174</v>
      </c>
      <c r="B2" s="149" t="s">
        <v>63</v>
      </c>
      <c r="C2" s="150"/>
      <c r="D2" s="151">
        <v>8000</v>
      </c>
      <c r="E2" s="152">
        <v>1</v>
      </c>
      <c r="F2" s="153" t="s">
        <v>73</v>
      </c>
      <c r="G2" s="149" t="s">
        <v>71</v>
      </c>
      <c r="H2" s="149" t="s">
        <v>373</v>
      </c>
      <c r="I2" s="154"/>
      <c r="J2" s="155" t="s">
        <v>89</v>
      </c>
      <c r="K2" s="156"/>
      <c r="L2" s="157">
        <v>5</v>
      </c>
      <c r="M2" s="158">
        <v>8000</v>
      </c>
      <c r="N2" s="159" t="s">
        <v>78</v>
      </c>
    </row>
    <row r="3" spans="1:14">
      <c r="A3" s="148">
        <v>46174</v>
      </c>
      <c r="B3" s="149" t="s">
        <v>63</v>
      </c>
      <c r="C3" s="150"/>
      <c r="D3" s="151">
        <v>19000</v>
      </c>
      <c r="E3" s="152">
        <v>1</v>
      </c>
      <c r="F3" s="153" t="s">
        <v>286</v>
      </c>
      <c r="G3" s="149" t="s">
        <v>60</v>
      </c>
      <c r="H3" s="149" t="s">
        <v>61</v>
      </c>
      <c r="I3" s="154"/>
      <c r="J3" s="155" t="s">
        <v>89</v>
      </c>
      <c r="K3" s="156"/>
      <c r="L3" s="157">
        <v>5</v>
      </c>
      <c r="M3" s="158">
        <v>19000</v>
      </c>
      <c r="N3" s="159" t="s">
        <v>287</v>
      </c>
    </row>
    <row r="4" spans="1:14">
      <c r="A4" s="148">
        <v>46175</v>
      </c>
      <c r="B4" s="149" t="s">
        <v>63</v>
      </c>
      <c r="C4" s="150"/>
      <c r="D4" s="151">
        <v>10343</v>
      </c>
      <c r="E4" s="152">
        <v>1</v>
      </c>
      <c r="F4" s="153" t="s">
        <v>5086</v>
      </c>
      <c r="G4" s="149" t="s">
        <v>60</v>
      </c>
      <c r="H4" s="149" t="s">
        <v>61</v>
      </c>
      <c r="I4" s="154"/>
      <c r="J4" s="155" t="s">
        <v>89</v>
      </c>
      <c r="K4" s="156" t="s">
        <v>5080</v>
      </c>
      <c r="L4" s="157">
        <v>4</v>
      </c>
      <c r="M4" s="158">
        <v>10343</v>
      </c>
      <c r="N4" s="159" t="s">
        <v>5074</v>
      </c>
    </row>
    <row r="5" spans="1:14">
      <c r="A5" s="148">
        <v>46176</v>
      </c>
      <c r="B5" s="149" t="s">
        <v>63</v>
      </c>
      <c r="C5" s="160"/>
      <c r="D5" s="151">
        <v>32000</v>
      </c>
      <c r="E5" s="152">
        <v>4</v>
      </c>
      <c r="F5" s="161" t="s">
        <v>73</v>
      </c>
      <c r="G5" s="149" t="s">
        <v>60</v>
      </c>
      <c r="H5" s="149" t="s">
        <v>61</v>
      </c>
      <c r="I5" s="154"/>
      <c r="J5" s="155" t="s">
        <v>82</v>
      </c>
      <c r="K5" s="156" t="s">
        <v>5087</v>
      </c>
      <c r="L5" s="157">
        <v>5</v>
      </c>
      <c r="M5" s="158">
        <v>32000</v>
      </c>
      <c r="N5" s="159" t="s">
        <v>78</v>
      </c>
    </row>
    <row r="6" spans="1:14">
      <c r="A6" s="148">
        <v>46176</v>
      </c>
      <c r="B6" s="149" t="s">
        <v>63</v>
      </c>
      <c r="C6" s="160"/>
      <c r="D6" s="151"/>
      <c r="E6" s="152">
        <v>1</v>
      </c>
      <c r="F6" s="153" t="s">
        <v>73</v>
      </c>
      <c r="G6" s="149"/>
      <c r="H6" s="149"/>
      <c r="I6" s="154"/>
      <c r="J6" s="155" t="s">
        <v>101</v>
      </c>
      <c r="K6" s="156"/>
      <c r="L6" s="157"/>
      <c r="M6" s="158" t="s">
        <v>28</v>
      </c>
      <c r="N6" s="159" t="s">
        <v>78</v>
      </c>
    </row>
    <row r="7" spans="1:14">
      <c r="A7" s="148">
        <v>46176</v>
      </c>
      <c r="B7" s="149" t="s">
        <v>63</v>
      </c>
      <c r="C7" s="160"/>
      <c r="D7" s="151"/>
      <c r="E7" s="152">
        <v>-1</v>
      </c>
      <c r="F7" s="153" t="s">
        <v>5088</v>
      </c>
      <c r="G7" s="149"/>
      <c r="H7" s="149"/>
      <c r="I7" s="154"/>
      <c r="J7" s="155" t="s">
        <v>101</v>
      </c>
      <c r="K7" s="162" t="s">
        <v>5089</v>
      </c>
      <c r="L7" s="157"/>
      <c r="M7" s="158" t="s">
        <v>28</v>
      </c>
      <c r="N7" s="159" t="s">
        <v>5090</v>
      </c>
    </row>
    <row r="8" spans="1:14">
      <c r="A8" s="148">
        <v>46176</v>
      </c>
      <c r="B8" s="149" t="s">
        <v>63</v>
      </c>
      <c r="C8" s="160"/>
      <c r="D8" s="151">
        <v>12500</v>
      </c>
      <c r="E8" s="152">
        <v>1</v>
      </c>
      <c r="F8" s="153" t="s">
        <v>5182</v>
      </c>
      <c r="G8" s="149" t="s">
        <v>71</v>
      </c>
      <c r="H8" s="149" t="s">
        <v>373</v>
      </c>
      <c r="I8" s="154"/>
      <c r="J8" s="155" t="s">
        <v>82</v>
      </c>
      <c r="K8" s="162"/>
      <c r="L8" s="157">
        <v>5</v>
      </c>
      <c r="M8" s="158">
        <v>12500</v>
      </c>
      <c r="N8" s="159" t="s">
        <v>5184</v>
      </c>
    </row>
    <row r="9" spans="1:14">
      <c r="A9" s="148">
        <v>46177</v>
      </c>
      <c r="B9" s="149" t="s">
        <v>63</v>
      </c>
      <c r="C9" s="160"/>
      <c r="D9" s="151">
        <v>6000</v>
      </c>
      <c r="E9" s="152">
        <v>1</v>
      </c>
      <c r="F9" s="153" t="s">
        <v>5103</v>
      </c>
      <c r="G9" s="154" t="s">
        <v>71</v>
      </c>
      <c r="H9" s="154" t="s">
        <v>373</v>
      </c>
      <c r="I9" s="154"/>
      <c r="J9" s="155" t="s">
        <v>86</v>
      </c>
      <c r="K9" s="162"/>
      <c r="L9" s="157">
        <v>5</v>
      </c>
      <c r="M9" s="158">
        <v>6000</v>
      </c>
      <c r="N9" s="159" t="s">
        <v>5104</v>
      </c>
    </row>
    <row r="10" spans="1:14">
      <c r="A10" s="148">
        <v>46177</v>
      </c>
      <c r="B10" s="149" t="s">
        <v>63</v>
      </c>
      <c r="C10" s="160"/>
      <c r="D10" s="151">
        <v>20500</v>
      </c>
      <c r="E10" s="152">
        <v>1</v>
      </c>
      <c r="F10" s="153" t="s">
        <v>5105</v>
      </c>
      <c r="G10" s="149" t="s">
        <v>71</v>
      </c>
      <c r="H10" s="149" t="s">
        <v>373</v>
      </c>
      <c r="I10" s="154"/>
      <c r="J10" s="155" t="s">
        <v>86</v>
      </c>
      <c r="K10" s="156"/>
      <c r="L10" s="157">
        <v>5</v>
      </c>
      <c r="M10" s="158">
        <v>20500</v>
      </c>
      <c r="N10" s="159" t="s">
        <v>5106</v>
      </c>
    </row>
    <row r="11" spans="1:14">
      <c r="A11" s="148">
        <v>46177</v>
      </c>
      <c r="B11" s="149" t="s">
        <v>63</v>
      </c>
      <c r="C11" s="160"/>
      <c r="D11" s="151">
        <v>7000</v>
      </c>
      <c r="E11" s="152">
        <v>1</v>
      </c>
      <c r="F11" s="153" t="s">
        <v>5107</v>
      </c>
      <c r="G11" s="149" t="s">
        <v>71</v>
      </c>
      <c r="H11" s="149" t="s">
        <v>373</v>
      </c>
      <c r="I11" s="154"/>
      <c r="J11" s="155" t="s">
        <v>86</v>
      </c>
      <c r="K11" s="156"/>
      <c r="L11" s="157">
        <v>5</v>
      </c>
      <c r="M11" s="158">
        <v>7000</v>
      </c>
      <c r="N11" s="159" t="s">
        <v>5108</v>
      </c>
    </row>
    <row r="12" spans="1:14">
      <c r="A12" s="148">
        <v>46179</v>
      </c>
      <c r="B12" s="149" t="s">
        <v>63</v>
      </c>
      <c r="C12" s="160"/>
      <c r="D12" s="151">
        <v>29000</v>
      </c>
      <c r="E12" s="152">
        <v>1</v>
      </c>
      <c r="F12" s="153" t="s">
        <v>5086</v>
      </c>
      <c r="G12" s="149" t="s">
        <v>71</v>
      </c>
      <c r="H12" s="149" t="s">
        <v>72</v>
      </c>
      <c r="I12" s="154">
        <v>902</v>
      </c>
      <c r="J12" s="155" t="s">
        <v>89</v>
      </c>
      <c r="K12" s="156"/>
      <c r="L12" s="157">
        <v>5</v>
      </c>
      <c r="M12" s="158">
        <v>28000</v>
      </c>
      <c r="N12" s="159" t="s">
        <v>5074</v>
      </c>
    </row>
    <row r="13" spans="1:14">
      <c r="A13" s="148">
        <v>46179</v>
      </c>
      <c r="B13" s="149" t="s">
        <v>63</v>
      </c>
      <c r="C13" s="160"/>
      <c r="D13" s="151">
        <v>16000</v>
      </c>
      <c r="E13" s="152">
        <v>1</v>
      </c>
      <c r="F13" s="153" t="s">
        <v>5116</v>
      </c>
      <c r="G13" s="149" t="s">
        <v>71</v>
      </c>
      <c r="H13" s="149" t="s">
        <v>72</v>
      </c>
      <c r="I13" s="154">
        <v>903</v>
      </c>
      <c r="J13" s="155" t="s">
        <v>89</v>
      </c>
      <c r="K13" s="156"/>
      <c r="L13" s="157">
        <v>5</v>
      </c>
      <c r="M13" s="158">
        <v>16000</v>
      </c>
      <c r="N13" s="159" t="s">
        <v>5117</v>
      </c>
    </row>
    <row r="14" spans="1:14">
      <c r="A14" s="148">
        <v>46179</v>
      </c>
      <c r="B14" s="149" t="s">
        <v>63</v>
      </c>
      <c r="C14" s="160"/>
      <c r="D14" s="151">
        <v>8000</v>
      </c>
      <c r="E14" s="152">
        <v>1</v>
      </c>
      <c r="F14" s="153" t="s">
        <v>73</v>
      </c>
      <c r="G14" s="149" t="s">
        <v>71</v>
      </c>
      <c r="H14" s="149" t="s">
        <v>72</v>
      </c>
      <c r="I14" s="154">
        <v>903</v>
      </c>
      <c r="J14" s="155" t="s">
        <v>89</v>
      </c>
      <c r="K14" s="162"/>
      <c r="L14" s="157">
        <v>5</v>
      </c>
      <c r="M14" s="158">
        <v>8000</v>
      </c>
      <c r="N14" s="159" t="s">
        <v>78</v>
      </c>
    </row>
    <row r="15" spans="1:14">
      <c r="A15" s="148">
        <v>46179</v>
      </c>
      <c r="B15" s="149" t="s">
        <v>63</v>
      </c>
      <c r="C15" s="160"/>
      <c r="D15" s="151">
        <v>20500</v>
      </c>
      <c r="E15" s="152">
        <v>1</v>
      </c>
      <c r="F15" s="153" t="s">
        <v>5105</v>
      </c>
      <c r="G15" s="149" t="s">
        <v>71</v>
      </c>
      <c r="H15" s="149" t="s">
        <v>72</v>
      </c>
      <c r="I15" s="154">
        <v>903</v>
      </c>
      <c r="J15" s="155" t="s">
        <v>89</v>
      </c>
      <c r="K15" s="156"/>
      <c r="L15" s="157">
        <v>5</v>
      </c>
      <c r="M15" s="158">
        <v>20500</v>
      </c>
      <c r="N15" s="159" t="s">
        <v>5106</v>
      </c>
    </row>
    <row r="16" spans="1:14">
      <c r="A16" s="148">
        <v>46179</v>
      </c>
      <c r="B16" s="149" t="s">
        <v>63</v>
      </c>
      <c r="C16" s="160"/>
      <c r="D16" s="151">
        <v>8000</v>
      </c>
      <c r="E16" s="152">
        <v>1</v>
      </c>
      <c r="F16" s="163" t="s">
        <v>73</v>
      </c>
      <c r="G16" s="154" t="s">
        <v>60</v>
      </c>
      <c r="H16" s="154" t="s">
        <v>61</v>
      </c>
      <c r="I16" s="154"/>
      <c r="J16" s="155" t="s">
        <v>89</v>
      </c>
      <c r="K16" s="156"/>
      <c r="L16" s="157">
        <v>5</v>
      </c>
      <c r="M16" s="158">
        <v>8000</v>
      </c>
      <c r="N16" s="159" t="s">
        <v>78</v>
      </c>
    </row>
    <row r="17" spans="1:14">
      <c r="A17" s="148">
        <v>46179</v>
      </c>
      <c r="B17" s="164" t="s">
        <v>63</v>
      </c>
      <c r="C17" s="160"/>
      <c r="D17" s="151">
        <v>11000</v>
      </c>
      <c r="E17" s="152">
        <v>1</v>
      </c>
      <c r="F17" s="153" t="s">
        <v>5121</v>
      </c>
      <c r="G17" s="154" t="s">
        <v>60</v>
      </c>
      <c r="H17" s="154" t="s">
        <v>61</v>
      </c>
      <c r="I17" s="154"/>
      <c r="J17" s="155" t="s">
        <v>86</v>
      </c>
      <c r="K17" s="156"/>
      <c r="L17" s="157">
        <v>5</v>
      </c>
      <c r="M17" s="158">
        <v>11000</v>
      </c>
      <c r="N17" s="159" t="s">
        <v>5122</v>
      </c>
    </row>
    <row r="18" spans="1:14">
      <c r="A18" s="148">
        <v>46179</v>
      </c>
      <c r="B18" s="149" t="s">
        <v>63</v>
      </c>
      <c r="C18" s="160"/>
      <c r="D18" s="151">
        <v>20500</v>
      </c>
      <c r="E18" s="152">
        <v>1</v>
      </c>
      <c r="F18" s="153" t="s">
        <v>5105</v>
      </c>
      <c r="G18" s="154" t="s">
        <v>60</v>
      </c>
      <c r="H18" s="154" t="s">
        <v>61</v>
      </c>
      <c r="I18" s="154"/>
      <c r="J18" s="155" t="s">
        <v>86</v>
      </c>
      <c r="K18" s="156"/>
      <c r="L18" s="157">
        <v>5</v>
      </c>
      <c r="M18" s="158">
        <v>20500</v>
      </c>
      <c r="N18" s="159" t="s">
        <v>5106</v>
      </c>
    </row>
    <row r="19" spans="1:14">
      <c r="A19" s="148">
        <v>46180</v>
      </c>
      <c r="B19" s="149" t="s">
        <v>63</v>
      </c>
      <c r="C19" s="160"/>
      <c r="D19" s="151">
        <v>9000</v>
      </c>
      <c r="E19" s="152">
        <v>1</v>
      </c>
      <c r="F19" s="154" t="s">
        <v>5129</v>
      </c>
      <c r="G19" s="149" t="s">
        <v>60</v>
      </c>
      <c r="H19" s="149" t="s">
        <v>61</v>
      </c>
      <c r="I19" s="154"/>
      <c r="J19" s="155" t="s">
        <v>82</v>
      </c>
      <c r="K19" s="156"/>
      <c r="L19" s="157">
        <v>5</v>
      </c>
      <c r="M19" s="158">
        <v>9000</v>
      </c>
      <c r="N19" s="159" t="s">
        <v>5130</v>
      </c>
    </row>
    <row r="20" spans="1:14">
      <c r="A20" s="148">
        <v>46180</v>
      </c>
      <c r="B20" s="149" t="s">
        <v>63</v>
      </c>
      <c r="C20" s="160"/>
      <c r="D20" s="151">
        <v>11500</v>
      </c>
      <c r="E20" s="152">
        <v>1</v>
      </c>
      <c r="F20" s="153" t="s">
        <v>5131</v>
      </c>
      <c r="G20" s="149" t="s">
        <v>60</v>
      </c>
      <c r="H20" s="149" t="s">
        <v>61</v>
      </c>
      <c r="I20" s="154"/>
      <c r="J20" s="155" t="s">
        <v>82</v>
      </c>
      <c r="K20" s="156"/>
      <c r="L20" s="157">
        <v>5</v>
      </c>
      <c r="M20" s="158">
        <v>11500</v>
      </c>
      <c r="N20" s="159" t="s">
        <v>5132</v>
      </c>
    </row>
    <row r="21" spans="1:14">
      <c r="A21" s="148">
        <v>46180</v>
      </c>
      <c r="B21" s="149" t="s">
        <v>63</v>
      </c>
      <c r="C21" s="160"/>
      <c r="D21" s="151">
        <v>8000</v>
      </c>
      <c r="E21" s="152">
        <v>1</v>
      </c>
      <c r="F21" s="153" t="s">
        <v>73</v>
      </c>
      <c r="G21" s="149" t="s">
        <v>71</v>
      </c>
      <c r="H21" s="149" t="s">
        <v>373</v>
      </c>
      <c r="I21" s="154" t="s">
        <v>5161</v>
      </c>
      <c r="J21" s="155" t="s">
        <v>82</v>
      </c>
      <c r="K21" s="156"/>
      <c r="L21" s="157">
        <v>5</v>
      </c>
      <c r="M21" s="158">
        <v>8000</v>
      </c>
      <c r="N21" s="159" t="s">
        <v>78</v>
      </c>
    </row>
    <row r="22" spans="1:14">
      <c r="A22" s="148">
        <v>46180</v>
      </c>
      <c r="B22" s="149" t="s">
        <v>63</v>
      </c>
      <c r="C22" s="160"/>
      <c r="D22" s="151">
        <v>8000</v>
      </c>
      <c r="E22" s="152">
        <v>1</v>
      </c>
      <c r="F22" s="153" t="s">
        <v>73</v>
      </c>
      <c r="G22" s="149" t="s">
        <v>71</v>
      </c>
      <c r="H22" s="149" t="s">
        <v>72</v>
      </c>
      <c r="I22" s="154">
        <v>905</v>
      </c>
      <c r="J22" s="155" t="s">
        <v>82</v>
      </c>
      <c r="K22" s="156"/>
      <c r="L22" s="157">
        <v>5</v>
      </c>
      <c r="M22" s="158">
        <v>8000</v>
      </c>
      <c r="N22" s="159" t="s">
        <v>78</v>
      </c>
    </row>
    <row r="23" spans="1:14">
      <c r="A23" s="148">
        <v>46180</v>
      </c>
      <c r="B23" s="149" t="s">
        <v>63</v>
      </c>
      <c r="C23" s="160"/>
      <c r="D23" s="151">
        <v>35000</v>
      </c>
      <c r="E23" s="152">
        <v>1</v>
      </c>
      <c r="F23" s="153" t="s">
        <v>5133</v>
      </c>
      <c r="G23" s="149" t="s">
        <v>71</v>
      </c>
      <c r="H23" s="149" t="s">
        <v>72</v>
      </c>
      <c r="I23" s="154">
        <v>905</v>
      </c>
      <c r="J23" s="155" t="s">
        <v>82</v>
      </c>
      <c r="K23" s="156"/>
      <c r="L23" s="157">
        <v>5</v>
      </c>
      <c r="M23" s="158">
        <v>35000</v>
      </c>
      <c r="N23" s="159" t="s">
        <v>5134</v>
      </c>
    </row>
    <row r="24" spans="1:14">
      <c r="A24" s="148">
        <v>46180</v>
      </c>
      <c r="B24" s="149" t="s">
        <v>63</v>
      </c>
      <c r="C24" s="160"/>
      <c r="D24" s="151">
        <v>16500</v>
      </c>
      <c r="E24" s="152">
        <v>1</v>
      </c>
      <c r="F24" s="153" t="s">
        <v>5135</v>
      </c>
      <c r="G24" s="149" t="s">
        <v>60</v>
      </c>
      <c r="H24" s="149" t="s">
        <v>61</v>
      </c>
      <c r="I24" s="154"/>
      <c r="J24" s="155" t="s">
        <v>86</v>
      </c>
      <c r="K24" s="156"/>
      <c r="L24" s="157">
        <v>5</v>
      </c>
      <c r="M24" s="158">
        <v>16500</v>
      </c>
      <c r="N24" s="159" t="s">
        <v>5136</v>
      </c>
    </row>
    <row r="25" spans="1:14">
      <c r="A25" s="148">
        <v>46180</v>
      </c>
      <c r="B25" s="149" t="s">
        <v>63</v>
      </c>
      <c r="C25" s="160"/>
      <c r="D25" s="151">
        <v>20500</v>
      </c>
      <c r="E25" s="152">
        <v>1</v>
      </c>
      <c r="F25" s="153" t="s">
        <v>5105</v>
      </c>
      <c r="G25" s="149" t="s">
        <v>71</v>
      </c>
      <c r="H25" s="149" t="s">
        <v>373</v>
      </c>
      <c r="I25" s="154" t="s">
        <v>486</v>
      </c>
      <c r="J25" s="155" t="s">
        <v>86</v>
      </c>
      <c r="K25" s="156"/>
      <c r="L25" s="157">
        <v>5</v>
      </c>
      <c r="M25" s="158">
        <v>20500</v>
      </c>
      <c r="N25" s="159" t="s">
        <v>5106</v>
      </c>
    </row>
    <row r="26" spans="1:14">
      <c r="A26" s="148">
        <v>46180</v>
      </c>
      <c r="B26" s="149" t="s">
        <v>63</v>
      </c>
      <c r="C26" s="160"/>
      <c r="D26" s="151">
        <v>16000</v>
      </c>
      <c r="E26" s="152">
        <v>2</v>
      </c>
      <c r="F26" s="153" t="s">
        <v>73</v>
      </c>
      <c r="G26" s="149" t="s">
        <v>71</v>
      </c>
      <c r="H26" s="149" t="s">
        <v>72</v>
      </c>
      <c r="I26" s="154">
        <v>907</v>
      </c>
      <c r="J26" s="155" t="s">
        <v>82</v>
      </c>
      <c r="K26" s="156"/>
      <c r="L26" s="157">
        <v>5</v>
      </c>
      <c r="M26" s="158">
        <v>16000</v>
      </c>
      <c r="N26" s="159" t="s">
        <v>78</v>
      </c>
    </row>
    <row r="27" spans="1:14">
      <c r="A27" s="148">
        <v>46180</v>
      </c>
      <c r="B27" s="149" t="s">
        <v>63</v>
      </c>
      <c r="C27" s="160"/>
      <c r="D27" s="151">
        <v>19000</v>
      </c>
      <c r="E27" s="152">
        <v>1</v>
      </c>
      <c r="F27" s="153" t="s">
        <v>286</v>
      </c>
      <c r="G27" s="149" t="s">
        <v>71</v>
      </c>
      <c r="H27" s="149" t="s">
        <v>72</v>
      </c>
      <c r="I27" s="154">
        <v>908</v>
      </c>
      <c r="J27" s="155" t="s">
        <v>86</v>
      </c>
      <c r="K27" s="156"/>
      <c r="L27" s="157">
        <v>5</v>
      </c>
      <c r="M27" s="158">
        <v>19000</v>
      </c>
      <c r="N27" s="159" t="s">
        <v>287</v>
      </c>
    </row>
    <row r="28" spans="1:14">
      <c r="A28" s="148">
        <v>46180</v>
      </c>
      <c r="B28" s="149" t="s">
        <v>63</v>
      </c>
      <c r="C28" s="150"/>
      <c r="D28" s="151">
        <v>16000</v>
      </c>
      <c r="E28" s="152">
        <v>2</v>
      </c>
      <c r="F28" s="153" t="s">
        <v>73</v>
      </c>
      <c r="G28" s="149" t="s">
        <v>71</v>
      </c>
      <c r="H28" s="149" t="s">
        <v>535</v>
      </c>
      <c r="I28" s="154">
        <v>909</v>
      </c>
      <c r="J28" s="155" t="s">
        <v>82</v>
      </c>
      <c r="K28" s="156"/>
      <c r="L28" s="157">
        <v>5</v>
      </c>
      <c r="M28" s="158">
        <v>16000</v>
      </c>
      <c r="N28" s="159" t="s">
        <v>78</v>
      </c>
    </row>
    <row r="29" spans="1:14">
      <c r="A29" s="148">
        <v>46180</v>
      </c>
      <c r="B29" s="149" t="s">
        <v>63</v>
      </c>
      <c r="C29" s="160"/>
      <c r="D29" s="151">
        <v>7500</v>
      </c>
      <c r="E29" s="152">
        <v>1</v>
      </c>
      <c r="F29" s="153" t="s">
        <v>5152</v>
      </c>
      <c r="G29" s="149" t="s">
        <v>71</v>
      </c>
      <c r="H29" s="149" t="s">
        <v>535</v>
      </c>
      <c r="I29" s="154">
        <v>909</v>
      </c>
      <c r="J29" s="155" t="s">
        <v>82</v>
      </c>
      <c r="K29" s="162"/>
      <c r="L29" s="157">
        <v>5</v>
      </c>
      <c r="M29" s="158">
        <v>7500</v>
      </c>
      <c r="N29" s="159" t="s">
        <v>5153</v>
      </c>
    </row>
    <row r="30" spans="1:14">
      <c r="A30" s="148">
        <v>46180</v>
      </c>
      <c r="B30" s="149" t="s">
        <v>63</v>
      </c>
      <c r="C30" s="150"/>
      <c r="D30" s="165">
        <v>7500</v>
      </c>
      <c r="E30" s="152">
        <v>1</v>
      </c>
      <c r="F30" s="153" t="s">
        <v>5154</v>
      </c>
      <c r="G30" s="149" t="s">
        <v>71</v>
      </c>
      <c r="H30" s="149" t="s">
        <v>535</v>
      </c>
      <c r="I30" s="154">
        <v>909</v>
      </c>
      <c r="J30" s="155" t="s">
        <v>82</v>
      </c>
      <c r="K30" s="162"/>
      <c r="L30" s="157">
        <v>5</v>
      </c>
      <c r="M30" s="158">
        <v>7500</v>
      </c>
      <c r="N30" s="159" t="s">
        <v>5155</v>
      </c>
    </row>
    <row r="31" spans="1:14">
      <c r="A31" s="148">
        <v>46180</v>
      </c>
      <c r="B31" s="149" t="s">
        <v>63</v>
      </c>
      <c r="C31" s="150"/>
      <c r="D31" s="165">
        <v>8000</v>
      </c>
      <c r="E31" s="152">
        <v>1</v>
      </c>
      <c r="F31" s="153" t="s">
        <v>73</v>
      </c>
      <c r="G31" s="149" t="s">
        <v>71</v>
      </c>
      <c r="H31" s="149" t="s">
        <v>373</v>
      </c>
      <c r="I31" s="154" t="s">
        <v>108</v>
      </c>
      <c r="J31" s="155" t="s">
        <v>86</v>
      </c>
      <c r="K31" s="162"/>
      <c r="L31" s="157">
        <v>5</v>
      </c>
      <c r="M31" s="158">
        <v>8000</v>
      </c>
      <c r="N31" s="159" t="s">
        <v>78</v>
      </c>
    </row>
    <row r="32" spans="1:14">
      <c r="A32" s="148">
        <v>46180</v>
      </c>
      <c r="B32" s="149" t="s">
        <v>63</v>
      </c>
      <c r="C32" s="150"/>
      <c r="D32" s="165">
        <v>7500</v>
      </c>
      <c r="E32" s="152">
        <v>1</v>
      </c>
      <c r="F32" s="153" t="s">
        <v>5156</v>
      </c>
      <c r="G32" s="149" t="s">
        <v>71</v>
      </c>
      <c r="H32" s="149" t="s">
        <v>535</v>
      </c>
      <c r="I32" s="154">
        <v>913</v>
      </c>
      <c r="J32" s="155" t="s">
        <v>86</v>
      </c>
      <c r="K32" s="162"/>
      <c r="L32" s="157">
        <v>5</v>
      </c>
      <c r="M32" s="158">
        <v>7500</v>
      </c>
      <c r="N32" s="159" t="s">
        <v>5157</v>
      </c>
    </row>
    <row r="33" spans="1:14">
      <c r="A33" s="148">
        <v>46180</v>
      </c>
      <c r="B33" s="149" t="s">
        <v>63</v>
      </c>
      <c r="C33" s="150"/>
      <c r="D33" s="165">
        <v>7000</v>
      </c>
      <c r="E33" s="152">
        <v>1</v>
      </c>
      <c r="F33" s="153" t="s">
        <v>5162</v>
      </c>
      <c r="G33" s="149" t="s">
        <v>71</v>
      </c>
      <c r="H33" s="149" t="s">
        <v>535</v>
      </c>
      <c r="I33" s="149">
        <v>913</v>
      </c>
      <c r="J33" s="155" t="s">
        <v>86</v>
      </c>
      <c r="K33" s="162"/>
      <c r="L33" s="157">
        <v>5</v>
      </c>
      <c r="M33" s="158">
        <v>7000</v>
      </c>
      <c r="N33" s="159" t="s">
        <v>5163</v>
      </c>
    </row>
    <row r="34" spans="1:14">
      <c r="A34" s="148">
        <v>46180</v>
      </c>
      <c r="B34" s="149" t="s">
        <v>63</v>
      </c>
      <c r="C34" s="150"/>
      <c r="D34" s="165">
        <v>19000</v>
      </c>
      <c r="E34" s="152">
        <v>1</v>
      </c>
      <c r="F34" s="153" t="s">
        <v>286</v>
      </c>
      <c r="G34" s="149" t="s">
        <v>60</v>
      </c>
      <c r="H34" s="149" t="s">
        <v>61</v>
      </c>
      <c r="I34" s="149"/>
      <c r="J34" s="155" t="s">
        <v>86</v>
      </c>
      <c r="K34" s="162"/>
      <c r="L34" s="157">
        <v>5</v>
      </c>
      <c r="M34" s="158">
        <v>19000</v>
      </c>
      <c r="N34" s="159" t="s">
        <v>287</v>
      </c>
    </row>
    <row r="35" spans="1:14">
      <c r="A35" s="148">
        <v>46181</v>
      </c>
      <c r="B35" s="149" t="s">
        <v>63</v>
      </c>
      <c r="C35" s="150"/>
      <c r="D35" s="165">
        <v>12500</v>
      </c>
      <c r="E35" s="152">
        <v>1</v>
      </c>
      <c r="F35" s="153" t="s">
        <v>5182</v>
      </c>
      <c r="G35" s="149" t="s">
        <v>71</v>
      </c>
      <c r="H35" s="149" t="s">
        <v>373</v>
      </c>
      <c r="I35" s="149" t="s">
        <v>5183</v>
      </c>
      <c r="J35" s="155" t="s">
        <v>89</v>
      </c>
      <c r="K35" s="162"/>
      <c r="L35" s="157">
        <v>5</v>
      </c>
      <c r="M35" s="158">
        <v>12500</v>
      </c>
      <c r="N35" s="159" t="s">
        <v>5184</v>
      </c>
    </row>
    <row r="36" spans="1:14">
      <c r="A36" s="148">
        <v>46181</v>
      </c>
      <c r="B36" s="149" t="s">
        <v>63</v>
      </c>
      <c r="C36" s="150"/>
      <c r="D36" s="165">
        <v>12500</v>
      </c>
      <c r="E36" s="152">
        <v>1</v>
      </c>
      <c r="F36" s="153" t="s">
        <v>5182</v>
      </c>
      <c r="G36" s="149" t="s">
        <v>60</v>
      </c>
      <c r="H36" s="149" t="s">
        <v>61</v>
      </c>
      <c r="I36" s="149"/>
      <c r="J36" s="155" t="s">
        <v>89</v>
      </c>
      <c r="K36" s="162"/>
      <c r="L36" s="157">
        <v>5</v>
      </c>
      <c r="M36" s="158">
        <v>12500</v>
      </c>
      <c r="N36" s="159" t="s">
        <v>5184</v>
      </c>
    </row>
    <row r="37" spans="1:14">
      <c r="A37" s="148">
        <v>46182</v>
      </c>
      <c r="B37" s="149" t="s">
        <v>63</v>
      </c>
      <c r="C37" s="150"/>
      <c r="D37" s="165">
        <v>19000</v>
      </c>
      <c r="E37" s="152">
        <v>1</v>
      </c>
      <c r="F37" s="153" t="s">
        <v>286</v>
      </c>
      <c r="G37" s="149" t="s">
        <v>71</v>
      </c>
      <c r="H37" s="149" t="s">
        <v>72</v>
      </c>
      <c r="I37" s="149">
        <v>916</v>
      </c>
      <c r="J37" s="155" t="s">
        <v>89</v>
      </c>
      <c r="K37" s="162"/>
      <c r="L37" s="157">
        <v>5</v>
      </c>
      <c r="M37" s="158">
        <v>19000</v>
      </c>
      <c r="N37" s="159" t="s">
        <v>287</v>
      </c>
    </row>
    <row r="38" spans="1:14">
      <c r="A38" s="148">
        <v>46182</v>
      </c>
      <c r="B38" s="149" t="s">
        <v>63</v>
      </c>
      <c r="C38" s="150"/>
      <c r="D38" s="165">
        <v>12500</v>
      </c>
      <c r="E38" s="152">
        <v>1</v>
      </c>
      <c r="F38" s="153" t="s">
        <v>5182</v>
      </c>
      <c r="G38" s="149" t="s">
        <v>71</v>
      </c>
      <c r="H38" s="149" t="s">
        <v>72</v>
      </c>
      <c r="I38" s="149">
        <v>919</v>
      </c>
      <c r="J38" s="155" t="s">
        <v>89</v>
      </c>
      <c r="K38" s="162"/>
      <c r="L38" s="157">
        <v>5</v>
      </c>
      <c r="M38" s="158">
        <v>12500</v>
      </c>
      <c r="N38" s="159" t="s">
        <v>5184</v>
      </c>
    </row>
    <row r="39" spans="1:14">
      <c r="A39" s="148">
        <v>46185</v>
      </c>
      <c r="B39" s="149" t="s">
        <v>63</v>
      </c>
      <c r="C39" s="150"/>
      <c r="D39" s="165">
        <v>13000</v>
      </c>
      <c r="E39" s="152">
        <v>1</v>
      </c>
      <c r="F39" s="153" t="s">
        <v>5224</v>
      </c>
      <c r="G39" s="149" t="s">
        <v>71</v>
      </c>
      <c r="H39" s="149" t="s">
        <v>373</v>
      </c>
      <c r="I39" s="149"/>
      <c r="J39" s="155" t="s">
        <v>89</v>
      </c>
      <c r="K39" s="162"/>
      <c r="L39" s="157">
        <v>5</v>
      </c>
      <c r="M39" s="158">
        <v>13000</v>
      </c>
      <c r="N39" s="159" t="s">
        <v>5225</v>
      </c>
    </row>
    <row r="40" spans="1:14">
      <c r="A40" s="148">
        <v>46185</v>
      </c>
      <c r="B40" s="149" t="s">
        <v>63</v>
      </c>
      <c r="C40" s="150"/>
      <c r="D40" s="165">
        <v>12500</v>
      </c>
      <c r="E40" s="152">
        <v>1</v>
      </c>
      <c r="F40" s="153" t="s">
        <v>5182</v>
      </c>
      <c r="G40" s="149" t="s">
        <v>71</v>
      </c>
      <c r="H40" s="149" t="s">
        <v>373</v>
      </c>
      <c r="I40" s="149"/>
      <c r="J40" s="155" t="s">
        <v>89</v>
      </c>
      <c r="K40" s="166"/>
      <c r="L40" s="157">
        <v>5</v>
      </c>
      <c r="M40" s="158">
        <v>12500</v>
      </c>
      <c r="N40" s="159" t="s">
        <v>5184</v>
      </c>
    </row>
    <row r="41" spans="1:14">
      <c r="A41" s="148">
        <v>46185</v>
      </c>
      <c r="B41" s="149" t="s">
        <v>63</v>
      </c>
      <c r="C41" s="160"/>
      <c r="D41" s="151">
        <v>12500</v>
      </c>
      <c r="E41" s="152">
        <v>1</v>
      </c>
      <c r="F41" s="153" t="s">
        <v>5182</v>
      </c>
      <c r="G41" s="149" t="s">
        <v>60</v>
      </c>
      <c r="H41" s="149" t="s">
        <v>61</v>
      </c>
      <c r="I41" s="149"/>
      <c r="J41" s="155" t="s">
        <v>89</v>
      </c>
      <c r="K41" s="156"/>
      <c r="L41" s="157">
        <v>5</v>
      </c>
      <c r="M41" s="158">
        <v>12500</v>
      </c>
      <c r="N41" s="159" t="s">
        <v>5184</v>
      </c>
    </row>
    <row r="42" spans="1:14">
      <c r="A42" s="148">
        <v>46185</v>
      </c>
      <c r="B42" s="149" t="s">
        <v>63</v>
      </c>
      <c r="C42" s="160"/>
      <c r="D42" s="151">
        <v>12500</v>
      </c>
      <c r="E42" s="152">
        <v>1</v>
      </c>
      <c r="F42" s="153" t="s">
        <v>5182</v>
      </c>
      <c r="G42" s="149" t="s">
        <v>60</v>
      </c>
      <c r="H42" s="149" t="s">
        <v>61</v>
      </c>
      <c r="I42" s="149"/>
      <c r="J42" s="155" t="s">
        <v>82</v>
      </c>
      <c r="K42" s="167"/>
      <c r="L42" s="157">
        <v>5</v>
      </c>
      <c r="M42" s="158">
        <v>12500</v>
      </c>
      <c r="N42" s="159" t="s">
        <v>5184</v>
      </c>
    </row>
    <row r="43" spans="1:14">
      <c r="A43" s="148">
        <v>46185</v>
      </c>
      <c r="B43" s="149" t="s">
        <v>63</v>
      </c>
      <c r="C43" s="160"/>
      <c r="D43" s="151">
        <v>12500</v>
      </c>
      <c r="E43" s="152">
        <v>1</v>
      </c>
      <c r="F43" s="153" t="s">
        <v>5182</v>
      </c>
      <c r="G43" s="149" t="s">
        <v>60</v>
      </c>
      <c r="H43" s="149" t="s">
        <v>61</v>
      </c>
      <c r="I43" s="149"/>
      <c r="J43" s="155" t="s">
        <v>82</v>
      </c>
      <c r="K43" s="167"/>
      <c r="L43" s="157">
        <v>5</v>
      </c>
      <c r="M43" s="158">
        <v>12500</v>
      </c>
      <c r="N43" s="159" t="s">
        <v>5184</v>
      </c>
    </row>
    <row r="44" spans="1:14">
      <c r="A44" s="148">
        <v>46183</v>
      </c>
      <c r="B44" s="149" t="s">
        <v>5237</v>
      </c>
      <c r="C44" s="160">
        <v>4259</v>
      </c>
      <c r="D44" s="151"/>
      <c r="E44" s="168">
        <v>-1</v>
      </c>
      <c r="F44" s="150" t="s">
        <v>5238</v>
      </c>
      <c r="G44" s="149"/>
      <c r="H44" s="149"/>
      <c r="I44" s="154"/>
      <c r="J44" s="155" t="s">
        <v>5203</v>
      </c>
      <c r="K44" s="156"/>
      <c r="L44" s="157"/>
      <c r="M44" s="158" t="s">
        <v>28</v>
      </c>
      <c r="N44" s="159" t="s">
        <v>5239</v>
      </c>
    </row>
    <row r="45" spans="1:14">
      <c r="A45" s="148">
        <v>46183</v>
      </c>
      <c r="B45" s="149" t="s">
        <v>5237</v>
      </c>
      <c r="C45" s="160">
        <v>4259</v>
      </c>
      <c r="D45" s="151"/>
      <c r="E45" s="152">
        <v>-5</v>
      </c>
      <c r="F45" s="153" t="s">
        <v>5240</v>
      </c>
      <c r="G45" s="149"/>
      <c r="H45" s="149"/>
      <c r="I45" s="154"/>
      <c r="J45" s="155" t="s">
        <v>5203</v>
      </c>
      <c r="K45" s="156"/>
      <c r="L45" s="157"/>
      <c r="M45" s="158" t="s">
        <v>28</v>
      </c>
      <c r="N45" s="159" t="s">
        <v>5241</v>
      </c>
    </row>
    <row r="46" spans="1:14">
      <c r="A46" s="148">
        <v>46183</v>
      </c>
      <c r="B46" s="149" t="s">
        <v>5237</v>
      </c>
      <c r="C46" s="160">
        <v>4259</v>
      </c>
      <c r="D46" s="151"/>
      <c r="E46" s="152">
        <v>-2</v>
      </c>
      <c r="F46" s="153" t="s">
        <v>5242</v>
      </c>
      <c r="G46" s="149"/>
      <c r="H46" s="149"/>
      <c r="I46" s="154"/>
      <c r="J46" s="155" t="s">
        <v>5203</v>
      </c>
      <c r="K46" s="156"/>
      <c r="L46" s="157"/>
      <c r="M46" s="158" t="s">
        <v>28</v>
      </c>
      <c r="N46" s="159" t="s">
        <v>5243</v>
      </c>
    </row>
    <row r="47" spans="1:14">
      <c r="A47" s="148">
        <v>46183</v>
      </c>
      <c r="B47" s="149" t="s">
        <v>5237</v>
      </c>
      <c r="C47" s="160">
        <v>4259</v>
      </c>
      <c r="D47" s="151"/>
      <c r="E47" s="152">
        <v>-7</v>
      </c>
      <c r="F47" s="153" t="s">
        <v>5244</v>
      </c>
      <c r="G47" s="149"/>
      <c r="H47" s="149"/>
      <c r="I47" s="154"/>
      <c r="J47" s="155" t="s">
        <v>5203</v>
      </c>
      <c r="K47" s="156"/>
      <c r="L47" s="157"/>
      <c r="M47" s="158" t="s">
        <v>28</v>
      </c>
      <c r="N47" s="159" t="s">
        <v>5245</v>
      </c>
    </row>
    <row r="48" spans="1:14">
      <c r="A48" s="148">
        <v>46183</v>
      </c>
      <c r="B48" s="149" t="s">
        <v>5237</v>
      </c>
      <c r="C48" s="160">
        <v>4259</v>
      </c>
      <c r="D48" s="151"/>
      <c r="E48" s="152">
        <v>-3</v>
      </c>
      <c r="F48" s="153" t="s">
        <v>5246</v>
      </c>
      <c r="G48" s="149"/>
      <c r="H48" s="149"/>
      <c r="I48" s="151"/>
      <c r="J48" s="155" t="s">
        <v>5203</v>
      </c>
      <c r="K48" s="156"/>
      <c r="L48" s="157"/>
      <c r="M48" s="158" t="s">
        <v>28</v>
      </c>
      <c r="N48" s="159" t="s">
        <v>5247</v>
      </c>
    </row>
    <row r="49" spans="1:14">
      <c r="A49" s="148">
        <v>46183</v>
      </c>
      <c r="B49" s="149" t="s">
        <v>5237</v>
      </c>
      <c r="C49" s="160">
        <v>4259</v>
      </c>
      <c r="D49" s="151"/>
      <c r="E49" s="168">
        <v>-1</v>
      </c>
      <c r="F49" s="150" t="s">
        <v>5248</v>
      </c>
      <c r="G49" s="149"/>
      <c r="H49" s="149"/>
      <c r="I49" s="151"/>
      <c r="J49" s="155" t="s">
        <v>5203</v>
      </c>
      <c r="K49" s="156"/>
      <c r="L49" s="157"/>
      <c r="M49" s="158" t="s">
        <v>28</v>
      </c>
      <c r="N49" s="159" t="s">
        <v>5249</v>
      </c>
    </row>
    <row r="50" spans="1:14">
      <c r="A50" s="148">
        <v>46183</v>
      </c>
      <c r="B50" s="149" t="s">
        <v>5237</v>
      </c>
      <c r="C50" s="160">
        <v>4259</v>
      </c>
      <c r="D50" s="151"/>
      <c r="E50" s="152">
        <v>-1</v>
      </c>
      <c r="F50" s="153" t="s">
        <v>5250</v>
      </c>
      <c r="G50" s="149"/>
      <c r="H50" s="149"/>
      <c r="I50" s="151"/>
      <c r="J50" s="155" t="s">
        <v>5203</v>
      </c>
      <c r="K50" s="162"/>
      <c r="L50" s="157"/>
      <c r="M50" s="158" t="s">
        <v>28</v>
      </c>
      <c r="N50" s="159" t="s">
        <v>5251</v>
      </c>
    </row>
    <row r="51" spans="1:14">
      <c r="A51" s="148">
        <v>46183</v>
      </c>
      <c r="B51" s="149" t="s">
        <v>5237</v>
      </c>
      <c r="C51" s="160">
        <v>4259</v>
      </c>
      <c r="D51" s="151"/>
      <c r="E51" s="168">
        <v>-1</v>
      </c>
      <c r="F51" s="150" t="s">
        <v>5252</v>
      </c>
      <c r="G51" s="149"/>
      <c r="H51" s="149"/>
      <c r="I51" s="151"/>
      <c r="J51" s="155" t="s">
        <v>5203</v>
      </c>
      <c r="K51" s="156"/>
      <c r="L51" s="157"/>
      <c r="M51" s="158" t="s">
        <v>28</v>
      </c>
      <c r="N51" s="159" t="s">
        <v>5253</v>
      </c>
    </row>
    <row r="52" spans="1:14">
      <c r="A52" s="148">
        <v>46183</v>
      </c>
      <c r="B52" s="149" t="s">
        <v>5237</v>
      </c>
      <c r="C52" s="160">
        <v>4259</v>
      </c>
      <c r="D52" s="151"/>
      <c r="E52" s="168">
        <v>-1</v>
      </c>
      <c r="F52" s="153" t="s">
        <v>5254</v>
      </c>
      <c r="G52" s="149"/>
      <c r="H52" s="149"/>
      <c r="I52" s="151"/>
      <c r="J52" s="155" t="s">
        <v>5203</v>
      </c>
      <c r="K52" s="156"/>
      <c r="L52" s="157"/>
      <c r="M52" s="158" t="s">
        <v>28</v>
      </c>
      <c r="N52" s="159" t="s">
        <v>5255</v>
      </c>
    </row>
    <row r="53" spans="1:14">
      <c r="A53" s="148">
        <v>46183</v>
      </c>
      <c r="B53" s="149" t="s">
        <v>5237</v>
      </c>
      <c r="C53" s="160">
        <v>4259</v>
      </c>
      <c r="D53" s="151"/>
      <c r="E53" s="168">
        <v>-2</v>
      </c>
      <c r="F53" s="150" t="s">
        <v>5256</v>
      </c>
      <c r="G53" s="149"/>
      <c r="H53" s="149"/>
      <c r="I53" s="151"/>
      <c r="J53" s="155" t="s">
        <v>5203</v>
      </c>
      <c r="K53" s="156"/>
      <c r="L53" s="157"/>
      <c r="M53" s="158" t="s">
        <v>28</v>
      </c>
      <c r="N53" s="159" t="s">
        <v>5257</v>
      </c>
    </row>
    <row r="54" spans="1:14">
      <c r="A54" s="148">
        <v>46183</v>
      </c>
      <c r="B54" s="149" t="s">
        <v>5237</v>
      </c>
      <c r="C54" s="160">
        <v>4259</v>
      </c>
      <c r="D54" s="151"/>
      <c r="E54" s="168">
        <v>-1</v>
      </c>
      <c r="F54" s="150" t="s">
        <v>5258</v>
      </c>
      <c r="G54" s="149"/>
      <c r="H54" s="149"/>
      <c r="I54" s="151"/>
      <c r="J54" s="155" t="s">
        <v>5203</v>
      </c>
      <c r="K54" s="156"/>
      <c r="L54" s="157"/>
      <c r="M54" s="158" t="s">
        <v>28</v>
      </c>
      <c r="N54" s="159" t="s">
        <v>5259</v>
      </c>
    </row>
    <row r="55" spans="1:14">
      <c r="A55" s="169">
        <v>46183</v>
      </c>
      <c r="B55" s="170" t="s">
        <v>5237</v>
      </c>
      <c r="C55" s="171">
        <v>4259</v>
      </c>
      <c r="D55" s="170"/>
      <c r="E55" s="170">
        <v>-1</v>
      </c>
      <c r="F55" s="171" t="s">
        <v>5260</v>
      </c>
      <c r="G55" s="170"/>
      <c r="H55" s="170"/>
      <c r="I55" s="170"/>
      <c r="J55" s="170" t="s">
        <v>5203</v>
      </c>
      <c r="K55" s="172"/>
      <c r="L55" s="157"/>
      <c r="M55" s="158" t="s">
        <v>28</v>
      </c>
      <c r="N55" s="159" t="s">
        <v>5261</v>
      </c>
    </row>
    <row r="56" spans="1:14">
      <c r="A56" s="169">
        <v>46183</v>
      </c>
      <c r="B56" s="170" t="s">
        <v>5237</v>
      </c>
      <c r="C56" s="171">
        <v>4259</v>
      </c>
      <c r="D56" s="170"/>
      <c r="E56" s="170">
        <v>-3</v>
      </c>
      <c r="F56" s="171" t="s">
        <v>5262</v>
      </c>
      <c r="G56" s="170"/>
      <c r="H56" s="170"/>
      <c r="I56" s="170"/>
      <c r="J56" s="170" t="s">
        <v>5203</v>
      </c>
      <c r="K56" s="172"/>
      <c r="L56" s="157"/>
      <c r="M56" s="158" t="s">
        <v>28</v>
      </c>
      <c r="N56" s="159" t="s">
        <v>5263</v>
      </c>
    </row>
    <row r="57" spans="1:14">
      <c r="A57" s="169">
        <v>46183</v>
      </c>
      <c r="B57" s="170" t="s">
        <v>5237</v>
      </c>
      <c r="C57" s="171">
        <v>4259</v>
      </c>
      <c r="D57" s="170"/>
      <c r="E57" s="170">
        <v>-1</v>
      </c>
      <c r="F57" s="171" t="s">
        <v>5264</v>
      </c>
      <c r="G57" s="170"/>
      <c r="H57" s="170"/>
      <c r="I57" s="170"/>
      <c r="J57" s="170" t="s">
        <v>5203</v>
      </c>
      <c r="K57" s="172"/>
      <c r="L57" s="157"/>
      <c r="M57" s="158" t="s">
        <v>28</v>
      </c>
      <c r="N57" s="159" t="s">
        <v>5265</v>
      </c>
    </row>
    <row r="58" spans="1:14">
      <c r="A58" s="148">
        <v>46183</v>
      </c>
      <c r="B58" s="149" t="s">
        <v>5237</v>
      </c>
      <c r="C58" s="160">
        <v>4259</v>
      </c>
      <c r="D58" s="151"/>
      <c r="E58" s="168">
        <v>-1</v>
      </c>
      <c r="F58" s="150" t="s">
        <v>5266</v>
      </c>
      <c r="G58" s="149"/>
      <c r="H58" s="149"/>
      <c r="I58" s="151"/>
      <c r="J58" s="155" t="s">
        <v>5203</v>
      </c>
      <c r="K58" s="156"/>
      <c r="L58" s="157"/>
      <c r="M58" s="158" t="s">
        <v>28</v>
      </c>
      <c r="N58" s="159" t="s">
        <v>5267</v>
      </c>
    </row>
    <row r="59" spans="1:14">
      <c r="A59" s="148">
        <v>46183</v>
      </c>
      <c r="B59" s="149" t="s">
        <v>5237</v>
      </c>
      <c r="C59" s="160">
        <v>4259</v>
      </c>
      <c r="D59" s="151"/>
      <c r="E59" s="152">
        <v>-1</v>
      </c>
      <c r="F59" s="153" t="s">
        <v>5268</v>
      </c>
      <c r="G59" s="149"/>
      <c r="H59" s="149"/>
      <c r="I59" s="151"/>
      <c r="J59" s="155" t="s">
        <v>5203</v>
      </c>
      <c r="K59" s="156"/>
      <c r="L59" s="157"/>
      <c r="M59" s="158" t="s">
        <v>28</v>
      </c>
      <c r="N59" s="159" t="s">
        <v>5269</v>
      </c>
    </row>
    <row r="60" spans="1:14">
      <c r="A60" s="148">
        <v>46183</v>
      </c>
      <c r="B60" s="149" t="s">
        <v>5237</v>
      </c>
      <c r="C60" s="160">
        <v>4259</v>
      </c>
      <c r="D60" s="151"/>
      <c r="E60" s="152">
        <v>-1</v>
      </c>
      <c r="F60" s="150" t="s">
        <v>5270</v>
      </c>
      <c r="G60" s="149"/>
      <c r="H60" s="149"/>
      <c r="I60" s="151"/>
      <c r="J60" s="155" t="s">
        <v>5203</v>
      </c>
      <c r="K60" s="162"/>
      <c r="L60" s="157"/>
      <c r="M60" s="158" t="s">
        <v>28</v>
      </c>
      <c r="N60" s="159" t="s">
        <v>5271</v>
      </c>
    </row>
    <row r="61" spans="1:14">
      <c r="A61" s="148">
        <v>46183</v>
      </c>
      <c r="B61" s="149" t="s">
        <v>5237</v>
      </c>
      <c r="C61" s="160">
        <v>4259</v>
      </c>
      <c r="D61" s="151"/>
      <c r="E61" s="168">
        <v>-5</v>
      </c>
      <c r="F61" s="150" t="s">
        <v>5272</v>
      </c>
      <c r="G61" s="149"/>
      <c r="H61" s="149"/>
      <c r="I61" s="151"/>
      <c r="J61" s="155" t="s">
        <v>5203</v>
      </c>
      <c r="K61" s="156"/>
      <c r="L61" s="157"/>
      <c r="M61" s="158" t="s">
        <v>28</v>
      </c>
      <c r="N61" s="159" t="s">
        <v>5273</v>
      </c>
    </row>
    <row r="62" spans="1:14">
      <c r="A62" s="148">
        <v>46183</v>
      </c>
      <c r="B62" s="149" t="s">
        <v>5237</v>
      </c>
      <c r="C62" s="160">
        <v>4259</v>
      </c>
      <c r="D62" s="151"/>
      <c r="E62" s="168">
        <v>-1</v>
      </c>
      <c r="F62" s="150" t="s">
        <v>5274</v>
      </c>
      <c r="G62" s="149"/>
      <c r="H62" s="149"/>
      <c r="I62" s="151"/>
      <c r="J62" s="155" t="s">
        <v>5203</v>
      </c>
      <c r="K62" s="156"/>
      <c r="L62" s="157"/>
      <c r="M62" s="158" t="s">
        <v>28</v>
      </c>
      <c r="N62" s="159" t="s">
        <v>5275</v>
      </c>
    </row>
    <row r="63" spans="1:14">
      <c r="A63" s="148">
        <v>46183</v>
      </c>
      <c r="B63" s="149" t="s">
        <v>5237</v>
      </c>
      <c r="C63" s="160">
        <v>4259</v>
      </c>
      <c r="D63" s="151"/>
      <c r="E63" s="152">
        <v>-3</v>
      </c>
      <c r="F63" s="153" t="s">
        <v>5276</v>
      </c>
      <c r="G63" s="149"/>
      <c r="H63" s="149"/>
      <c r="I63" s="151"/>
      <c r="J63" s="155" t="s">
        <v>5203</v>
      </c>
      <c r="K63" s="156"/>
      <c r="L63" s="157"/>
      <c r="M63" s="158" t="s">
        <v>28</v>
      </c>
      <c r="N63" s="159" t="s">
        <v>5277</v>
      </c>
    </row>
    <row r="64" spans="1:14">
      <c r="A64" s="148">
        <v>46183</v>
      </c>
      <c r="B64" s="149" t="s">
        <v>5237</v>
      </c>
      <c r="C64" s="160">
        <v>4259</v>
      </c>
      <c r="D64" s="151"/>
      <c r="E64" s="168">
        <v>-2</v>
      </c>
      <c r="F64" s="150" t="s">
        <v>5278</v>
      </c>
      <c r="G64" s="149"/>
      <c r="H64" s="149"/>
      <c r="I64" s="151"/>
      <c r="J64" s="155" t="s">
        <v>5203</v>
      </c>
      <c r="K64" s="156"/>
      <c r="L64" s="157"/>
      <c r="M64" s="158" t="s">
        <v>28</v>
      </c>
      <c r="N64" s="159" t="s">
        <v>5279</v>
      </c>
    </row>
    <row r="65" spans="1:14">
      <c r="A65" s="148">
        <v>46183</v>
      </c>
      <c r="B65" s="149" t="s">
        <v>5237</v>
      </c>
      <c r="C65" s="160">
        <v>4259</v>
      </c>
      <c r="D65" s="151"/>
      <c r="E65" s="168">
        <v>-2</v>
      </c>
      <c r="F65" s="153" t="s">
        <v>5280</v>
      </c>
      <c r="G65" s="149"/>
      <c r="H65" s="149"/>
      <c r="I65" s="151"/>
      <c r="J65" s="155" t="s">
        <v>5203</v>
      </c>
      <c r="K65" s="156"/>
      <c r="L65" s="157"/>
      <c r="M65" s="158" t="s">
        <v>28</v>
      </c>
      <c r="N65" s="159" t="s">
        <v>5281</v>
      </c>
    </row>
    <row r="66" spans="1:14">
      <c r="A66" s="148">
        <v>46183</v>
      </c>
      <c r="B66" s="149" t="s">
        <v>5237</v>
      </c>
      <c r="C66" s="160">
        <v>4259</v>
      </c>
      <c r="D66" s="151"/>
      <c r="E66" s="152">
        <v>-2</v>
      </c>
      <c r="F66" s="153" t="s">
        <v>5282</v>
      </c>
      <c r="G66" s="149"/>
      <c r="H66" s="149"/>
      <c r="I66" s="151"/>
      <c r="J66" s="155" t="s">
        <v>5203</v>
      </c>
      <c r="K66" s="156"/>
      <c r="L66" s="157"/>
      <c r="M66" s="158" t="s">
        <v>28</v>
      </c>
      <c r="N66" s="159" t="s">
        <v>5283</v>
      </c>
    </row>
    <row r="67" spans="1:14">
      <c r="A67" s="148">
        <v>46183</v>
      </c>
      <c r="B67" s="149" t="s">
        <v>5237</v>
      </c>
      <c r="C67" s="160">
        <v>4259</v>
      </c>
      <c r="D67" s="151"/>
      <c r="E67" s="152">
        <v>-2</v>
      </c>
      <c r="F67" s="153" t="s">
        <v>5284</v>
      </c>
      <c r="G67" s="149"/>
      <c r="H67" s="149"/>
      <c r="I67" s="151"/>
      <c r="J67" s="155" t="s">
        <v>5203</v>
      </c>
      <c r="K67" s="156"/>
      <c r="L67" s="157"/>
      <c r="M67" s="158" t="s">
        <v>28</v>
      </c>
      <c r="N67" s="159" t="s">
        <v>5285</v>
      </c>
    </row>
    <row r="68" spans="1:14">
      <c r="A68" s="148">
        <v>46183</v>
      </c>
      <c r="B68" s="149" t="s">
        <v>5237</v>
      </c>
      <c r="C68" s="160">
        <v>4259</v>
      </c>
      <c r="D68" s="151"/>
      <c r="E68" s="152">
        <v>-3</v>
      </c>
      <c r="F68" s="153" t="s">
        <v>5286</v>
      </c>
      <c r="G68" s="149"/>
      <c r="H68" s="149"/>
      <c r="I68" s="151"/>
      <c r="J68" s="155" t="s">
        <v>5203</v>
      </c>
      <c r="K68" s="156"/>
      <c r="L68" s="157"/>
      <c r="M68" s="158" t="s">
        <v>28</v>
      </c>
      <c r="N68" s="159" t="s">
        <v>5287</v>
      </c>
    </row>
    <row r="69" spans="1:14">
      <c r="A69" s="148">
        <v>46183</v>
      </c>
      <c r="B69" s="149" t="s">
        <v>5237</v>
      </c>
      <c r="C69" s="160">
        <v>4259</v>
      </c>
      <c r="D69" s="151"/>
      <c r="E69" s="168">
        <v>-2</v>
      </c>
      <c r="F69" s="153" t="s">
        <v>5288</v>
      </c>
      <c r="G69" s="149"/>
      <c r="H69" s="149"/>
      <c r="I69" s="151"/>
      <c r="J69" s="155" t="s">
        <v>5203</v>
      </c>
      <c r="K69" s="156"/>
      <c r="L69" s="157"/>
      <c r="M69" s="158" t="s">
        <v>28</v>
      </c>
      <c r="N69" s="159" t="s">
        <v>5289</v>
      </c>
    </row>
    <row r="70" spans="1:14">
      <c r="A70" s="148">
        <v>46183</v>
      </c>
      <c r="B70" s="149" t="s">
        <v>5237</v>
      </c>
      <c r="C70" s="160">
        <v>4259</v>
      </c>
      <c r="D70" s="151"/>
      <c r="E70" s="152">
        <v>-2</v>
      </c>
      <c r="F70" s="153" t="s">
        <v>5290</v>
      </c>
      <c r="G70" s="149"/>
      <c r="H70" s="149"/>
      <c r="I70" s="151"/>
      <c r="J70" s="155" t="s">
        <v>5203</v>
      </c>
      <c r="K70" s="156"/>
      <c r="L70" s="157"/>
      <c r="M70" s="158" t="s">
        <v>28</v>
      </c>
      <c r="N70" s="159" t="s">
        <v>5291</v>
      </c>
    </row>
    <row r="71" spans="1:14">
      <c r="A71" s="148">
        <v>46183</v>
      </c>
      <c r="B71" s="149" t="s">
        <v>5237</v>
      </c>
      <c r="C71" s="160">
        <v>4259</v>
      </c>
      <c r="D71" s="151"/>
      <c r="E71" s="152">
        <v>-4</v>
      </c>
      <c r="F71" s="150" t="s">
        <v>5292</v>
      </c>
      <c r="G71" s="149"/>
      <c r="H71" s="149"/>
      <c r="I71" s="151"/>
      <c r="J71" s="155" t="s">
        <v>5203</v>
      </c>
      <c r="K71" s="156"/>
      <c r="L71" s="157"/>
      <c r="M71" s="158" t="s">
        <v>28</v>
      </c>
      <c r="N71" s="159" t="s">
        <v>5293</v>
      </c>
    </row>
    <row r="72" spans="1:14">
      <c r="A72" s="148">
        <v>46183</v>
      </c>
      <c r="B72" s="149" t="s">
        <v>5237</v>
      </c>
      <c r="C72" s="160">
        <v>4259</v>
      </c>
      <c r="D72" s="151"/>
      <c r="E72" s="152">
        <v>-3</v>
      </c>
      <c r="F72" s="150" t="s">
        <v>5294</v>
      </c>
      <c r="G72" s="149"/>
      <c r="H72" s="149"/>
      <c r="I72" s="151"/>
      <c r="J72" s="155" t="s">
        <v>5203</v>
      </c>
      <c r="K72" s="156"/>
      <c r="L72" s="157"/>
      <c r="M72" s="158" t="s">
        <v>28</v>
      </c>
      <c r="N72" s="159" t="s">
        <v>5295</v>
      </c>
    </row>
    <row r="73" spans="1:14">
      <c r="A73" s="148">
        <v>46183</v>
      </c>
      <c r="B73" s="149" t="s">
        <v>5237</v>
      </c>
      <c r="C73" s="160">
        <v>4259</v>
      </c>
      <c r="D73" s="151"/>
      <c r="E73" s="152">
        <v>-3</v>
      </c>
      <c r="F73" s="153" t="s">
        <v>5296</v>
      </c>
      <c r="G73" s="149"/>
      <c r="H73" s="149"/>
      <c r="I73" s="151"/>
      <c r="J73" s="155" t="s">
        <v>5203</v>
      </c>
      <c r="K73" s="156"/>
      <c r="L73" s="157"/>
      <c r="M73" s="158" t="s">
        <v>28</v>
      </c>
      <c r="N73" s="159" t="s">
        <v>5297</v>
      </c>
    </row>
    <row r="74" spans="1:14">
      <c r="A74" s="148">
        <v>46183</v>
      </c>
      <c r="B74" s="149" t="s">
        <v>5237</v>
      </c>
      <c r="C74" s="173">
        <v>4259</v>
      </c>
      <c r="D74" s="174"/>
      <c r="E74" s="175">
        <v>-1</v>
      </c>
      <c r="F74" s="161" t="s">
        <v>5298</v>
      </c>
      <c r="G74" s="149"/>
      <c r="H74" s="149"/>
      <c r="I74" s="176"/>
      <c r="J74" s="155" t="s">
        <v>5203</v>
      </c>
      <c r="K74" s="177"/>
      <c r="L74" s="157"/>
      <c r="M74" s="158" t="s">
        <v>28</v>
      </c>
      <c r="N74" s="159" t="s">
        <v>5299</v>
      </c>
    </row>
    <row r="75" spans="1:14">
      <c r="A75" s="148">
        <v>46183</v>
      </c>
      <c r="B75" s="149" t="s">
        <v>5237</v>
      </c>
      <c r="C75" s="160">
        <v>4259</v>
      </c>
      <c r="D75" s="151"/>
      <c r="E75" s="152">
        <v>-20</v>
      </c>
      <c r="F75" s="153" t="s">
        <v>5105</v>
      </c>
      <c r="G75" s="149"/>
      <c r="H75" s="149"/>
      <c r="I75" s="154"/>
      <c r="J75" s="155" t="s">
        <v>5203</v>
      </c>
      <c r="K75" s="156"/>
      <c r="L75" s="157"/>
      <c r="M75" s="158" t="s">
        <v>28</v>
      </c>
      <c r="N75" s="159" t="s">
        <v>5106</v>
      </c>
    </row>
    <row r="76" spans="1:14">
      <c r="A76" s="148">
        <v>46183</v>
      </c>
      <c r="B76" s="149" t="s">
        <v>5237</v>
      </c>
      <c r="C76" s="160">
        <v>4259</v>
      </c>
      <c r="D76" s="151"/>
      <c r="E76" s="152">
        <v>-1</v>
      </c>
      <c r="F76" s="153" t="s">
        <v>5300</v>
      </c>
      <c r="G76" s="154"/>
      <c r="H76" s="154"/>
      <c r="I76" s="154"/>
      <c r="J76" s="155" t="s">
        <v>5203</v>
      </c>
      <c r="K76" s="156"/>
      <c r="L76" s="157"/>
      <c r="M76" s="158" t="s">
        <v>28</v>
      </c>
      <c r="N76" s="159" t="s">
        <v>5301</v>
      </c>
    </row>
    <row r="77" spans="1:14">
      <c r="A77" s="148">
        <v>46183</v>
      </c>
      <c r="B77" s="149" t="s">
        <v>5237</v>
      </c>
      <c r="C77" s="160">
        <v>4259</v>
      </c>
      <c r="D77" s="151"/>
      <c r="E77" s="152">
        <v>-1</v>
      </c>
      <c r="F77" s="153" t="s">
        <v>5302</v>
      </c>
      <c r="G77" s="154"/>
      <c r="H77" s="154"/>
      <c r="I77" s="154"/>
      <c r="J77" s="155" t="s">
        <v>5203</v>
      </c>
      <c r="K77" s="156"/>
      <c r="L77" s="157"/>
      <c r="M77" s="158" t="s">
        <v>28</v>
      </c>
      <c r="N77" s="159" t="s">
        <v>5303</v>
      </c>
    </row>
    <row r="78" spans="1:14">
      <c r="A78" s="148">
        <v>46183</v>
      </c>
      <c r="B78" s="149" t="s">
        <v>5237</v>
      </c>
      <c r="C78" s="178">
        <v>4259</v>
      </c>
      <c r="D78" s="179"/>
      <c r="E78" s="180">
        <v>-1</v>
      </c>
      <c r="F78" s="153" t="s">
        <v>5304</v>
      </c>
      <c r="G78" s="154"/>
      <c r="H78" s="154"/>
      <c r="I78" s="154"/>
      <c r="J78" s="155" t="s">
        <v>5203</v>
      </c>
      <c r="K78" s="156"/>
      <c r="L78" s="157"/>
      <c r="M78" s="158" t="s">
        <v>28</v>
      </c>
      <c r="N78" s="159" t="s">
        <v>5305</v>
      </c>
    </row>
    <row r="79" spans="1:14">
      <c r="A79" s="148">
        <v>46183</v>
      </c>
      <c r="B79" s="149" t="s">
        <v>5237</v>
      </c>
      <c r="C79" s="178">
        <v>4259</v>
      </c>
      <c r="D79" s="179"/>
      <c r="E79" s="180">
        <v>-1</v>
      </c>
      <c r="F79" s="178" t="s">
        <v>5306</v>
      </c>
      <c r="G79" s="154"/>
      <c r="H79" s="154"/>
      <c r="I79" s="154"/>
      <c r="J79" s="155" t="s">
        <v>5203</v>
      </c>
      <c r="K79" s="156"/>
      <c r="L79" s="157"/>
      <c r="M79" s="158" t="s">
        <v>28</v>
      </c>
      <c r="N79" s="159" t="s">
        <v>5307</v>
      </c>
    </row>
    <row r="80" spans="1:14">
      <c r="A80" s="148">
        <v>46183</v>
      </c>
      <c r="B80" s="149" t="s">
        <v>5237</v>
      </c>
      <c r="C80" s="178">
        <v>4259</v>
      </c>
      <c r="D80" s="179"/>
      <c r="E80" s="180">
        <v>-5</v>
      </c>
      <c r="F80" s="178" t="s">
        <v>5308</v>
      </c>
      <c r="G80" s="154"/>
      <c r="H80" s="154"/>
      <c r="I80" s="154"/>
      <c r="J80" s="155" t="s">
        <v>5203</v>
      </c>
      <c r="K80" s="156"/>
      <c r="L80" s="157"/>
      <c r="M80" s="158" t="s">
        <v>28</v>
      </c>
      <c r="N80" s="159" t="s">
        <v>5309</v>
      </c>
    </row>
    <row r="81" spans="1:14">
      <c r="A81" s="148">
        <v>46183</v>
      </c>
      <c r="B81" s="149" t="s">
        <v>5237</v>
      </c>
      <c r="C81" s="178">
        <v>4259</v>
      </c>
      <c r="D81" s="179"/>
      <c r="E81" s="180">
        <v>-2</v>
      </c>
      <c r="F81" s="178" t="s">
        <v>5310</v>
      </c>
      <c r="G81" s="149"/>
      <c r="H81" s="149"/>
      <c r="I81" s="154"/>
      <c r="J81" s="155" t="s">
        <v>5203</v>
      </c>
      <c r="K81" s="156"/>
      <c r="L81" s="157"/>
      <c r="M81" s="158" t="s">
        <v>28</v>
      </c>
      <c r="N81" s="159" t="s">
        <v>5311</v>
      </c>
    </row>
    <row r="82" spans="1:14">
      <c r="A82" s="148">
        <v>46183</v>
      </c>
      <c r="B82" s="149" t="s">
        <v>5237</v>
      </c>
      <c r="C82" s="150">
        <v>4259</v>
      </c>
      <c r="D82" s="165"/>
      <c r="E82" s="152">
        <v>-2</v>
      </c>
      <c r="F82" s="181" t="s">
        <v>5312</v>
      </c>
      <c r="G82" s="149"/>
      <c r="H82" s="149"/>
      <c r="I82" s="154"/>
      <c r="J82" s="149" t="s">
        <v>5203</v>
      </c>
      <c r="K82" s="156"/>
      <c r="L82" s="157"/>
      <c r="M82" s="158" t="s">
        <v>28</v>
      </c>
      <c r="N82" s="159" t="s">
        <v>5313</v>
      </c>
    </row>
    <row r="83" spans="1:14">
      <c r="A83" s="148">
        <v>46183</v>
      </c>
      <c r="B83" s="149" t="s">
        <v>5237</v>
      </c>
      <c r="C83" s="150">
        <v>4259</v>
      </c>
      <c r="D83" s="165"/>
      <c r="E83" s="152">
        <v>-2</v>
      </c>
      <c r="F83" s="153" t="s">
        <v>5314</v>
      </c>
      <c r="G83" s="149"/>
      <c r="H83" s="149"/>
      <c r="I83" s="154"/>
      <c r="J83" s="149" t="s">
        <v>5203</v>
      </c>
      <c r="K83" s="156"/>
      <c r="L83" s="157"/>
      <c r="M83" s="158" t="s">
        <v>28</v>
      </c>
      <c r="N83" s="159" t="s">
        <v>5315</v>
      </c>
    </row>
    <row r="84" spans="1:14">
      <c r="A84" s="169">
        <v>46183</v>
      </c>
      <c r="B84" s="170" t="s">
        <v>5237</v>
      </c>
      <c r="C84" s="171">
        <v>4259</v>
      </c>
      <c r="D84" s="170"/>
      <c r="E84" s="170">
        <v>-1</v>
      </c>
      <c r="F84" s="171" t="s">
        <v>5316</v>
      </c>
      <c r="G84" s="170"/>
      <c r="H84" s="170"/>
      <c r="I84" s="170"/>
      <c r="J84" s="170" t="s">
        <v>5203</v>
      </c>
      <c r="K84" s="182"/>
      <c r="L84" s="157"/>
      <c r="M84" s="158" t="s">
        <v>28</v>
      </c>
      <c r="N84" s="159" t="s">
        <v>5317</v>
      </c>
    </row>
    <row r="85" spans="1:14">
      <c r="A85" s="169">
        <v>46183</v>
      </c>
      <c r="B85" s="170" t="s">
        <v>5237</v>
      </c>
      <c r="C85" s="171">
        <v>4259</v>
      </c>
      <c r="D85" s="170"/>
      <c r="E85" s="170">
        <v>-1</v>
      </c>
      <c r="F85" s="171" t="s">
        <v>5318</v>
      </c>
      <c r="G85" s="170"/>
      <c r="H85" s="170"/>
      <c r="I85" s="170"/>
      <c r="J85" s="170" t="s">
        <v>5203</v>
      </c>
      <c r="K85" s="182"/>
      <c r="L85" s="157"/>
      <c r="M85" s="158" t="s">
        <v>28</v>
      </c>
      <c r="N85" s="159" t="s">
        <v>5319</v>
      </c>
    </row>
    <row r="86" spans="1:14">
      <c r="A86" s="169">
        <v>46183</v>
      </c>
      <c r="B86" s="170" t="s">
        <v>5237</v>
      </c>
      <c r="C86" s="171">
        <v>4259</v>
      </c>
      <c r="D86" s="170"/>
      <c r="E86" s="170">
        <v>-2</v>
      </c>
      <c r="F86" s="171" t="s">
        <v>5320</v>
      </c>
      <c r="G86" s="170"/>
      <c r="H86" s="170"/>
      <c r="I86" s="170"/>
      <c r="J86" s="170" t="s">
        <v>5203</v>
      </c>
      <c r="K86" s="172"/>
      <c r="L86" s="157"/>
      <c r="M86" s="158" t="s">
        <v>28</v>
      </c>
      <c r="N86" s="159" t="s">
        <v>5321</v>
      </c>
    </row>
    <row r="87" spans="1:14">
      <c r="A87" s="169">
        <v>46183</v>
      </c>
      <c r="B87" s="170" t="s">
        <v>5237</v>
      </c>
      <c r="C87" s="171">
        <v>4259</v>
      </c>
      <c r="D87" s="170"/>
      <c r="E87" s="170">
        <v>-1</v>
      </c>
      <c r="F87" s="171" t="s">
        <v>5322</v>
      </c>
      <c r="G87" s="170"/>
      <c r="H87" s="170"/>
      <c r="I87" s="170"/>
      <c r="J87" s="170" t="s">
        <v>5203</v>
      </c>
      <c r="K87" s="172"/>
      <c r="L87" s="157"/>
      <c r="M87" s="158" t="s">
        <v>28</v>
      </c>
      <c r="N87" s="159" t="s">
        <v>5323</v>
      </c>
    </row>
    <row r="88" spans="1:14">
      <c r="A88" s="169">
        <v>46183</v>
      </c>
      <c r="B88" s="170" t="s">
        <v>5237</v>
      </c>
      <c r="C88" s="171">
        <v>4259</v>
      </c>
      <c r="D88" s="170"/>
      <c r="E88" s="170">
        <v>-1</v>
      </c>
      <c r="F88" s="171" t="s">
        <v>5324</v>
      </c>
      <c r="G88" s="170"/>
      <c r="H88" s="170"/>
      <c r="I88" s="170"/>
      <c r="J88" s="170" t="s">
        <v>5203</v>
      </c>
      <c r="K88" s="172"/>
      <c r="L88" s="157"/>
      <c r="M88" s="158" t="s">
        <v>28</v>
      </c>
      <c r="N88" s="159" t="s">
        <v>5323</v>
      </c>
    </row>
    <row r="89" spans="1:14">
      <c r="A89" s="169">
        <v>46183</v>
      </c>
      <c r="B89" s="170" t="s">
        <v>5237</v>
      </c>
      <c r="C89" s="171">
        <v>4259</v>
      </c>
      <c r="D89" s="170"/>
      <c r="E89" s="170">
        <v>-1</v>
      </c>
      <c r="F89" s="171" t="s">
        <v>5325</v>
      </c>
      <c r="G89" s="170"/>
      <c r="H89" s="170"/>
      <c r="I89" s="170"/>
      <c r="J89" s="170" t="s">
        <v>5203</v>
      </c>
      <c r="K89" s="182"/>
      <c r="L89" s="157"/>
      <c r="M89" s="158" t="s">
        <v>28</v>
      </c>
      <c r="N89" s="159" t="s">
        <v>5326</v>
      </c>
    </row>
    <row r="90" spans="1:14">
      <c r="A90" s="169">
        <v>46183</v>
      </c>
      <c r="B90" s="170" t="s">
        <v>5237</v>
      </c>
      <c r="C90" s="171">
        <v>4259</v>
      </c>
      <c r="D90" s="170"/>
      <c r="E90" s="170">
        <v>-1</v>
      </c>
      <c r="F90" s="171" t="s">
        <v>5327</v>
      </c>
      <c r="G90" s="170"/>
      <c r="H90" s="170"/>
      <c r="I90" s="170"/>
      <c r="J90" s="170" t="s">
        <v>5203</v>
      </c>
      <c r="K90" s="172"/>
      <c r="L90" s="157"/>
      <c r="M90" s="158" t="s">
        <v>28</v>
      </c>
      <c r="N90" s="159" t="s">
        <v>5328</v>
      </c>
    </row>
    <row r="91" spans="1:14">
      <c r="A91" s="169">
        <v>46183</v>
      </c>
      <c r="B91" s="170" t="s">
        <v>5237</v>
      </c>
      <c r="C91" s="171">
        <v>4259</v>
      </c>
      <c r="D91" s="170"/>
      <c r="E91" s="170">
        <v>-1</v>
      </c>
      <c r="F91" s="171" t="s">
        <v>5329</v>
      </c>
      <c r="G91" s="170"/>
      <c r="H91" s="170"/>
      <c r="I91" s="170"/>
      <c r="J91" s="170" t="s">
        <v>5203</v>
      </c>
      <c r="K91" s="172"/>
      <c r="L91" s="157"/>
      <c r="M91" s="158" t="s">
        <v>28</v>
      </c>
      <c r="N91" s="159" t="s">
        <v>5330</v>
      </c>
    </row>
    <row r="92" spans="1:14">
      <c r="A92" s="169">
        <v>46183</v>
      </c>
      <c r="B92" s="170" t="s">
        <v>5237</v>
      </c>
      <c r="C92" s="171">
        <v>4259</v>
      </c>
      <c r="D92" s="170"/>
      <c r="E92" s="170">
        <v>-2</v>
      </c>
      <c r="F92" s="171" t="s">
        <v>5331</v>
      </c>
      <c r="G92" s="170"/>
      <c r="H92" s="170"/>
      <c r="I92" s="170"/>
      <c r="J92" s="170" t="s">
        <v>5203</v>
      </c>
      <c r="K92" s="172"/>
      <c r="L92" s="157"/>
      <c r="M92" s="158" t="s">
        <v>28</v>
      </c>
      <c r="N92" s="159" t="s">
        <v>5332</v>
      </c>
    </row>
    <row r="93" spans="1:14">
      <c r="A93" s="169">
        <v>46183</v>
      </c>
      <c r="B93" s="170" t="s">
        <v>5237</v>
      </c>
      <c r="C93" s="171">
        <v>4259</v>
      </c>
      <c r="D93" s="170"/>
      <c r="E93" s="170">
        <v>-1</v>
      </c>
      <c r="F93" s="171" t="s">
        <v>5333</v>
      </c>
      <c r="G93" s="170"/>
      <c r="H93" s="170"/>
      <c r="I93" s="170"/>
      <c r="J93" s="170" t="s">
        <v>5203</v>
      </c>
      <c r="K93" s="172"/>
      <c r="L93" s="157"/>
      <c r="M93" s="158" t="s">
        <v>28</v>
      </c>
      <c r="N93" s="159" t="s">
        <v>5334</v>
      </c>
    </row>
    <row r="94" spans="1:14">
      <c r="A94" s="169">
        <v>46183</v>
      </c>
      <c r="B94" s="170" t="s">
        <v>5237</v>
      </c>
      <c r="C94" s="171">
        <v>4259</v>
      </c>
      <c r="D94" s="170"/>
      <c r="E94" s="170">
        <v>-1</v>
      </c>
      <c r="F94" s="171" t="s">
        <v>5335</v>
      </c>
      <c r="G94" s="170"/>
      <c r="H94" s="170"/>
      <c r="I94" s="170"/>
      <c r="J94" s="170" t="s">
        <v>5203</v>
      </c>
      <c r="K94" s="182"/>
      <c r="L94" s="157"/>
      <c r="M94" s="158" t="s">
        <v>28</v>
      </c>
      <c r="N94" s="159" t="s">
        <v>5336</v>
      </c>
    </row>
    <row r="95" spans="1:14">
      <c r="A95" s="169">
        <v>46183</v>
      </c>
      <c r="B95" s="170" t="s">
        <v>5237</v>
      </c>
      <c r="C95" s="171">
        <v>4259</v>
      </c>
      <c r="D95" s="170"/>
      <c r="E95" s="170">
        <v>-5</v>
      </c>
      <c r="F95" s="171" t="s">
        <v>5337</v>
      </c>
      <c r="G95" s="170"/>
      <c r="H95" s="170"/>
      <c r="I95" s="170"/>
      <c r="J95" s="170" t="s">
        <v>5203</v>
      </c>
      <c r="K95" s="172"/>
      <c r="L95" s="157"/>
      <c r="M95" s="158" t="s">
        <v>28</v>
      </c>
      <c r="N95" s="159" t="s">
        <v>5338</v>
      </c>
    </row>
    <row r="96" spans="1:14">
      <c r="A96" s="169">
        <v>46183</v>
      </c>
      <c r="B96" s="170" t="s">
        <v>5237</v>
      </c>
      <c r="C96" s="171">
        <v>4259</v>
      </c>
      <c r="D96" s="170"/>
      <c r="E96" s="170">
        <v>-1</v>
      </c>
      <c r="F96" s="171" t="s">
        <v>5339</v>
      </c>
      <c r="G96" s="170"/>
      <c r="H96" s="170"/>
      <c r="I96" s="170"/>
      <c r="J96" s="170" t="s">
        <v>5203</v>
      </c>
      <c r="K96" s="172"/>
      <c r="L96" s="157"/>
      <c r="M96" s="158" t="s">
        <v>28</v>
      </c>
      <c r="N96" s="159" t="s">
        <v>5340</v>
      </c>
    </row>
    <row r="97" spans="1:14">
      <c r="A97" s="169">
        <v>46183</v>
      </c>
      <c r="B97" s="170" t="s">
        <v>5237</v>
      </c>
      <c r="C97" s="171">
        <v>4259</v>
      </c>
      <c r="D97" s="170"/>
      <c r="E97" s="170">
        <v>-1</v>
      </c>
      <c r="F97" s="171" t="s">
        <v>5341</v>
      </c>
      <c r="G97" s="170"/>
      <c r="H97" s="170"/>
      <c r="I97" s="170"/>
      <c r="J97" s="170" t="s">
        <v>5203</v>
      </c>
      <c r="K97" s="172"/>
      <c r="L97" s="157"/>
      <c r="M97" s="158" t="s">
        <v>28</v>
      </c>
      <c r="N97" s="159" t="s">
        <v>5342</v>
      </c>
    </row>
    <row r="98" spans="1:14">
      <c r="A98" s="169">
        <v>46183</v>
      </c>
      <c r="B98" s="170" t="s">
        <v>5237</v>
      </c>
      <c r="C98" s="171">
        <v>4259</v>
      </c>
      <c r="D98" s="170"/>
      <c r="E98" s="170">
        <v>-1</v>
      </c>
      <c r="F98" s="171" t="s">
        <v>5343</v>
      </c>
      <c r="G98" s="170"/>
      <c r="H98" s="170"/>
      <c r="I98" s="170"/>
      <c r="J98" s="170" t="s">
        <v>5203</v>
      </c>
      <c r="K98" s="182"/>
      <c r="L98" s="157"/>
      <c r="M98" s="158" t="s">
        <v>28</v>
      </c>
      <c r="N98" s="159" t="s">
        <v>5344</v>
      </c>
    </row>
    <row r="99" spans="1:14">
      <c r="A99" s="169">
        <v>46183</v>
      </c>
      <c r="B99" s="170" t="s">
        <v>5237</v>
      </c>
      <c r="C99" s="171">
        <v>4259</v>
      </c>
      <c r="D99" s="170"/>
      <c r="E99" s="170">
        <v>-1</v>
      </c>
      <c r="F99" s="171" t="s">
        <v>5345</v>
      </c>
      <c r="G99" s="170"/>
      <c r="H99" s="170"/>
      <c r="I99" s="170"/>
      <c r="J99" s="170" t="s">
        <v>5203</v>
      </c>
      <c r="K99" s="172"/>
      <c r="L99" s="157"/>
      <c r="M99" s="158" t="s">
        <v>28</v>
      </c>
      <c r="N99" s="159" t="s">
        <v>5346</v>
      </c>
    </row>
    <row r="100" spans="1:14">
      <c r="A100" s="169">
        <v>46183</v>
      </c>
      <c r="B100" s="170" t="s">
        <v>5237</v>
      </c>
      <c r="C100" s="171">
        <v>4259</v>
      </c>
      <c r="D100" s="170"/>
      <c r="E100" s="170">
        <v>-1</v>
      </c>
      <c r="F100" s="171" t="s">
        <v>5347</v>
      </c>
      <c r="G100" s="170"/>
      <c r="H100" s="170"/>
      <c r="I100" s="170"/>
      <c r="J100" s="170" t="s">
        <v>5203</v>
      </c>
      <c r="K100" s="172"/>
      <c r="L100" s="157"/>
      <c r="M100" s="158" t="s">
        <v>28</v>
      </c>
      <c r="N100" s="159" t="s">
        <v>5348</v>
      </c>
    </row>
    <row r="101" spans="1:14">
      <c r="A101" s="169">
        <v>46183</v>
      </c>
      <c r="B101" s="170" t="s">
        <v>5237</v>
      </c>
      <c r="C101" s="171">
        <v>4259</v>
      </c>
      <c r="D101" s="170"/>
      <c r="E101" s="170">
        <v>-1</v>
      </c>
      <c r="F101" s="171" t="s">
        <v>5349</v>
      </c>
      <c r="G101" s="170"/>
      <c r="H101" s="170"/>
      <c r="I101" s="170"/>
      <c r="J101" s="170" t="s">
        <v>5203</v>
      </c>
      <c r="K101" s="172"/>
      <c r="L101" s="157"/>
      <c r="M101" s="158" t="s">
        <v>28</v>
      </c>
      <c r="N101" s="159" t="s">
        <v>5350</v>
      </c>
    </row>
    <row r="102" spans="1:14">
      <c r="A102" s="169">
        <v>46183</v>
      </c>
      <c r="B102" s="170" t="s">
        <v>5237</v>
      </c>
      <c r="C102" s="171">
        <v>4259</v>
      </c>
      <c r="D102" s="170"/>
      <c r="E102" s="170">
        <v>-1</v>
      </c>
      <c r="F102" s="171" t="s">
        <v>5351</v>
      </c>
      <c r="G102" s="170"/>
      <c r="H102" s="170"/>
      <c r="I102" s="170"/>
      <c r="J102" s="170" t="s">
        <v>5203</v>
      </c>
      <c r="K102" s="172"/>
      <c r="L102" s="157"/>
      <c r="M102" s="158" t="s">
        <v>28</v>
      </c>
      <c r="N102" s="159" t="s">
        <v>5352</v>
      </c>
    </row>
    <row r="103" spans="1:14">
      <c r="A103" s="169">
        <v>46183</v>
      </c>
      <c r="B103" s="170" t="s">
        <v>5237</v>
      </c>
      <c r="C103" s="171">
        <v>4259</v>
      </c>
      <c r="D103" s="170"/>
      <c r="E103" s="170">
        <v>-1</v>
      </c>
      <c r="F103" s="171" t="s">
        <v>5353</v>
      </c>
      <c r="G103" s="170"/>
      <c r="H103" s="170"/>
      <c r="I103" s="170"/>
      <c r="J103" s="170" t="s">
        <v>5203</v>
      </c>
      <c r="K103" s="172"/>
      <c r="L103" s="157"/>
      <c r="M103" s="158" t="s">
        <v>28</v>
      </c>
      <c r="N103" s="159" t="s">
        <v>5354</v>
      </c>
    </row>
    <row r="104" spans="1:14">
      <c r="A104" s="169">
        <v>46183</v>
      </c>
      <c r="B104" s="170" t="s">
        <v>5237</v>
      </c>
      <c r="C104" s="171">
        <v>4259</v>
      </c>
      <c r="D104" s="170"/>
      <c r="E104" s="170">
        <v>-1</v>
      </c>
      <c r="F104" s="171" t="s">
        <v>5355</v>
      </c>
      <c r="G104" s="170"/>
      <c r="H104" s="170"/>
      <c r="I104" s="170"/>
      <c r="J104" s="170" t="s">
        <v>5203</v>
      </c>
      <c r="K104" s="172"/>
      <c r="L104" s="157"/>
      <c r="M104" s="158" t="s">
        <v>28</v>
      </c>
      <c r="N104" s="159" t="s">
        <v>5356</v>
      </c>
    </row>
    <row r="105" spans="1:14">
      <c r="A105" s="169">
        <v>46183</v>
      </c>
      <c r="B105" s="170" t="s">
        <v>5237</v>
      </c>
      <c r="C105" s="171">
        <v>4259</v>
      </c>
      <c r="D105" s="170"/>
      <c r="E105" s="170">
        <v>-1</v>
      </c>
      <c r="F105" s="171" t="s">
        <v>5357</v>
      </c>
      <c r="G105" s="170"/>
      <c r="H105" s="170"/>
      <c r="I105" s="170"/>
      <c r="J105" s="170" t="s">
        <v>5203</v>
      </c>
      <c r="K105" s="172"/>
      <c r="L105" s="157"/>
      <c r="M105" s="158" t="s">
        <v>28</v>
      </c>
      <c r="N105" s="159" t="s">
        <v>5358</v>
      </c>
    </row>
    <row r="106" spans="1:14">
      <c r="A106" s="169">
        <v>46183</v>
      </c>
      <c r="B106" s="170" t="s">
        <v>5237</v>
      </c>
      <c r="C106" s="171">
        <v>4259</v>
      </c>
      <c r="D106" s="170"/>
      <c r="E106" s="170">
        <v>-1</v>
      </c>
      <c r="F106" s="171" t="s">
        <v>5359</v>
      </c>
      <c r="G106" s="170"/>
      <c r="H106" s="170"/>
      <c r="I106" s="170"/>
      <c r="J106" s="170" t="s">
        <v>5203</v>
      </c>
      <c r="K106" s="172"/>
      <c r="L106" s="157"/>
      <c r="M106" s="158" t="s">
        <v>28</v>
      </c>
      <c r="N106" s="159" t="s">
        <v>5356</v>
      </c>
    </row>
    <row r="107" spans="1:14">
      <c r="A107" s="169">
        <v>46183</v>
      </c>
      <c r="B107" s="170" t="s">
        <v>5237</v>
      </c>
      <c r="C107" s="171">
        <v>4259</v>
      </c>
      <c r="D107" s="170"/>
      <c r="E107" s="170">
        <v>-1</v>
      </c>
      <c r="F107" s="171" t="s">
        <v>5360</v>
      </c>
      <c r="G107" s="170"/>
      <c r="H107" s="170"/>
      <c r="I107" s="170"/>
      <c r="J107" s="170" t="s">
        <v>5203</v>
      </c>
      <c r="K107" s="172"/>
      <c r="L107" s="157"/>
      <c r="M107" s="158" t="s">
        <v>28</v>
      </c>
      <c r="N107" s="159" t="s">
        <v>5361</v>
      </c>
    </row>
    <row r="108" spans="1:14">
      <c r="A108" s="148">
        <v>46183</v>
      </c>
      <c r="B108" s="149" t="s">
        <v>5237</v>
      </c>
      <c r="C108" s="160">
        <v>4259</v>
      </c>
      <c r="D108" s="151"/>
      <c r="E108" s="152">
        <v>-1</v>
      </c>
      <c r="F108" s="153" t="s">
        <v>5362</v>
      </c>
      <c r="G108" s="154"/>
      <c r="H108" s="154"/>
      <c r="I108" s="154"/>
      <c r="J108" s="155" t="s">
        <v>5203</v>
      </c>
      <c r="K108" s="156"/>
      <c r="L108" s="157"/>
      <c r="M108" s="158" t="s">
        <v>28</v>
      </c>
      <c r="N108" s="159" t="s">
        <v>5363</v>
      </c>
    </row>
    <row r="109" spans="1:14">
      <c r="A109" s="148">
        <v>46183</v>
      </c>
      <c r="B109" s="149" t="s">
        <v>5237</v>
      </c>
      <c r="C109" s="160">
        <v>4259</v>
      </c>
      <c r="D109" s="151"/>
      <c r="E109" s="152">
        <v>-1</v>
      </c>
      <c r="F109" s="153" t="s">
        <v>5364</v>
      </c>
      <c r="G109" s="154"/>
      <c r="H109" s="154"/>
      <c r="I109" s="154"/>
      <c r="J109" s="155" t="s">
        <v>5203</v>
      </c>
      <c r="K109" s="156"/>
      <c r="L109" s="157"/>
      <c r="M109" s="158" t="s">
        <v>28</v>
      </c>
      <c r="N109" s="159" t="s">
        <v>5358</v>
      </c>
    </row>
    <row r="110" spans="1:14">
      <c r="A110" s="148">
        <v>46183</v>
      </c>
      <c r="B110" s="149" t="s">
        <v>5237</v>
      </c>
      <c r="C110" s="160">
        <v>4259</v>
      </c>
      <c r="D110" s="151"/>
      <c r="E110" s="152">
        <v>-1</v>
      </c>
      <c r="F110" s="181" t="s">
        <v>5365</v>
      </c>
      <c r="G110" s="154"/>
      <c r="H110" s="154"/>
      <c r="I110" s="154"/>
      <c r="J110" s="155" t="s">
        <v>5203</v>
      </c>
      <c r="K110" s="156"/>
      <c r="L110" s="157"/>
      <c r="M110" s="158" t="s">
        <v>28</v>
      </c>
      <c r="N110" s="159" t="s">
        <v>5366</v>
      </c>
    </row>
    <row r="111" spans="1:14">
      <c r="A111" s="148">
        <v>46183</v>
      </c>
      <c r="B111" s="149" t="s">
        <v>5237</v>
      </c>
      <c r="C111" s="160">
        <v>4259</v>
      </c>
      <c r="D111" s="151"/>
      <c r="E111" s="152">
        <v>-2</v>
      </c>
      <c r="F111" s="178" t="s">
        <v>5367</v>
      </c>
      <c r="G111" s="154"/>
      <c r="H111" s="154"/>
      <c r="I111" s="154"/>
      <c r="J111" s="155" t="s">
        <v>5203</v>
      </c>
      <c r="K111" s="156"/>
      <c r="L111" s="157"/>
      <c r="M111" s="158" t="s">
        <v>28</v>
      </c>
      <c r="N111" s="159" t="s">
        <v>5368</v>
      </c>
    </row>
    <row r="112" spans="1:14">
      <c r="A112" s="148">
        <v>46183</v>
      </c>
      <c r="B112" s="149" t="s">
        <v>5237</v>
      </c>
      <c r="C112" s="160">
        <v>4259</v>
      </c>
      <c r="D112" s="151"/>
      <c r="E112" s="152">
        <v>-5</v>
      </c>
      <c r="F112" s="178" t="s">
        <v>5369</v>
      </c>
      <c r="G112" s="154"/>
      <c r="H112" s="154"/>
      <c r="I112" s="154"/>
      <c r="J112" s="155" t="s">
        <v>5203</v>
      </c>
      <c r="K112" s="156"/>
      <c r="L112" s="157"/>
      <c r="M112" s="158" t="s">
        <v>28</v>
      </c>
      <c r="N112" s="159" t="s">
        <v>5370</v>
      </c>
    </row>
    <row r="113" spans="1:14">
      <c r="A113" s="148">
        <v>46183</v>
      </c>
      <c r="B113" s="149" t="s">
        <v>5237</v>
      </c>
      <c r="C113" s="160">
        <v>4259</v>
      </c>
      <c r="D113" s="151"/>
      <c r="E113" s="152">
        <v>-2</v>
      </c>
      <c r="F113" s="153" t="s">
        <v>5371</v>
      </c>
      <c r="G113" s="154"/>
      <c r="H113" s="154"/>
      <c r="I113" s="154"/>
      <c r="J113" s="155" t="s">
        <v>5203</v>
      </c>
      <c r="K113" s="156"/>
      <c r="L113" s="157"/>
      <c r="M113" s="158" t="s">
        <v>28</v>
      </c>
      <c r="N113" s="159" t="s">
        <v>5372</v>
      </c>
    </row>
    <row r="114" spans="1:14">
      <c r="A114" s="148">
        <v>46183</v>
      </c>
      <c r="B114" s="149" t="s">
        <v>5237</v>
      </c>
      <c r="C114" s="150">
        <v>4259</v>
      </c>
      <c r="D114" s="165"/>
      <c r="E114" s="152">
        <v>-3</v>
      </c>
      <c r="F114" s="150" t="s">
        <v>5373</v>
      </c>
      <c r="G114" s="149"/>
      <c r="H114" s="149"/>
      <c r="I114" s="149"/>
      <c r="J114" s="155" t="s">
        <v>5203</v>
      </c>
      <c r="K114" s="156"/>
      <c r="L114" s="157"/>
      <c r="M114" s="158" t="s">
        <v>28</v>
      </c>
      <c r="N114" s="159" t="s">
        <v>5374</v>
      </c>
    </row>
    <row r="115" spans="1:14">
      <c r="A115" s="148">
        <v>46183</v>
      </c>
      <c r="B115" s="149" t="s">
        <v>5237</v>
      </c>
      <c r="C115" s="150">
        <v>4259</v>
      </c>
      <c r="D115" s="165"/>
      <c r="E115" s="152">
        <v>-2</v>
      </c>
      <c r="F115" s="153" t="s">
        <v>5375</v>
      </c>
      <c r="G115" s="149"/>
      <c r="H115" s="149"/>
      <c r="I115" s="149"/>
      <c r="J115" s="155" t="s">
        <v>5203</v>
      </c>
      <c r="K115" s="156"/>
      <c r="L115" s="157"/>
      <c r="M115" s="158" t="s">
        <v>28</v>
      </c>
      <c r="N115" s="159" t="s">
        <v>5376</v>
      </c>
    </row>
    <row r="116" spans="1:14">
      <c r="A116" s="148">
        <v>46183</v>
      </c>
      <c r="B116" s="149" t="s">
        <v>5237</v>
      </c>
      <c r="C116" s="150">
        <v>4259</v>
      </c>
      <c r="D116" s="165"/>
      <c r="E116" s="152">
        <v>-2</v>
      </c>
      <c r="F116" s="150" t="s">
        <v>5377</v>
      </c>
      <c r="G116" s="149"/>
      <c r="H116" s="149"/>
      <c r="I116" s="149"/>
      <c r="J116" s="155" t="s">
        <v>5203</v>
      </c>
      <c r="K116" s="156"/>
      <c r="L116" s="157"/>
      <c r="M116" s="158" t="s">
        <v>28</v>
      </c>
      <c r="N116" s="159" t="s">
        <v>5378</v>
      </c>
    </row>
    <row r="117" spans="1:14">
      <c r="A117" s="148">
        <v>46183</v>
      </c>
      <c r="B117" s="149" t="s">
        <v>5237</v>
      </c>
      <c r="C117" s="150">
        <v>4259</v>
      </c>
      <c r="D117" s="165"/>
      <c r="E117" s="152">
        <v>-1</v>
      </c>
      <c r="F117" s="150" t="s">
        <v>5379</v>
      </c>
      <c r="G117" s="149"/>
      <c r="H117" s="149"/>
      <c r="I117" s="149"/>
      <c r="J117" s="155" t="s">
        <v>5203</v>
      </c>
      <c r="K117" s="156"/>
      <c r="L117" s="157"/>
      <c r="M117" s="158" t="s">
        <v>28</v>
      </c>
      <c r="N117" s="159" t="s">
        <v>5380</v>
      </c>
    </row>
    <row r="118" spans="1:14">
      <c r="A118" s="148">
        <v>46183</v>
      </c>
      <c r="B118" s="149" t="s">
        <v>5237</v>
      </c>
      <c r="C118" s="150">
        <v>4259</v>
      </c>
      <c r="D118" s="165"/>
      <c r="E118" s="152">
        <v>-1</v>
      </c>
      <c r="F118" s="150" t="s">
        <v>5381</v>
      </c>
      <c r="G118" s="149"/>
      <c r="H118" s="149"/>
      <c r="I118" s="149"/>
      <c r="J118" s="155" t="s">
        <v>5203</v>
      </c>
      <c r="K118" s="156"/>
      <c r="L118" s="157"/>
      <c r="M118" s="158" t="s">
        <v>28</v>
      </c>
      <c r="N118" s="159" t="s">
        <v>5382</v>
      </c>
    </row>
    <row r="119" spans="1:14">
      <c r="A119" s="148">
        <v>46183</v>
      </c>
      <c r="B119" s="149" t="s">
        <v>5237</v>
      </c>
      <c r="C119" s="150">
        <v>4259</v>
      </c>
      <c r="D119" s="165"/>
      <c r="E119" s="152">
        <v>-2</v>
      </c>
      <c r="F119" s="153" t="s">
        <v>5383</v>
      </c>
      <c r="G119" s="149"/>
      <c r="H119" s="149"/>
      <c r="I119" s="149"/>
      <c r="J119" s="155" t="s">
        <v>5203</v>
      </c>
      <c r="K119" s="156"/>
      <c r="L119" s="157"/>
      <c r="M119" s="158" t="s">
        <v>28</v>
      </c>
      <c r="N119" s="159" t="s">
        <v>5384</v>
      </c>
    </row>
    <row r="120" spans="1:14">
      <c r="A120" s="148">
        <v>46183</v>
      </c>
      <c r="B120" s="149" t="s">
        <v>5237</v>
      </c>
      <c r="C120" s="150">
        <v>4259</v>
      </c>
      <c r="D120" s="165"/>
      <c r="E120" s="152">
        <v>-10</v>
      </c>
      <c r="F120" s="150" t="s">
        <v>5385</v>
      </c>
      <c r="G120" s="149"/>
      <c r="H120" s="149"/>
      <c r="I120" s="149"/>
      <c r="J120" s="155" t="s">
        <v>5203</v>
      </c>
      <c r="K120" s="156"/>
      <c r="L120" s="157"/>
      <c r="M120" s="158" t="s">
        <v>28</v>
      </c>
      <c r="N120" s="159" t="s">
        <v>5386</v>
      </c>
    </row>
    <row r="121" spans="1:14">
      <c r="A121" s="148">
        <v>46183</v>
      </c>
      <c r="B121" s="149" t="s">
        <v>5237</v>
      </c>
      <c r="C121" s="150">
        <v>4259</v>
      </c>
      <c r="D121" s="165"/>
      <c r="E121" s="152">
        <v>-2</v>
      </c>
      <c r="F121" s="153" t="s">
        <v>5387</v>
      </c>
      <c r="G121" s="149"/>
      <c r="H121" s="149"/>
      <c r="I121" s="149"/>
      <c r="J121" s="155" t="s">
        <v>5203</v>
      </c>
      <c r="K121" s="156"/>
      <c r="L121" s="157"/>
      <c r="M121" s="158" t="s">
        <v>28</v>
      </c>
      <c r="N121" s="159" t="s">
        <v>5163</v>
      </c>
    </row>
    <row r="122" spans="1:14">
      <c r="A122" s="148">
        <v>46183</v>
      </c>
      <c r="B122" s="149" t="s">
        <v>5237</v>
      </c>
      <c r="C122" s="150">
        <v>4259</v>
      </c>
      <c r="D122" s="165"/>
      <c r="E122" s="152">
        <v>-3</v>
      </c>
      <c r="F122" s="150" t="s">
        <v>5388</v>
      </c>
      <c r="G122" s="149"/>
      <c r="H122" s="149"/>
      <c r="I122" s="149"/>
      <c r="J122" s="155" t="s">
        <v>5203</v>
      </c>
      <c r="K122" s="156"/>
      <c r="L122" s="157"/>
      <c r="M122" s="158" t="s">
        <v>28</v>
      </c>
      <c r="N122" s="159" t="s">
        <v>5389</v>
      </c>
    </row>
    <row r="123" spans="1:14">
      <c r="A123" s="148">
        <v>46183</v>
      </c>
      <c r="B123" s="149" t="s">
        <v>5237</v>
      </c>
      <c r="C123" s="150">
        <v>4259</v>
      </c>
      <c r="D123" s="165"/>
      <c r="E123" s="152">
        <v>-1</v>
      </c>
      <c r="F123" s="150" t="s">
        <v>5390</v>
      </c>
      <c r="G123" s="149"/>
      <c r="H123" s="149"/>
      <c r="I123" s="149"/>
      <c r="J123" s="149" t="s">
        <v>5203</v>
      </c>
      <c r="K123" s="156"/>
      <c r="L123" s="157"/>
      <c r="M123" s="158" t="s">
        <v>28</v>
      </c>
      <c r="N123" s="159" t="s">
        <v>5391</v>
      </c>
    </row>
    <row r="124" spans="1:14">
      <c r="A124" s="148">
        <v>46183</v>
      </c>
      <c r="B124" s="149" t="s">
        <v>5237</v>
      </c>
      <c r="C124" s="150">
        <v>4259</v>
      </c>
      <c r="D124" s="165"/>
      <c r="E124" s="152">
        <v>-1</v>
      </c>
      <c r="F124" s="150" t="s">
        <v>5392</v>
      </c>
      <c r="G124" s="149"/>
      <c r="H124" s="149"/>
      <c r="I124" s="149"/>
      <c r="J124" s="149" t="s">
        <v>5203</v>
      </c>
      <c r="K124" s="156"/>
      <c r="L124" s="157"/>
      <c r="M124" s="158" t="s">
        <v>28</v>
      </c>
      <c r="N124" s="159" t="s">
        <v>5393</v>
      </c>
    </row>
    <row r="125" spans="1:14">
      <c r="A125" s="148">
        <v>46183</v>
      </c>
      <c r="B125" s="149" t="s">
        <v>5237</v>
      </c>
      <c r="C125" s="150">
        <v>4259</v>
      </c>
      <c r="D125" s="165"/>
      <c r="E125" s="152">
        <v>-3</v>
      </c>
      <c r="F125" s="150" t="s">
        <v>5394</v>
      </c>
      <c r="G125" s="149"/>
      <c r="H125" s="149"/>
      <c r="I125" s="149"/>
      <c r="J125" s="149" t="s">
        <v>5203</v>
      </c>
      <c r="K125" s="156"/>
      <c r="L125" s="157"/>
      <c r="M125" s="158" t="s">
        <v>28</v>
      </c>
      <c r="N125" s="159" t="s">
        <v>5395</v>
      </c>
    </row>
    <row r="126" spans="1:14">
      <c r="A126" s="148">
        <v>46183</v>
      </c>
      <c r="B126" s="149" t="s">
        <v>5237</v>
      </c>
      <c r="C126" s="150">
        <v>4259</v>
      </c>
      <c r="D126" s="165"/>
      <c r="E126" s="152">
        <v>-1</v>
      </c>
      <c r="F126" s="150" t="s">
        <v>5396</v>
      </c>
      <c r="G126" s="149"/>
      <c r="H126" s="149"/>
      <c r="I126" s="149"/>
      <c r="J126" s="149" t="s">
        <v>5203</v>
      </c>
      <c r="K126" s="156"/>
      <c r="L126" s="157"/>
      <c r="M126" s="158" t="s">
        <v>28</v>
      </c>
      <c r="N126" s="159" t="s">
        <v>5397</v>
      </c>
    </row>
    <row r="127" spans="1:14">
      <c r="A127" s="148">
        <v>46183</v>
      </c>
      <c r="B127" s="149" t="s">
        <v>5237</v>
      </c>
      <c r="C127" s="160">
        <v>4259</v>
      </c>
      <c r="D127" s="165"/>
      <c r="E127" s="152">
        <v>-1</v>
      </c>
      <c r="F127" s="150" t="s">
        <v>5398</v>
      </c>
      <c r="G127" s="154"/>
      <c r="H127" s="154"/>
      <c r="I127" s="154"/>
      <c r="J127" s="155" t="s">
        <v>5203</v>
      </c>
      <c r="K127" s="156"/>
      <c r="L127" s="157"/>
      <c r="M127" s="158" t="s">
        <v>28</v>
      </c>
      <c r="N127" s="159" t="s">
        <v>5399</v>
      </c>
    </row>
    <row r="128" spans="1:14">
      <c r="A128" s="148">
        <v>46183</v>
      </c>
      <c r="B128" s="149" t="s">
        <v>5237</v>
      </c>
      <c r="C128" s="150">
        <v>4259</v>
      </c>
      <c r="D128" s="165"/>
      <c r="E128" s="152">
        <v>-2</v>
      </c>
      <c r="F128" s="150" t="s">
        <v>5400</v>
      </c>
      <c r="G128" s="149"/>
      <c r="H128" s="149"/>
      <c r="I128" s="149"/>
      <c r="J128" s="149" t="s">
        <v>5203</v>
      </c>
      <c r="K128" s="156"/>
      <c r="L128" s="157"/>
      <c r="M128" s="158" t="s">
        <v>28</v>
      </c>
      <c r="N128" s="159" t="s">
        <v>5401</v>
      </c>
    </row>
    <row r="129" spans="1:14">
      <c r="A129" s="148">
        <v>46183</v>
      </c>
      <c r="B129" s="149" t="s">
        <v>5237</v>
      </c>
      <c r="C129" s="150">
        <v>4259</v>
      </c>
      <c r="D129" s="165"/>
      <c r="E129" s="152">
        <v>-1</v>
      </c>
      <c r="F129" s="150" t="s">
        <v>5402</v>
      </c>
      <c r="G129" s="149"/>
      <c r="H129" s="149"/>
      <c r="I129" s="149"/>
      <c r="J129" s="149" t="s">
        <v>5203</v>
      </c>
      <c r="K129" s="167"/>
      <c r="L129" s="157"/>
      <c r="M129" s="158" t="s">
        <v>28</v>
      </c>
      <c r="N129" s="159" t="s">
        <v>5403</v>
      </c>
    </row>
    <row r="130" spans="1:14">
      <c r="A130" s="148">
        <v>46183</v>
      </c>
      <c r="B130" s="149" t="s">
        <v>5237</v>
      </c>
      <c r="C130" s="150">
        <v>4259</v>
      </c>
      <c r="D130" s="165"/>
      <c r="E130" s="152">
        <v>-2</v>
      </c>
      <c r="F130" s="150" t="s">
        <v>5404</v>
      </c>
      <c r="G130" s="149"/>
      <c r="H130" s="149"/>
      <c r="I130" s="149"/>
      <c r="J130" s="155" t="s">
        <v>5203</v>
      </c>
      <c r="K130" s="156"/>
      <c r="L130" s="157"/>
      <c r="M130" s="158" t="s">
        <v>28</v>
      </c>
      <c r="N130" s="159" t="s">
        <v>5405</v>
      </c>
    </row>
    <row r="131" spans="1:14">
      <c r="A131" s="148">
        <v>46183</v>
      </c>
      <c r="B131" s="149" t="s">
        <v>5237</v>
      </c>
      <c r="C131" s="150">
        <v>4259</v>
      </c>
      <c r="D131" s="165"/>
      <c r="E131" s="152">
        <v>-100</v>
      </c>
      <c r="F131" s="150" t="s">
        <v>73</v>
      </c>
      <c r="G131" s="149"/>
      <c r="H131" s="149"/>
      <c r="I131" s="149"/>
      <c r="J131" s="155" t="s">
        <v>5203</v>
      </c>
      <c r="K131" s="156"/>
      <c r="L131" s="157"/>
      <c r="M131" s="158" t="s">
        <v>28</v>
      </c>
      <c r="N131" s="159" t="s">
        <v>78</v>
      </c>
    </row>
    <row r="132" spans="1:14">
      <c r="A132" s="148">
        <v>46183</v>
      </c>
      <c r="B132" s="149" t="s">
        <v>5237</v>
      </c>
      <c r="C132" s="150">
        <v>4259</v>
      </c>
      <c r="D132" s="165"/>
      <c r="E132" s="168">
        <v>-25</v>
      </c>
      <c r="F132" s="150" t="s">
        <v>5406</v>
      </c>
      <c r="G132" s="149"/>
      <c r="H132" s="149"/>
      <c r="I132" s="149"/>
      <c r="J132" s="149" t="s">
        <v>5203</v>
      </c>
      <c r="K132" s="156"/>
      <c r="L132" s="157"/>
      <c r="M132" s="158" t="s">
        <v>28</v>
      </c>
      <c r="N132" s="159" t="s">
        <v>5407</v>
      </c>
    </row>
    <row r="133" spans="1:14">
      <c r="A133" s="148">
        <v>46183</v>
      </c>
      <c r="B133" s="149" t="s">
        <v>5237</v>
      </c>
      <c r="C133" s="150">
        <v>4259</v>
      </c>
      <c r="D133" s="165"/>
      <c r="E133" s="168">
        <v>-25</v>
      </c>
      <c r="F133" s="178" t="s">
        <v>5408</v>
      </c>
      <c r="G133" s="149"/>
      <c r="H133" s="149"/>
      <c r="I133" s="149"/>
      <c r="J133" s="149" t="s">
        <v>5203</v>
      </c>
      <c r="K133" s="156"/>
      <c r="L133" s="157"/>
      <c r="M133" s="158" t="s">
        <v>28</v>
      </c>
      <c r="N133" s="159" t="s">
        <v>5184</v>
      </c>
    </row>
    <row r="134" spans="1:14">
      <c r="A134" s="148">
        <v>46183</v>
      </c>
      <c r="B134" s="149" t="s">
        <v>5237</v>
      </c>
      <c r="C134" s="150">
        <v>4259</v>
      </c>
      <c r="D134" s="165"/>
      <c r="E134" s="168">
        <v>-25</v>
      </c>
      <c r="F134" s="153" t="s">
        <v>286</v>
      </c>
      <c r="G134" s="149"/>
      <c r="H134" s="149"/>
      <c r="I134" s="149"/>
      <c r="J134" s="149" t="s">
        <v>5203</v>
      </c>
      <c r="K134" s="156"/>
      <c r="L134" s="157"/>
      <c r="M134" s="158" t="s">
        <v>28</v>
      </c>
      <c r="N134" s="159" t="s">
        <v>287</v>
      </c>
    </row>
    <row r="135" spans="1:14">
      <c r="A135" s="148">
        <v>46186</v>
      </c>
      <c r="B135" s="149" t="s">
        <v>63</v>
      </c>
      <c r="C135" s="150"/>
      <c r="D135" s="165">
        <v>8000</v>
      </c>
      <c r="E135" s="168">
        <v>1</v>
      </c>
      <c r="F135" s="150" t="s">
        <v>73</v>
      </c>
      <c r="G135" s="149" t="s">
        <v>71</v>
      </c>
      <c r="H135" s="149" t="s">
        <v>373</v>
      </c>
      <c r="I135" s="149" t="s">
        <v>482</v>
      </c>
      <c r="J135" s="149" t="s">
        <v>82</v>
      </c>
      <c r="K135" s="156"/>
      <c r="L135" s="157">
        <v>5</v>
      </c>
      <c r="M135" s="158">
        <v>8000</v>
      </c>
      <c r="N135" s="159" t="s">
        <v>78</v>
      </c>
    </row>
    <row r="136" spans="1:14">
      <c r="A136" s="148">
        <v>46186</v>
      </c>
      <c r="B136" s="149" t="s">
        <v>63</v>
      </c>
      <c r="C136" s="150"/>
      <c r="D136" s="165">
        <v>8000</v>
      </c>
      <c r="E136" s="165">
        <v>1</v>
      </c>
      <c r="F136" s="150" t="s">
        <v>73</v>
      </c>
      <c r="G136" s="149" t="s">
        <v>71</v>
      </c>
      <c r="H136" s="149" t="s">
        <v>1975</v>
      </c>
      <c r="I136" s="149">
        <v>919</v>
      </c>
      <c r="J136" s="149" t="s">
        <v>86</v>
      </c>
      <c r="K136" s="156"/>
      <c r="L136" s="157">
        <v>5</v>
      </c>
      <c r="M136" s="158">
        <v>8000</v>
      </c>
      <c r="N136" s="159" t="s">
        <v>78</v>
      </c>
    </row>
    <row r="137" spans="1:14">
      <c r="A137" s="148">
        <v>46186</v>
      </c>
      <c r="B137" s="149" t="s">
        <v>63</v>
      </c>
      <c r="C137" s="150"/>
      <c r="D137" s="165">
        <v>25000</v>
      </c>
      <c r="E137" s="168">
        <v>2</v>
      </c>
      <c r="F137" s="150" t="s">
        <v>5182</v>
      </c>
      <c r="G137" s="149" t="s">
        <v>60</v>
      </c>
      <c r="H137" s="149" t="s">
        <v>61</v>
      </c>
      <c r="I137" s="149"/>
      <c r="J137" s="149" t="s">
        <v>82</v>
      </c>
      <c r="K137" s="156"/>
      <c r="L137" s="157">
        <v>5</v>
      </c>
      <c r="M137" s="158">
        <v>25000</v>
      </c>
      <c r="N137" s="159" t="s">
        <v>5184</v>
      </c>
    </row>
    <row r="138" spans="1:14">
      <c r="A138" s="148">
        <v>46187</v>
      </c>
      <c r="B138" s="149" t="s">
        <v>63</v>
      </c>
      <c r="C138" s="150"/>
      <c r="D138" s="165">
        <v>8000</v>
      </c>
      <c r="E138" s="168">
        <v>1</v>
      </c>
      <c r="F138" s="153" t="s">
        <v>5270</v>
      </c>
      <c r="G138" s="149" t="s">
        <v>60</v>
      </c>
      <c r="H138" s="149" t="s">
        <v>61</v>
      </c>
      <c r="I138" s="149"/>
      <c r="J138" s="149" t="s">
        <v>89</v>
      </c>
      <c r="K138" s="156"/>
      <c r="L138" s="157">
        <v>5</v>
      </c>
      <c r="M138" s="158">
        <v>8000</v>
      </c>
      <c r="N138" s="159" t="s">
        <v>5271</v>
      </c>
    </row>
    <row r="139" spans="1:14">
      <c r="A139" s="148">
        <v>46187</v>
      </c>
      <c r="B139" s="149" t="s">
        <v>63</v>
      </c>
      <c r="C139" s="150"/>
      <c r="D139" s="183">
        <v>8000</v>
      </c>
      <c r="E139" s="168">
        <v>1</v>
      </c>
      <c r="F139" s="153" t="s">
        <v>73</v>
      </c>
      <c r="G139" s="149" t="s">
        <v>60</v>
      </c>
      <c r="H139" s="149" t="s">
        <v>61</v>
      </c>
      <c r="I139" s="149"/>
      <c r="J139" s="149" t="s">
        <v>89</v>
      </c>
      <c r="K139" s="156"/>
      <c r="L139" s="157">
        <v>5</v>
      </c>
      <c r="M139" s="158">
        <v>8000</v>
      </c>
      <c r="N139" s="159" t="s">
        <v>78</v>
      </c>
    </row>
    <row r="140" spans="1:14">
      <c r="A140" s="148">
        <v>46187</v>
      </c>
      <c r="B140" s="149" t="s">
        <v>63</v>
      </c>
      <c r="C140" s="150"/>
      <c r="D140" s="165">
        <v>11500</v>
      </c>
      <c r="E140" s="152">
        <v>1</v>
      </c>
      <c r="F140" s="153" t="s">
        <v>5420</v>
      </c>
      <c r="G140" s="149" t="s">
        <v>71</v>
      </c>
      <c r="H140" s="149" t="s">
        <v>373</v>
      </c>
      <c r="I140" s="149"/>
      <c r="J140" s="149" t="s">
        <v>86</v>
      </c>
      <c r="K140" s="156"/>
      <c r="L140" s="157">
        <v>5</v>
      </c>
      <c r="M140" s="158">
        <v>11500</v>
      </c>
      <c r="N140" s="159" t="s">
        <v>5421</v>
      </c>
    </row>
    <row r="141" spans="1:14">
      <c r="A141" s="148">
        <v>46187</v>
      </c>
      <c r="B141" s="149" t="s">
        <v>63</v>
      </c>
      <c r="C141" s="160"/>
      <c r="D141" s="151">
        <v>7000</v>
      </c>
      <c r="E141" s="168">
        <v>1</v>
      </c>
      <c r="F141" s="153" t="s">
        <v>5371</v>
      </c>
      <c r="G141" s="154" t="s">
        <v>71</v>
      </c>
      <c r="H141" s="154" t="s">
        <v>373</v>
      </c>
      <c r="I141" s="154"/>
      <c r="J141" s="155" t="s">
        <v>86</v>
      </c>
      <c r="K141" s="156"/>
      <c r="L141" s="157">
        <v>5</v>
      </c>
      <c r="M141" s="158">
        <v>7000</v>
      </c>
      <c r="N141" s="159" t="s">
        <v>5372</v>
      </c>
    </row>
    <row r="142" spans="1:14">
      <c r="A142" s="148">
        <v>46187</v>
      </c>
      <c r="B142" s="149" t="s">
        <v>63</v>
      </c>
      <c r="C142" s="160"/>
      <c r="D142" s="151">
        <v>9000</v>
      </c>
      <c r="E142" s="168">
        <v>1</v>
      </c>
      <c r="F142" s="150" t="s">
        <v>5129</v>
      </c>
      <c r="G142" s="154" t="s">
        <v>60</v>
      </c>
      <c r="H142" s="154" t="s">
        <v>61</v>
      </c>
      <c r="I142" s="154"/>
      <c r="J142" s="155" t="s">
        <v>86</v>
      </c>
      <c r="K142" s="156"/>
      <c r="L142" s="157">
        <v>5</v>
      </c>
      <c r="M142" s="158">
        <v>9000</v>
      </c>
      <c r="N142" s="159" t="s">
        <v>5130</v>
      </c>
    </row>
    <row r="143" spans="1:14">
      <c r="A143" s="148">
        <v>46187</v>
      </c>
      <c r="B143" s="149" t="s">
        <v>63</v>
      </c>
      <c r="C143" s="160"/>
      <c r="D143" s="151">
        <v>19000</v>
      </c>
      <c r="E143" s="168">
        <v>1</v>
      </c>
      <c r="F143" s="153" t="s">
        <v>286</v>
      </c>
      <c r="G143" s="154" t="s">
        <v>71</v>
      </c>
      <c r="H143" s="154" t="s">
        <v>373</v>
      </c>
      <c r="I143" s="154"/>
      <c r="J143" s="155" t="s">
        <v>86</v>
      </c>
      <c r="K143" s="156"/>
      <c r="L143" s="157">
        <v>5</v>
      </c>
      <c r="M143" s="158">
        <v>19000</v>
      </c>
      <c r="N143" s="159" t="s">
        <v>287</v>
      </c>
    </row>
    <row r="144" spans="1:14">
      <c r="A144" s="148">
        <v>46188</v>
      </c>
      <c r="B144" s="149" t="s">
        <v>63</v>
      </c>
      <c r="C144" s="160"/>
      <c r="D144" s="151">
        <v>7000</v>
      </c>
      <c r="E144" s="168">
        <v>1</v>
      </c>
      <c r="F144" s="153" t="s">
        <v>5371</v>
      </c>
      <c r="G144" s="154" t="s">
        <v>60</v>
      </c>
      <c r="H144" s="154" t="s">
        <v>61</v>
      </c>
      <c r="I144" s="154"/>
      <c r="J144" s="155" t="s">
        <v>89</v>
      </c>
      <c r="K144" s="156"/>
      <c r="L144" s="157">
        <v>5</v>
      </c>
      <c r="M144" s="158">
        <v>7000</v>
      </c>
      <c r="N144" s="159" t="s">
        <v>5372</v>
      </c>
    </row>
    <row r="145" spans="1:14">
      <c r="A145" s="148">
        <v>46188</v>
      </c>
      <c r="B145" s="149" t="s">
        <v>63</v>
      </c>
      <c r="C145" s="160"/>
      <c r="D145" s="151">
        <v>12500</v>
      </c>
      <c r="E145" s="168">
        <v>1</v>
      </c>
      <c r="F145" s="153" t="s">
        <v>5182</v>
      </c>
      <c r="G145" s="154" t="s">
        <v>71</v>
      </c>
      <c r="H145" s="154" t="s">
        <v>72</v>
      </c>
      <c r="I145" s="154">
        <v>922</v>
      </c>
      <c r="J145" s="155" t="s">
        <v>82</v>
      </c>
      <c r="K145" s="156" t="s">
        <v>5446</v>
      </c>
      <c r="L145" s="157">
        <v>5</v>
      </c>
      <c r="M145" s="158">
        <v>12500</v>
      </c>
      <c r="N145" s="159" t="s">
        <v>5184</v>
      </c>
    </row>
    <row r="146" spans="1:14">
      <c r="A146" s="148">
        <v>46188</v>
      </c>
      <c r="B146" s="149" t="s">
        <v>63</v>
      </c>
      <c r="C146" s="160"/>
      <c r="D146" s="151">
        <v>19000</v>
      </c>
      <c r="E146" s="168">
        <v>1</v>
      </c>
      <c r="F146" s="153" t="s">
        <v>286</v>
      </c>
      <c r="G146" s="154" t="s">
        <v>60</v>
      </c>
      <c r="H146" s="154" t="s">
        <v>61</v>
      </c>
      <c r="I146" s="154"/>
      <c r="J146" s="155" t="s">
        <v>82</v>
      </c>
      <c r="K146" s="156" t="s">
        <v>5447</v>
      </c>
      <c r="L146" s="157">
        <v>5</v>
      </c>
      <c r="M146" s="158">
        <v>19000</v>
      </c>
      <c r="N146" s="159" t="s">
        <v>287</v>
      </c>
    </row>
    <row r="147" spans="1:14">
      <c r="A147" s="148">
        <v>46188</v>
      </c>
      <c r="B147" s="149" t="s">
        <v>63</v>
      </c>
      <c r="C147" s="160"/>
      <c r="D147" s="151">
        <v>8000</v>
      </c>
      <c r="E147" s="168">
        <v>1</v>
      </c>
      <c r="F147" s="153" t="s">
        <v>5264</v>
      </c>
      <c r="G147" s="154" t="s">
        <v>71</v>
      </c>
      <c r="H147" s="154" t="s">
        <v>72</v>
      </c>
      <c r="I147" s="154">
        <v>923</v>
      </c>
      <c r="J147" s="155" t="s">
        <v>82</v>
      </c>
      <c r="K147" s="156"/>
      <c r="L147" s="157">
        <v>5</v>
      </c>
      <c r="M147" s="158">
        <v>8000</v>
      </c>
      <c r="N147" s="159" t="s">
        <v>5265</v>
      </c>
    </row>
    <row r="148" spans="1:14">
      <c r="A148" s="148">
        <v>46188</v>
      </c>
      <c r="B148" s="149" t="s">
        <v>63</v>
      </c>
      <c r="C148" s="160"/>
      <c r="D148" s="151">
        <v>8000</v>
      </c>
      <c r="E148" s="168">
        <v>1</v>
      </c>
      <c r="F148" s="153" t="s">
        <v>73</v>
      </c>
      <c r="G148" s="154" t="s">
        <v>71</v>
      </c>
      <c r="H148" s="149" t="s">
        <v>72</v>
      </c>
      <c r="I148" s="149">
        <v>924</v>
      </c>
      <c r="J148" s="155" t="s">
        <v>82</v>
      </c>
      <c r="K148" s="156" t="s">
        <v>5448</v>
      </c>
      <c r="L148" s="157">
        <v>5</v>
      </c>
      <c r="M148" s="158">
        <v>8000</v>
      </c>
      <c r="N148" s="159" t="s">
        <v>78</v>
      </c>
    </row>
    <row r="149" spans="1:14">
      <c r="A149" s="148">
        <v>46188</v>
      </c>
      <c r="B149" s="149" t="s">
        <v>63</v>
      </c>
      <c r="C149" s="160"/>
      <c r="D149" s="151">
        <v>16000</v>
      </c>
      <c r="E149" s="168">
        <v>1</v>
      </c>
      <c r="F149" s="153" t="s">
        <v>5246</v>
      </c>
      <c r="G149" s="154" t="s">
        <v>71</v>
      </c>
      <c r="H149" s="149" t="s">
        <v>72</v>
      </c>
      <c r="I149" s="149">
        <v>924</v>
      </c>
      <c r="J149" s="155" t="s">
        <v>82</v>
      </c>
      <c r="K149" s="156"/>
      <c r="L149" s="157">
        <v>5</v>
      </c>
      <c r="M149" s="158">
        <v>16000</v>
      </c>
      <c r="N149" s="159" t="s">
        <v>5247</v>
      </c>
    </row>
    <row r="150" spans="1:14">
      <c r="A150" s="148">
        <v>46188</v>
      </c>
      <c r="B150" s="149" t="s">
        <v>63</v>
      </c>
      <c r="C150" s="160"/>
      <c r="D150" s="151">
        <v>9000</v>
      </c>
      <c r="E150" s="168">
        <v>1</v>
      </c>
      <c r="F150" s="153" t="s">
        <v>5337</v>
      </c>
      <c r="G150" s="154" t="s">
        <v>71</v>
      </c>
      <c r="H150" s="149" t="s">
        <v>373</v>
      </c>
      <c r="I150" s="149" t="s">
        <v>5444</v>
      </c>
      <c r="J150" s="155" t="s">
        <v>82</v>
      </c>
      <c r="K150" s="156"/>
      <c r="L150" s="157">
        <v>5</v>
      </c>
      <c r="M150" s="158">
        <v>9000</v>
      </c>
      <c r="N150" s="159" t="s">
        <v>5338</v>
      </c>
    </row>
    <row r="151" spans="1:14">
      <c r="A151" s="148">
        <v>46188</v>
      </c>
      <c r="B151" s="149" t="s">
        <v>63</v>
      </c>
      <c r="C151" s="160"/>
      <c r="D151" s="151">
        <v>47500</v>
      </c>
      <c r="E151" s="168">
        <v>1</v>
      </c>
      <c r="F151" s="153" t="s">
        <v>5304</v>
      </c>
      <c r="G151" s="154" t="s">
        <v>71</v>
      </c>
      <c r="H151" s="149" t="s">
        <v>72</v>
      </c>
      <c r="I151" s="149">
        <v>926</v>
      </c>
      <c r="J151" s="155" t="s">
        <v>82</v>
      </c>
      <c r="K151" s="167"/>
      <c r="L151" s="157">
        <v>5</v>
      </c>
      <c r="M151" s="158">
        <v>47500</v>
      </c>
      <c r="N151" s="159" t="s">
        <v>5305</v>
      </c>
    </row>
    <row r="152" spans="1:14">
      <c r="A152" s="148">
        <v>46188</v>
      </c>
      <c r="B152" s="149" t="s">
        <v>63</v>
      </c>
      <c r="C152" s="160"/>
      <c r="D152" s="151">
        <v>8000</v>
      </c>
      <c r="E152" s="168">
        <v>1</v>
      </c>
      <c r="F152" s="153" t="s">
        <v>5254</v>
      </c>
      <c r="G152" s="154" t="s">
        <v>71</v>
      </c>
      <c r="H152" s="149" t="s">
        <v>373</v>
      </c>
      <c r="I152" s="149" t="s">
        <v>211</v>
      </c>
      <c r="J152" s="155" t="s">
        <v>82</v>
      </c>
      <c r="K152" s="156"/>
      <c r="L152" s="157">
        <v>5</v>
      </c>
      <c r="M152" s="158">
        <v>8000</v>
      </c>
      <c r="N152" s="159" t="s">
        <v>5255</v>
      </c>
    </row>
    <row r="153" spans="1:14">
      <c r="A153" s="148">
        <v>46188</v>
      </c>
      <c r="B153" s="149" t="s">
        <v>63</v>
      </c>
      <c r="C153" s="160"/>
      <c r="D153" s="151">
        <v>7000</v>
      </c>
      <c r="E153" s="168">
        <v>1</v>
      </c>
      <c r="F153" s="153" t="s">
        <v>5367</v>
      </c>
      <c r="G153" s="154" t="s">
        <v>71</v>
      </c>
      <c r="H153" s="149" t="s">
        <v>373</v>
      </c>
      <c r="I153" s="149" t="s">
        <v>211</v>
      </c>
      <c r="J153" s="155" t="s">
        <v>82</v>
      </c>
      <c r="K153" s="156"/>
      <c r="L153" s="157">
        <v>5</v>
      </c>
      <c r="M153" s="158">
        <v>7000</v>
      </c>
      <c r="N153" s="159" t="s">
        <v>5368</v>
      </c>
    </row>
    <row r="154" spans="1:14">
      <c r="A154" s="148">
        <v>46188</v>
      </c>
      <c r="B154" s="149" t="s">
        <v>63</v>
      </c>
      <c r="C154" s="160"/>
      <c r="D154" s="151">
        <v>7000</v>
      </c>
      <c r="E154" s="168">
        <v>1</v>
      </c>
      <c r="F154" s="153" t="s">
        <v>5373</v>
      </c>
      <c r="G154" s="154" t="s">
        <v>71</v>
      </c>
      <c r="H154" s="149" t="s">
        <v>373</v>
      </c>
      <c r="I154" s="149" t="s">
        <v>211</v>
      </c>
      <c r="J154" s="155" t="s">
        <v>82</v>
      </c>
      <c r="K154" s="156"/>
      <c r="L154" s="157">
        <v>5</v>
      </c>
      <c r="M154" s="158">
        <v>7000</v>
      </c>
      <c r="N154" s="159" t="s">
        <v>5374</v>
      </c>
    </row>
    <row r="155" spans="1:14">
      <c r="A155" s="148">
        <v>46188</v>
      </c>
      <c r="B155" s="149" t="s">
        <v>63</v>
      </c>
      <c r="C155" s="160"/>
      <c r="D155" s="151">
        <v>7000</v>
      </c>
      <c r="E155" s="168">
        <v>1</v>
      </c>
      <c r="F155" s="153" t="s">
        <v>5367</v>
      </c>
      <c r="G155" s="154" t="s">
        <v>60</v>
      </c>
      <c r="H155" s="149" t="s">
        <v>61</v>
      </c>
      <c r="I155" s="149"/>
      <c r="J155" s="155" t="s">
        <v>82</v>
      </c>
      <c r="K155" s="156"/>
      <c r="L155" s="157">
        <v>5</v>
      </c>
      <c r="M155" s="158">
        <v>7000</v>
      </c>
      <c r="N155" s="159" t="s">
        <v>5368</v>
      </c>
    </row>
    <row r="156" spans="1:14">
      <c r="A156" s="148">
        <v>46188</v>
      </c>
      <c r="B156" s="149" t="s">
        <v>63</v>
      </c>
      <c r="C156" s="160"/>
      <c r="D156" s="151">
        <v>7000</v>
      </c>
      <c r="E156" s="168">
        <v>1</v>
      </c>
      <c r="F156" s="153" t="s">
        <v>5373</v>
      </c>
      <c r="G156" s="154" t="s">
        <v>60</v>
      </c>
      <c r="H156" s="149" t="s">
        <v>61</v>
      </c>
      <c r="I156" s="149"/>
      <c r="J156" s="155" t="s">
        <v>82</v>
      </c>
      <c r="K156" s="156"/>
      <c r="L156" s="157">
        <v>5</v>
      </c>
      <c r="M156" s="158">
        <v>7000</v>
      </c>
      <c r="N156" s="159" t="s">
        <v>5374</v>
      </c>
    </row>
    <row r="157" spans="1:14">
      <c r="A157" s="148">
        <v>46188</v>
      </c>
      <c r="B157" s="149" t="s">
        <v>63</v>
      </c>
      <c r="C157" s="160"/>
      <c r="D157" s="151">
        <v>8000</v>
      </c>
      <c r="E157" s="168">
        <v>1</v>
      </c>
      <c r="F157" s="153" t="s">
        <v>73</v>
      </c>
      <c r="G157" s="154" t="s">
        <v>60</v>
      </c>
      <c r="H157" s="149" t="s">
        <v>61</v>
      </c>
      <c r="I157" s="149"/>
      <c r="J157" s="155" t="s">
        <v>82</v>
      </c>
      <c r="K157" s="156" t="s">
        <v>5449</v>
      </c>
      <c r="L157" s="157">
        <v>5</v>
      </c>
      <c r="M157" s="158">
        <v>8000</v>
      </c>
      <c r="N157" s="159" t="s">
        <v>78</v>
      </c>
    </row>
    <row r="158" spans="1:14">
      <c r="A158" s="148">
        <v>46189</v>
      </c>
      <c r="B158" s="149" t="s">
        <v>63</v>
      </c>
      <c r="C158" s="160"/>
      <c r="D158" s="151">
        <v>14500</v>
      </c>
      <c r="E158" s="168">
        <v>1</v>
      </c>
      <c r="F158" s="153" t="s">
        <v>5450</v>
      </c>
      <c r="G158" s="154" t="s">
        <v>60</v>
      </c>
      <c r="H158" s="149" t="s">
        <v>61</v>
      </c>
      <c r="I158" s="149"/>
      <c r="J158" s="155" t="s">
        <v>82</v>
      </c>
      <c r="K158" s="156"/>
      <c r="L158" s="157">
        <v>5</v>
      </c>
      <c r="M158" s="158">
        <v>14500</v>
      </c>
      <c r="N158" s="159" t="s">
        <v>5451</v>
      </c>
    </row>
    <row r="159" spans="1:14">
      <c r="A159" s="148">
        <v>46189</v>
      </c>
      <c r="B159" s="149" t="s">
        <v>63</v>
      </c>
      <c r="C159" s="160"/>
      <c r="D159" s="151">
        <v>28000</v>
      </c>
      <c r="E159" s="168">
        <v>1</v>
      </c>
      <c r="F159" s="153" t="s">
        <v>5086</v>
      </c>
      <c r="G159" s="154" t="s">
        <v>71</v>
      </c>
      <c r="H159" s="149" t="s">
        <v>72</v>
      </c>
      <c r="I159" s="149">
        <v>928</v>
      </c>
      <c r="J159" s="155" t="s">
        <v>82</v>
      </c>
      <c r="K159" s="156"/>
      <c r="L159" s="157">
        <v>5</v>
      </c>
      <c r="M159" s="158">
        <v>28000</v>
      </c>
      <c r="N159" s="159" t="s">
        <v>5074</v>
      </c>
    </row>
    <row r="160" spans="1:14">
      <c r="A160" s="148">
        <v>46190</v>
      </c>
      <c r="B160" s="149" t="s">
        <v>5461</v>
      </c>
      <c r="C160" s="160"/>
      <c r="D160" s="151">
        <v>10343</v>
      </c>
      <c r="E160" s="168">
        <v>1</v>
      </c>
      <c r="F160" s="153" t="s">
        <v>5086</v>
      </c>
      <c r="G160" s="154" t="s">
        <v>60</v>
      </c>
      <c r="H160" s="149" t="s">
        <v>61</v>
      </c>
      <c r="I160" s="149"/>
      <c r="J160" s="155" t="s">
        <v>89</v>
      </c>
      <c r="K160" s="156" t="s">
        <v>5462</v>
      </c>
      <c r="L160" s="157">
        <v>4</v>
      </c>
      <c r="M160" s="158">
        <v>10343</v>
      </c>
      <c r="N160" s="159" t="s">
        <v>5074</v>
      </c>
    </row>
    <row r="161" spans="1:14">
      <c r="A161" s="148">
        <v>46190</v>
      </c>
      <c r="B161" s="149" t="s">
        <v>5463</v>
      </c>
      <c r="C161" s="150"/>
      <c r="D161" s="165">
        <v>1593</v>
      </c>
      <c r="E161" s="168">
        <v>1</v>
      </c>
      <c r="F161" s="153" t="s">
        <v>5464</v>
      </c>
      <c r="G161" s="149" t="s">
        <v>60</v>
      </c>
      <c r="H161" s="149" t="s">
        <v>61</v>
      </c>
      <c r="I161" s="149"/>
      <c r="J161" s="155" t="s">
        <v>89</v>
      </c>
      <c r="K161" s="156" t="s">
        <v>5462</v>
      </c>
      <c r="L161" s="157">
        <v>4</v>
      </c>
      <c r="M161" s="158">
        <v>1593</v>
      </c>
      <c r="N161" s="159" t="s">
        <v>5465</v>
      </c>
    </row>
    <row r="162" spans="1:14">
      <c r="A162" s="148">
        <v>46190</v>
      </c>
      <c r="B162" s="149" t="s">
        <v>248</v>
      </c>
      <c r="C162" s="150"/>
      <c r="D162" s="165">
        <v>5508</v>
      </c>
      <c r="E162" s="168">
        <v>1</v>
      </c>
      <c r="F162" s="161" t="s">
        <v>5286</v>
      </c>
      <c r="G162" s="149" t="s">
        <v>60</v>
      </c>
      <c r="H162" s="149" t="s">
        <v>61</v>
      </c>
      <c r="I162" s="149"/>
      <c r="J162" s="155" t="s">
        <v>89</v>
      </c>
      <c r="K162" s="156" t="s">
        <v>5462</v>
      </c>
      <c r="L162" s="157">
        <v>4</v>
      </c>
      <c r="M162" s="158">
        <v>5508</v>
      </c>
      <c r="N162" s="159" t="s">
        <v>5287</v>
      </c>
    </row>
    <row r="163" spans="1:14">
      <c r="A163" s="148">
        <v>46190</v>
      </c>
      <c r="B163" s="149" t="s">
        <v>604</v>
      </c>
      <c r="C163" s="150"/>
      <c r="D163" s="165">
        <v>1681</v>
      </c>
      <c r="E163" s="168">
        <v>1</v>
      </c>
      <c r="F163" s="161" t="s">
        <v>5337</v>
      </c>
      <c r="G163" s="149" t="s">
        <v>60</v>
      </c>
      <c r="H163" s="149" t="s">
        <v>61</v>
      </c>
      <c r="I163" s="149"/>
      <c r="J163" s="155" t="s">
        <v>89</v>
      </c>
      <c r="K163" s="156" t="s">
        <v>5462</v>
      </c>
      <c r="L163" s="157">
        <v>4</v>
      </c>
      <c r="M163" s="158">
        <v>1681</v>
      </c>
      <c r="N163" s="159" t="s">
        <v>5338</v>
      </c>
    </row>
    <row r="164" spans="1:14">
      <c r="A164" s="148">
        <v>46190</v>
      </c>
      <c r="B164" s="149" t="s">
        <v>63</v>
      </c>
      <c r="C164" s="150"/>
      <c r="D164" s="165">
        <v>19000</v>
      </c>
      <c r="E164" s="168">
        <v>1</v>
      </c>
      <c r="F164" s="150" t="s">
        <v>286</v>
      </c>
      <c r="G164" s="149" t="s">
        <v>71</v>
      </c>
      <c r="H164" s="149" t="s">
        <v>373</v>
      </c>
      <c r="I164" s="149"/>
      <c r="J164" s="155" t="s">
        <v>89</v>
      </c>
      <c r="K164" s="156"/>
      <c r="L164" s="157">
        <v>5</v>
      </c>
      <c r="M164" s="158">
        <v>19000</v>
      </c>
      <c r="N164" s="159" t="s">
        <v>287</v>
      </c>
    </row>
    <row r="165" spans="1:14">
      <c r="A165" s="148">
        <v>46190</v>
      </c>
      <c r="B165" s="149" t="s">
        <v>63</v>
      </c>
      <c r="C165" s="150"/>
      <c r="D165" s="165">
        <v>8000</v>
      </c>
      <c r="E165" s="168">
        <v>1</v>
      </c>
      <c r="F165" s="150" t="s">
        <v>73</v>
      </c>
      <c r="G165" s="149" t="s">
        <v>60</v>
      </c>
      <c r="H165" s="149" t="s">
        <v>61</v>
      </c>
      <c r="I165" s="149"/>
      <c r="J165" s="155" t="s">
        <v>89</v>
      </c>
      <c r="K165" s="156"/>
      <c r="L165" s="157">
        <v>5</v>
      </c>
      <c r="M165" s="158">
        <v>8000</v>
      </c>
      <c r="N165" s="159" t="s">
        <v>78</v>
      </c>
    </row>
    <row r="166" spans="1:14">
      <c r="A166" s="148">
        <v>46191</v>
      </c>
      <c r="B166" s="149" t="s">
        <v>63</v>
      </c>
      <c r="C166" s="160"/>
      <c r="D166" s="151">
        <v>19000</v>
      </c>
      <c r="E166" s="165">
        <v>1</v>
      </c>
      <c r="F166" s="153" t="s">
        <v>286</v>
      </c>
      <c r="G166" s="149" t="s">
        <v>60</v>
      </c>
      <c r="H166" s="149" t="s">
        <v>61</v>
      </c>
      <c r="I166" s="154"/>
      <c r="J166" s="155" t="s">
        <v>89</v>
      </c>
      <c r="K166" s="156"/>
      <c r="L166" s="157">
        <v>5</v>
      </c>
      <c r="M166" s="158">
        <v>19000</v>
      </c>
      <c r="N166" s="159" t="s">
        <v>287</v>
      </c>
    </row>
    <row r="167" spans="1:14">
      <c r="A167" s="148">
        <v>46191</v>
      </c>
      <c r="B167" s="149" t="s">
        <v>63</v>
      </c>
      <c r="C167" s="160"/>
      <c r="D167" s="151">
        <v>9000</v>
      </c>
      <c r="E167" s="165">
        <v>1</v>
      </c>
      <c r="F167" s="153" t="s">
        <v>5474</v>
      </c>
      <c r="G167" s="149" t="s">
        <v>60</v>
      </c>
      <c r="H167" s="149" t="s">
        <v>61</v>
      </c>
      <c r="I167" s="154"/>
      <c r="J167" s="155" t="s">
        <v>86</v>
      </c>
      <c r="K167" s="156"/>
      <c r="L167" s="157">
        <v>5</v>
      </c>
      <c r="M167" s="158">
        <v>9000</v>
      </c>
      <c r="N167" s="159" t="s">
        <v>5475</v>
      </c>
    </row>
    <row r="168" spans="1:14">
      <c r="A168" s="148">
        <v>46192</v>
      </c>
      <c r="B168" s="149" t="s">
        <v>63</v>
      </c>
      <c r="C168" s="160"/>
      <c r="D168" s="151">
        <v>9000</v>
      </c>
      <c r="E168" s="165">
        <v>1</v>
      </c>
      <c r="F168" s="153" t="s">
        <v>5485</v>
      </c>
      <c r="G168" s="149" t="s">
        <v>71</v>
      </c>
      <c r="H168" s="149" t="s">
        <v>373</v>
      </c>
      <c r="I168" s="154"/>
      <c r="J168" s="155" t="s">
        <v>82</v>
      </c>
      <c r="K168" s="156"/>
      <c r="L168" s="157">
        <v>5</v>
      </c>
      <c r="M168" s="158">
        <v>9000</v>
      </c>
      <c r="N168" s="159" t="s">
        <v>5486</v>
      </c>
    </row>
    <row r="169" spans="1:14">
      <c r="A169" s="148">
        <v>46192</v>
      </c>
      <c r="B169" s="149" t="s">
        <v>63</v>
      </c>
      <c r="C169" s="160"/>
      <c r="D169" s="151">
        <v>7000</v>
      </c>
      <c r="E169" s="165">
        <v>1</v>
      </c>
      <c r="F169" s="153" t="s">
        <v>5487</v>
      </c>
      <c r="G169" s="149" t="s">
        <v>71</v>
      </c>
      <c r="H169" s="149" t="s">
        <v>373</v>
      </c>
      <c r="I169" s="154"/>
      <c r="J169" s="155" t="s">
        <v>82</v>
      </c>
      <c r="K169" s="156"/>
      <c r="L169" s="157">
        <v>5</v>
      </c>
      <c r="M169" s="158">
        <v>7000</v>
      </c>
      <c r="N169" s="159" t="s">
        <v>5488</v>
      </c>
    </row>
    <row r="170" spans="1:14">
      <c r="A170" s="148">
        <v>46192</v>
      </c>
      <c r="B170" s="149" t="s">
        <v>63</v>
      </c>
      <c r="C170" s="160"/>
      <c r="D170" s="151">
        <v>19000</v>
      </c>
      <c r="E170" s="165">
        <v>1</v>
      </c>
      <c r="F170" s="153" t="s">
        <v>286</v>
      </c>
      <c r="G170" s="149" t="s">
        <v>71</v>
      </c>
      <c r="H170" s="149" t="s">
        <v>72</v>
      </c>
      <c r="I170" s="154"/>
      <c r="J170" s="155" t="s">
        <v>89</v>
      </c>
      <c r="K170" s="167"/>
      <c r="L170" s="157">
        <v>5</v>
      </c>
      <c r="M170" s="158">
        <v>19000</v>
      </c>
      <c r="N170" s="159" t="s">
        <v>287</v>
      </c>
    </row>
    <row r="171" spans="1:14">
      <c r="A171" s="148">
        <v>46192</v>
      </c>
      <c r="B171" s="149" t="s">
        <v>63</v>
      </c>
      <c r="C171" s="150"/>
      <c r="D171" s="151">
        <v>19000</v>
      </c>
      <c r="E171" s="165">
        <v>1</v>
      </c>
      <c r="F171" s="153" t="s">
        <v>286</v>
      </c>
      <c r="G171" s="149" t="s">
        <v>60</v>
      </c>
      <c r="H171" s="149" t="s">
        <v>61</v>
      </c>
      <c r="I171" s="154"/>
      <c r="J171" s="155" t="s">
        <v>89</v>
      </c>
      <c r="K171" s="156"/>
      <c r="L171" s="157">
        <v>5</v>
      </c>
      <c r="M171" s="158">
        <v>19000</v>
      </c>
      <c r="N171" s="159" t="s">
        <v>287</v>
      </c>
    </row>
    <row r="172" spans="1:14">
      <c r="A172" s="148">
        <v>46192</v>
      </c>
      <c r="B172" s="149" t="s">
        <v>63</v>
      </c>
      <c r="C172" s="150"/>
      <c r="D172" s="151">
        <v>19000</v>
      </c>
      <c r="E172" s="186">
        <v>1</v>
      </c>
      <c r="F172" s="153" t="s">
        <v>286</v>
      </c>
      <c r="G172" s="154" t="s">
        <v>60</v>
      </c>
      <c r="H172" s="154" t="s">
        <v>61</v>
      </c>
      <c r="I172" s="154"/>
      <c r="J172" s="155" t="s">
        <v>89</v>
      </c>
      <c r="K172" s="156"/>
      <c r="L172" s="157">
        <v>5</v>
      </c>
      <c r="M172" s="158">
        <v>19000</v>
      </c>
      <c r="N172" s="159" t="s">
        <v>287</v>
      </c>
    </row>
    <row r="173" spans="1:14">
      <c r="A173" s="148">
        <v>46193</v>
      </c>
      <c r="B173" s="149" t="s">
        <v>63</v>
      </c>
      <c r="C173" s="150"/>
      <c r="D173" s="151">
        <v>19000</v>
      </c>
      <c r="E173" s="165">
        <v>1</v>
      </c>
      <c r="F173" s="153" t="s">
        <v>286</v>
      </c>
      <c r="G173" s="154" t="s">
        <v>60</v>
      </c>
      <c r="H173" s="154" t="s">
        <v>61</v>
      </c>
      <c r="I173" s="154"/>
      <c r="J173" s="155" t="s">
        <v>89</v>
      </c>
      <c r="K173" s="156"/>
      <c r="L173" s="157">
        <v>5</v>
      </c>
      <c r="M173" s="158">
        <v>19000</v>
      </c>
      <c r="N173" s="159" t="s">
        <v>287</v>
      </c>
    </row>
    <row r="174" spans="1:14">
      <c r="A174" s="148">
        <v>46193</v>
      </c>
      <c r="B174" s="149" t="s">
        <v>63</v>
      </c>
      <c r="C174" s="150"/>
      <c r="D174" s="151">
        <v>6500</v>
      </c>
      <c r="E174" s="186">
        <v>1</v>
      </c>
      <c r="F174" s="153" t="s">
        <v>5496</v>
      </c>
      <c r="G174" s="154" t="s">
        <v>60</v>
      </c>
      <c r="H174" s="154" t="s">
        <v>61</v>
      </c>
      <c r="I174" s="154"/>
      <c r="J174" s="155" t="s">
        <v>89</v>
      </c>
      <c r="K174" s="156"/>
      <c r="L174" s="157">
        <v>5</v>
      </c>
      <c r="M174" s="158">
        <v>6500</v>
      </c>
      <c r="N174" s="159" t="s">
        <v>5497</v>
      </c>
    </row>
    <row r="175" spans="1:14">
      <c r="A175" s="148">
        <v>46193</v>
      </c>
      <c r="B175" s="149" t="s">
        <v>63</v>
      </c>
      <c r="C175" s="150"/>
      <c r="D175" s="151">
        <v>16000</v>
      </c>
      <c r="E175" s="165">
        <v>1</v>
      </c>
      <c r="F175" s="153" t="s">
        <v>5498</v>
      </c>
      <c r="G175" s="154" t="s">
        <v>60</v>
      </c>
      <c r="H175" s="154" t="s">
        <v>61</v>
      </c>
      <c r="I175" s="149"/>
      <c r="J175" s="149" t="s">
        <v>89</v>
      </c>
      <c r="K175" s="156"/>
      <c r="L175" s="157">
        <v>5</v>
      </c>
      <c r="M175" s="158">
        <v>16000</v>
      </c>
      <c r="N175" s="159" t="s">
        <v>5499</v>
      </c>
    </row>
    <row r="176" spans="1:14">
      <c r="A176" s="148">
        <v>46193</v>
      </c>
      <c r="B176" s="149" t="s">
        <v>63</v>
      </c>
      <c r="C176" s="150"/>
      <c r="D176" s="165">
        <v>19000</v>
      </c>
      <c r="E176" s="165">
        <v>1</v>
      </c>
      <c r="F176" s="150" t="s">
        <v>286</v>
      </c>
      <c r="G176" s="154" t="s">
        <v>60</v>
      </c>
      <c r="H176" s="154" t="s">
        <v>61</v>
      </c>
      <c r="I176" s="154"/>
      <c r="J176" s="155" t="s">
        <v>82</v>
      </c>
      <c r="K176" s="156"/>
      <c r="L176" s="157">
        <v>5</v>
      </c>
      <c r="M176" s="158">
        <v>19000</v>
      </c>
      <c r="N176" s="159" t="s">
        <v>287</v>
      </c>
    </row>
    <row r="177" spans="1:14">
      <c r="A177" s="148">
        <v>46193</v>
      </c>
      <c r="B177" s="149" t="s">
        <v>63</v>
      </c>
      <c r="C177" s="150"/>
      <c r="D177" s="165">
        <v>19000</v>
      </c>
      <c r="E177" s="165">
        <v>1</v>
      </c>
      <c r="F177" s="150" t="s">
        <v>286</v>
      </c>
      <c r="G177" s="154" t="s">
        <v>71</v>
      </c>
      <c r="H177" s="154" t="s">
        <v>373</v>
      </c>
      <c r="I177" s="154" t="s">
        <v>5510</v>
      </c>
      <c r="J177" s="155" t="s">
        <v>82</v>
      </c>
      <c r="K177" s="156"/>
      <c r="L177" s="157">
        <v>5</v>
      </c>
      <c r="M177" s="158">
        <v>19000</v>
      </c>
      <c r="N177" s="159" t="s">
        <v>287</v>
      </c>
    </row>
    <row r="178" spans="1:14">
      <c r="A178" s="148">
        <v>46193</v>
      </c>
      <c r="B178" s="149" t="s">
        <v>63</v>
      </c>
      <c r="C178" s="150"/>
      <c r="D178" s="165">
        <v>35000</v>
      </c>
      <c r="E178" s="165">
        <v>1</v>
      </c>
      <c r="F178" s="150" t="s">
        <v>5504</v>
      </c>
      <c r="G178" s="149" t="s">
        <v>71</v>
      </c>
      <c r="H178" s="149" t="s">
        <v>72</v>
      </c>
      <c r="I178" s="154">
        <v>934</v>
      </c>
      <c r="J178" s="155" t="s">
        <v>89</v>
      </c>
      <c r="K178" s="156"/>
      <c r="L178" s="157">
        <v>5</v>
      </c>
      <c r="M178" s="158">
        <v>35000</v>
      </c>
      <c r="N178" s="159" t="s">
        <v>5505</v>
      </c>
    </row>
    <row r="179" spans="1:14">
      <c r="A179" s="148">
        <v>46193</v>
      </c>
      <c r="B179" s="149" t="s">
        <v>63</v>
      </c>
      <c r="C179" s="150"/>
      <c r="D179" s="165">
        <v>47500</v>
      </c>
      <c r="E179" s="165">
        <v>1</v>
      </c>
      <c r="F179" s="150" t="s">
        <v>5304</v>
      </c>
      <c r="G179" s="154" t="s">
        <v>71</v>
      </c>
      <c r="H179" s="154" t="s">
        <v>373</v>
      </c>
      <c r="I179" s="149" t="s">
        <v>476</v>
      </c>
      <c r="J179" s="149" t="s">
        <v>89</v>
      </c>
      <c r="K179" s="156"/>
      <c r="L179" s="157">
        <v>5</v>
      </c>
      <c r="M179" s="158">
        <v>47500</v>
      </c>
      <c r="N179" s="159" t="s">
        <v>5305</v>
      </c>
    </row>
    <row r="180" spans="1:14">
      <c r="A180" s="148">
        <v>46193</v>
      </c>
      <c r="B180" s="149" t="s">
        <v>63</v>
      </c>
      <c r="C180" s="150"/>
      <c r="D180" s="165">
        <v>19000</v>
      </c>
      <c r="E180" s="165">
        <v>1</v>
      </c>
      <c r="F180" s="150" t="s">
        <v>286</v>
      </c>
      <c r="G180" s="154" t="s">
        <v>71</v>
      </c>
      <c r="H180" s="154" t="s">
        <v>373</v>
      </c>
      <c r="I180" s="149">
        <v>936</v>
      </c>
      <c r="J180" s="149" t="s">
        <v>89</v>
      </c>
      <c r="K180" s="156"/>
      <c r="L180" s="157">
        <v>5</v>
      </c>
      <c r="M180" s="158">
        <v>19000</v>
      </c>
      <c r="N180" s="159" t="s">
        <v>287</v>
      </c>
    </row>
    <row r="181" spans="1:14">
      <c r="A181" s="148">
        <v>46193</v>
      </c>
      <c r="B181" s="149" t="s">
        <v>63</v>
      </c>
      <c r="C181" s="150"/>
      <c r="D181" s="165">
        <v>19000</v>
      </c>
      <c r="E181" s="165">
        <v>1</v>
      </c>
      <c r="F181" s="150" t="s">
        <v>286</v>
      </c>
      <c r="G181" s="149" t="s">
        <v>71</v>
      </c>
      <c r="H181" s="149" t="s">
        <v>373</v>
      </c>
      <c r="I181" s="149">
        <v>936</v>
      </c>
      <c r="J181" s="149" t="s">
        <v>89</v>
      </c>
      <c r="K181" s="156"/>
      <c r="L181" s="157">
        <v>5</v>
      </c>
      <c r="M181" s="158">
        <v>19000</v>
      </c>
      <c r="N181" s="159" t="s">
        <v>287</v>
      </c>
    </row>
    <row r="182" spans="1:14">
      <c r="A182" s="148">
        <v>46193</v>
      </c>
      <c r="B182" s="149" t="s">
        <v>63</v>
      </c>
      <c r="C182" s="150"/>
      <c r="D182" s="165">
        <v>19000</v>
      </c>
      <c r="E182" s="165">
        <v>1</v>
      </c>
      <c r="F182" s="150" t="s">
        <v>286</v>
      </c>
      <c r="G182" s="149" t="s">
        <v>71</v>
      </c>
      <c r="H182" s="149" t="s">
        <v>373</v>
      </c>
      <c r="I182" s="149">
        <v>936</v>
      </c>
      <c r="J182" s="149" t="s">
        <v>89</v>
      </c>
      <c r="K182" s="156"/>
      <c r="L182" s="157">
        <v>5</v>
      </c>
      <c r="M182" s="158">
        <v>19000</v>
      </c>
      <c r="N182" s="159" t="s">
        <v>287</v>
      </c>
    </row>
    <row r="183" spans="1:14">
      <c r="A183" s="148">
        <v>46193</v>
      </c>
      <c r="B183" s="149" t="s">
        <v>63</v>
      </c>
      <c r="C183" s="150"/>
      <c r="D183" s="165">
        <v>9500</v>
      </c>
      <c r="E183" s="165">
        <v>1</v>
      </c>
      <c r="F183" s="150" t="s">
        <v>5511</v>
      </c>
      <c r="G183" s="149" t="s">
        <v>71</v>
      </c>
      <c r="H183" s="149" t="s">
        <v>373</v>
      </c>
      <c r="I183" s="149" t="s">
        <v>5512</v>
      </c>
      <c r="J183" s="149" t="s">
        <v>82</v>
      </c>
      <c r="K183" s="162"/>
      <c r="L183" s="157">
        <v>5</v>
      </c>
      <c r="M183" s="158">
        <v>9500</v>
      </c>
      <c r="N183" s="159" t="s">
        <v>5513</v>
      </c>
    </row>
    <row r="184" spans="1:14">
      <c r="A184" s="148">
        <v>46193</v>
      </c>
      <c r="B184" s="149" t="s">
        <v>63</v>
      </c>
      <c r="C184" s="150"/>
      <c r="D184" s="165">
        <v>19000</v>
      </c>
      <c r="E184" s="165">
        <v>1</v>
      </c>
      <c r="F184" s="150" t="s">
        <v>286</v>
      </c>
      <c r="G184" s="149" t="s">
        <v>71</v>
      </c>
      <c r="H184" s="149" t="s">
        <v>72</v>
      </c>
      <c r="I184" s="149">
        <v>938</v>
      </c>
      <c r="J184" s="149" t="s">
        <v>82</v>
      </c>
      <c r="K184" s="156"/>
      <c r="L184" s="157">
        <v>5</v>
      </c>
      <c r="M184" s="158">
        <v>19000</v>
      </c>
      <c r="N184" s="159" t="s">
        <v>287</v>
      </c>
    </row>
    <row r="185" spans="1:14">
      <c r="A185" s="148">
        <v>46193</v>
      </c>
      <c r="B185" s="149" t="s">
        <v>63</v>
      </c>
      <c r="C185" s="150"/>
      <c r="D185" s="165">
        <v>20500</v>
      </c>
      <c r="E185" s="186">
        <v>1</v>
      </c>
      <c r="F185" s="153" t="s">
        <v>5105</v>
      </c>
      <c r="G185" s="149" t="s">
        <v>71</v>
      </c>
      <c r="H185" s="149" t="s">
        <v>373</v>
      </c>
      <c r="I185" s="149" t="s">
        <v>5514</v>
      </c>
      <c r="J185" s="149" t="s">
        <v>82</v>
      </c>
      <c r="K185" s="162"/>
      <c r="L185" s="157">
        <v>5</v>
      </c>
      <c r="M185" s="158">
        <v>20500</v>
      </c>
      <c r="N185" s="159" t="s">
        <v>5106</v>
      </c>
    </row>
    <row r="186" spans="1:14">
      <c r="A186" s="148">
        <v>46193</v>
      </c>
      <c r="B186" s="149" t="s">
        <v>63</v>
      </c>
      <c r="C186" s="150"/>
      <c r="D186" s="165">
        <v>8000</v>
      </c>
      <c r="E186" s="165">
        <v>1</v>
      </c>
      <c r="F186" s="150" t="s">
        <v>73</v>
      </c>
      <c r="G186" s="149" t="s">
        <v>71</v>
      </c>
      <c r="H186" s="149" t="s">
        <v>373</v>
      </c>
      <c r="I186" s="149" t="s">
        <v>5514</v>
      </c>
      <c r="J186" s="149" t="s">
        <v>82</v>
      </c>
      <c r="K186" s="156"/>
      <c r="L186" s="157">
        <v>5</v>
      </c>
      <c r="M186" s="158">
        <v>8000</v>
      </c>
      <c r="N186" s="159" t="s">
        <v>78</v>
      </c>
    </row>
    <row r="187" spans="1:14">
      <c r="A187" s="148"/>
      <c r="B187" s="149"/>
      <c r="C187" s="150"/>
      <c r="D187" s="165"/>
      <c r="E187" s="165"/>
      <c r="F187" s="150"/>
      <c r="G187" s="149"/>
      <c r="H187" s="149"/>
      <c r="I187" s="149"/>
      <c r="J187" s="149"/>
      <c r="K187" s="156"/>
      <c r="L187" s="157">
        <v>5</v>
      </c>
      <c r="M187" s="158" t="s">
        <v>28</v>
      </c>
      <c r="N187" s="159" t="s">
        <v>29</v>
      </c>
    </row>
    <row r="188" spans="1:14">
      <c r="A188" s="148"/>
      <c r="B188" s="149"/>
      <c r="C188" s="150"/>
      <c r="D188" s="165"/>
      <c r="E188" s="165"/>
      <c r="F188" s="150"/>
      <c r="G188" s="149"/>
      <c r="H188" s="149"/>
      <c r="I188" s="149"/>
      <c r="J188" s="149"/>
      <c r="K188" s="156"/>
      <c r="L188" s="157">
        <v>5</v>
      </c>
      <c r="M188" s="158" t="s">
        <v>28</v>
      </c>
      <c r="N188" s="159" t="s">
        <v>29</v>
      </c>
    </row>
    <row r="189" spans="1:14">
      <c r="A189" s="148"/>
      <c r="B189" s="149"/>
      <c r="C189" s="150"/>
      <c r="D189" s="165"/>
      <c r="E189" s="165"/>
      <c r="F189" s="150"/>
      <c r="G189" s="149"/>
      <c r="H189" s="149"/>
      <c r="I189" s="149"/>
      <c r="J189" s="149"/>
      <c r="K189" s="156"/>
      <c r="L189" s="157">
        <v>5</v>
      </c>
      <c r="M189" s="158" t="s">
        <v>28</v>
      </c>
      <c r="N189" s="159" t="s">
        <v>29</v>
      </c>
    </row>
    <row r="190" spans="1:14">
      <c r="A190" s="148"/>
      <c r="B190" s="149"/>
      <c r="C190" s="150"/>
      <c r="D190" s="165"/>
      <c r="E190" s="165"/>
      <c r="F190" s="150"/>
      <c r="G190" s="149"/>
      <c r="H190" s="149"/>
      <c r="I190" s="149"/>
      <c r="J190" s="149"/>
      <c r="K190" s="162"/>
      <c r="L190" s="157">
        <v>5</v>
      </c>
      <c r="M190" s="158" t="s">
        <v>28</v>
      </c>
      <c r="N190" s="159" t="s">
        <v>29</v>
      </c>
    </row>
    <row r="191" spans="1:14">
      <c r="A191" s="148"/>
      <c r="B191" s="149"/>
      <c r="C191" s="150"/>
      <c r="D191" s="165"/>
      <c r="E191" s="165"/>
      <c r="F191" s="150"/>
      <c r="G191" s="149"/>
      <c r="H191" s="149"/>
      <c r="I191" s="149"/>
      <c r="J191" s="149"/>
      <c r="K191" s="156"/>
      <c r="L191" s="157">
        <v>5</v>
      </c>
      <c r="M191" s="158" t="s">
        <v>28</v>
      </c>
      <c r="N191" s="159" t="s">
        <v>29</v>
      </c>
    </row>
    <row r="192" spans="1:14">
      <c r="A192" s="148"/>
      <c r="B192" s="149"/>
      <c r="C192" s="150"/>
      <c r="D192" s="165"/>
      <c r="E192" s="165"/>
      <c r="F192" s="150"/>
      <c r="G192" s="149"/>
      <c r="H192" s="149"/>
      <c r="I192" s="149"/>
      <c r="J192" s="149"/>
      <c r="K192" s="162"/>
      <c r="L192" s="157">
        <v>5</v>
      </c>
      <c r="M192" s="158" t="s">
        <v>28</v>
      </c>
      <c r="N192" s="159" t="s">
        <v>29</v>
      </c>
    </row>
    <row r="193" spans="1:14">
      <c r="A193" s="148"/>
      <c r="B193" s="149"/>
      <c r="C193" s="150"/>
      <c r="D193" s="165"/>
      <c r="E193" s="165"/>
      <c r="F193" s="150"/>
      <c r="G193" s="149"/>
      <c r="H193" s="149"/>
      <c r="I193" s="149"/>
      <c r="J193" s="149"/>
      <c r="K193" s="156"/>
      <c r="L193" s="157">
        <v>5</v>
      </c>
      <c r="M193" s="158" t="s">
        <v>28</v>
      </c>
      <c r="N193" s="159" t="s">
        <v>29</v>
      </c>
    </row>
    <row r="194" spans="1:14">
      <c r="A194" s="148"/>
      <c r="B194" s="149"/>
      <c r="C194" s="150"/>
      <c r="D194" s="165"/>
      <c r="E194" s="165"/>
      <c r="F194" s="150"/>
      <c r="G194" s="149"/>
      <c r="H194" s="149"/>
      <c r="I194" s="149"/>
      <c r="J194" s="149"/>
      <c r="K194" s="156"/>
      <c r="L194" s="157">
        <v>5</v>
      </c>
      <c r="M194" s="158" t="s">
        <v>28</v>
      </c>
      <c r="N194" s="159" t="s">
        <v>29</v>
      </c>
    </row>
    <row r="195" spans="1:14">
      <c r="A195" s="148"/>
      <c r="B195" s="149"/>
      <c r="C195" s="150"/>
      <c r="D195" s="165"/>
      <c r="E195" s="165"/>
      <c r="F195" s="150"/>
      <c r="G195" s="149"/>
      <c r="H195" s="149"/>
      <c r="I195" s="149"/>
      <c r="J195" s="149"/>
      <c r="K195" s="156"/>
      <c r="L195" s="157">
        <v>5</v>
      </c>
      <c r="M195" s="158" t="s">
        <v>28</v>
      </c>
      <c r="N195" s="159" t="s">
        <v>29</v>
      </c>
    </row>
    <row r="196" spans="1:14">
      <c r="A196" s="148"/>
      <c r="B196" s="149"/>
      <c r="C196" s="150"/>
      <c r="D196" s="165"/>
      <c r="E196" s="165"/>
      <c r="F196" s="150"/>
      <c r="G196" s="149"/>
      <c r="H196" s="149"/>
      <c r="I196" s="149"/>
      <c r="J196" s="149"/>
      <c r="K196" s="156"/>
      <c r="L196" s="157">
        <v>5</v>
      </c>
      <c r="M196" s="158" t="s">
        <v>28</v>
      </c>
      <c r="N196" s="159" t="s">
        <v>29</v>
      </c>
    </row>
    <row r="197" spans="1:14">
      <c r="A197" s="148"/>
      <c r="B197" s="149"/>
      <c r="C197" s="150"/>
      <c r="D197" s="165"/>
      <c r="E197" s="165"/>
      <c r="F197" s="150"/>
      <c r="G197" s="149"/>
      <c r="H197" s="149"/>
      <c r="I197" s="149"/>
      <c r="J197" s="149"/>
      <c r="K197" s="156"/>
      <c r="L197" s="157">
        <v>5</v>
      </c>
      <c r="M197" s="158" t="s">
        <v>28</v>
      </c>
      <c r="N197" s="159" t="s">
        <v>29</v>
      </c>
    </row>
    <row r="198" spans="1:14">
      <c r="A198" s="187"/>
      <c r="B198" s="188"/>
      <c r="C198" s="189"/>
      <c r="D198" s="151"/>
      <c r="E198" s="165"/>
      <c r="F198" s="153"/>
      <c r="G198" s="188"/>
      <c r="H198" s="188"/>
      <c r="I198" s="188"/>
      <c r="J198" s="188"/>
      <c r="K198" s="177"/>
      <c r="L198" s="157">
        <v>5</v>
      </c>
      <c r="M198" s="158" t="s">
        <v>28</v>
      </c>
      <c r="N198" s="159" t="s">
        <v>29</v>
      </c>
    </row>
    <row r="199" spans="1:14">
      <c r="A199" s="164"/>
      <c r="B199" s="149"/>
      <c r="C199" s="150"/>
      <c r="D199" s="165"/>
      <c r="E199" s="186"/>
      <c r="F199" s="153"/>
      <c r="G199" s="149"/>
      <c r="H199" s="149"/>
      <c r="I199" s="149"/>
      <c r="J199" s="149"/>
      <c r="K199" s="156"/>
      <c r="L199" s="157">
        <v>5</v>
      </c>
      <c r="M199" s="158" t="s">
        <v>28</v>
      </c>
      <c r="N199" s="159" t="s">
        <v>29</v>
      </c>
    </row>
    <row r="200" spans="1:14">
      <c r="A200" s="164"/>
      <c r="B200" s="149"/>
      <c r="C200" s="150"/>
      <c r="D200" s="165"/>
      <c r="E200" s="165"/>
      <c r="F200" s="150"/>
      <c r="G200" s="149"/>
      <c r="H200" s="149"/>
      <c r="I200" s="149"/>
      <c r="J200" s="149"/>
      <c r="K200" s="162"/>
      <c r="L200" s="157">
        <v>5</v>
      </c>
      <c r="M200" s="158" t="s">
        <v>28</v>
      </c>
      <c r="N200" s="159" t="s">
        <v>29</v>
      </c>
    </row>
    <row r="201" spans="1:14">
      <c r="A201" s="164"/>
      <c r="B201" s="149"/>
      <c r="C201" s="150"/>
      <c r="D201" s="165"/>
      <c r="E201" s="152"/>
      <c r="F201" s="153"/>
      <c r="G201" s="149"/>
      <c r="H201" s="149"/>
      <c r="I201" s="149"/>
      <c r="J201" s="149"/>
      <c r="K201" s="156"/>
      <c r="L201" s="157">
        <v>5</v>
      </c>
      <c r="M201" s="158" t="s">
        <v>28</v>
      </c>
      <c r="N201" s="159" t="s">
        <v>29</v>
      </c>
    </row>
    <row r="202" spans="1:14">
      <c r="A202" s="164"/>
      <c r="B202" s="149"/>
      <c r="C202" s="160"/>
      <c r="D202" s="151"/>
      <c r="E202" s="152"/>
      <c r="F202" s="153"/>
      <c r="G202" s="149"/>
      <c r="H202" s="149"/>
      <c r="I202" s="149"/>
      <c r="J202" s="149"/>
      <c r="K202" s="156"/>
      <c r="L202" s="157">
        <v>5</v>
      </c>
      <c r="M202" s="158" t="s">
        <v>28</v>
      </c>
      <c r="N202" s="159" t="s">
        <v>29</v>
      </c>
    </row>
    <row r="203" spans="1:14">
      <c r="A203" s="164"/>
      <c r="B203" s="149"/>
      <c r="C203" s="160"/>
      <c r="D203" s="151"/>
      <c r="E203" s="168"/>
      <c r="F203" s="153"/>
      <c r="G203" s="154"/>
      <c r="H203" s="154"/>
      <c r="I203" s="149"/>
      <c r="J203" s="149"/>
      <c r="K203" s="156"/>
      <c r="L203" s="157">
        <v>5</v>
      </c>
      <c r="M203" s="158" t="s">
        <v>28</v>
      </c>
      <c r="N203" s="159" t="s">
        <v>29</v>
      </c>
    </row>
    <row r="204" spans="1:14">
      <c r="A204" s="164"/>
      <c r="B204" s="149"/>
      <c r="C204" s="160"/>
      <c r="D204" s="151"/>
      <c r="E204" s="190"/>
      <c r="F204" s="189"/>
      <c r="G204" s="154"/>
      <c r="H204" s="154"/>
      <c r="I204" s="154"/>
      <c r="J204" s="155"/>
      <c r="K204" s="156"/>
      <c r="L204" s="157">
        <v>5</v>
      </c>
      <c r="M204" s="158" t="s">
        <v>28</v>
      </c>
      <c r="N204" s="159" t="s">
        <v>29</v>
      </c>
    </row>
    <row r="205" spans="1:14">
      <c r="A205" s="164"/>
      <c r="B205" s="149"/>
      <c r="C205" s="160"/>
      <c r="D205" s="151"/>
      <c r="E205" s="175"/>
      <c r="F205" s="161"/>
      <c r="G205" s="154"/>
      <c r="H205" s="154"/>
      <c r="I205" s="154"/>
      <c r="J205" s="155"/>
      <c r="K205" s="156"/>
      <c r="L205" s="157">
        <v>5</v>
      </c>
      <c r="M205" s="158" t="s">
        <v>28</v>
      </c>
      <c r="N205" s="159" t="s">
        <v>29</v>
      </c>
    </row>
    <row r="206" spans="1:14">
      <c r="A206" s="164"/>
      <c r="B206" s="149"/>
      <c r="C206" s="160"/>
      <c r="D206" s="151"/>
      <c r="E206" s="168"/>
      <c r="F206" s="150"/>
      <c r="G206" s="154"/>
      <c r="H206" s="154"/>
      <c r="I206" s="154"/>
      <c r="J206" s="155"/>
      <c r="K206" s="156"/>
      <c r="L206" s="157">
        <v>5</v>
      </c>
      <c r="M206" s="158" t="s">
        <v>28</v>
      </c>
      <c r="N206" s="159" t="s">
        <v>29</v>
      </c>
    </row>
    <row r="207" spans="1:14">
      <c r="A207" s="164"/>
      <c r="B207" s="149"/>
      <c r="C207" s="160"/>
      <c r="D207" s="151"/>
      <c r="E207" s="152"/>
      <c r="F207" s="153"/>
      <c r="G207" s="154"/>
      <c r="H207" s="154"/>
      <c r="I207" s="154"/>
      <c r="J207" s="155"/>
      <c r="K207" s="156"/>
      <c r="L207" s="157">
        <v>5</v>
      </c>
      <c r="M207" s="158" t="s">
        <v>28</v>
      </c>
      <c r="N207" s="159" t="s">
        <v>29</v>
      </c>
    </row>
    <row r="208" spans="1:14">
      <c r="A208" s="164"/>
      <c r="B208" s="149"/>
      <c r="C208" s="160"/>
      <c r="D208" s="151"/>
      <c r="E208" s="186"/>
      <c r="F208" s="153"/>
      <c r="G208" s="154"/>
      <c r="H208" s="154"/>
      <c r="I208" s="154"/>
      <c r="J208" s="155"/>
      <c r="K208" s="156"/>
      <c r="L208" s="157">
        <v>5</v>
      </c>
      <c r="M208" s="158" t="s">
        <v>28</v>
      </c>
      <c r="N208" s="159" t="s">
        <v>29</v>
      </c>
    </row>
    <row r="209" spans="1:14">
      <c r="A209" s="164"/>
      <c r="B209" s="149"/>
      <c r="C209" s="160"/>
      <c r="D209" s="190"/>
      <c r="E209" s="186"/>
      <c r="F209" s="153"/>
      <c r="G209" s="154"/>
      <c r="H209" s="154"/>
      <c r="I209" s="154"/>
      <c r="J209" s="155"/>
      <c r="K209" s="156"/>
      <c r="L209" s="157">
        <v>5</v>
      </c>
      <c r="M209" s="158" t="s">
        <v>28</v>
      </c>
      <c r="N209" s="159" t="s">
        <v>29</v>
      </c>
    </row>
    <row r="210" spans="1:14">
      <c r="A210" s="164"/>
      <c r="B210" s="149"/>
      <c r="C210" s="160"/>
      <c r="D210" s="165"/>
      <c r="E210" s="165"/>
      <c r="F210" s="153"/>
      <c r="G210" s="154"/>
      <c r="H210" s="154"/>
      <c r="I210" s="154"/>
      <c r="J210" s="155"/>
      <c r="K210" s="156"/>
      <c r="L210" s="157">
        <v>5</v>
      </c>
      <c r="M210" s="158" t="s">
        <v>28</v>
      </c>
      <c r="N210" s="159" t="s">
        <v>29</v>
      </c>
    </row>
    <row r="211" spans="1:14">
      <c r="A211" s="164"/>
      <c r="B211" s="149"/>
      <c r="C211" s="160"/>
      <c r="D211" s="151"/>
      <c r="E211" s="168"/>
      <c r="F211" s="150"/>
      <c r="G211" s="154"/>
      <c r="H211" s="154"/>
      <c r="I211" s="154"/>
      <c r="J211" s="155"/>
      <c r="K211" s="156"/>
      <c r="L211" s="157">
        <v>5</v>
      </c>
      <c r="M211" s="158" t="s">
        <v>28</v>
      </c>
      <c r="N211" s="159" t="s">
        <v>29</v>
      </c>
    </row>
    <row r="212" spans="1:14">
      <c r="A212" s="164"/>
      <c r="B212" s="149"/>
      <c r="C212" s="160"/>
      <c r="D212" s="165"/>
      <c r="E212" s="168"/>
      <c r="F212" s="150"/>
      <c r="G212" s="154"/>
      <c r="H212" s="154"/>
      <c r="I212" s="154"/>
      <c r="J212" s="155"/>
      <c r="K212" s="156"/>
      <c r="L212" s="157">
        <v>5</v>
      </c>
      <c r="M212" s="158" t="s">
        <v>28</v>
      </c>
      <c r="N212" s="159" t="s">
        <v>29</v>
      </c>
    </row>
    <row r="213" spans="1:14">
      <c r="A213" s="164"/>
      <c r="B213" s="149"/>
      <c r="C213" s="160"/>
      <c r="D213" s="165"/>
      <c r="E213" s="165"/>
      <c r="F213" s="150"/>
      <c r="G213" s="154"/>
      <c r="H213" s="154"/>
      <c r="I213" s="154"/>
      <c r="J213" s="155"/>
      <c r="K213" s="156"/>
      <c r="L213" s="157">
        <v>5</v>
      </c>
      <c r="M213" s="158" t="s">
        <v>28</v>
      </c>
      <c r="N213" s="159" t="s">
        <v>29</v>
      </c>
    </row>
    <row r="214" spans="1:14">
      <c r="A214" s="164"/>
      <c r="B214" s="149"/>
      <c r="C214" s="160"/>
      <c r="D214" s="151"/>
      <c r="E214" s="191"/>
      <c r="F214" s="153"/>
      <c r="G214" s="154"/>
      <c r="H214" s="154"/>
      <c r="I214" s="154"/>
      <c r="J214" s="155"/>
      <c r="K214" s="156"/>
      <c r="L214" s="157">
        <v>5</v>
      </c>
      <c r="M214" s="158" t="s">
        <v>28</v>
      </c>
      <c r="N214" s="159" t="s">
        <v>29</v>
      </c>
    </row>
    <row r="215" spans="1:14">
      <c r="A215" s="164"/>
      <c r="B215" s="149"/>
      <c r="C215" s="160"/>
      <c r="D215" s="151"/>
      <c r="E215" s="165"/>
      <c r="F215" s="150"/>
      <c r="G215" s="154"/>
      <c r="H215" s="154"/>
      <c r="I215" s="154"/>
      <c r="J215" s="155"/>
      <c r="K215" s="156"/>
      <c r="L215" s="157">
        <v>5</v>
      </c>
      <c r="M215" s="158" t="s">
        <v>28</v>
      </c>
      <c r="N215" s="159" t="s">
        <v>29</v>
      </c>
    </row>
    <row r="216" spans="1:14">
      <c r="A216" s="164"/>
      <c r="B216" s="149"/>
      <c r="C216" s="160"/>
      <c r="D216" s="151"/>
      <c r="E216" s="186"/>
      <c r="F216" s="184"/>
      <c r="G216" s="154"/>
      <c r="H216" s="154"/>
      <c r="I216" s="154"/>
      <c r="J216" s="155"/>
      <c r="K216" s="156"/>
      <c r="L216" s="157">
        <v>5</v>
      </c>
      <c r="M216" s="158" t="s">
        <v>28</v>
      </c>
      <c r="N216" s="159" t="s">
        <v>29</v>
      </c>
    </row>
    <row r="217" spans="1:14">
      <c r="A217" s="148"/>
      <c r="B217" s="149"/>
      <c r="C217" s="150"/>
      <c r="D217" s="151"/>
      <c r="E217" s="186"/>
      <c r="F217" s="153"/>
      <c r="G217" s="154"/>
      <c r="H217" s="154"/>
      <c r="I217" s="154"/>
      <c r="J217" s="155"/>
      <c r="K217" s="156"/>
      <c r="L217" s="157">
        <v>5</v>
      </c>
      <c r="M217" s="158" t="s">
        <v>28</v>
      </c>
      <c r="N217" s="159" t="s">
        <v>29</v>
      </c>
    </row>
    <row r="218" spans="1:14">
      <c r="A218" s="148"/>
      <c r="B218" s="149"/>
      <c r="C218" s="150"/>
      <c r="D218" s="151"/>
      <c r="E218" s="186"/>
      <c r="F218" s="150"/>
      <c r="G218" s="154"/>
      <c r="H218" s="154"/>
      <c r="I218" s="154"/>
      <c r="J218" s="155"/>
      <c r="K218" s="156"/>
      <c r="L218" s="157">
        <v>5</v>
      </c>
      <c r="M218" s="158" t="s">
        <v>28</v>
      </c>
      <c r="N218" s="159" t="s">
        <v>29</v>
      </c>
    </row>
    <row r="219" spans="1:14">
      <c r="A219" s="148"/>
      <c r="B219" s="149"/>
      <c r="C219" s="150"/>
      <c r="D219" s="151"/>
      <c r="E219" s="186"/>
      <c r="F219" s="153"/>
      <c r="G219" s="154"/>
      <c r="H219" s="154"/>
      <c r="I219" s="154"/>
      <c r="J219" s="155"/>
      <c r="K219" s="156"/>
      <c r="L219" s="157">
        <v>5</v>
      </c>
      <c r="M219" s="158" t="s">
        <v>28</v>
      </c>
      <c r="N219" s="159" t="s">
        <v>29</v>
      </c>
    </row>
    <row r="220" spans="1:14">
      <c r="A220" s="148"/>
      <c r="B220" s="149"/>
      <c r="C220" s="150"/>
      <c r="D220" s="151"/>
      <c r="E220" s="186"/>
      <c r="F220" s="153"/>
      <c r="G220" s="154"/>
      <c r="H220" s="154"/>
      <c r="I220" s="154"/>
      <c r="J220" s="155"/>
      <c r="K220" s="156"/>
      <c r="L220" s="157">
        <v>5</v>
      </c>
      <c r="M220" s="158" t="s">
        <v>28</v>
      </c>
      <c r="N220" s="159" t="s">
        <v>29</v>
      </c>
    </row>
    <row r="221" spans="1:14">
      <c r="A221" s="148"/>
      <c r="B221" s="149"/>
      <c r="C221" s="150"/>
      <c r="D221" s="151"/>
      <c r="E221" s="186"/>
      <c r="F221" s="153"/>
      <c r="G221" s="154"/>
      <c r="H221" s="154"/>
      <c r="I221" s="154"/>
      <c r="J221" s="155"/>
      <c r="K221" s="156"/>
      <c r="L221" s="157">
        <v>5</v>
      </c>
      <c r="M221" s="158" t="s">
        <v>28</v>
      </c>
      <c r="N221" s="159" t="s">
        <v>29</v>
      </c>
    </row>
    <row r="222" spans="1:14">
      <c r="A222" s="164"/>
      <c r="B222" s="149"/>
      <c r="C222" s="160"/>
      <c r="D222" s="151"/>
      <c r="E222" s="151"/>
      <c r="F222" s="153"/>
      <c r="G222" s="154"/>
      <c r="H222" s="154"/>
      <c r="I222" s="154"/>
      <c r="J222" s="155"/>
      <c r="K222" s="156"/>
      <c r="L222" s="157">
        <v>5</v>
      </c>
      <c r="M222" s="158" t="s">
        <v>28</v>
      </c>
      <c r="N222" s="159" t="s">
        <v>29</v>
      </c>
    </row>
    <row r="223" spans="1:14">
      <c r="A223" s="164"/>
      <c r="B223" s="149"/>
      <c r="C223" s="150"/>
      <c r="D223" s="151"/>
      <c r="E223" s="151"/>
      <c r="F223" s="150"/>
      <c r="G223" s="154"/>
      <c r="H223" s="154"/>
      <c r="I223" s="154"/>
      <c r="J223" s="155"/>
      <c r="K223" s="156"/>
      <c r="L223" s="157">
        <v>5</v>
      </c>
      <c r="M223" s="158" t="s">
        <v>28</v>
      </c>
      <c r="N223" s="159" t="s">
        <v>29</v>
      </c>
    </row>
    <row r="224" spans="1:14">
      <c r="A224" s="164"/>
      <c r="B224" s="149"/>
      <c r="C224" s="150"/>
      <c r="D224" s="165"/>
      <c r="E224" s="165"/>
      <c r="F224" s="150"/>
      <c r="G224" s="154"/>
      <c r="H224" s="154"/>
      <c r="I224" s="154"/>
      <c r="J224" s="155"/>
      <c r="K224" s="156"/>
      <c r="L224" s="157">
        <v>5</v>
      </c>
      <c r="M224" s="158" t="s">
        <v>28</v>
      </c>
      <c r="N224" s="159" t="s">
        <v>29</v>
      </c>
    </row>
    <row r="225" spans="1:14">
      <c r="A225" s="164"/>
      <c r="B225" s="149"/>
      <c r="C225" s="150"/>
      <c r="D225" s="165"/>
      <c r="E225" s="165"/>
      <c r="F225" s="150"/>
      <c r="G225" s="154"/>
      <c r="H225" s="154"/>
      <c r="I225" s="154"/>
      <c r="J225" s="155"/>
      <c r="K225" s="156"/>
      <c r="L225" s="157">
        <v>5</v>
      </c>
      <c r="M225" s="158" t="s">
        <v>28</v>
      </c>
      <c r="N225" s="159" t="s">
        <v>29</v>
      </c>
    </row>
    <row r="226" spans="1:14">
      <c r="A226" s="164"/>
      <c r="B226" s="149"/>
      <c r="C226" s="150"/>
      <c r="D226" s="165"/>
      <c r="E226" s="165"/>
      <c r="F226" s="153"/>
      <c r="G226" s="154"/>
      <c r="H226" s="154"/>
      <c r="I226" s="154"/>
      <c r="J226" s="155"/>
      <c r="K226" s="156"/>
      <c r="L226" s="157">
        <v>5</v>
      </c>
      <c r="M226" s="158" t="s">
        <v>28</v>
      </c>
      <c r="N226" s="159" t="s">
        <v>29</v>
      </c>
    </row>
    <row r="227" spans="1:14">
      <c r="A227" s="164"/>
      <c r="B227" s="149"/>
      <c r="C227" s="160"/>
      <c r="D227" s="165"/>
      <c r="E227" s="151"/>
      <c r="F227" s="160"/>
      <c r="G227" s="154"/>
      <c r="H227" s="154"/>
      <c r="I227" s="154"/>
      <c r="J227" s="155"/>
      <c r="K227" s="156"/>
      <c r="L227" s="157">
        <v>5</v>
      </c>
      <c r="M227" s="158" t="s">
        <v>28</v>
      </c>
      <c r="N227" s="159" t="s">
        <v>29</v>
      </c>
    </row>
    <row r="228" spans="1:14">
      <c r="A228" s="164"/>
      <c r="B228" s="149"/>
      <c r="C228" s="150"/>
      <c r="D228" s="165"/>
      <c r="E228" s="151"/>
      <c r="F228" s="160"/>
      <c r="G228" s="154"/>
      <c r="H228" s="154"/>
      <c r="I228" s="154"/>
      <c r="J228" s="155"/>
      <c r="K228" s="156"/>
      <c r="L228" s="157">
        <v>5</v>
      </c>
      <c r="M228" s="158" t="s">
        <v>28</v>
      </c>
      <c r="N228" s="159" t="s">
        <v>29</v>
      </c>
    </row>
    <row r="229" spans="1:14">
      <c r="A229" s="164"/>
      <c r="B229" s="149"/>
      <c r="C229" s="160"/>
      <c r="D229" s="151"/>
      <c r="E229" s="186"/>
      <c r="F229" s="153"/>
      <c r="G229" s="154"/>
      <c r="H229" s="154"/>
      <c r="I229" s="154"/>
      <c r="J229" s="155"/>
      <c r="K229" s="156"/>
      <c r="L229" s="157">
        <v>5</v>
      </c>
      <c r="M229" s="158" t="s">
        <v>28</v>
      </c>
      <c r="N229" s="159" t="s">
        <v>29</v>
      </c>
    </row>
    <row r="230" spans="1:14">
      <c r="A230" s="164"/>
      <c r="B230" s="149"/>
      <c r="C230" s="160"/>
      <c r="D230" s="151"/>
      <c r="E230" s="151"/>
      <c r="F230" s="150"/>
      <c r="G230" s="154"/>
      <c r="H230" s="154"/>
      <c r="I230" s="154"/>
      <c r="J230" s="155"/>
      <c r="K230" s="156"/>
      <c r="L230" s="157">
        <v>5</v>
      </c>
      <c r="M230" s="158" t="s">
        <v>28</v>
      </c>
      <c r="N230" s="159" t="s">
        <v>29</v>
      </c>
    </row>
    <row r="231" spans="1:14">
      <c r="A231" s="164"/>
      <c r="B231" s="149"/>
      <c r="C231" s="160"/>
      <c r="D231" s="151"/>
      <c r="E231" s="151"/>
      <c r="F231" s="160"/>
      <c r="G231" s="154"/>
      <c r="H231" s="165"/>
      <c r="I231" s="154"/>
      <c r="J231" s="155"/>
      <c r="K231" s="156"/>
      <c r="L231" s="157">
        <v>5</v>
      </c>
      <c r="M231" s="158" t="s">
        <v>28</v>
      </c>
      <c r="N231" s="159" t="s">
        <v>29</v>
      </c>
    </row>
    <row r="232" spans="1:14">
      <c r="A232" s="164"/>
      <c r="B232" s="149"/>
      <c r="C232" s="160"/>
      <c r="D232" s="151"/>
      <c r="E232" s="151"/>
      <c r="F232" s="153"/>
      <c r="G232" s="154"/>
      <c r="H232" s="165"/>
      <c r="I232" s="154"/>
      <c r="J232" s="155"/>
      <c r="K232" s="156"/>
      <c r="L232" s="157">
        <v>5</v>
      </c>
      <c r="M232" s="158" t="s">
        <v>28</v>
      </c>
      <c r="N232" s="159" t="s">
        <v>29</v>
      </c>
    </row>
    <row r="233" spans="1:14">
      <c r="A233" s="164"/>
      <c r="B233" s="149"/>
      <c r="C233" s="160"/>
      <c r="D233" s="151"/>
      <c r="E233" s="186"/>
      <c r="F233" s="153"/>
      <c r="G233" s="154"/>
      <c r="H233" s="165"/>
      <c r="I233" s="154"/>
      <c r="J233" s="155"/>
      <c r="K233" s="156"/>
      <c r="L233" s="157">
        <v>5</v>
      </c>
      <c r="M233" s="158" t="s">
        <v>28</v>
      </c>
      <c r="N233" s="159" t="s">
        <v>29</v>
      </c>
    </row>
    <row r="234" spans="1:14">
      <c r="A234" s="164"/>
      <c r="B234" s="149"/>
      <c r="C234" s="160"/>
      <c r="D234" s="151"/>
      <c r="E234" s="186"/>
      <c r="F234" s="150"/>
      <c r="G234" s="154"/>
      <c r="H234" s="165"/>
      <c r="I234" s="154"/>
      <c r="J234" s="155"/>
      <c r="K234" s="156"/>
      <c r="L234" s="157">
        <v>5</v>
      </c>
      <c r="M234" s="158" t="s">
        <v>28</v>
      </c>
      <c r="N234" s="159" t="s">
        <v>29</v>
      </c>
    </row>
    <row r="235" spans="1:14">
      <c r="A235" s="148"/>
      <c r="B235" s="149"/>
      <c r="C235" s="160"/>
      <c r="D235" s="151"/>
      <c r="E235" s="186"/>
      <c r="F235" s="153"/>
      <c r="G235" s="154"/>
      <c r="H235" s="165"/>
      <c r="I235" s="154"/>
      <c r="J235" s="155"/>
      <c r="K235" s="156"/>
      <c r="L235" s="157">
        <v>5</v>
      </c>
      <c r="M235" s="158" t="s">
        <v>28</v>
      </c>
      <c r="N235" s="159" t="s">
        <v>29</v>
      </c>
    </row>
    <row r="236" spans="1:14">
      <c r="A236" s="164"/>
      <c r="B236" s="149"/>
      <c r="C236" s="160"/>
      <c r="D236" s="151"/>
      <c r="E236" s="186"/>
      <c r="F236" s="153"/>
      <c r="G236" s="154"/>
      <c r="H236" s="154"/>
      <c r="I236" s="154"/>
      <c r="J236" s="155"/>
      <c r="K236" s="156"/>
      <c r="L236" s="157">
        <v>5</v>
      </c>
      <c r="M236" s="158" t="s">
        <v>28</v>
      </c>
      <c r="N236" s="159" t="s">
        <v>29</v>
      </c>
    </row>
    <row r="237" spans="1:14">
      <c r="A237" s="164"/>
      <c r="B237" s="149"/>
      <c r="C237" s="160"/>
      <c r="D237" s="151"/>
      <c r="E237" s="186"/>
      <c r="F237" s="153"/>
      <c r="G237" s="154"/>
      <c r="H237" s="154"/>
      <c r="I237" s="154"/>
      <c r="J237" s="155"/>
      <c r="K237" s="156"/>
      <c r="L237" s="157">
        <v>5</v>
      </c>
      <c r="M237" s="158" t="s">
        <v>28</v>
      </c>
      <c r="N237" s="159" t="s">
        <v>29</v>
      </c>
    </row>
    <row r="238" spans="1:14">
      <c r="A238" s="164"/>
      <c r="B238" s="149"/>
      <c r="C238" s="160"/>
      <c r="D238" s="151"/>
      <c r="E238" s="151"/>
      <c r="F238" s="160"/>
      <c r="G238" s="154"/>
      <c r="H238" s="165"/>
      <c r="I238" s="154"/>
      <c r="J238" s="155"/>
      <c r="K238" s="156"/>
      <c r="L238" s="157">
        <v>5</v>
      </c>
      <c r="M238" s="158" t="s">
        <v>28</v>
      </c>
      <c r="N238" s="159" t="s">
        <v>29</v>
      </c>
    </row>
    <row r="239" spans="1:14">
      <c r="A239" s="164"/>
      <c r="B239" s="149"/>
      <c r="C239" s="160"/>
      <c r="D239" s="151"/>
      <c r="E239" s="186"/>
      <c r="F239" s="153"/>
      <c r="G239" s="154"/>
      <c r="H239" s="154"/>
      <c r="I239" s="154"/>
      <c r="J239" s="155"/>
      <c r="K239" s="156"/>
      <c r="L239" s="157">
        <v>5</v>
      </c>
      <c r="M239" s="158" t="s">
        <v>28</v>
      </c>
      <c r="N239" s="159" t="s">
        <v>29</v>
      </c>
    </row>
    <row r="240" spans="1:14">
      <c r="A240" s="164"/>
      <c r="B240" s="149"/>
      <c r="C240" s="160"/>
      <c r="D240" s="151"/>
      <c r="E240" s="151"/>
      <c r="F240" s="160"/>
      <c r="G240" s="154"/>
      <c r="H240" s="154"/>
      <c r="I240" s="154"/>
      <c r="J240" s="155"/>
      <c r="K240" s="156"/>
      <c r="L240" s="157">
        <v>5</v>
      </c>
      <c r="M240" s="158" t="s">
        <v>28</v>
      </c>
      <c r="N240" s="159" t="s">
        <v>29</v>
      </c>
    </row>
    <row r="241" spans="1:14">
      <c r="A241" s="164"/>
      <c r="B241" s="149"/>
      <c r="C241" s="160"/>
      <c r="D241" s="151"/>
      <c r="E241" s="186"/>
      <c r="F241" s="153"/>
      <c r="G241" s="154"/>
      <c r="H241" s="154"/>
      <c r="I241" s="154"/>
      <c r="J241" s="155"/>
      <c r="K241" s="156"/>
      <c r="L241" s="157">
        <v>5</v>
      </c>
      <c r="M241" s="158" t="s">
        <v>28</v>
      </c>
      <c r="N241" s="159" t="s">
        <v>29</v>
      </c>
    </row>
    <row r="242" spans="1:14">
      <c r="A242" s="148"/>
      <c r="B242" s="149"/>
      <c r="C242" s="150"/>
      <c r="D242" s="151"/>
      <c r="E242" s="186"/>
      <c r="F242" s="153"/>
      <c r="G242" s="154"/>
      <c r="H242" s="154"/>
      <c r="I242" s="154"/>
      <c r="J242" s="155"/>
      <c r="K242" s="156"/>
      <c r="L242" s="157">
        <v>5</v>
      </c>
      <c r="M242" s="158" t="s">
        <v>28</v>
      </c>
      <c r="N242" s="159" t="s">
        <v>29</v>
      </c>
    </row>
    <row r="243" spans="1:14">
      <c r="A243" s="187"/>
      <c r="B243" s="188"/>
      <c r="C243" s="173"/>
      <c r="D243" s="174"/>
      <c r="E243" s="175"/>
      <c r="F243" s="161"/>
      <c r="G243" s="176"/>
      <c r="H243" s="188"/>
      <c r="I243" s="176"/>
      <c r="J243" s="192"/>
      <c r="K243" s="177"/>
      <c r="L243" s="157">
        <v>5</v>
      </c>
      <c r="M243" s="158" t="s">
        <v>28</v>
      </c>
      <c r="N243" s="159" t="s">
        <v>29</v>
      </c>
    </row>
    <row r="244" spans="1:14">
      <c r="A244" s="164"/>
      <c r="B244" s="149"/>
      <c r="C244" s="160"/>
      <c r="D244" s="151"/>
      <c r="E244" s="191"/>
      <c r="F244" s="150"/>
      <c r="G244" s="149"/>
      <c r="H244" s="149"/>
      <c r="I244" s="154"/>
      <c r="J244" s="155"/>
      <c r="K244" s="156"/>
      <c r="L244" s="157">
        <v>5</v>
      </c>
      <c r="M244" s="158" t="s">
        <v>28</v>
      </c>
      <c r="N244" s="159" t="s">
        <v>29</v>
      </c>
    </row>
    <row r="245" spans="1:14">
      <c r="A245" s="164"/>
      <c r="B245" s="149"/>
      <c r="C245" s="160"/>
      <c r="D245" s="151"/>
      <c r="E245" s="152"/>
      <c r="F245" s="153"/>
      <c r="G245" s="149"/>
      <c r="H245" s="165"/>
      <c r="I245" s="154"/>
      <c r="J245" s="155"/>
      <c r="K245" s="156"/>
      <c r="L245" s="157">
        <v>5</v>
      </c>
      <c r="M245" s="158" t="s">
        <v>28</v>
      </c>
      <c r="N245" s="159" t="s">
        <v>29</v>
      </c>
    </row>
    <row r="246" spans="1:14">
      <c r="A246" s="164"/>
      <c r="B246" s="149"/>
      <c r="C246" s="160"/>
      <c r="D246" s="151"/>
      <c r="E246" s="152"/>
      <c r="F246" s="150"/>
      <c r="G246" s="149"/>
      <c r="H246" s="149"/>
      <c r="I246" s="154"/>
      <c r="J246" s="155"/>
      <c r="K246" s="162"/>
      <c r="L246" s="157">
        <v>5</v>
      </c>
      <c r="M246" s="158" t="s">
        <v>28</v>
      </c>
      <c r="N246" s="159" t="s">
        <v>29</v>
      </c>
    </row>
    <row r="247" spans="1:14">
      <c r="A247" s="164"/>
      <c r="B247" s="149"/>
      <c r="C247" s="160"/>
      <c r="D247" s="151"/>
      <c r="E247" s="191"/>
      <c r="F247" s="150"/>
      <c r="G247" s="149"/>
      <c r="H247" s="165"/>
      <c r="I247" s="154"/>
      <c r="J247" s="155"/>
      <c r="K247" s="156"/>
      <c r="L247" s="157">
        <v>5</v>
      </c>
      <c r="M247" s="158" t="s">
        <v>28</v>
      </c>
      <c r="N247" s="159" t="s">
        <v>29</v>
      </c>
    </row>
    <row r="248" spans="1:14">
      <c r="A248" s="164"/>
      <c r="B248" s="149"/>
      <c r="C248" s="160"/>
      <c r="D248" s="151"/>
      <c r="E248" s="191"/>
      <c r="F248" s="150"/>
      <c r="G248" s="149"/>
      <c r="H248" s="165"/>
      <c r="I248" s="154"/>
      <c r="J248" s="155"/>
      <c r="K248" s="156"/>
      <c r="L248" s="157">
        <v>5</v>
      </c>
      <c r="M248" s="158" t="s">
        <v>28</v>
      </c>
      <c r="N248" s="159" t="s">
        <v>29</v>
      </c>
    </row>
    <row r="249" spans="1:14">
      <c r="A249" s="164"/>
      <c r="B249" s="149"/>
      <c r="C249" s="160"/>
      <c r="D249" s="151"/>
      <c r="E249" s="152"/>
      <c r="F249" s="150"/>
      <c r="G249" s="149"/>
      <c r="H249" s="149"/>
      <c r="I249" s="154"/>
      <c r="J249" s="155"/>
      <c r="K249" s="162"/>
      <c r="L249" s="157">
        <v>5</v>
      </c>
      <c r="M249" s="158" t="s">
        <v>28</v>
      </c>
      <c r="N249" s="159" t="s">
        <v>29</v>
      </c>
    </row>
    <row r="250" spans="1:14">
      <c r="A250" s="164"/>
      <c r="B250" s="149"/>
      <c r="C250" s="160"/>
      <c r="D250" s="151"/>
      <c r="G250" s="149"/>
      <c r="H250" s="149"/>
      <c r="I250" s="154"/>
      <c r="J250" s="155"/>
      <c r="K250" s="156"/>
      <c r="L250" s="157">
        <v>5</v>
      </c>
      <c r="M250" s="158" t="s">
        <v>28</v>
      </c>
      <c r="N250" s="159" t="s">
        <v>29</v>
      </c>
    </row>
    <row r="251" spans="1:14">
      <c r="A251" s="164"/>
      <c r="B251" s="149"/>
      <c r="C251" s="160"/>
      <c r="D251" s="151"/>
      <c r="E251" s="191"/>
      <c r="F251" s="150"/>
      <c r="G251" s="149"/>
      <c r="H251" s="149"/>
      <c r="I251" s="154"/>
      <c r="J251" s="155"/>
      <c r="K251" s="156"/>
      <c r="L251" s="157">
        <v>5</v>
      </c>
      <c r="M251" s="158" t="s">
        <v>28</v>
      </c>
      <c r="N251" s="159" t="s">
        <v>29</v>
      </c>
    </row>
    <row r="252" spans="1:14">
      <c r="A252" s="164"/>
      <c r="B252" s="149"/>
      <c r="C252" s="160"/>
      <c r="D252" s="165"/>
      <c r="E252" s="152"/>
      <c r="F252" s="153"/>
      <c r="G252" s="149"/>
      <c r="H252" s="149"/>
      <c r="I252" s="154"/>
      <c r="J252" s="155"/>
      <c r="K252" s="156"/>
      <c r="L252" s="157">
        <v>5</v>
      </c>
      <c r="M252" s="158" t="s">
        <v>28</v>
      </c>
      <c r="N252" s="159" t="s">
        <v>29</v>
      </c>
    </row>
    <row r="253" spans="1:14">
      <c r="A253" s="164"/>
      <c r="B253" s="149"/>
      <c r="C253" s="160"/>
      <c r="D253" s="151"/>
      <c r="E253" s="175"/>
      <c r="F253" s="173"/>
      <c r="G253" s="149"/>
      <c r="H253" s="149"/>
      <c r="I253" s="154"/>
      <c r="J253" s="155"/>
      <c r="K253" s="156"/>
      <c r="L253" s="157">
        <v>5</v>
      </c>
      <c r="M253" s="158" t="s">
        <v>28</v>
      </c>
      <c r="N253" s="159" t="s">
        <v>29</v>
      </c>
    </row>
    <row r="254" spans="1:14">
      <c r="A254" s="164"/>
      <c r="B254" s="149"/>
      <c r="C254" s="160"/>
      <c r="D254" s="151"/>
      <c r="E254" s="152"/>
      <c r="F254" s="150"/>
      <c r="G254" s="149"/>
      <c r="H254" s="149"/>
      <c r="I254" s="154"/>
      <c r="J254" s="155"/>
      <c r="K254" s="156"/>
      <c r="L254" s="157">
        <v>5</v>
      </c>
      <c r="M254" s="158" t="s">
        <v>28</v>
      </c>
      <c r="N254" s="159" t="s">
        <v>29</v>
      </c>
    </row>
    <row r="255" spans="1:14">
      <c r="A255" s="195"/>
      <c r="B255" s="188"/>
      <c r="C255" s="173"/>
      <c r="D255" s="174"/>
      <c r="E255" s="175"/>
      <c r="F255" s="161"/>
      <c r="G255" s="188"/>
      <c r="H255" s="188"/>
      <c r="I255" s="176"/>
      <c r="J255" s="192"/>
      <c r="K255" s="177"/>
      <c r="L255" s="157">
        <v>5</v>
      </c>
      <c r="M255" s="158" t="s">
        <v>28</v>
      </c>
      <c r="N255" s="159" t="s">
        <v>29</v>
      </c>
    </row>
    <row r="256" spans="1:14">
      <c r="A256" s="195"/>
      <c r="B256" s="188"/>
      <c r="C256" s="173"/>
      <c r="D256" s="174"/>
      <c r="E256" s="175"/>
      <c r="F256" s="161"/>
      <c r="G256" s="188"/>
      <c r="H256" s="188"/>
      <c r="I256" s="176"/>
      <c r="J256" s="192"/>
      <c r="K256" s="177"/>
      <c r="L256" s="157">
        <v>5</v>
      </c>
      <c r="M256" s="158" t="s">
        <v>28</v>
      </c>
      <c r="N256" s="159" t="s">
        <v>29</v>
      </c>
    </row>
    <row r="257" spans="1:14">
      <c r="A257" s="148"/>
      <c r="B257" s="149"/>
      <c r="C257" s="160"/>
      <c r="D257" s="151"/>
      <c r="E257" s="152"/>
      <c r="F257" s="153"/>
      <c r="G257" s="149"/>
      <c r="H257" s="149"/>
      <c r="I257" s="154"/>
      <c r="J257" s="155"/>
      <c r="K257" s="156"/>
      <c r="L257" s="157">
        <v>5</v>
      </c>
      <c r="M257" s="158" t="s">
        <v>28</v>
      </c>
      <c r="N257" s="159" t="s">
        <v>29</v>
      </c>
    </row>
    <row r="258" spans="1:14">
      <c r="A258" s="164"/>
      <c r="B258" s="149"/>
      <c r="C258" s="160"/>
      <c r="D258" s="151"/>
      <c r="E258" s="152"/>
      <c r="F258" s="153"/>
      <c r="G258" s="149"/>
      <c r="H258" s="149"/>
      <c r="I258" s="154"/>
      <c r="J258" s="155"/>
      <c r="K258" s="156"/>
      <c r="L258" s="157">
        <v>5</v>
      </c>
      <c r="M258" s="158" t="s">
        <v>28</v>
      </c>
      <c r="N258" s="159" t="s">
        <v>29</v>
      </c>
    </row>
    <row r="259" spans="1:14">
      <c r="A259" s="164"/>
      <c r="B259" s="149"/>
      <c r="C259" s="160"/>
      <c r="D259" s="151"/>
      <c r="E259" s="152"/>
      <c r="F259" s="153"/>
      <c r="G259" s="149"/>
      <c r="H259" s="149"/>
      <c r="I259" s="154"/>
      <c r="J259" s="155"/>
      <c r="K259" s="156"/>
      <c r="L259" s="157">
        <v>5</v>
      </c>
      <c r="M259" s="158" t="s">
        <v>28</v>
      </c>
      <c r="N259" s="159" t="s">
        <v>29</v>
      </c>
    </row>
    <row r="260" spans="1:14">
      <c r="A260" s="187"/>
      <c r="B260" s="188"/>
      <c r="C260" s="189"/>
      <c r="D260" s="190"/>
      <c r="E260" s="175"/>
      <c r="F260" s="161"/>
      <c r="G260" s="188"/>
      <c r="H260" s="188"/>
      <c r="I260" s="188"/>
      <c r="J260" s="192"/>
      <c r="K260" s="196"/>
      <c r="L260" s="157">
        <v>5</v>
      </c>
      <c r="M260" s="158" t="s">
        <v>28</v>
      </c>
      <c r="N260" s="159" t="s">
        <v>29</v>
      </c>
    </row>
    <row r="261" spans="1:14">
      <c r="A261" s="195"/>
      <c r="B261" s="188"/>
      <c r="C261" s="173"/>
      <c r="D261" s="174"/>
      <c r="E261" s="175"/>
      <c r="F261" s="161"/>
      <c r="G261" s="188"/>
      <c r="H261" s="188"/>
      <c r="I261" s="176"/>
      <c r="J261" s="192"/>
      <c r="K261" s="177"/>
      <c r="L261" s="157">
        <v>5</v>
      </c>
      <c r="M261" s="158" t="s">
        <v>28</v>
      </c>
      <c r="N261" s="159" t="s">
        <v>29</v>
      </c>
    </row>
    <row r="262" spans="1:14">
      <c r="A262" s="195"/>
      <c r="B262" s="188"/>
      <c r="C262" s="173"/>
      <c r="D262" s="174"/>
      <c r="E262" s="175"/>
      <c r="F262" s="161"/>
      <c r="G262" s="188"/>
      <c r="H262" s="188"/>
      <c r="I262" s="176"/>
      <c r="J262" s="192"/>
      <c r="K262" s="177"/>
      <c r="L262" s="157">
        <v>5</v>
      </c>
      <c r="M262" s="158" t="s">
        <v>28</v>
      </c>
      <c r="N262" s="159" t="s">
        <v>29</v>
      </c>
    </row>
    <row r="263" spans="1:14">
      <c r="A263" s="148"/>
      <c r="B263" s="149"/>
      <c r="C263" s="160"/>
      <c r="D263" s="151"/>
      <c r="E263" s="152"/>
      <c r="F263" s="153"/>
      <c r="G263" s="149"/>
      <c r="H263" s="149"/>
      <c r="I263" s="154"/>
      <c r="J263" s="155"/>
      <c r="K263" s="156"/>
      <c r="L263" s="157">
        <v>5</v>
      </c>
      <c r="M263" s="158" t="s">
        <v>28</v>
      </c>
      <c r="N263" s="159" t="s">
        <v>29</v>
      </c>
    </row>
    <row r="264" spans="1:14">
      <c r="A264" s="148"/>
      <c r="B264" s="149"/>
      <c r="C264" s="160"/>
      <c r="D264" s="151"/>
      <c r="E264" s="152"/>
      <c r="F264" s="150"/>
      <c r="G264" s="149"/>
      <c r="H264" s="149"/>
      <c r="I264" s="154"/>
      <c r="J264" s="155"/>
      <c r="K264" s="156"/>
      <c r="L264" s="157">
        <v>5</v>
      </c>
      <c r="M264" s="158" t="s">
        <v>28</v>
      </c>
      <c r="N264" s="159" t="s">
        <v>29</v>
      </c>
    </row>
    <row r="265" spans="1:14">
      <c r="A265" s="148"/>
      <c r="B265" s="149"/>
      <c r="C265" s="160"/>
      <c r="D265" s="151"/>
      <c r="E265" s="197"/>
      <c r="F265" s="163"/>
      <c r="G265" s="149"/>
      <c r="H265" s="149"/>
      <c r="I265" s="154"/>
      <c r="J265" s="155"/>
      <c r="K265" s="156"/>
      <c r="L265" s="157">
        <v>5</v>
      </c>
      <c r="M265" s="158" t="s">
        <v>28</v>
      </c>
      <c r="N265" s="159" t="s">
        <v>29</v>
      </c>
    </row>
    <row r="266" spans="1:14">
      <c r="A266" s="148"/>
      <c r="B266" s="149"/>
      <c r="C266" s="160"/>
      <c r="D266" s="151"/>
      <c r="E266" s="151"/>
      <c r="F266" s="150"/>
      <c r="G266" s="149"/>
      <c r="H266" s="149"/>
      <c r="I266" s="154"/>
      <c r="J266" s="155"/>
      <c r="K266" s="156"/>
      <c r="L266" s="157">
        <v>5</v>
      </c>
      <c r="M266" s="158" t="s">
        <v>28</v>
      </c>
      <c r="N266" s="159" t="s">
        <v>29</v>
      </c>
    </row>
    <row r="267" spans="1:14">
      <c r="A267" s="148"/>
      <c r="B267" s="149"/>
      <c r="C267" s="160"/>
      <c r="D267" s="151"/>
      <c r="E267" s="191"/>
      <c r="F267" s="153"/>
      <c r="G267" s="149"/>
      <c r="H267" s="149"/>
      <c r="I267" s="154"/>
      <c r="J267" s="155"/>
      <c r="K267" s="156"/>
      <c r="L267" s="157">
        <v>5</v>
      </c>
      <c r="M267" s="158" t="s">
        <v>28</v>
      </c>
      <c r="N267" s="159" t="s">
        <v>29</v>
      </c>
    </row>
    <row r="268" spans="1:14">
      <c r="A268" s="148"/>
      <c r="B268" s="149"/>
      <c r="C268" s="160"/>
      <c r="D268" s="151"/>
      <c r="E268" s="152"/>
      <c r="F268" s="150"/>
      <c r="G268" s="188"/>
      <c r="H268" s="188"/>
      <c r="I268" s="154"/>
      <c r="J268" s="155"/>
      <c r="K268" s="162"/>
      <c r="L268" s="157">
        <v>5</v>
      </c>
      <c r="M268" s="158" t="s">
        <v>28</v>
      </c>
      <c r="N268" s="159" t="s">
        <v>29</v>
      </c>
    </row>
    <row r="269" spans="1:14">
      <c r="A269" s="148"/>
      <c r="B269" s="149"/>
      <c r="C269" s="160"/>
      <c r="D269" s="151"/>
      <c r="E269" s="152"/>
      <c r="F269" s="153"/>
      <c r="G269" s="188"/>
      <c r="H269" s="188"/>
      <c r="I269" s="154"/>
      <c r="J269" s="155"/>
      <c r="K269" s="156"/>
      <c r="L269" s="157">
        <v>5</v>
      </c>
      <c r="M269" s="158" t="s">
        <v>28</v>
      </c>
      <c r="N269" s="159" t="s">
        <v>29</v>
      </c>
    </row>
    <row r="270" spans="1:14">
      <c r="A270" s="148"/>
      <c r="B270" s="149"/>
      <c r="C270" s="160"/>
      <c r="D270" s="151"/>
      <c r="E270" s="152"/>
      <c r="F270" s="153"/>
      <c r="G270" s="188"/>
      <c r="H270" s="188"/>
      <c r="I270" s="154"/>
      <c r="J270" s="155"/>
      <c r="K270" s="156"/>
      <c r="L270" s="157">
        <v>5</v>
      </c>
      <c r="M270" s="158" t="s">
        <v>28</v>
      </c>
      <c r="N270" s="159" t="s">
        <v>29</v>
      </c>
    </row>
    <row r="271" spans="1:14">
      <c r="A271" s="148"/>
      <c r="B271" s="149"/>
      <c r="C271" s="160"/>
      <c r="D271" s="151"/>
      <c r="E271" s="152"/>
      <c r="F271" s="150"/>
      <c r="G271" s="188"/>
      <c r="H271" s="188"/>
      <c r="I271" s="154"/>
      <c r="J271" s="155"/>
      <c r="K271" s="156"/>
      <c r="L271" s="157"/>
      <c r="M271" s="158" t="s">
        <v>28</v>
      </c>
      <c r="N271" s="159" t="s">
        <v>29</v>
      </c>
    </row>
    <row r="272" spans="1:14">
      <c r="A272" s="148"/>
      <c r="B272" s="149"/>
      <c r="C272" s="160"/>
      <c r="D272" s="151"/>
      <c r="E272" s="152"/>
      <c r="F272" s="153"/>
      <c r="G272" s="188"/>
      <c r="H272" s="188"/>
      <c r="I272" s="154"/>
      <c r="J272" s="155"/>
      <c r="K272" s="156"/>
      <c r="L272" s="157"/>
      <c r="M272" s="158" t="s">
        <v>28</v>
      </c>
      <c r="N272" s="159" t="s">
        <v>29</v>
      </c>
    </row>
    <row r="273" spans="1:14">
      <c r="A273" s="148"/>
      <c r="B273" s="149"/>
      <c r="C273" s="160"/>
      <c r="D273" s="151"/>
      <c r="E273" s="152"/>
      <c r="F273" s="153"/>
      <c r="G273" s="149"/>
      <c r="H273" s="149"/>
      <c r="I273" s="154"/>
      <c r="J273" s="155"/>
      <c r="K273" s="156"/>
      <c r="L273" s="157"/>
      <c r="M273" s="158" t="s">
        <v>28</v>
      </c>
      <c r="N273" s="159" t="s">
        <v>29</v>
      </c>
    </row>
    <row r="274" spans="1:14">
      <c r="A274" s="148"/>
      <c r="B274" s="149"/>
      <c r="C274" s="160"/>
      <c r="D274" s="151"/>
      <c r="E274" s="152"/>
      <c r="F274" s="153"/>
      <c r="G274" s="149"/>
      <c r="H274" s="149"/>
      <c r="I274" s="154"/>
      <c r="J274" s="155"/>
      <c r="K274" s="156"/>
      <c r="L274" s="157"/>
      <c r="M274" s="158" t="s">
        <v>28</v>
      </c>
      <c r="N274" s="159" t="s">
        <v>29</v>
      </c>
    </row>
    <row r="275" spans="1:14">
      <c r="A275" s="148"/>
      <c r="B275" s="149"/>
      <c r="C275" s="160"/>
      <c r="D275" s="151"/>
      <c r="E275" s="152"/>
      <c r="F275" s="150"/>
      <c r="G275" s="149"/>
      <c r="H275" s="149"/>
      <c r="I275" s="154"/>
      <c r="J275" s="155"/>
      <c r="K275" s="162"/>
      <c r="L275" s="157"/>
      <c r="M275" s="158" t="s">
        <v>28</v>
      </c>
      <c r="N275" s="159" t="s">
        <v>29</v>
      </c>
    </row>
    <row r="276" spans="1:14">
      <c r="A276" s="148"/>
      <c r="B276" s="149"/>
      <c r="C276" s="160"/>
      <c r="D276" s="151"/>
      <c r="E276" s="152"/>
      <c r="F276" s="153"/>
      <c r="G276" s="154"/>
      <c r="H276" s="154"/>
      <c r="I276" s="154"/>
      <c r="J276" s="155"/>
      <c r="K276" s="156"/>
      <c r="L276" s="157"/>
      <c r="M276" s="158" t="s">
        <v>28</v>
      </c>
      <c r="N276" s="159" t="s">
        <v>29</v>
      </c>
    </row>
    <row r="277" spans="1:14">
      <c r="A277" s="148"/>
      <c r="B277" s="149"/>
      <c r="C277" s="160"/>
      <c r="D277" s="151"/>
      <c r="E277" s="152"/>
      <c r="F277" s="153"/>
      <c r="G277" s="154"/>
      <c r="H277" s="154"/>
      <c r="I277" s="154"/>
      <c r="J277" s="155"/>
      <c r="K277" s="156"/>
      <c r="L277" s="157"/>
      <c r="M277" s="158" t="s">
        <v>28</v>
      </c>
      <c r="N277" s="159" t="s">
        <v>29</v>
      </c>
    </row>
    <row r="278" spans="1:14">
      <c r="A278" s="148"/>
      <c r="B278" s="149"/>
      <c r="C278" s="160"/>
      <c r="D278" s="151"/>
      <c r="E278" s="152"/>
      <c r="F278" s="153"/>
      <c r="G278" s="149"/>
      <c r="H278" s="149"/>
      <c r="I278" s="154"/>
      <c r="J278" s="155"/>
      <c r="K278" s="156"/>
      <c r="L278" s="157"/>
      <c r="M278" s="158" t="s">
        <v>28</v>
      </c>
      <c r="N278" s="159" t="s">
        <v>29</v>
      </c>
    </row>
    <row r="279" spans="1:14">
      <c r="A279" s="148"/>
      <c r="B279" s="149"/>
      <c r="C279" s="160"/>
      <c r="D279" s="151"/>
      <c r="E279" s="152"/>
      <c r="F279" s="153"/>
      <c r="G279" s="149"/>
      <c r="H279" s="149"/>
      <c r="I279" s="154"/>
      <c r="J279" s="155"/>
      <c r="K279" s="156"/>
      <c r="L279" s="157"/>
      <c r="M279" s="158" t="s">
        <v>28</v>
      </c>
      <c r="N279" s="159" t="s">
        <v>29</v>
      </c>
    </row>
    <row r="280" spans="1:14">
      <c r="A280" s="148"/>
      <c r="B280" s="149"/>
      <c r="C280" s="160"/>
      <c r="D280" s="151"/>
      <c r="E280" s="152"/>
      <c r="F280" s="153"/>
      <c r="G280" s="149"/>
      <c r="H280" s="149"/>
      <c r="I280" s="154"/>
      <c r="J280" s="155"/>
      <c r="K280" s="156"/>
      <c r="L280" s="157"/>
      <c r="M280" s="158" t="s">
        <v>28</v>
      </c>
      <c r="N280" s="159" t="s">
        <v>29</v>
      </c>
    </row>
    <row r="281" spans="1:14">
      <c r="A281" s="148"/>
      <c r="B281" s="149"/>
      <c r="C281" s="160"/>
      <c r="D281" s="151"/>
      <c r="E281" s="152"/>
      <c r="F281" s="184"/>
      <c r="G281" s="149"/>
      <c r="H281" s="149"/>
      <c r="I281" s="154"/>
      <c r="J281" s="155"/>
      <c r="K281" s="156"/>
      <c r="L281" s="157"/>
      <c r="M281" s="158" t="s">
        <v>28</v>
      </c>
      <c r="N281" s="159" t="s">
        <v>29</v>
      </c>
    </row>
    <row r="282" spans="1:14">
      <c r="A282" s="148"/>
      <c r="B282" s="149"/>
      <c r="C282" s="160"/>
      <c r="D282" s="151"/>
      <c r="E282" s="152"/>
      <c r="F282" s="153"/>
      <c r="G282" s="149"/>
      <c r="H282" s="149"/>
      <c r="I282" s="154"/>
      <c r="J282" s="155"/>
      <c r="K282" s="156"/>
      <c r="L282" s="157"/>
      <c r="M282" s="158" t="s">
        <v>28</v>
      </c>
      <c r="N282" s="159" t="s">
        <v>29</v>
      </c>
    </row>
    <row r="283" spans="1:14">
      <c r="A283" s="148"/>
      <c r="B283" s="149"/>
      <c r="C283" s="160"/>
      <c r="D283" s="151"/>
      <c r="E283" s="152"/>
      <c r="F283" s="184"/>
      <c r="G283" s="149"/>
      <c r="H283" s="149"/>
      <c r="I283" s="154"/>
      <c r="J283" s="155"/>
      <c r="K283" s="156"/>
      <c r="L283" s="157"/>
      <c r="M283" s="158" t="s">
        <v>28</v>
      </c>
      <c r="N283" s="159" t="s">
        <v>29</v>
      </c>
    </row>
    <row r="284" spans="1:14">
      <c r="A284" s="148"/>
      <c r="B284" s="149"/>
      <c r="C284" s="160"/>
      <c r="D284" s="151"/>
      <c r="E284" s="152"/>
      <c r="F284" s="153"/>
      <c r="G284" s="149"/>
      <c r="H284" s="149"/>
      <c r="I284" s="154"/>
      <c r="J284" s="155"/>
      <c r="K284" s="156"/>
      <c r="L284" s="157"/>
      <c r="M284" s="158" t="s">
        <v>28</v>
      </c>
      <c r="N284" s="159" t="s">
        <v>29</v>
      </c>
    </row>
    <row r="285" spans="1:14">
      <c r="A285" s="195"/>
      <c r="B285" s="188"/>
      <c r="C285" s="173"/>
      <c r="D285" s="174"/>
      <c r="E285" s="175"/>
      <c r="F285" s="161"/>
      <c r="G285" s="188"/>
      <c r="H285" s="188"/>
      <c r="I285" s="176"/>
      <c r="J285" s="192"/>
      <c r="K285" s="177"/>
      <c r="L285" s="157"/>
      <c r="M285" s="158" t="s">
        <v>28</v>
      </c>
      <c r="N285" s="159" t="s">
        <v>29</v>
      </c>
    </row>
    <row r="286" spans="1:14">
      <c r="A286" s="195"/>
      <c r="B286" s="188"/>
      <c r="C286" s="173"/>
      <c r="D286" s="174"/>
      <c r="E286" s="175"/>
      <c r="F286" s="161"/>
      <c r="G286" s="188"/>
      <c r="H286" s="188"/>
      <c r="I286" s="176"/>
      <c r="J286" s="192"/>
      <c r="K286" s="177"/>
      <c r="L286" s="157"/>
      <c r="M286" s="158" t="s">
        <v>28</v>
      </c>
      <c r="N286" s="159" t="s">
        <v>29</v>
      </c>
    </row>
    <row r="287" spans="1:14">
      <c r="A287" s="195"/>
      <c r="B287" s="188"/>
      <c r="C287" s="173"/>
      <c r="D287" s="174"/>
      <c r="E287" s="175"/>
      <c r="F287" s="161"/>
      <c r="G287" s="188"/>
      <c r="H287" s="188"/>
      <c r="I287" s="176"/>
      <c r="J287" s="192"/>
      <c r="K287" s="177"/>
      <c r="L287" s="157"/>
      <c r="M287" s="158" t="s">
        <v>28</v>
      </c>
      <c r="N287" s="159" t="s">
        <v>29</v>
      </c>
    </row>
    <row r="288" spans="1:14">
      <c r="A288" s="195"/>
      <c r="B288" s="188"/>
      <c r="C288" s="173"/>
      <c r="D288" s="174"/>
      <c r="E288" s="175"/>
      <c r="F288" s="161"/>
      <c r="G288" s="188"/>
      <c r="H288" s="188"/>
      <c r="I288" s="176"/>
      <c r="J288" s="192"/>
      <c r="K288" s="177"/>
      <c r="L288" s="157"/>
      <c r="M288" s="158" t="s">
        <v>28</v>
      </c>
      <c r="N288" s="159" t="s">
        <v>29</v>
      </c>
    </row>
    <row r="289" spans="1:14">
      <c r="A289" s="195"/>
      <c r="B289" s="188"/>
      <c r="C289" s="173"/>
      <c r="D289" s="174"/>
      <c r="E289" s="175"/>
      <c r="F289" s="161"/>
      <c r="G289" s="188"/>
      <c r="H289" s="188"/>
      <c r="I289" s="176"/>
      <c r="J289" s="192"/>
      <c r="K289" s="177"/>
      <c r="L289" s="157"/>
      <c r="M289" s="158" t="s">
        <v>28</v>
      </c>
      <c r="N289" s="159" t="s">
        <v>29</v>
      </c>
    </row>
    <row r="290" spans="1:14">
      <c r="A290" s="195"/>
      <c r="B290" s="188"/>
      <c r="C290" s="173"/>
      <c r="D290" s="174"/>
      <c r="E290" s="175"/>
      <c r="F290" s="189"/>
      <c r="G290" s="188"/>
      <c r="H290" s="188"/>
      <c r="I290" s="176"/>
      <c r="J290" s="192"/>
      <c r="K290" s="196"/>
      <c r="L290" s="157"/>
      <c r="M290" s="158" t="s">
        <v>28</v>
      </c>
      <c r="N290" s="159" t="s">
        <v>29</v>
      </c>
    </row>
    <row r="291" spans="1:14">
      <c r="A291" s="195"/>
      <c r="B291" s="188"/>
      <c r="C291" s="173"/>
      <c r="D291" s="174"/>
      <c r="E291" s="175"/>
      <c r="F291" s="161"/>
      <c r="G291" s="188"/>
      <c r="H291" s="188"/>
      <c r="I291" s="176"/>
      <c r="J291" s="192"/>
      <c r="K291" s="177"/>
      <c r="L291" s="157"/>
      <c r="M291" s="158" t="s">
        <v>28</v>
      </c>
      <c r="N291" s="159" t="s">
        <v>29</v>
      </c>
    </row>
    <row r="292" spans="1:14">
      <c r="A292" s="195"/>
      <c r="B292" s="188"/>
      <c r="C292" s="173"/>
      <c r="D292" s="174"/>
      <c r="E292" s="175"/>
      <c r="F292" s="198"/>
      <c r="G292" s="188"/>
      <c r="H292" s="188"/>
      <c r="I292" s="176"/>
      <c r="J292" s="192"/>
      <c r="K292" s="177"/>
      <c r="L292" s="157"/>
      <c r="M292" s="158" t="s">
        <v>28</v>
      </c>
      <c r="N292" s="159" t="s">
        <v>29</v>
      </c>
    </row>
    <row r="293" spans="1:14">
      <c r="A293" s="195"/>
      <c r="B293" s="188"/>
      <c r="C293" s="173"/>
      <c r="D293" s="174"/>
      <c r="E293" s="175"/>
      <c r="F293" s="161"/>
      <c r="G293" s="188"/>
      <c r="H293" s="188"/>
      <c r="I293" s="176"/>
      <c r="J293" s="192"/>
      <c r="K293" s="177"/>
      <c r="L293" s="157"/>
      <c r="M293" s="158" t="s">
        <v>28</v>
      </c>
      <c r="N293" s="159" t="s">
        <v>29</v>
      </c>
    </row>
    <row r="294" spans="1:14">
      <c r="A294" s="195"/>
      <c r="B294" s="188"/>
      <c r="C294" s="173"/>
      <c r="D294" s="174"/>
      <c r="E294" s="175"/>
      <c r="F294" s="161"/>
      <c r="G294" s="188"/>
      <c r="H294" s="188"/>
      <c r="I294" s="176"/>
      <c r="J294" s="192"/>
      <c r="K294" s="177"/>
      <c r="L294" s="157"/>
      <c r="M294" s="158" t="s">
        <v>28</v>
      </c>
      <c r="N294" s="159" t="s">
        <v>29</v>
      </c>
    </row>
    <row r="295" spans="1:14">
      <c r="A295" s="148"/>
      <c r="B295" s="149"/>
      <c r="C295" s="150"/>
      <c r="D295" s="151"/>
      <c r="E295" s="199"/>
      <c r="F295" s="200"/>
      <c r="G295" s="154"/>
      <c r="H295" s="154"/>
      <c r="I295" s="154"/>
      <c r="J295" s="155"/>
      <c r="K295" s="154"/>
      <c r="L295" s="157"/>
      <c r="M295" s="158" t="s">
        <v>28</v>
      </c>
      <c r="N295" s="159" t="s">
        <v>29</v>
      </c>
    </row>
    <row r="296" spans="1:14">
      <c r="A296" s="148"/>
      <c r="B296" s="149"/>
      <c r="C296" s="150"/>
      <c r="D296" s="151"/>
      <c r="E296" s="199"/>
      <c r="F296" s="201"/>
      <c r="G296" s="154"/>
      <c r="H296" s="154"/>
      <c r="I296" s="154"/>
      <c r="J296" s="155"/>
      <c r="K296" s="154"/>
      <c r="L296" s="157"/>
      <c r="M296" s="158" t="s">
        <v>28</v>
      </c>
      <c r="N296" s="159" t="s">
        <v>29</v>
      </c>
    </row>
    <row r="297" spans="1:14">
      <c r="A297" s="148"/>
      <c r="B297" s="149"/>
      <c r="C297" s="160"/>
      <c r="D297" s="151"/>
      <c r="E297" s="151"/>
      <c r="F297" s="185"/>
      <c r="G297" s="149"/>
      <c r="H297" s="149"/>
      <c r="I297" s="154"/>
      <c r="J297" s="155"/>
      <c r="K297" s="154"/>
      <c r="L297" s="157"/>
      <c r="M297" s="158" t="s">
        <v>28</v>
      </c>
      <c r="N297" s="159" t="s">
        <v>29</v>
      </c>
    </row>
    <row r="298" spans="1:14">
      <c r="A298" s="195"/>
      <c r="B298" s="188"/>
      <c r="C298" s="160"/>
      <c r="D298" s="151"/>
      <c r="E298" s="151"/>
      <c r="F298" s="153"/>
      <c r="G298" s="149"/>
      <c r="H298" s="149"/>
      <c r="I298" s="154"/>
      <c r="J298" s="155"/>
      <c r="K298" s="154"/>
      <c r="L298" s="157"/>
      <c r="M298" s="158" t="s">
        <v>28</v>
      </c>
      <c r="N298" s="159" t="s">
        <v>29</v>
      </c>
    </row>
    <row r="299" spans="1:14">
      <c r="A299" s="195"/>
      <c r="B299" s="188"/>
      <c r="C299" s="160"/>
      <c r="D299" s="151"/>
      <c r="E299" s="151"/>
      <c r="F299" s="153"/>
      <c r="G299" s="149"/>
      <c r="H299" s="149"/>
      <c r="I299" s="154"/>
      <c r="J299" s="155"/>
      <c r="K299" s="154"/>
      <c r="L299" s="157"/>
      <c r="M299" s="158" t="s">
        <v>28</v>
      </c>
      <c r="N299" s="159" t="s">
        <v>29</v>
      </c>
    </row>
    <row r="300" spans="1:14">
      <c r="A300" s="195"/>
      <c r="B300" s="188"/>
      <c r="C300" s="160"/>
      <c r="D300" s="151"/>
      <c r="E300" s="151"/>
      <c r="F300" s="150"/>
      <c r="G300" s="188"/>
      <c r="H300" s="188"/>
      <c r="I300" s="154"/>
      <c r="J300" s="155"/>
      <c r="K300" s="154"/>
      <c r="L300" s="157"/>
      <c r="M300" s="158" t="s">
        <v>28</v>
      </c>
      <c r="N300" s="159" t="s">
        <v>29</v>
      </c>
    </row>
    <row r="301" spans="1:14">
      <c r="A301" s="195"/>
      <c r="B301" s="188"/>
      <c r="C301" s="160"/>
      <c r="D301" s="151"/>
      <c r="E301" s="151"/>
      <c r="F301" s="150"/>
      <c r="G301" s="188"/>
      <c r="H301" s="188"/>
      <c r="I301" s="154"/>
      <c r="J301" s="155"/>
      <c r="K301" s="154"/>
      <c r="L301" s="157"/>
      <c r="M301" s="158" t="s">
        <v>28</v>
      </c>
      <c r="N301" s="159" t="s">
        <v>29</v>
      </c>
    </row>
    <row r="302" spans="1:14">
      <c r="A302" s="195"/>
      <c r="B302" s="188"/>
      <c r="C302" s="150"/>
      <c r="D302" s="151"/>
      <c r="E302" s="191"/>
      <c r="F302" s="150"/>
      <c r="G302" s="188"/>
      <c r="H302" s="188"/>
      <c r="I302" s="154"/>
      <c r="J302" s="155"/>
      <c r="K302" s="156"/>
      <c r="L302" s="157"/>
      <c r="M302" s="158" t="s">
        <v>28</v>
      </c>
      <c r="N302" s="159" t="s">
        <v>29</v>
      </c>
    </row>
    <row r="303" spans="1:14">
      <c r="A303" s="195"/>
      <c r="B303" s="188"/>
      <c r="C303" s="160"/>
      <c r="D303" s="151"/>
      <c r="E303" s="191"/>
      <c r="F303" s="150"/>
      <c r="G303" s="188"/>
      <c r="H303" s="188"/>
      <c r="I303" s="154"/>
      <c r="J303" s="155"/>
      <c r="K303" s="156"/>
      <c r="L303" s="157"/>
      <c r="M303" s="158" t="s">
        <v>28</v>
      </c>
      <c r="N303" s="159" t="s">
        <v>29</v>
      </c>
    </row>
    <row r="304" spans="1:14">
      <c r="A304" s="164"/>
      <c r="B304" s="149"/>
      <c r="C304" s="150"/>
      <c r="D304" s="149"/>
      <c r="E304" s="149"/>
      <c r="F304" s="150"/>
      <c r="G304" s="149"/>
      <c r="H304" s="149"/>
      <c r="I304" s="149"/>
      <c r="J304" s="149"/>
      <c r="K304" s="156"/>
      <c r="L304" s="157"/>
      <c r="M304" s="158" t="s">
        <v>28</v>
      </c>
      <c r="N304" s="159" t="s">
        <v>29</v>
      </c>
    </row>
    <row r="305" spans="1:14">
      <c r="A305" s="164"/>
      <c r="B305" s="149"/>
      <c r="C305" s="150"/>
      <c r="D305" s="149"/>
      <c r="E305" s="149"/>
      <c r="F305" s="150"/>
      <c r="G305" s="149"/>
      <c r="H305" s="149"/>
      <c r="I305" s="149"/>
      <c r="J305" s="149"/>
      <c r="K305" s="156"/>
      <c r="L305" s="157"/>
      <c r="M305" s="158" t="s">
        <v>28</v>
      </c>
      <c r="N305" s="159" t="s">
        <v>29</v>
      </c>
    </row>
    <row r="306" spans="1:14">
      <c r="A306" s="164"/>
      <c r="B306" s="149"/>
      <c r="C306" s="150"/>
      <c r="D306" s="149"/>
      <c r="E306" s="149"/>
      <c r="F306" s="150"/>
      <c r="G306" s="149"/>
      <c r="H306" s="149"/>
      <c r="I306" s="149"/>
      <c r="J306" s="149"/>
      <c r="K306" s="156"/>
      <c r="L306" s="157"/>
      <c r="M306" s="158" t="s">
        <v>28</v>
      </c>
      <c r="N306" s="159" t="s">
        <v>29</v>
      </c>
    </row>
    <row r="307" spans="1:14">
      <c r="A307" s="164"/>
      <c r="B307" s="149"/>
      <c r="C307" s="150"/>
      <c r="D307" s="149"/>
      <c r="E307" s="149"/>
      <c r="F307" s="150"/>
      <c r="G307" s="149"/>
      <c r="H307" s="149"/>
      <c r="I307" s="149"/>
      <c r="J307" s="149"/>
      <c r="K307" s="156"/>
      <c r="L307" s="157"/>
      <c r="M307" s="158" t="s">
        <v>28</v>
      </c>
      <c r="N307" s="159" t="s">
        <v>29</v>
      </c>
    </row>
    <row r="308" spans="1:14">
      <c r="A308" s="164"/>
      <c r="B308" s="149"/>
      <c r="C308" s="150"/>
      <c r="D308" s="149"/>
      <c r="E308" s="149"/>
      <c r="F308" s="150"/>
      <c r="G308" s="149"/>
      <c r="H308" s="149"/>
      <c r="I308" s="149"/>
      <c r="J308" s="149"/>
      <c r="K308" s="156"/>
      <c r="L308" s="157"/>
      <c r="M308" s="158" t="s">
        <v>28</v>
      </c>
      <c r="N308" s="159" t="s">
        <v>29</v>
      </c>
    </row>
    <row r="309" spans="1:14">
      <c r="A309" s="164"/>
      <c r="B309" s="149"/>
      <c r="C309" s="150"/>
      <c r="D309" s="149"/>
      <c r="E309" s="149"/>
      <c r="F309" s="150"/>
      <c r="G309" s="149"/>
      <c r="H309" s="149"/>
      <c r="I309" s="149"/>
      <c r="J309" s="149"/>
      <c r="K309" s="156"/>
      <c r="L309" s="157"/>
      <c r="M309" s="158" t="s">
        <v>28</v>
      </c>
      <c r="N309" s="159" t="s">
        <v>29</v>
      </c>
    </row>
    <row r="310" spans="1:14">
      <c r="A310" s="164"/>
      <c r="B310" s="149"/>
      <c r="C310" s="150"/>
      <c r="D310" s="149"/>
      <c r="E310" s="149"/>
      <c r="F310" s="150"/>
      <c r="G310" s="149"/>
      <c r="H310" s="149"/>
      <c r="I310" s="149"/>
      <c r="J310" s="149"/>
      <c r="K310" s="156"/>
      <c r="L310" s="157"/>
      <c r="M310" s="158" t="s">
        <v>28</v>
      </c>
      <c r="N310" s="159" t="s">
        <v>29</v>
      </c>
    </row>
    <row r="311" spans="1:14">
      <c r="A311" s="164"/>
      <c r="B311" s="149"/>
      <c r="C311" s="150"/>
      <c r="D311" s="149"/>
      <c r="E311" s="202"/>
      <c r="F311" s="203"/>
      <c r="G311" s="149"/>
      <c r="H311" s="149"/>
      <c r="I311" s="149"/>
      <c r="J311" s="149"/>
      <c r="K311" s="156"/>
      <c r="L311" s="157"/>
      <c r="M311" s="158" t="s">
        <v>28</v>
      </c>
      <c r="N311" s="159" t="s">
        <v>29</v>
      </c>
    </row>
    <row r="312" spans="1:14">
      <c r="A312" s="195"/>
      <c r="B312" s="188"/>
      <c r="C312" s="160"/>
      <c r="D312" s="151"/>
      <c r="E312" s="186"/>
      <c r="F312" s="189"/>
      <c r="G312" s="204"/>
      <c r="H312" s="149"/>
      <c r="I312" s="154"/>
      <c r="J312" s="155"/>
      <c r="K312" s="162"/>
      <c r="L312" s="157"/>
      <c r="M312" s="158" t="s">
        <v>28</v>
      </c>
      <c r="N312" s="159" t="s">
        <v>29</v>
      </c>
    </row>
    <row r="313" spans="1:14">
      <c r="A313" s="195"/>
      <c r="B313" s="188"/>
      <c r="C313" s="160"/>
      <c r="D313" s="151"/>
      <c r="E313" s="186"/>
      <c r="F313" s="153"/>
      <c r="G313" s="204"/>
      <c r="H313" s="149"/>
      <c r="I313" s="154"/>
      <c r="J313" s="155"/>
      <c r="K313" s="156"/>
      <c r="L313" s="157"/>
      <c r="M313" s="158" t="s">
        <v>28</v>
      </c>
      <c r="N313" s="159" t="s">
        <v>29</v>
      </c>
    </row>
    <row r="314" spans="1:14">
      <c r="A314" s="148"/>
      <c r="B314" s="149"/>
      <c r="C314" s="160"/>
      <c r="D314" s="151"/>
      <c r="E314" s="186"/>
      <c r="F314" s="153"/>
      <c r="G314" s="205"/>
      <c r="H314" s="154"/>
      <c r="I314" s="154"/>
      <c r="J314" s="155"/>
      <c r="K314" s="156"/>
      <c r="L314" s="157"/>
      <c r="M314" s="158" t="s">
        <v>28</v>
      </c>
      <c r="N314" s="159" t="s">
        <v>29</v>
      </c>
    </row>
    <row r="315" spans="1:14">
      <c r="A315" s="148"/>
      <c r="B315" s="149"/>
      <c r="C315" s="160"/>
      <c r="D315" s="151"/>
      <c r="E315" s="152"/>
      <c r="F315" s="153"/>
      <c r="G315" s="154"/>
      <c r="H315" s="154"/>
      <c r="I315" s="154"/>
      <c r="J315" s="155"/>
      <c r="K315" s="156"/>
      <c r="L315" s="157"/>
      <c r="M315" s="158" t="s">
        <v>28</v>
      </c>
      <c r="N315" s="159" t="s">
        <v>29</v>
      </c>
    </row>
    <row r="316" spans="1:14">
      <c r="A316" s="148"/>
      <c r="B316" s="149"/>
      <c r="C316" s="160"/>
      <c r="D316" s="151"/>
      <c r="E316" s="152"/>
      <c r="F316" s="153"/>
      <c r="G316" s="154"/>
      <c r="H316" s="154"/>
      <c r="I316" s="154"/>
      <c r="J316" s="155"/>
      <c r="K316" s="156"/>
      <c r="L316" s="157"/>
      <c r="M316" s="158" t="s">
        <v>28</v>
      </c>
      <c r="N316" s="159" t="s">
        <v>29</v>
      </c>
    </row>
    <row r="317" spans="1:14">
      <c r="A317" s="148"/>
      <c r="B317" s="149"/>
      <c r="C317" s="160"/>
      <c r="D317" s="151"/>
      <c r="E317" s="152"/>
      <c r="F317" s="153"/>
      <c r="G317" s="154"/>
      <c r="H317" s="154"/>
      <c r="I317" s="154"/>
      <c r="J317" s="155"/>
      <c r="K317" s="156"/>
      <c r="L317" s="157"/>
      <c r="M317" s="158" t="s">
        <v>28</v>
      </c>
      <c r="N317" s="159" t="s">
        <v>29</v>
      </c>
    </row>
    <row r="318" spans="1:14">
      <c r="A318" s="148"/>
      <c r="B318" s="149"/>
      <c r="C318" s="160"/>
      <c r="D318" s="151"/>
      <c r="E318" s="152"/>
      <c r="F318" s="153"/>
      <c r="G318" s="154"/>
      <c r="H318" s="154"/>
      <c r="I318" s="154"/>
      <c r="J318" s="155"/>
      <c r="K318" s="156"/>
      <c r="L318" s="157"/>
      <c r="M318" s="158" t="s">
        <v>28</v>
      </c>
      <c r="N318" s="159" t="s">
        <v>29</v>
      </c>
    </row>
    <row r="319" spans="1:14">
      <c r="A319" s="148"/>
      <c r="B319" s="149"/>
      <c r="C319" s="160"/>
      <c r="D319" s="151"/>
      <c r="E319" s="152"/>
      <c r="F319" s="153"/>
      <c r="G319" s="154"/>
      <c r="H319" s="154"/>
      <c r="I319" s="154"/>
      <c r="J319" s="155"/>
      <c r="K319" s="156"/>
      <c r="L319" s="157"/>
      <c r="M319" s="158" t="s">
        <v>28</v>
      </c>
      <c r="N319" s="159" t="s">
        <v>29</v>
      </c>
    </row>
    <row r="320" spans="1:14">
      <c r="A320" s="148"/>
      <c r="B320" s="149"/>
      <c r="C320" s="160"/>
      <c r="D320" s="151"/>
      <c r="E320" s="152"/>
      <c r="F320" s="153"/>
      <c r="G320" s="154"/>
      <c r="H320" s="154"/>
      <c r="I320" s="154"/>
      <c r="J320" s="155"/>
      <c r="K320" s="156"/>
      <c r="L320" s="157"/>
      <c r="M320" s="158" t="s">
        <v>28</v>
      </c>
      <c r="N320" s="159" t="s">
        <v>29</v>
      </c>
    </row>
    <row r="321" spans="1:14">
      <c r="A321" s="148"/>
      <c r="B321" s="149"/>
      <c r="C321" s="160"/>
      <c r="D321" s="151"/>
      <c r="E321" s="152"/>
      <c r="F321" s="153"/>
      <c r="G321" s="154"/>
      <c r="H321" s="154"/>
      <c r="I321" s="154"/>
      <c r="J321" s="155"/>
      <c r="K321" s="156"/>
      <c r="L321" s="157"/>
      <c r="M321" s="158" t="s">
        <v>28</v>
      </c>
      <c r="N321" s="159" t="s">
        <v>29</v>
      </c>
    </row>
    <row r="322" spans="1:14">
      <c r="A322" s="148"/>
      <c r="B322" s="149"/>
      <c r="C322" s="160"/>
      <c r="D322" s="151"/>
      <c r="E322" s="152"/>
      <c r="F322" s="153"/>
      <c r="G322" s="154"/>
      <c r="H322" s="154"/>
      <c r="I322" s="154"/>
      <c r="J322" s="155"/>
      <c r="K322" s="156"/>
      <c r="L322" s="157"/>
      <c r="M322" s="158" t="s">
        <v>28</v>
      </c>
      <c r="N322" s="159" t="s">
        <v>29</v>
      </c>
    </row>
    <row r="323" spans="1:14">
      <c r="A323" s="148"/>
      <c r="B323" s="149"/>
      <c r="C323" s="160"/>
      <c r="D323" s="151"/>
      <c r="E323" s="152"/>
      <c r="F323" s="153"/>
      <c r="G323" s="154"/>
      <c r="H323" s="154"/>
      <c r="I323" s="154"/>
      <c r="J323" s="155"/>
      <c r="K323" s="156"/>
      <c r="L323" s="157"/>
      <c r="M323" s="158" t="s">
        <v>28</v>
      </c>
      <c r="N323" s="159" t="s">
        <v>29</v>
      </c>
    </row>
    <row r="324" spans="1:14">
      <c r="A324" s="148"/>
      <c r="B324" s="149"/>
      <c r="C324" s="160"/>
      <c r="D324" s="151"/>
      <c r="E324" s="152"/>
      <c r="F324" s="153"/>
      <c r="G324" s="154"/>
      <c r="H324" s="154"/>
      <c r="I324" s="154"/>
      <c r="J324" s="155"/>
      <c r="K324" s="156"/>
      <c r="L324" s="157"/>
      <c r="M324" s="158" t="s">
        <v>28</v>
      </c>
      <c r="N324" s="159" t="s">
        <v>29</v>
      </c>
    </row>
    <row r="325" spans="1:14">
      <c r="A325" s="148"/>
      <c r="B325" s="149"/>
      <c r="C325" s="160"/>
      <c r="D325" s="151"/>
      <c r="E325" s="152"/>
      <c r="F325" s="153"/>
      <c r="G325" s="154"/>
      <c r="H325" s="154"/>
      <c r="I325" s="154"/>
      <c r="J325" s="155"/>
      <c r="K325" s="156"/>
      <c r="L325" s="157"/>
      <c r="M325" s="158" t="s">
        <v>28</v>
      </c>
      <c r="N325" s="159" t="s">
        <v>29</v>
      </c>
    </row>
    <row r="326" spans="1:14">
      <c r="A326" s="148"/>
      <c r="B326" s="149"/>
      <c r="C326" s="160"/>
      <c r="D326" s="151"/>
      <c r="E326" s="152"/>
      <c r="F326" s="153"/>
      <c r="G326" s="154"/>
      <c r="H326" s="154"/>
      <c r="I326" s="154"/>
      <c r="J326" s="155"/>
      <c r="K326" s="156"/>
      <c r="L326" s="157"/>
      <c r="M326" s="158" t="s">
        <v>28</v>
      </c>
      <c r="N326" s="159" t="s">
        <v>29</v>
      </c>
    </row>
    <row r="327" spans="1:14">
      <c r="A327" s="148"/>
      <c r="B327" s="149"/>
      <c r="C327" s="160"/>
      <c r="D327" s="151"/>
      <c r="E327" s="152"/>
      <c r="F327" s="153"/>
      <c r="G327" s="154"/>
      <c r="H327" s="154"/>
      <c r="I327" s="154"/>
      <c r="J327" s="155"/>
      <c r="K327" s="156"/>
      <c r="L327" s="157"/>
      <c r="M327" s="158" t="s">
        <v>28</v>
      </c>
      <c r="N327" s="159" t="s">
        <v>29</v>
      </c>
    </row>
    <row r="328" spans="1:14">
      <c r="A328" s="148"/>
      <c r="B328" s="149"/>
      <c r="C328" s="160"/>
      <c r="D328" s="151"/>
      <c r="E328" s="152"/>
      <c r="F328" s="153"/>
      <c r="G328" s="154"/>
      <c r="H328" s="154"/>
      <c r="I328" s="154"/>
      <c r="J328" s="155"/>
      <c r="K328" s="156"/>
      <c r="L328" s="157"/>
      <c r="M328" s="158" t="s">
        <v>28</v>
      </c>
      <c r="N328" s="159" t="s">
        <v>29</v>
      </c>
    </row>
    <row r="329" spans="1:14">
      <c r="A329" s="148"/>
      <c r="B329" s="149"/>
      <c r="C329" s="160"/>
      <c r="D329" s="151"/>
      <c r="E329" s="152"/>
      <c r="F329" s="153"/>
      <c r="G329" s="149"/>
      <c r="H329" s="149"/>
      <c r="I329" s="154"/>
      <c r="J329" s="155"/>
      <c r="K329" s="156"/>
      <c r="L329" s="157"/>
      <c r="M329" s="158" t="s">
        <v>28</v>
      </c>
      <c r="N329" s="159" t="s">
        <v>29</v>
      </c>
    </row>
    <row r="330" spans="1:14">
      <c r="A330" s="148"/>
      <c r="B330" s="149"/>
      <c r="C330" s="160"/>
      <c r="D330" s="151"/>
      <c r="E330" s="152"/>
      <c r="F330" s="184"/>
      <c r="G330" s="149"/>
      <c r="H330" s="149"/>
      <c r="I330" s="154"/>
      <c r="J330" s="155"/>
      <c r="K330" s="156"/>
      <c r="L330" s="157"/>
      <c r="M330" s="158" t="s">
        <v>28</v>
      </c>
      <c r="N330" s="159" t="s">
        <v>29</v>
      </c>
    </row>
    <row r="331" spans="1:14">
      <c r="A331" s="148"/>
      <c r="B331" s="149"/>
      <c r="C331" s="160"/>
      <c r="D331" s="151"/>
      <c r="E331" s="152"/>
      <c r="F331" s="153"/>
      <c r="G331" s="149"/>
      <c r="H331" s="149"/>
      <c r="I331" s="154"/>
      <c r="J331" s="155"/>
      <c r="K331" s="156"/>
      <c r="L331" s="157"/>
      <c r="M331" s="158" t="s">
        <v>28</v>
      </c>
      <c r="N331" s="159" t="s">
        <v>29</v>
      </c>
    </row>
    <row r="332" spans="1:14">
      <c r="A332" s="148"/>
      <c r="B332" s="149"/>
      <c r="C332" s="160"/>
      <c r="D332" s="151"/>
      <c r="E332" s="152"/>
      <c r="F332" s="153"/>
      <c r="G332" s="154"/>
      <c r="H332" s="154"/>
      <c r="I332" s="154"/>
      <c r="J332" s="155"/>
      <c r="K332" s="156"/>
      <c r="L332" s="157"/>
      <c r="M332" s="158" t="s">
        <v>28</v>
      </c>
      <c r="N332" s="159" t="s">
        <v>29</v>
      </c>
    </row>
    <row r="333" spans="1:14">
      <c r="A333" s="148"/>
      <c r="B333" s="149"/>
      <c r="C333" s="160"/>
      <c r="D333" s="151"/>
      <c r="E333" s="152"/>
      <c r="F333" s="153"/>
      <c r="G333" s="154"/>
      <c r="H333" s="154"/>
      <c r="I333" s="154"/>
      <c r="J333" s="155"/>
      <c r="K333" s="156"/>
      <c r="L333" s="157"/>
      <c r="M333" s="158" t="s">
        <v>28</v>
      </c>
      <c r="N333" s="159" t="s">
        <v>29</v>
      </c>
    </row>
    <row r="334" spans="1:14">
      <c r="A334" s="148"/>
      <c r="B334" s="149"/>
      <c r="C334" s="160"/>
      <c r="D334" s="151"/>
      <c r="E334" s="152"/>
      <c r="F334" s="153"/>
      <c r="G334" s="154"/>
      <c r="H334" s="154"/>
      <c r="I334" s="154"/>
      <c r="J334" s="155"/>
      <c r="K334" s="156"/>
      <c r="L334" s="157"/>
      <c r="M334" s="158" t="s">
        <v>28</v>
      </c>
      <c r="N334" s="159" t="s">
        <v>29</v>
      </c>
    </row>
    <row r="335" spans="1:14">
      <c r="A335" s="148"/>
      <c r="B335" s="149"/>
      <c r="C335" s="160"/>
      <c r="D335" s="151"/>
      <c r="E335" s="152"/>
      <c r="F335" s="153"/>
      <c r="G335" s="154"/>
      <c r="H335" s="154"/>
      <c r="I335" s="154"/>
      <c r="J335" s="155"/>
      <c r="K335" s="156"/>
      <c r="L335" s="157"/>
      <c r="M335" s="158" t="s">
        <v>28</v>
      </c>
      <c r="N335" s="159" t="s">
        <v>29</v>
      </c>
    </row>
    <row r="336" spans="1:14">
      <c r="A336" s="148"/>
      <c r="B336" s="149"/>
      <c r="C336" s="160"/>
      <c r="D336" s="151"/>
      <c r="E336" s="152"/>
      <c r="F336" s="153"/>
      <c r="G336" s="154"/>
      <c r="H336" s="154"/>
      <c r="I336" s="154"/>
      <c r="J336" s="155"/>
      <c r="K336" s="156"/>
      <c r="L336" s="157"/>
      <c r="M336" s="158" t="s">
        <v>28</v>
      </c>
      <c r="N336" s="159" t="s">
        <v>29</v>
      </c>
    </row>
    <row r="337" spans="1:14">
      <c r="A337" s="148"/>
      <c r="B337" s="149"/>
      <c r="C337" s="160"/>
      <c r="D337" s="151"/>
      <c r="E337" s="152"/>
      <c r="F337" s="153"/>
      <c r="G337" s="154"/>
      <c r="H337" s="154"/>
      <c r="I337" s="154"/>
      <c r="J337" s="155"/>
      <c r="K337" s="156"/>
      <c r="L337" s="157"/>
      <c r="M337" s="158" t="s">
        <v>28</v>
      </c>
      <c r="N337" s="159" t="s">
        <v>29</v>
      </c>
    </row>
    <row r="338" spans="1:14">
      <c r="A338" s="148"/>
      <c r="B338" s="149"/>
      <c r="C338" s="160"/>
      <c r="D338" s="151"/>
      <c r="E338" s="152"/>
      <c r="F338" s="153"/>
      <c r="G338" s="154"/>
      <c r="H338" s="154"/>
      <c r="I338" s="154"/>
      <c r="J338" s="155"/>
      <c r="K338" s="156"/>
      <c r="L338" s="157"/>
      <c r="M338" s="158" t="s">
        <v>28</v>
      </c>
      <c r="N338" s="159" t="s">
        <v>29</v>
      </c>
    </row>
    <row r="339" spans="1:14">
      <c r="A339" s="148"/>
      <c r="B339" s="149"/>
      <c r="C339" s="160"/>
      <c r="D339" s="151"/>
      <c r="E339" s="152"/>
      <c r="F339" s="153"/>
      <c r="G339" s="154"/>
      <c r="H339" s="154"/>
      <c r="I339" s="154"/>
      <c r="J339" s="155"/>
      <c r="K339" s="156"/>
      <c r="L339" s="157"/>
      <c r="M339" s="158" t="s">
        <v>28</v>
      </c>
      <c r="N339" s="159" t="s">
        <v>29</v>
      </c>
    </row>
    <row r="340" spans="1:14">
      <c r="A340" s="148"/>
      <c r="B340" s="149"/>
      <c r="C340" s="160"/>
      <c r="D340" s="151"/>
      <c r="E340" s="152"/>
      <c r="F340" s="153"/>
      <c r="G340" s="154"/>
      <c r="H340" s="154"/>
      <c r="I340" s="154"/>
      <c r="J340" s="155"/>
      <c r="K340" s="156"/>
      <c r="L340" s="157"/>
      <c r="M340" s="158" t="s">
        <v>28</v>
      </c>
      <c r="N340" s="159" t="s">
        <v>29</v>
      </c>
    </row>
    <row r="341" spans="1:14">
      <c r="A341" s="148"/>
      <c r="B341" s="149"/>
      <c r="C341" s="160"/>
      <c r="D341" s="151"/>
      <c r="E341" s="152"/>
      <c r="F341" s="153"/>
      <c r="G341" s="154"/>
      <c r="H341" s="154"/>
      <c r="I341" s="154"/>
      <c r="J341" s="155"/>
      <c r="K341" s="156"/>
      <c r="L341" s="157"/>
      <c r="M341" s="158" t="s">
        <v>28</v>
      </c>
      <c r="N341" s="159" t="s">
        <v>29</v>
      </c>
    </row>
    <row r="342" spans="1:14">
      <c r="A342" s="148"/>
      <c r="B342" s="149"/>
      <c r="C342" s="160"/>
      <c r="D342" s="151"/>
      <c r="E342" s="152"/>
      <c r="F342" s="153"/>
      <c r="G342" s="154"/>
      <c r="H342" s="154"/>
      <c r="I342" s="154"/>
      <c r="J342" s="155"/>
      <c r="K342" s="156"/>
      <c r="L342" s="157"/>
      <c r="M342" s="158" t="s">
        <v>28</v>
      </c>
      <c r="N342" s="159" t="s">
        <v>29</v>
      </c>
    </row>
    <row r="343" spans="1:14">
      <c r="A343" s="148"/>
      <c r="B343" s="149"/>
      <c r="C343" s="160"/>
      <c r="D343" s="151"/>
      <c r="E343" s="152"/>
      <c r="F343" s="153"/>
      <c r="G343" s="154"/>
      <c r="H343" s="154"/>
      <c r="I343" s="154"/>
      <c r="J343" s="155"/>
      <c r="K343" s="156"/>
      <c r="L343" s="157"/>
      <c r="M343" s="158" t="s">
        <v>28</v>
      </c>
      <c r="N343" s="159" t="s">
        <v>29</v>
      </c>
    </row>
    <row r="344" spans="1:14">
      <c r="A344" s="148"/>
      <c r="B344" s="149"/>
      <c r="C344" s="160"/>
      <c r="D344" s="151"/>
      <c r="E344" s="152"/>
      <c r="F344" s="153"/>
      <c r="G344" s="154"/>
      <c r="H344" s="154"/>
      <c r="I344" s="154"/>
      <c r="J344" s="155"/>
      <c r="K344" s="156"/>
      <c r="L344" s="157"/>
      <c r="M344" s="158" t="s">
        <v>28</v>
      </c>
      <c r="N344" s="159" t="s">
        <v>29</v>
      </c>
    </row>
    <row r="345" spans="1:14">
      <c r="A345" s="148"/>
      <c r="B345" s="149"/>
      <c r="C345" s="160"/>
      <c r="D345" s="151"/>
      <c r="E345" s="152"/>
      <c r="F345" s="153"/>
      <c r="G345" s="154"/>
      <c r="H345" s="154"/>
      <c r="I345" s="154"/>
      <c r="J345" s="155"/>
      <c r="K345" s="156"/>
      <c r="L345" s="157"/>
      <c r="M345" s="158" t="s">
        <v>28</v>
      </c>
      <c r="N345" s="159" t="s">
        <v>29</v>
      </c>
    </row>
    <row r="346" spans="1:14">
      <c r="A346" s="148"/>
      <c r="B346" s="149"/>
      <c r="C346" s="160"/>
      <c r="D346" s="151"/>
      <c r="E346" s="152"/>
      <c r="F346" s="153"/>
      <c r="G346" s="154"/>
      <c r="H346" s="154"/>
      <c r="I346" s="154"/>
      <c r="J346" s="155"/>
      <c r="K346" s="156"/>
      <c r="L346" s="157"/>
      <c r="M346" s="158" t="s">
        <v>28</v>
      </c>
      <c r="N346" s="159" t="s">
        <v>29</v>
      </c>
    </row>
    <row r="347" spans="1:14">
      <c r="A347" s="148"/>
      <c r="B347" s="149"/>
      <c r="C347" s="160"/>
      <c r="D347" s="151"/>
      <c r="E347" s="152"/>
      <c r="F347" s="153"/>
      <c r="G347" s="154"/>
      <c r="H347" s="154"/>
      <c r="I347" s="154"/>
      <c r="J347" s="155"/>
      <c r="K347" s="156"/>
      <c r="L347" s="157"/>
      <c r="M347" s="158" t="s">
        <v>28</v>
      </c>
      <c r="N347" s="159" t="s">
        <v>29</v>
      </c>
    </row>
    <row r="348" spans="1:14">
      <c r="A348" s="148"/>
      <c r="B348" s="149"/>
      <c r="C348" s="160"/>
      <c r="D348" s="151"/>
      <c r="E348" s="152"/>
      <c r="F348" s="153"/>
      <c r="G348" s="154"/>
      <c r="H348" s="154"/>
      <c r="I348" s="154"/>
      <c r="J348" s="155"/>
      <c r="K348" s="156"/>
      <c r="L348" s="157"/>
      <c r="M348" s="158" t="s">
        <v>28</v>
      </c>
      <c r="N348" s="159" t="s">
        <v>29</v>
      </c>
    </row>
    <row r="349" spans="1:14">
      <c r="A349" s="148"/>
      <c r="B349" s="149"/>
      <c r="C349" s="160"/>
      <c r="D349" s="151"/>
      <c r="E349" s="152"/>
      <c r="F349" s="153"/>
      <c r="G349" s="154"/>
      <c r="H349" s="154"/>
      <c r="I349" s="154"/>
      <c r="J349" s="155"/>
      <c r="K349" s="156"/>
      <c r="L349" s="157"/>
      <c r="M349" s="158" t="s">
        <v>28</v>
      </c>
      <c r="N349" s="159" t="s">
        <v>29</v>
      </c>
    </row>
    <row r="350" spans="1:14">
      <c r="A350" s="148"/>
      <c r="B350" s="149"/>
      <c r="C350" s="160"/>
      <c r="D350" s="151"/>
      <c r="E350" s="152"/>
      <c r="F350" s="153"/>
      <c r="G350" s="154"/>
      <c r="H350" s="154"/>
      <c r="I350" s="154"/>
      <c r="J350" s="155"/>
      <c r="K350" s="156"/>
      <c r="L350" s="157"/>
      <c r="M350" s="158" t="s">
        <v>28</v>
      </c>
      <c r="N350" s="159" t="s">
        <v>29</v>
      </c>
    </row>
    <row r="351" spans="1:14">
      <c r="A351" s="148"/>
      <c r="B351" s="149"/>
      <c r="C351" s="160"/>
      <c r="D351" s="151"/>
      <c r="E351" s="152"/>
      <c r="F351" s="153"/>
      <c r="G351" s="154"/>
      <c r="H351" s="154"/>
      <c r="I351" s="154"/>
      <c r="J351" s="155"/>
      <c r="K351" s="156"/>
      <c r="L351" s="157"/>
      <c r="M351" s="158" t="s">
        <v>28</v>
      </c>
      <c r="N351" s="159" t="s">
        <v>29</v>
      </c>
    </row>
    <row r="352" spans="1:14">
      <c r="A352" s="148"/>
      <c r="B352" s="149"/>
      <c r="C352" s="160"/>
      <c r="D352" s="151"/>
      <c r="E352" s="152"/>
      <c r="F352" s="153"/>
      <c r="G352" s="154"/>
      <c r="H352" s="154"/>
      <c r="I352" s="154"/>
      <c r="J352" s="155"/>
      <c r="K352" s="156"/>
      <c r="L352" s="157"/>
      <c r="M352" s="158" t="s">
        <v>28</v>
      </c>
      <c r="N352" s="159" t="s">
        <v>29</v>
      </c>
    </row>
    <row r="353" spans="1:14">
      <c r="A353" s="148"/>
      <c r="B353" s="149"/>
      <c r="C353" s="160"/>
      <c r="D353" s="151"/>
      <c r="E353" s="152"/>
      <c r="F353" s="153"/>
      <c r="G353" s="154"/>
      <c r="H353" s="154"/>
      <c r="I353" s="154"/>
      <c r="J353" s="155"/>
      <c r="K353" s="156"/>
      <c r="L353" s="157"/>
      <c r="M353" s="158" t="s">
        <v>28</v>
      </c>
      <c r="N353" s="159" t="s">
        <v>29</v>
      </c>
    </row>
    <row r="354" spans="1:14">
      <c r="A354" s="148"/>
      <c r="B354" s="149"/>
      <c r="C354" s="160"/>
      <c r="D354" s="151"/>
      <c r="E354" s="152"/>
      <c r="F354" s="153"/>
      <c r="G354" s="154"/>
      <c r="H354" s="154"/>
      <c r="I354" s="154"/>
      <c r="J354" s="155"/>
      <c r="K354" s="156"/>
      <c r="L354" s="157"/>
      <c r="M354" s="158" t="s">
        <v>28</v>
      </c>
      <c r="N354" s="159" t="s">
        <v>29</v>
      </c>
    </row>
    <row r="355" spans="1:14">
      <c r="A355" s="148"/>
      <c r="B355" s="149"/>
      <c r="C355" s="160"/>
      <c r="D355" s="151"/>
      <c r="E355" s="152"/>
      <c r="F355" s="153"/>
      <c r="G355" s="154"/>
      <c r="H355" s="154"/>
      <c r="I355" s="154"/>
      <c r="J355" s="155"/>
      <c r="K355" s="156"/>
      <c r="L355" s="157"/>
      <c r="M355" s="158" t="s">
        <v>28</v>
      </c>
      <c r="N355" s="159" t="s">
        <v>29</v>
      </c>
    </row>
    <row r="356" spans="1:14">
      <c r="A356" s="148"/>
      <c r="B356" s="149"/>
      <c r="C356" s="160"/>
      <c r="D356" s="151"/>
      <c r="E356" s="152"/>
      <c r="F356" s="153"/>
      <c r="G356" s="154"/>
      <c r="H356" s="154"/>
      <c r="I356" s="154"/>
      <c r="J356" s="155"/>
      <c r="K356" s="156"/>
      <c r="L356" s="157"/>
      <c r="M356" s="158" t="s">
        <v>28</v>
      </c>
      <c r="N356" s="159" t="s">
        <v>29</v>
      </c>
    </row>
    <row r="357" spans="1:14">
      <c r="A357" s="148"/>
      <c r="B357" s="149"/>
      <c r="C357" s="160"/>
      <c r="D357" s="151"/>
      <c r="E357" s="152"/>
      <c r="F357" s="153"/>
      <c r="G357" s="154"/>
      <c r="H357" s="154"/>
      <c r="I357" s="154"/>
      <c r="J357" s="155"/>
      <c r="K357" s="156"/>
      <c r="L357" s="157"/>
      <c r="M357" s="158" t="s">
        <v>28</v>
      </c>
      <c r="N357" s="159" t="s">
        <v>29</v>
      </c>
    </row>
    <row r="358" spans="1:14">
      <c r="A358" s="148"/>
      <c r="B358" s="149"/>
      <c r="C358" s="160"/>
      <c r="D358" s="151"/>
      <c r="E358" s="152"/>
      <c r="F358" s="153"/>
      <c r="G358" s="154"/>
      <c r="H358" s="154"/>
      <c r="I358" s="154"/>
      <c r="J358" s="155"/>
      <c r="K358" s="156"/>
      <c r="L358" s="157"/>
      <c r="M358" s="158" t="s">
        <v>28</v>
      </c>
      <c r="N358" s="159" t="s">
        <v>29</v>
      </c>
    </row>
    <row r="359" spans="1:14">
      <c r="A359" s="148"/>
      <c r="B359" s="149"/>
      <c r="C359" s="160"/>
      <c r="D359" s="151"/>
      <c r="E359" s="152"/>
      <c r="F359" s="153"/>
      <c r="G359" s="154"/>
      <c r="H359" s="154"/>
      <c r="I359" s="154"/>
      <c r="J359" s="155"/>
      <c r="K359" s="156"/>
      <c r="L359" s="157"/>
      <c r="M359" s="158" t="s">
        <v>28</v>
      </c>
      <c r="N359" s="159" t="s">
        <v>29</v>
      </c>
    </row>
    <row r="360" spans="1:14">
      <c r="A360" s="148"/>
      <c r="B360" s="149"/>
      <c r="C360" s="160"/>
      <c r="D360" s="151"/>
      <c r="E360" s="152"/>
      <c r="F360" s="153"/>
      <c r="G360" s="154"/>
      <c r="H360" s="154"/>
      <c r="I360" s="154"/>
      <c r="J360" s="155"/>
      <c r="K360" s="156"/>
      <c r="L360" s="157"/>
      <c r="M360" s="158" t="s">
        <v>28</v>
      </c>
      <c r="N360" s="159" t="s">
        <v>29</v>
      </c>
    </row>
    <row r="361" spans="1:14">
      <c r="A361" s="148"/>
      <c r="B361" s="149"/>
      <c r="C361" s="160"/>
      <c r="D361" s="151"/>
      <c r="E361" s="152"/>
      <c r="F361" s="153"/>
      <c r="G361" s="154"/>
      <c r="H361" s="154"/>
      <c r="I361" s="154"/>
      <c r="J361" s="155"/>
      <c r="K361" s="156"/>
      <c r="L361" s="157"/>
      <c r="M361" s="158" t="s">
        <v>28</v>
      </c>
      <c r="N361" s="159" t="s">
        <v>29</v>
      </c>
    </row>
    <row r="362" spans="1:14">
      <c r="A362" s="148"/>
      <c r="B362" s="149"/>
      <c r="C362" s="160"/>
      <c r="D362" s="151"/>
      <c r="E362" s="152"/>
      <c r="F362" s="153"/>
      <c r="G362" s="154"/>
      <c r="H362" s="154"/>
      <c r="I362" s="154"/>
      <c r="J362" s="155"/>
      <c r="K362" s="156"/>
      <c r="L362" s="157"/>
      <c r="M362" s="158" t="s">
        <v>28</v>
      </c>
      <c r="N362" s="159" t="s">
        <v>29</v>
      </c>
    </row>
    <row r="363" spans="1:14">
      <c r="A363" s="148"/>
      <c r="B363" s="149"/>
      <c r="C363" s="160"/>
      <c r="D363" s="151"/>
      <c r="E363" s="152"/>
      <c r="F363" s="153"/>
      <c r="G363" s="154"/>
      <c r="H363" s="154"/>
      <c r="I363" s="154"/>
      <c r="J363" s="155"/>
      <c r="K363" s="156"/>
      <c r="L363" s="157"/>
      <c r="M363" s="158" t="s">
        <v>28</v>
      </c>
      <c r="N363" s="159" t="s">
        <v>29</v>
      </c>
    </row>
    <row r="364" spans="1:14">
      <c r="A364" s="148"/>
      <c r="B364" s="149"/>
      <c r="C364" s="160"/>
      <c r="D364" s="151"/>
      <c r="E364" s="152"/>
      <c r="F364" s="153"/>
      <c r="G364" s="154"/>
      <c r="H364" s="154"/>
      <c r="I364" s="154"/>
      <c r="J364" s="155"/>
      <c r="K364" s="156"/>
      <c r="L364" s="157"/>
      <c r="M364" s="158" t="s">
        <v>28</v>
      </c>
      <c r="N364" s="159" t="s">
        <v>29</v>
      </c>
    </row>
    <row r="365" spans="1:14">
      <c r="A365" s="148"/>
      <c r="B365" s="149"/>
      <c r="C365" s="160"/>
      <c r="D365" s="151"/>
      <c r="E365" s="152"/>
      <c r="F365" s="153"/>
      <c r="G365" s="154"/>
      <c r="H365" s="154"/>
      <c r="I365" s="154"/>
      <c r="J365" s="155"/>
      <c r="K365" s="156"/>
      <c r="L365" s="157"/>
      <c r="M365" s="158" t="s">
        <v>28</v>
      </c>
      <c r="N365" s="159" t="s">
        <v>29</v>
      </c>
    </row>
    <row r="366" spans="1:14">
      <c r="A366" s="148"/>
      <c r="B366" s="149"/>
      <c r="C366" s="160"/>
      <c r="D366" s="151"/>
      <c r="E366" s="152"/>
      <c r="F366" s="153"/>
      <c r="G366" s="154"/>
      <c r="H366" s="154"/>
      <c r="I366" s="154"/>
      <c r="J366" s="155"/>
      <c r="K366" s="156"/>
      <c r="L366" s="157"/>
      <c r="M366" s="158" t="s">
        <v>28</v>
      </c>
      <c r="N366" s="159" t="s">
        <v>29</v>
      </c>
    </row>
    <row r="367" spans="1:14">
      <c r="A367" s="148"/>
      <c r="B367" s="149"/>
      <c r="C367" s="160"/>
      <c r="D367" s="151"/>
      <c r="E367" s="152"/>
      <c r="F367" s="153"/>
      <c r="G367" s="154"/>
      <c r="H367" s="154"/>
      <c r="I367" s="154"/>
      <c r="J367" s="155"/>
      <c r="K367" s="156"/>
      <c r="L367" s="157"/>
      <c r="M367" s="158" t="s">
        <v>28</v>
      </c>
      <c r="N367" s="159" t="s">
        <v>29</v>
      </c>
    </row>
    <row r="368" spans="1:14">
      <c r="A368" s="148"/>
      <c r="B368" s="149"/>
      <c r="C368" s="160"/>
      <c r="D368" s="151"/>
      <c r="E368" s="152"/>
      <c r="F368" s="153"/>
      <c r="G368" s="154"/>
      <c r="H368" s="154"/>
      <c r="I368" s="154"/>
      <c r="J368" s="155"/>
      <c r="K368" s="156"/>
      <c r="L368" s="157"/>
      <c r="M368" s="158" t="s">
        <v>28</v>
      </c>
      <c r="N368" s="159" t="s">
        <v>29</v>
      </c>
    </row>
    <row r="369" spans="1:14">
      <c r="A369" s="148"/>
      <c r="B369" s="149"/>
      <c r="C369" s="160"/>
      <c r="D369" s="151"/>
      <c r="E369" s="152"/>
      <c r="F369" s="153"/>
      <c r="G369" s="154"/>
      <c r="H369" s="154"/>
      <c r="I369" s="154"/>
      <c r="J369" s="155"/>
      <c r="K369" s="156"/>
      <c r="L369" s="157"/>
      <c r="M369" s="158" t="s">
        <v>28</v>
      </c>
      <c r="N369" s="159" t="s">
        <v>29</v>
      </c>
    </row>
    <row r="370" spans="1:14">
      <c r="A370" s="148"/>
      <c r="B370" s="149"/>
      <c r="C370" s="160"/>
      <c r="D370" s="151"/>
      <c r="E370" s="152"/>
      <c r="F370" s="153"/>
      <c r="G370" s="154"/>
      <c r="H370" s="154"/>
      <c r="I370" s="154"/>
      <c r="J370" s="155"/>
      <c r="K370" s="156"/>
      <c r="L370" s="157"/>
      <c r="M370" s="158" t="s">
        <v>28</v>
      </c>
      <c r="N370" s="159" t="s">
        <v>29</v>
      </c>
    </row>
    <row r="371" spans="1:14">
      <c r="A371" s="148"/>
      <c r="B371" s="149"/>
      <c r="C371" s="160"/>
      <c r="D371" s="151"/>
      <c r="E371" s="152"/>
      <c r="F371" s="153"/>
      <c r="G371" s="154"/>
      <c r="H371" s="154"/>
      <c r="I371" s="154"/>
      <c r="J371" s="155"/>
      <c r="K371" s="156"/>
      <c r="L371" s="157"/>
      <c r="M371" s="158" t="s">
        <v>28</v>
      </c>
      <c r="N371" s="159" t="s">
        <v>29</v>
      </c>
    </row>
    <row r="372" spans="1:14">
      <c r="A372" s="148"/>
      <c r="B372" s="149"/>
      <c r="C372" s="160"/>
      <c r="D372" s="151"/>
      <c r="E372" s="152"/>
      <c r="F372" s="153"/>
      <c r="G372" s="154"/>
      <c r="H372" s="154"/>
      <c r="I372" s="154"/>
      <c r="J372" s="155"/>
      <c r="K372" s="156"/>
      <c r="L372" s="157"/>
      <c r="M372" s="158" t="s">
        <v>28</v>
      </c>
      <c r="N372" s="159" t="s">
        <v>29</v>
      </c>
    </row>
    <row r="373" spans="1:14">
      <c r="A373" s="148"/>
      <c r="B373" s="149"/>
      <c r="C373" s="160"/>
      <c r="D373" s="151"/>
      <c r="E373" s="152"/>
      <c r="F373" s="153"/>
      <c r="G373" s="154"/>
      <c r="H373" s="154"/>
      <c r="I373" s="154"/>
      <c r="J373" s="155"/>
      <c r="K373" s="156"/>
      <c r="L373" s="157"/>
      <c r="M373" s="158" t="s">
        <v>28</v>
      </c>
      <c r="N373" s="159" t="s">
        <v>29</v>
      </c>
    </row>
    <row r="374" spans="1:14">
      <c r="A374" s="148"/>
      <c r="B374" s="149"/>
      <c r="C374" s="160"/>
      <c r="D374" s="151"/>
      <c r="E374" s="152"/>
      <c r="F374" s="153"/>
      <c r="G374" s="154"/>
      <c r="H374" s="154"/>
      <c r="I374" s="154"/>
      <c r="J374" s="155"/>
      <c r="K374" s="156"/>
      <c r="L374" s="157"/>
      <c r="M374" s="158" t="s">
        <v>28</v>
      </c>
      <c r="N374" s="159" t="s">
        <v>29</v>
      </c>
    </row>
    <row r="375" spans="1:14">
      <c r="A375" s="148"/>
      <c r="B375" s="149"/>
      <c r="C375" s="160"/>
      <c r="D375" s="151"/>
      <c r="E375" s="152"/>
      <c r="F375" s="153"/>
      <c r="G375" s="154"/>
      <c r="H375" s="154"/>
      <c r="I375" s="154"/>
      <c r="J375" s="155"/>
      <c r="K375" s="156"/>
      <c r="L375" s="157"/>
      <c r="M375" s="158" t="s">
        <v>28</v>
      </c>
      <c r="N375" s="159" t="s">
        <v>29</v>
      </c>
    </row>
    <row r="376" spans="1:14">
      <c r="A376" s="148"/>
      <c r="B376" s="149"/>
      <c r="C376" s="160"/>
      <c r="D376" s="151"/>
      <c r="E376" s="152"/>
      <c r="F376" s="153"/>
      <c r="G376" s="154"/>
      <c r="H376" s="154"/>
      <c r="I376" s="154"/>
      <c r="J376" s="155"/>
      <c r="K376" s="156"/>
      <c r="L376" s="157"/>
      <c r="M376" s="158" t="s">
        <v>28</v>
      </c>
      <c r="N376" s="159" t="s">
        <v>29</v>
      </c>
    </row>
    <row r="377" spans="1:14">
      <c r="A377" s="148"/>
      <c r="B377" s="149"/>
      <c r="C377" s="160"/>
      <c r="D377" s="151"/>
      <c r="E377" s="152"/>
      <c r="F377" s="153"/>
      <c r="G377" s="154"/>
      <c r="H377" s="154"/>
      <c r="I377" s="154"/>
      <c r="J377" s="155"/>
      <c r="K377" s="156"/>
      <c r="L377" s="157"/>
      <c r="M377" s="158" t="s">
        <v>28</v>
      </c>
      <c r="N377" s="159" t="s">
        <v>29</v>
      </c>
    </row>
    <row r="378" spans="1:14">
      <c r="A378" s="148"/>
      <c r="B378" s="149"/>
      <c r="C378" s="160"/>
      <c r="D378" s="151"/>
      <c r="E378" s="152"/>
      <c r="F378" s="153"/>
      <c r="G378" s="154"/>
      <c r="H378" s="154"/>
      <c r="I378" s="154"/>
      <c r="J378" s="155"/>
      <c r="K378" s="156"/>
      <c r="L378" s="157"/>
      <c r="M378" s="158" t="s">
        <v>28</v>
      </c>
      <c r="N378" s="159" t="s">
        <v>29</v>
      </c>
    </row>
    <row r="379" spans="1:14">
      <c r="A379" s="148"/>
      <c r="B379" s="149"/>
      <c r="C379" s="160"/>
      <c r="D379" s="151"/>
      <c r="E379" s="152"/>
      <c r="F379" s="153"/>
      <c r="G379" s="154"/>
      <c r="H379" s="154"/>
      <c r="I379" s="154"/>
      <c r="J379" s="155"/>
      <c r="K379" s="156"/>
      <c r="L379" s="157"/>
      <c r="M379" s="158" t="s">
        <v>28</v>
      </c>
      <c r="N379" s="159" t="s">
        <v>29</v>
      </c>
    </row>
    <row r="380" spans="1:14">
      <c r="A380" s="148"/>
      <c r="B380" s="149"/>
      <c r="C380" s="160"/>
      <c r="D380" s="151"/>
      <c r="E380" s="152"/>
      <c r="F380" s="153"/>
      <c r="G380" s="154"/>
      <c r="H380" s="154"/>
      <c r="I380" s="154"/>
      <c r="J380" s="155"/>
      <c r="K380" s="156"/>
      <c r="L380" s="157"/>
      <c r="M380" s="158" t="s">
        <v>28</v>
      </c>
      <c r="N380" s="159" t="s">
        <v>29</v>
      </c>
    </row>
    <row r="381" spans="1:14">
      <c r="A381" s="148"/>
      <c r="B381" s="149"/>
      <c r="C381" s="160"/>
      <c r="D381" s="151"/>
      <c r="E381" s="152"/>
      <c r="F381" s="153"/>
      <c r="G381" s="154"/>
      <c r="H381" s="154"/>
      <c r="I381" s="154"/>
      <c r="J381" s="155"/>
      <c r="K381" s="156"/>
      <c r="L381" s="157"/>
      <c r="M381" s="158" t="s">
        <v>28</v>
      </c>
      <c r="N381" s="159" t="s">
        <v>29</v>
      </c>
    </row>
    <row r="382" spans="1:14">
      <c r="A382" s="148"/>
      <c r="B382" s="149"/>
      <c r="C382" s="160"/>
      <c r="D382" s="151"/>
      <c r="E382" s="152"/>
      <c r="F382" s="153"/>
      <c r="G382" s="154"/>
      <c r="H382" s="154"/>
      <c r="I382" s="154"/>
      <c r="J382" s="155"/>
      <c r="K382" s="156"/>
      <c r="L382" s="157"/>
      <c r="M382" s="158" t="s">
        <v>28</v>
      </c>
      <c r="N382" s="159" t="s">
        <v>29</v>
      </c>
    </row>
    <row r="383" spans="1:14">
      <c r="A383" s="148"/>
      <c r="B383" s="149"/>
      <c r="C383" s="160"/>
      <c r="D383" s="151"/>
      <c r="E383" s="152"/>
      <c r="F383" s="153"/>
      <c r="G383" s="154"/>
      <c r="H383" s="154"/>
      <c r="I383" s="154"/>
      <c r="J383" s="155"/>
      <c r="K383" s="156"/>
      <c r="L383" s="157"/>
      <c r="M383" s="158" t="s">
        <v>28</v>
      </c>
      <c r="N383" s="159" t="s">
        <v>29</v>
      </c>
    </row>
    <row r="384" spans="1:14">
      <c r="A384" s="148"/>
      <c r="B384" s="149"/>
      <c r="C384" s="160"/>
      <c r="D384" s="151"/>
      <c r="E384" s="152"/>
      <c r="F384" s="153"/>
      <c r="G384" s="154"/>
      <c r="H384" s="154"/>
      <c r="I384" s="154"/>
      <c r="J384" s="155"/>
      <c r="K384" s="156"/>
      <c r="L384" s="157"/>
      <c r="M384" s="158" t="s">
        <v>28</v>
      </c>
      <c r="N384" s="159" t="s">
        <v>29</v>
      </c>
    </row>
    <row r="385" spans="1:14">
      <c r="A385" s="148"/>
      <c r="B385" s="149"/>
      <c r="C385" s="160"/>
      <c r="D385" s="151"/>
      <c r="E385" s="152"/>
      <c r="F385" s="153"/>
      <c r="G385" s="154"/>
      <c r="H385" s="154"/>
      <c r="I385" s="154"/>
      <c r="J385" s="155"/>
      <c r="K385" s="156"/>
      <c r="L385" s="157"/>
      <c r="M385" s="158" t="s">
        <v>28</v>
      </c>
      <c r="N385" s="159" t="s">
        <v>29</v>
      </c>
    </row>
    <row r="386" spans="1:14">
      <c r="A386" s="148"/>
      <c r="B386" s="149"/>
      <c r="C386" s="160"/>
      <c r="D386" s="151"/>
      <c r="E386" s="152"/>
      <c r="F386" s="153"/>
      <c r="G386" s="154"/>
      <c r="H386" s="154"/>
      <c r="I386" s="154"/>
      <c r="J386" s="155"/>
      <c r="K386" s="156"/>
      <c r="L386" s="157"/>
      <c r="M386" s="158" t="s">
        <v>28</v>
      </c>
      <c r="N386" s="159" t="s">
        <v>29</v>
      </c>
    </row>
    <row r="387" spans="1:14">
      <c r="A387" s="148"/>
      <c r="B387" s="149"/>
      <c r="C387" s="160"/>
      <c r="D387" s="151"/>
      <c r="E387" s="152"/>
      <c r="F387" s="153"/>
      <c r="G387" s="154"/>
      <c r="H387" s="154"/>
      <c r="I387" s="154"/>
      <c r="J387" s="155"/>
      <c r="K387" s="156"/>
      <c r="L387" s="157"/>
      <c r="M387" s="158" t="s">
        <v>28</v>
      </c>
      <c r="N387" s="159" t="s">
        <v>29</v>
      </c>
    </row>
    <row r="388" spans="1:14">
      <c r="A388" s="148"/>
      <c r="B388" s="149"/>
      <c r="C388" s="160"/>
      <c r="D388" s="151"/>
      <c r="E388" s="152"/>
      <c r="F388" s="153"/>
      <c r="G388" s="154"/>
      <c r="H388" s="154"/>
      <c r="I388" s="154"/>
      <c r="J388" s="155"/>
      <c r="K388" s="156"/>
      <c r="L388" s="157"/>
      <c r="M388" s="158" t="s">
        <v>28</v>
      </c>
      <c r="N388" s="159" t="s">
        <v>29</v>
      </c>
    </row>
    <row r="389" spans="1:14">
      <c r="A389" s="148"/>
      <c r="B389" s="149"/>
      <c r="C389" s="160"/>
      <c r="D389" s="151"/>
      <c r="E389" s="152"/>
      <c r="F389" s="153"/>
      <c r="G389" s="154"/>
      <c r="H389" s="154"/>
      <c r="I389" s="154"/>
      <c r="J389" s="155"/>
      <c r="K389" s="156"/>
      <c r="L389" s="157"/>
      <c r="M389" s="158" t="s">
        <v>28</v>
      </c>
      <c r="N389" s="159" t="s">
        <v>29</v>
      </c>
    </row>
    <row r="390" spans="1:14">
      <c r="A390" s="148"/>
      <c r="B390" s="149"/>
      <c r="C390" s="160"/>
      <c r="D390" s="151"/>
      <c r="E390" s="152"/>
      <c r="F390" s="153"/>
      <c r="G390" s="154"/>
      <c r="H390" s="154"/>
      <c r="I390" s="154"/>
      <c r="J390" s="155"/>
      <c r="K390" s="156"/>
      <c r="L390" s="157"/>
      <c r="M390" s="158" t="s">
        <v>28</v>
      </c>
      <c r="N390" s="159" t="s">
        <v>29</v>
      </c>
    </row>
    <row r="391" spans="1:14">
      <c r="A391" s="148"/>
      <c r="B391" s="149"/>
      <c r="C391" s="160"/>
      <c r="D391" s="151"/>
      <c r="E391" s="152"/>
      <c r="F391" s="153"/>
      <c r="G391" s="154"/>
      <c r="H391" s="154"/>
      <c r="I391" s="154"/>
      <c r="J391" s="155"/>
      <c r="K391" s="156"/>
      <c r="L391" s="157"/>
      <c r="M391" s="158" t="s">
        <v>28</v>
      </c>
      <c r="N391" s="159" t="s">
        <v>29</v>
      </c>
    </row>
    <row r="392" spans="1:14">
      <c r="A392" s="148"/>
      <c r="B392" s="149"/>
      <c r="C392" s="160"/>
      <c r="D392" s="151"/>
      <c r="E392" s="152"/>
      <c r="F392" s="153"/>
      <c r="G392" s="154"/>
      <c r="H392" s="154"/>
      <c r="I392" s="154"/>
      <c r="J392" s="155"/>
      <c r="K392" s="156"/>
      <c r="L392" s="157"/>
      <c r="M392" s="158" t="s">
        <v>28</v>
      </c>
      <c r="N392" s="159" t="s">
        <v>29</v>
      </c>
    </row>
    <row r="393" spans="1:14">
      <c r="A393" s="148"/>
      <c r="B393" s="149"/>
      <c r="C393" s="160"/>
      <c r="D393" s="151"/>
      <c r="E393" s="152"/>
      <c r="F393" s="153"/>
      <c r="G393" s="154"/>
      <c r="H393" s="154"/>
      <c r="I393" s="154"/>
      <c r="J393" s="155"/>
      <c r="K393" s="156"/>
      <c r="L393" s="157"/>
      <c r="M393" s="158" t="s">
        <v>28</v>
      </c>
      <c r="N393" s="159" t="s">
        <v>29</v>
      </c>
    </row>
    <row r="394" spans="1:14">
      <c r="A394" s="148"/>
      <c r="B394" s="149"/>
      <c r="C394" s="160"/>
      <c r="D394" s="151"/>
      <c r="E394" s="152"/>
      <c r="F394" s="153"/>
      <c r="G394" s="154"/>
      <c r="H394" s="154"/>
      <c r="I394" s="154"/>
      <c r="J394" s="155"/>
      <c r="K394" s="156"/>
      <c r="L394" s="157"/>
      <c r="M394" s="158" t="s">
        <v>28</v>
      </c>
      <c r="N394" s="159" t="s">
        <v>29</v>
      </c>
    </row>
    <row r="395" spans="1:14">
      <c r="A395" s="148"/>
      <c r="B395" s="149"/>
      <c r="C395" s="160"/>
      <c r="D395" s="151"/>
      <c r="E395" s="152"/>
      <c r="F395" s="153"/>
      <c r="G395" s="154"/>
      <c r="H395" s="154"/>
      <c r="I395" s="154"/>
      <c r="J395" s="155"/>
      <c r="K395" s="156"/>
      <c r="L395" s="157"/>
      <c r="M395" s="158" t="s">
        <v>28</v>
      </c>
      <c r="N395" s="159" t="s">
        <v>29</v>
      </c>
    </row>
    <row r="396" spans="1:14">
      <c r="A396" s="148"/>
      <c r="B396" s="149"/>
      <c r="C396" s="160"/>
      <c r="D396" s="151"/>
      <c r="E396" s="152"/>
      <c r="F396" s="153"/>
      <c r="G396" s="154"/>
      <c r="H396" s="154"/>
      <c r="I396" s="154"/>
      <c r="J396" s="155"/>
      <c r="K396" s="156"/>
      <c r="L396" s="157"/>
      <c r="M396" s="158" t="s">
        <v>28</v>
      </c>
      <c r="N396" s="159" t="s">
        <v>29</v>
      </c>
    </row>
    <row r="397" spans="1:14">
      <c r="A397" s="148"/>
      <c r="B397" s="149"/>
      <c r="C397" s="160"/>
      <c r="D397" s="151"/>
      <c r="E397" s="152"/>
      <c r="F397" s="153"/>
      <c r="G397" s="154"/>
      <c r="H397" s="154"/>
      <c r="I397" s="154"/>
      <c r="J397" s="155"/>
      <c r="K397" s="156"/>
      <c r="L397" s="157"/>
      <c r="M397" s="158" t="s">
        <v>28</v>
      </c>
      <c r="N397" s="159" t="s">
        <v>29</v>
      </c>
    </row>
    <row r="398" spans="1:14">
      <c r="A398" s="148"/>
      <c r="B398" s="149"/>
      <c r="C398" s="160"/>
      <c r="D398" s="151"/>
      <c r="E398" s="152"/>
      <c r="F398" s="153"/>
      <c r="G398" s="154"/>
      <c r="H398" s="154"/>
      <c r="I398" s="154"/>
      <c r="J398" s="155"/>
      <c r="K398" s="156"/>
      <c r="L398" s="157"/>
      <c r="M398" s="158" t="s">
        <v>28</v>
      </c>
      <c r="N398" s="159" t="s">
        <v>29</v>
      </c>
    </row>
    <row r="399" spans="1:14">
      <c r="A399" s="148"/>
      <c r="B399" s="149"/>
      <c r="C399" s="160"/>
      <c r="D399" s="151"/>
      <c r="E399" s="152"/>
      <c r="F399" s="153"/>
      <c r="G399" s="154"/>
      <c r="H399" s="154"/>
      <c r="I399" s="154"/>
      <c r="J399" s="155"/>
      <c r="K399" s="156"/>
      <c r="L399" s="157"/>
      <c r="M399" s="158" t="s">
        <v>28</v>
      </c>
      <c r="N399" s="159" t="s">
        <v>29</v>
      </c>
    </row>
    <row r="400" spans="1:14">
      <c r="A400" s="148"/>
      <c r="B400" s="149"/>
      <c r="C400" s="160"/>
      <c r="D400" s="151"/>
      <c r="E400" s="152"/>
      <c r="F400" s="153"/>
      <c r="G400" s="154"/>
      <c r="H400" s="154"/>
      <c r="I400" s="154"/>
      <c r="J400" s="155"/>
      <c r="K400" s="156"/>
      <c r="L400" s="157"/>
      <c r="M400" s="158" t="s">
        <v>28</v>
      </c>
      <c r="N400" s="159" t="s">
        <v>29</v>
      </c>
    </row>
    <row r="401" spans="1:14">
      <c r="A401" s="148"/>
      <c r="B401" s="149"/>
      <c r="C401" s="160"/>
      <c r="D401" s="151"/>
      <c r="E401" s="152"/>
      <c r="F401" s="153"/>
      <c r="G401" s="154"/>
      <c r="H401" s="154"/>
      <c r="I401" s="154"/>
      <c r="J401" s="155"/>
      <c r="K401" s="156"/>
      <c r="L401" s="157"/>
      <c r="M401" s="158" t="s">
        <v>28</v>
      </c>
      <c r="N401" s="159" t="s">
        <v>29</v>
      </c>
    </row>
    <row r="402" spans="1:14">
      <c r="A402" s="148"/>
      <c r="B402" s="149"/>
      <c r="C402" s="160"/>
      <c r="D402" s="151"/>
      <c r="E402" s="152"/>
      <c r="F402" s="153"/>
      <c r="G402" s="154"/>
      <c r="H402" s="154"/>
      <c r="I402" s="154"/>
      <c r="J402" s="155"/>
      <c r="K402" s="156"/>
      <c r="L402" s="157"/>
      <c r="M402" s="158" t="s">
        <v>28</v>
      </c>
      <c r="N402" s="159" t="s">
        <v>29</v>
      </c>
    </row>
    <row r="403" spans="1:14">
      <c r="A403" s="148"/>
      <c r="B403" s="149"/>
      <c r="C403" s="160"/>
      <c r="D403" s="151"/>
      <c r="E403" s="152"/>
      <c r="F403" s="153"/>
      <c r="G403" s="154"/>
      <c r="H403" s="154"/>
      <c r="I403" s="154"/>
      <c r="J403" s="155"/>
      <c r="K403" s="156"/>
      <c r="L403" s="157"/>
      <c r="M403" s="158" t="s">
        <v>28</v>
      </c>
      <c r="N403" s="159" t="s">
        <v>29</v>
      </c>
    </row>
    <row r="404" spans="1:14">
      <c r="A404" s="148"/>
      <c r="B404" s="149"/>
      <c r="C404" s="160"/>
      <c r="D404" s="151"/>
      <c r="E404" s="152"/>
      <c r="F404" s="153"/>
      <c r="G404" s="154"/>
      <c r="H404" s="154"/>
      <c r="I404" s="154"/>
      <c r="J404" s="155"/>
      <c r="K404" s="156"/>
      <c r="L404" s="157"/>
      <c r="M404" s="158" t="s">
        <v>28</v>
      </c>
      <c r="N404" s="159" t="s">
        <v>29</v>
      </c>
    </row>
    <row r="405" spans="1:14">
      <c r="A405" s="148"/>
      <c r="B405" s="149"/>
      <c r="C405" s="160"/>
      <c r="D405" s="151"/>
      <c r="E405" s="152"/>
      <c r="F405" s="153"/>
      <c r="G405" s="154"/>
      <c r="H405" s="154"/>
      <c r="I405" s="154"/>
      <c r="J405" s="155"/>
      <c r="K405" s="156"/>
      <c r="L405" s="157"/>
      <c r="M405" s="158" t="s">
        <v>28</v>
      </c>
      <c r="N405" s="159" t="s">
        <v>29</v>
      </c>
    </row>
    <row r="406" spans="1:14">
      <c r="A406" s="148"/>
      <c r="B406" s="149"/>
      <c r="C406" s="160"/>
      <c r="D406" s="151"/>
      <c r="E406" s="152"/>
      <c r="F406" s="153"/>
      <c r="G406" s="154"/>
      <c r="H406" s="154"/>
      <c r="I406" s="154"/>
      <c r="J406" s="155"/>
      <c r="K406" s="156"/>
      <c r="L406" s="157"/>
      <c r="M406" s="158" t="s">
        <v>28</v>
      </c>
      <c r="N406" s="159" t="s">
        <v>29</v>
      </c>
    </row>
    <row r="407" spans="1:14">
      <c r="A407" s="148"/>
      <c r="B407" s="149"/>
      <c r="C407" s="160"/>
      <c r="D407" s="151"/>
      <c r="E407" s="152"/>
      <c r="F407" s="153"/>
      <c r="G407" s="154"/>
      <c r="H407" s="154"/>
      <c r="I407" s="154"/>
      <c r="J407" s="155"/>
      <c r="K407" s="156"/>
      <c r="L407" s="157"/>
      <c r="M407" s="158" t="s">
        <v>28</v>
      </c>
      <c r="N407" s="159" t="s">
        <v>29</v>
      </c>
    </row>
    <row r="408" spans="1:14">
      <c r="A408" s="148"/>
      <c r="B408" s="149"/>
      <c r="C408" s="160"/>
      <c r="D408" s="151"/>
      <c r="E408" s="152"/>
      <c r="F408" s="153"/>
      <c r="G408" s="154"/>
      <c r="H408" s="154"/>
      <c r="I408" s="154"/>
      <c r="J408" s="155"/>
      <c r="K408" s="156"/>
      <c r="L408" s="157"/>
      <c r="M408" s="158" t="s">
        <v>28</v>
      </c>
      <c r="N408" s="159" t="s">
        <v>29</v>
      </c>
    </row>
    <row r="409" spans="1:14">
      <c r="A409" s="148"/>
      <c r="B409" s="149"/>
      <c r="C409" s="160"/>
      <c r="D409" s="151"/>
      <c r="E409" s="152"/>
      <c r="F409" s="153"/>
      <c r="G409" s="154"/>
      <c r="H409" s="154"/>
      <c r="I409" s="154"/>
      <c r="J409" s="155"/>
      <c r="K409" s="156"/>
      <c r="L409" s="157"/>
      <c r="M409" s="158" t="s">
        <v>28</v>
      </c>
      <c r="N409" s="159" t="s">
        <v>29</v>
      </c>
    </row>
    <row r="410" spans="1:14">
      <c r="A410" s="148"/>
      <c r="B410" s="149"/>
      <c r="C410" s="160"/>
      <c r="D410" s="151"/>
      <c r="E410" s="152"/>
      <c r="F410" s="153"/>
      <c r="G410" s="154"/>
      <c r="H410" s="154"/>
      <c r="I410" s="154"/>
      <c r="J410" s="155"/>
      <c r="K410" s="156"/>
      <c r="L410" s="157"/>
      <c r="M410" s="158" t="s">
        <v>28</v>
      </c>
      <c r="N410" s="159" t="s">
        <v>29</v>
      </c>
    </row>
    <row r="411" spans="1:14">
      <c r="A411" s="148"/>
      <c r="B411" s="149"/>
      <c r="C411" s="160"/>
      <c r="D411" s="151"/>
      <c r="E411" s="152"/>
      <c r="F411" s="153"/>
      <c r="G411" s="154"/>
      <c r="H411" s="154"/>
      <c r="I411" s="154"/>
      <c r="J411" s="155"/>
      <c r="K411" s="156"/>
      <c r="L411" s="157"/>
      <c r="M411" s="158" t="s">
        <v>28</v>
      </c>
      <c r="N411" s="159" t="s">
        <v>29</v>
      </c>
    </row>
    <row r="412" spans="1:14">
      <c r="A412" s="148"/>
      <c r="B412" s="149"/>
      <c r="C412" s="160"/>
      <c r="D412" s="151"/>
      <c r="E412" s="152"/>
      <c r="F412" s="153"/>
      <c r="G412" s="154"/>
      <c r="H412" s="154"/>
      <c r="I412" s="154"/>
      <c r="J412" s="155"/>
      <c r="K412" s="156"/>
      <c r="L412" s="157"/>
      <c r="M412" s="158" t="s">
        <v>28</v>
      </c>
      <c r="N412" s="159" t="s">
        <v>29</v>
      </c>
    </row>
    <row r="413" spans="1:14">
      <c r="A413" s="148"/>
      <c r="B413" s="149"/>
      <c r="C413" s="160"/>
      <c r="D413" s="151"/>
      <c r="E413" s="152"/>
      <c r="F413" s="153"/>
      <c r="G413" s="154"/>
      <c r="H413" s="154"/>
      <c r="I413" s="154"/>
      <c r="J413" s="155"/>
      <c r="K413" s="156"/>
      <c r="L413" s="157"/>
      <c r="M413" s="158" t="s">
        <v>28</v>
      </c>
      <c r="N413" s="159" t="s">
        <v>29</v>
      </c>
    </row>
    <row r="414" spans="1:14">
      <c r="A414" s="148"/>
      <c r="B414" s="149"/>
      <c r="C414" s="160"/>
      <c r="D414" s="151"/>
      <c r="E414" s="152"/>
      <c r="F414" s="153"/>
      <c r="G414" s="154"/>
      <c r="H414" s="154"/>
      <c r="I414" s="154"/>
      <c r="J414" s="155"/>
      <c r="K414" s="156"/>
      <c r="L414" s="157"/>
      <c r="M414" s="158" t="s">
        <v>28</v>
      </c>
      <c r="N414" s="159" t="s">
        <v>29</v>
      </c>
    </row>
    <row r="415" spans="1:14">
      <c r="A415" s="148"/>
      <c r="B415" s="149"/>
      <c r="C415" s="160"/>
      <c r="D415" s="151"/>
      <c r="E415" s="152"/>
      <c r="F415" s="153"/>
      <c r="G415" s="154"/>
      <c r="H415" s="154"/>
      <c r="I415" s="154"/>
      <c r="J415" s="155"/>
      <c r="K415" s="156"/>
      <c r="L415" s="157"/>
      <c r="M415" s="158" t="s">
        <v>28</v>
      </c>
      <c r="N415" s="159" t="s">
        <v>29</v>
      </c>
    </row>
    <row r="416" spans="1:14">
      <c r="A416" s="148"/>
      <c r="B416" s="149"/>
      <c r="C416" s="160"/>
      <c r="D416" s="151"/>
      <c r="E416" s="152"/>
      <c r="F416" s="153"/>
      <c r="G416" s="154"/>
      <c r="H416" s="154"/>
      <c r="I416" s="154"/>
      <c r="J416" s="155"/>
      <c r="K416" s="156"/>
      <c r="L416" s="157"/>
      <c r="M416" s="158" t="s">
        <v>28</v>
      </c>
      <c r="N416" s="159" t="s">
        <v>29</v>
      </c>
    </row>
    <row r="417" spans="1:14">
      <c r="A417" s="148"/>
      <c r="B417" s="149"/>
      <c r="C417" s="160"/>
      <c r="D417" s="151"/>
      <c r="E417" s="152"/>
      <c r="F417" s="153"/>
      <c r="G417" s="154"/>
      <c r="H417" s="154"/>
      <c r="I417" s="154"/>
      <c r="J417" s="155"/>
      <c r="K417" s="156"/>
      <c r="L417" s="157"/>
      <c r="M417" s="158" t="s">
        <v>28</v>
      </c>
      <c r="N417" s="159" t="s">
        <v>29</v>
      </c>
    </row>
    <row r="418" spans="1:14">
      <c r="A418" s="148"/>
      <c r="B418" s="149"/>
      <c r="C418" s="160"/>
      <c r="D418" s="151"/>
      <c r="E418" s="152"/>
      <c r="F418" s="153"/>
      <c r="G418" s="154"/>
      <c r="H418" s="154"/>
      <c r="I418" s="154"/>
      <c r="J418" s="155"/>
      <c r="K418" s="156"/>
      <c r="L418" s="157"/>
      <c r="M418" s="158" t="s">
        <v>28</v>
      </c>
      <c r="N418" s="159" t="s">
        <v>29</v>
      </c>
    </row>
    <row r="419" spans="1:14">
      <c r="A419" s="148"/>
      <c r="B419" s="149"/>
      <c r="C419" s="160"/>
      <c r="D419" s="151"/>
      <c r="E419" s="152"/>
      <c r="F419" s="153"/>
      <c r="G419" s="154"/>
      <c r="H419" s="154"/>
      <c r="I419" s="154"/>
      <c r="J419" s="155"/>
      <c r="K419" s="156"/>
      <c r="L419" s="157"/>
      <c r="M419" s="158" t="s">
        <v>28</v>
      </c>
      <c r="N419" s="159" t="s">
        <v>29</v>
      </c>
    </row>
    <row r="420" spans="1:14">
      <c r="A420" s="148"/>
      <c r="B420" s="149"/>
      <c r="C420" s="160"/>
      <c r="D420" s="151"/>
      <c r="E420" s="152"/>
      <c r="F420" s="153"/>
      <c r="G420" s="154"/>
      <c r="H420" s="154"/>
      <c r="I420" s="154"/>
      <c r="J420" s="155"/>
      <c r="K420" s="156"/>
      <c r="L420" s="157"/>
      <c r="M420" s="158" t="s">
        <v>28</v>
      </c>
      <c r="N420" s="159" t="s">
        <v>29</v>
      </c>
    </row>
    <row r="421" spans="1:14">
      <c r="A421" s="148"/>
      <c r="B421" s="149"/>
      <c r="C421" s="160"/>
      <c r="D421" s="151"/>
      <c r="E421" s="152"/>
      <c r="F421" s="153"/>
      <c r="G421" s="154"/>
      <c r="H421" s="154"/>
      <c r="I421" s="154"/>
      <c r="J421" s="155"/>
      <c r="K421" s="156"/>
      <c r="L421" s="157"/>
      <c r="M421" s="158" t="s">
        <v>28</v>
      </c>
      <c r="N421" s="159" t="s">
        <v>29</v>
      </c>
    </row>
    <row r="422" spans="1:14">
      <c r="A422" s="148"/>
      <c r="B422" s="149"/>
      <c r="C422" s="160"/>
      <c r="D422" s="151"/>
      <c r="E422" s="152"/>
      <c r="F422" s="153"/>
      <c r="G422" s="154"/>
      <c r="H422" s="154"/>
      <c r="I422" s="154"/>
      <c r="J422" s="155"/>
      <c r="K422" s="156"/>
      <c r="L422" s="157"/>
      <c r="M422" s="158" t="s">
        <v>28</v>
      </c>
      <c r="N422" s="159" t="s">
        <v>29</v>
      </c>
    </row>
    <row r="423" spans="1:14">
      <c r="A423" s="148"/>
      <c r="B423" s="149"/>
      <c r="C423" s="160"/>
      <c r="D423" s="151"/>
      <c r="E423" s="152"/>
      <c r="F423" s="153"/>
      <c r="G423" s="154"/>
      <c r="H423" s="154"/>
      <c r="I423" s="154"/>
      <c r="J423" s="155"/>
      <c r="K423" s="156"/>
      <c r="L423" s="157"/>
      <c r="M423" s="158" t="s">
        <v>28</v>
      </c>
      <c r="N423" s="159" t="s">
        <v>29</v>
      </c>
    </row>
    <row r="424" spans="1:14">
      <c r="A424" s="148"/>
      <c r="B424" s="149"/>
      <c r="C424" s="160"/>
      <c r="D424" s="151"/>
      <c r="E424" s="152"/>
      <c r="F424" s="153"/>
      <c r="G424" s="154"/>
      <c r="H424" s="154"/>
      <c r="I424" s="154"/>
      <c r="J424" s="155"/>
      <c r="K424" s="156"/>
      <c r="L424" s="157"/>
      <c r="M424" s="158" t="s">
        <v>28</v>
      </c>
      <c r="N424" s="159" t="s">
        <v>29</v>
      </c>
    </row>
    <row r="425" spans="1:14">
      <c r="A425" s="148"/>
      <c r="B425" s="149"/>
      <c r="C425" s="160"/>
      <c r="D425" s="151"/>
      <c r="E425" s="152"/>
      <c r="F425" s="153"/>
      <c r="G425" s="154"/>
      <c r="H425" s="154"/>
      <c r="I425" s="154"/>
      <c r="J425" s="155"/>
      <c r="K425" s="156"/>
      <c r="L425" s="157"/>
      <c r="M425" s="158" t="s">
        <v>28</v>
      </c>
      <c r="N425" s="159" t="s">
        <v>29</v>
      </c>
    </row>
    <row r="426" spans="1:14">
      <c r="A426" s="148"/>
      <c r="B426" s="149"/>
      <c r="C426" s="160"/>
      <c r="D426" s="151"/>
      <c r="E426" s="152"/>
      <c r="F426" s="153"/>
      <c r="G426" s="154"/>
      <c r="H426" s="154"/>
      <c r="I426" s="154"/>
      <c r="J426" s="155"/>
      <c r="K426" s="156"/>
      <c r="L426" s="157"/>
      <c r="M426" s="158" t="s">
        <v>28</v>
      </c>
      <c r="N426" s="159" t="s">
        <v>29</v>
      </c>
    </row>
    <row r="427" spans="1:14">
      <c r="A427" s="148"/>
      <c r="B427" s="149"/>
      <c r="C427" s="160"/>
      <c r="D427" s="151"/>
      <c r="E427" s="152"/>
      <c r="F427" s="153"/>
      <c r="G427" s="154"/>
      <c r="H427" s="154"/>
      <c r="I427" s="154"/>
      <c r="J427" s="155"/>
      <c r="K427" s="156"/>
      <c r="L427" s="157"/>
      <c r="M427" s="158" t="s">
        <v>28</v>
      </c>
      <c r="N427" s="159" t="s">
        <v>29</v>
      </c>
    </row>
    <row r="428" spans="1:14">
      <c r="A428" s="148"/>
      <c r="B428" s="149"/>
      <c r="C428" s="160"/>
      <c r="D428" s="151"/>
      <c r="E428" s="152"/>
      <c r="F428" s="153"/>
      <c r="G428" s="154"/>
      <c r="H428" s="154"/>
      <c r="I428" s="154"/>
      <c r="J428" s="155"/>
      <c r="K428" s="156"/>
      <c r="L428" s="157"/>
      <c r="M428" s="158" t="s">
        <v>28</v>
      </c>
      <c r="N428" s="159" t="s">
        <v>29</v>
      </c>
    </row>
    <row r="429" spans="1:14">
      <c r="A429" s="148"/>
      <c r="B429" s="149"/>
      <c r="C429" s="160"/>
      <c r="D429" s="151"/>
      <c r="E429" s="152"/>
      <c r="F429" s="153"/>
      <c r="G429" s="154"/>
      <c r="H429" s="154"/>
      <c r="I429" s="154"/>
      <c r="J429" s="155"/>
      <c r="K429" s="156"/>
      <c r="L429" s="157"/>
      <c r="M429" s="158" t="s">
        <v>28</v>
      </c>
      <c r="N429" s="159" t="s">
        <v>29</v>
      </c>
    </row>
    <row r="430" spans="1:14">
      <c r="A430" s="148"/>
      <c r="B430" s="149"/>
      <c r="C430" s="160"/>
      <c r="D430" s="151"/>
      <c r="E430" s="152"/>
      <c r="F430" s="153"/>
      <c r="G430" s="154"/>
      <c r="H430" s="154"/>
      <c r="I430" s="154"/>
      <c r="J430" s="155"/>
      <c r="K430" s="156"/>
      <c r="L430" s="157"/>
      <c r="M430" s="158" t="s">
        <v>28</v>
      </c>
      <c r="N430" s="159" t="s">
        <v>29</v>
      </c>
    </row>
    <row r="431" spans="1:14">
      <c r="A431" s="148"/>
      <c r="B431" s="149"/>
      <c r="C431" s="160"/>
      <c r="D431" s="151"/>
      <c r="E431" s="152"/>
      <c r="F431" s="153"/>
      <c r="G431" s="154"/>
      <c r="H431" s="154"/>
      <c r="I431" s="154"/>
      <c r="J431" s="155"/>
      <c r="K431" s="156"/>
      <c r="L431" s="157"/>
      <c r="M431" s="158" t="s">
        <v>28</v>
      </c>
      <c r="N431" s="159" t="s">
        <v>29</v>
      </c>
    </row>
    <row r="432" spans="1:14">
      <c r="A432" s="148"/>
      <c r="B432" s="149"/>
      <c r="C432" s="160"/>
      <c r="D432" s="151"/>
      <c r="E432" s="152"/>
      <c r="F432" s="153"/>
      <c r="G432" s="154"/>
      <c r="H432" s="154"/>
      <c r="I432" s="154"/>
      <c r="J432" s="155"/>
      <c r="K432" s="156"/>
      <c r="L432" s="157"/>
      <c r="M432" s="158" t="s">
        <v>28</v>
      </c>
      <c r="N432" s="159" t="s">
        <v>29</v>
      </c>
    </row>
    <row r="433" spans="1:14">
      <c r="A433" s="148"/>
      <c r="B433" s="149"/>
      <c r="C433" s="160"/>
      <c r="D433" s="151"/>
      <c r="E433" s="152"/>
      <c r="F433" s="153"/>
      <c r="G433" s="154"/>
      <c r="H433" s="154"/>
      <c r="I433" s="154"/>
      <c r="J433" s="155"/>
      <c r="K433" s="156"/>
      <c r="L433" s="157"/>
      <c r="M433" s="158" t="s">
        <v>28</v>
      </c>
      <c r="N433" s="159" t="s">
        <v>29</v>
      </c>
    </row>
    <row r="434" spans="1:14">
      <c r="A434" s="148"/>
      <c r="B434" s="149"/>
      <c r="C434" s="160"/>
      <c r="D434" s="151"/>
      <c r="E434" s="152"/>
      <c r="F434" s="153"/>
      <c r="G434" s="154"/>
      <c r="H434" s="154"/>
      <c r="I434" s="154"/>
      <c r="J434" s="155"/>
      <c r="K434" s="156"/>
      <c r="L434" s="157"/>
      <c r="M434" s="158" t="s">
        <v>28</v>
      </c>
      <c r="N434" s="159" t="s">
        <v>29</v>
      </c>
    </row>
    <row r="435" spans="1:14">
      <c r="A435" s="148"/>
      <c r="B435" s="149"/>
      <c r="C435" s="160"/>
      <c r="D435" s="151"/>
      <c r="E435" s="152"/>
      <c r="F435" s="153"/>
      <c r="G435" s="154"/>
      <c r="H435" s="154"/>
      <c r="I435" s="154"/>
      <c r="J435" s="155"/>
      <c r="K435" s="156"/>
      <c r="L435" s="157"/>
      <c r="M435" s="158" t="s">
        <v>28</v>
      </c>
      <c r="N435" s="159" t="s">
        <v>29</v>
      </c>
    </row>
    <row r="436" spans="1:14">
      <c r="A436" s="148"/>
      <c r="B436" s="149"/>
      <c r="C436" s="160"/>
      <c r="D436" s="151"/>
      <c r="E436" s="152"/>
      <c r="F436" s="153"/>
      <c r="G436" s="154"/>
      <c r="H436" s="154"/>
      <c r="I436" s="154"/>
      <c r="J436" s="155"/>
      <c r="K436" s="156"/>
      <c r="L436" s="157"/>
      <c r="M436" s="158" t="s">
        <v>28</v>
      </c>
      <c r="N436" s="159" t="s">
        <v>29</v>
      </c>
    </row>
    <row r="437" spans="1:14">
      <c r="A437" s="148"/>
      <c r="B437" s="149"/>
      <c r="C437" s="160"/>
      <c r="D437" s="151"/>
      <c r="E437" s="152"/>
      <c r="F437" s="153"/>
      <c r="G437" s="154"/>
      <c r="H437" s="154"/>
      <c r="I437" s="154"/>
      <c r="J437" s="155"/>
      <c r="K437" s="156"/>
      <c r="L437" s="157"/>
      <c r="M437" s="158" t="s">
        <v>28</v>
      </c>
      <c r="N437" s="159" t="s">
        <v>29</v>
      </c>
    </row>
    <row r="438" spans="1:14">
      <c r="A438" s="148"/>
      <c r="B438" s="149"/>
      <c r="C438" s="160"/>
      <c r="D438" s="151"/>
      <c r="E438" s="152"/>
      <c r="F438" s="153"/>
      <c r="G438" s="154"/>
      <c r="H438" s="154"/>
      <c r="I438" s="154"/>
      <c r="J438" s="155"/>
      <c r="K438" s="156"/>
      <c r="L438" s="157"/>
      <c r="M438" s="158" t="s">
        <v>28</v>
      </c>
      <c r="N438" s="159" t="s">
        <v>29</v>
      </c>
    </row>
    <row r="439" spans="1:14">
      <c r="A439" s="148"/>
      <c r="B439" s="149"/>
      <c r="C439" s="160"/>
      <c r="D439" s="151"/>
      <c r="E439" s="152"/>
      <c r="F439" s="153"/>
      <c r="G439" s="154"/>
      <c r="H439" s="154"/>
      <c r="I439" s="154"/>
      <c r="J439" s="155"/>
      <c r="K439" s="156"/>
      <c r="L439" s="157"/>
      <c r="M439" s="158" t="s">
        <v>28</v>
      </c>
      <c r="N439" s="159" t="s">
        <v>29</v>
      </c>
    </row>
    <row r="440" spans="1:14">
      <c r="A440" s="148"/>
      <c r="B440" s="149"/>
      <c r="C440" s="160"/>
      <c r="D440" s="151"/>
      <c r="E440" s="152"/>
      <c r="F440" s="153"/>
      <c r="G440" s="154"/>
      <c r="H440" s="154"/>
      <c r="I440" s="154"/>
      <c r="J440" s="155"/>
      <c r="K440" s="156"/>
      <c r="L440" s="157"/>
      <c r="M440" s="158" t="s">
        <v>28</v>
      </c>
      <c r="N440" s="159" t="s">
        <v>29</v>
      </c>
    </row>
    <row r="441" spans="1:14">
      <c r="A441" s="148"/>
      <c r="B441" s="149"/>
      <c r="C441" s="160"/>
      <c r="D441" s="151"/>
      <c r="E441" s="152"/>
      <c r="F441" s="153"/>
      <c r="G441" s="154"/>
      <c r="H441" s="154"/>
      <c r="I441" s="154"/>
      <c r="J441" s="155"/>
      <c r="K441" s="156"/>
      <c r="L441" s="157"/>
      <c r="M441" s="158" t="s">
        <v>28</v>
      </c>
      <c r="N441" s="159" t="s">
        <v>29</v>
      </c>
    </row>
    <row r="442" spans="1:14">
      <c r="A442" s="148"/>
      <c r="B442" s="149"/>
      <c r="C442" s="160"/>
      <c r="D442" s="151"/>
      <c r="E442" s="152"/>
      <c r="F442" s="153"/>
      <c r="G442" s="154"/>
      <c r="H442" s="154"/>
      <c r="I442" s="154"/>
      <c r="J442" s="155"/>
      <c r="K442" s="156"/>
      <c r="L442" s="157"/>
      <c r="M442" s="158" t="s">
        <v>28</v>
      </c>
      <c r="N442" s="159" t="s">
        <v>29</v>
      </c>
    </row>
    <row r="443" spans="1:14">
      <c r="A443" s="148"/>
      <c r="B443" s="149"/>
      <c r="C443" s="160"/>
      <c r="D443" s="151"/>
      <c r="E443" s="152"/>
      <c r="F443" s="153"/>
      <c r="G443" s="154"/>
      <c r="H443" s="154"/>
      <c r="I443" s="154"/>
      <c r="J443" s="155"/>
      <c r="K443" s="156"/>
      <c r="L443" s="157"/>
      <c r="M443" s="158" t="s">
        <v>28</v>
      </c>
      <c r="N443" s="159" t="s">
        <v>29</v>
      </c>
    </row>
    <row r="444" spans="1:14">
      <c r="A444" s="148"/>
      <c r="B444" s="149"/>
      <c r="C444" s="160"/>
      <c r="D444" s="151"/>
      <c r="E444" s="152"/>
      <c r="F444" s="153"/>
      <c r="G444" s="154"/>
      <c r="H444" s="154"/>
      <c r="I444" s="154"/>
      <c r="J444" s="155"/>
      <c r="K444" s="156"/>
      <c r="L444" s="157"/>
      <c r="M444" s="158" t="s">
        <v>28</v>
      </c>
      <c r="N444" s="159" t="s">
        <v>29</v>
      </c>
    </row>
    <row r="445" spans="1:14">
      <c r="A445" s="148"/>
      <c r="B445" s="149"/>
      <c r="C445" s="160"/>
      <c r="D445" s="151"/>
      <c r="E445" s="152"/>
      <c r="F445" s="153"/>
      <c r="G445" s="154"/>
      <c r="H445" s="154"/>
      <c r="I445" s="154"/>
      <c r="J445" s="155"/>
      <c r="K445" s="156"/>
      <c r="L445" s="157"/>
      <c r="M445" s="158" t="s">
        <v>28</v>
      </c>
      <c r="N445" s="159" t="s">
        <v>29</v>
      </c>
    </row>
    <row r="446" spans="1:14">
      <c r="A446" s="148"/>
      <c r="B446" s="149"/>
      <c r="C446" s="160"/>
      <c r="D446" s="151"/>
      <c r="E446" s="152"/>
      <c r="F446" s="153"/>
      <c r="G446" s="154"/>
      <c r="H446" s="154"/>
      <c r="I446" s="154"/>
      <c r="J446" s="155"/>
      <c r="K446" s="156"/>
      <c r="L446" s="157"/>
      <c r="M446" s="158" t="s">
        <v>28</v>
      </c>
      <c r="N446" s="159" t="s">
        <v>29</v>
      </c>
    </row>
    <row r="447" spans="1:14">
      <c r="A447" s="148"/>
      <c r="B447" s="149"/>
      <c r="C447" s="160"/>
      <c r="D447" s="151"/>
      <c r="E447" s="152"/>
      <c r="F447" s="153"/>
      <c r="G447" s="154"/>
      <c r="H447" s="154"/>
      <c r="I447" s="154"/>
      <c r="J447" s="155"/>
      <c r="K447" s="156"/>
      <c r="L447" s="157"/>
      <c r="M447" s="158" t="s">
        <v>28</v>
      </c>
      <c r="N447" s="159" t="s">
        <v>29</v>
      </c>
    </row>
    <row r="448" spans="1:14">
      <c r="A448" s="148"/>
      <c r="B448" s="149"/>
      <c r="C448" s="160"/>
      <c r="D448" s="151"/>
      <c r="E448" s="152"/>
      <c r="F448" s="153"/>
      <c r="G448" s="154"/>
      <c r="H448" s="154"/>
      <c r="I448" s="154"/>
      <c r="J448" s="155"/>
      <c r="K448" s="156"/>
      <c r="L448" s="157"/>
      <c r="M448" s="158" t="s">
        <v>28</v>
      </c>
      <c r="N448" s="159" t="s">
        <v>29</v>
      </c>
    </row>
    <row r="449" spans="1:14">
      <c r="A449" s="148"/>
      <c r="B449" s="149"/>
      <c r="C449" s="160"/>
      <c r="D449" s="151"/>
      <c r="E449" s="152"/>
      <c r="F449" s="153"/>
      <c r="G449" s="154"/>
      <c r="H449" s="154"/>
      <c r="I449" s="154"/>
      <c r="J449" s="155"/>
      <c r="K449" s="156"/>
      <c r="L449" s="157"/>
      <c r="M449" s="158" t="s">
        <v>28</v>
      </c>
      <c r="N449" s="159" t="s">
        <v>29</v>
      </c>
    </row>
    <row r="450" spans="1:14">
      <c r="A450" s="148"/>
      <c r="B450" s="149"/>
      <c r="C450" s="160"/>
      <c r="D450" s="151"/>
      <c r="E450" s="152"/>
      <c r="F450" s="153"/>
      <c r="G450" s="154"/>
      <c r="H450" s="154"/>
      <c r="I450" s="154"/>
      <c r="J450" s="155"/>
      <c r="K450" s="156"/>
      <c r="L450" s="157"/>
      <c r="M450" s="158" t="s">
        <v>28</v>
      </c>
      <c r="N450" s="159" t="s">
        <v>29</v>
      </c>
    </row>
    <row r="451" spans="1:14">
      <c r="A451" s="148"/>
      <c r="B451" s="149"/>
      <c r="C451" s="160"/>
      <c r="D451" s="151"/>
      <c r="E451" s="152"/>
      <c r="F451" s="153"/>
      <c r="G451" s="154"/>
      <c r="H451" s="154"/>
      <c r="I451" s="154"/>
      <c r="J451" s="155"/>
      <c r="K451" s="156"/>
      <c r="L451" s="157"/>
      <c r="M451" s="158" t="s">
        <v>28</v>
      </c>
      <c r="N451" s="159" t="s">
        <v>29</v>
      </c>
    </row>
    <row r="452" spans="1:14">
      <c r="A452" s="148"/>
      <c r="B452" s="149"/>
      <c r="C452" s="160"/>
      <c r="D452" s="151"/>
      <c r="E452" s="152"/>
      <c r="F452" s="153"/>
      <c r="G452" s="154"/>
      <c r="H452" s="154"/>
      <c r="I452" s="154"/>
      <c r="J452" s="155"/>
      <c r="K452" s="156"/>
      <c r="L452" s="157"/>
      <c r="M452" s="158" t="s">
        <v>28</v>
      </c>
      <c r="N452" s="159" t="s">
        <v>29</v>
      </c>
    </row>
    <row r="453" spans="1:14">
      <c r="A453" s="148"/>
      <c r="B453" s="149"/>
      <c r="C453" s="160"/>
      <c r="D453" s="151"/>
      <c r="E453" s="152"/>
      <c r="F453" s="153"/>
      <c r="G453" s="154"/>
      <c r="H453" s="154"/>
      <c r="I453" s="154"/>
      <c r="J453" s="155"/>
      <c r="K453" s="156"/>
      <c r="L453" s="157"/>
      <c r="M453" s="158" t="s">
        <v>28</v>
      </c>
      <c r="N453" s="159" t="s">
        <v>29</v>
      </c>
    </row>
    <row r="454" spans="1:14">
      <c r="A454" s="148"/>
      <c r="B454" s="149"/>
      <c r="C454" s="160"/>
      <c r="D454" s="151"/>
      <c r="E454" s="152"/>
      <c r="F454" s="153"/>
      <c r="G454" s="154"/>
      <c r="H454" s="154"/>
      <c r="I454" s="154"/>
      <c r="J454" s="155"/>
      <c r="K454" s="156"/>
      <c r="L454" s="157"/>
      <c r="M454" s="158" t="s">
        <v>28</v>
      </c>
      <c r="N454" s="159" t="s">
        <v>29</v>
      </c>
    </row>
    <row r="455" spans="1:14">
      <c r="A455" s="148"/>
      <c r="B455" s="149"/>
      <c r="C455" s="160"/>
      <c r="D455" s="151"/>
      <c r="E455" s="152"/>
      <c r="F455" s="153"/>
      <c r="G455" s="154"/>
      <c r="H455" s="154"/>
      <c r="I455" s="154"/>
      <c r="J455" s="155"/>
      <c r="K455" s="156"/>
      <c r="L455" s="157"/>
      <c r="M455" s="158" t="s">
        <v>28</v>
      </c>
      <c r="N455" s="159" t="s">
        <v>29</v>
      </c>
    </row>
    <row r="456" spans="1:14">
      <c r="A456" s="148"/>
      <c r="B456" s="149"/>
      <c r="C456" s="160"/>
      <c r="D456" s="151"/>
      <c r="E456" s="152"/>
      <c r="F456" s="153"/>
      <c r="G456" s="154"/>
      <c r="H456" s="154"/>
      <c r="I456" s="154"/>
      <c r="J456" s="155"/>
      <c r="K456" s="162"/>
      <c r="L456" s="157"/>
      <c r="M456" s="158" t="s">
        <v>28</v>
      </c>
      <c r="N456" s="159" t="s">
        <v>29</v>
      </c>
    </row>
    <row r="457" spans="1:14">
      <c r="A457" s="148"/>
      <c r="B457" s="149"/>
      <c r="C457" s="160"/>
      <c r="D457" s="151"/>
      <c r="E457" s="152"/>
      <c r="F457" s="153"/>
      <c r="G457" s="154"/>
      <c r="H457" s="154"/>
      <c r="I457" s="154"/>
      <c r="J457" s="155"/>
      <c r="K457" s="162"/>
      <c r="L457" s="157"/>
      <c r="M457" s="158" t="s">
        <v>28</v>
      </c>
      <c r="N457" s="159" t="s">
        <v>29</v>
      </c>
    </row>
    <row r="458" spans="1:14">
      <c r="A458" s="148"/>
      <c r="B458" s="149"/>
      <c r="C458" s="160"/>
      <c r="D458" s="151"/>
      <c r="E458" s="152"/>
      <c r="F458" s="153"/>
      <c r="G458" s="154"/>
      <c r="H458" s="154"/>
      <c r="I458" s="154"/>
      <c r="J458" s="155"/>
      <c r="K458" s="162"/>
      <c r="L458" s="157"/>
      <c r="M458" s="158" t="s">
        <v>28</v>
      </c>
      <c r="N458" s="159" t="s">
        <v>29</v>
      </c>
    </row>
    <row r="459" spans="1:14">
      <c r="A459" s="148"/>
      <c r="B459" s="149"/>
      <c r="C459" s="160"/>
      <c r="D459" s="151"/>
      <c r="E459" s="152"/>
      <c r="F459" s="153"/>
      <c r="G459" s="154"/>
      <c r="H459" s="154"/>
      <c r="I459" s="154"/>
      <c r="J459" s="155"/>
      <c r="K459" s="162"/>
      <c r="L459" s="157"/>
      <c r="M459" s="158" t="s">
        <v>28</v>
      </c>
      <c r="N459" s="159" t="s">
        <v>29</v>
      </c>
    </row>
    <row r="460" spans="1:14">
      <c r="A460" s="148"/>
      <c r="B460" s="149"/>
      <c r="C460" s="160"/>
      <c r="D460" s="151"/>
      <c r="E460" s="152"/>
      <c r="F460" s="153"/>
      <c r="G460" s="154"/>
      <c r="H460" s="154"/>
      <c r="I460" s="154"/>
      <c r="J460" s="155"/>
      <c r="K460" s="162"/>
      <c r="L460" s="157"/>
      <c r="M460" s="158" t="s">
        <v>28</v>
      </c>
      <c r="N460" s="159" t="s">
        <v>29</v>
      </c>
    </row>
    <row r="461" spans="1:14">
      <c r="A461" s="148"/>
      <c r="B461" s="149"/>
      <c r="C461" s="160"/>
      <c r="D461" s="151"/>
      <c r="E461" s="152"/>
      <c r="F461" s="153"/>
      <c r="G461" s="154"/>
      <c r="H461" s="154"/>
      <c r="I461" s="154"/>
      <c r="J461" s="155"/>
      <c r="K461" s="162"/>
      <c r="L461" s="157"/>
      <c r="M461" s="158" t="s">
        <v>28</v>
      </c>
      <c r="N461" s="159" t="s">
        <v>29</v>
      </c>
    </row>
    <row r="462" spans="1:14">
      <c r="A462" s="148"/>
      <c r="B462" s="149"/>
      <c r="C462" s="160"/>
      <c r="D462" s="151"/>
      <c r="E462" s="152"/>
      <c r="F462" s="153"/>
      <c r="G462" s="154"/>
      <c r="H462" s="154"/>
      <c r="I462" s="154"/>
      <c r="J462" s="155"/>
      <c r="K462" s="162"/>
      <c r="L462" s="157"/>
      <c r="M462" s="158" t="s">
        <v>28</v>
      </c>
      <c r="N462" s="159" t="s">
        <v>29</v>
      </c>
    </row>
    <row r="463" spans="1:14">
      <c r="A463" s="148"/>
      <c r="B463" s="149"/>
      <c r="C463" s="160"/>
      <c r="D463" s="151"/>
      <c r="E463" s="152"/>
      <c r="F463" s="153"/>
      <c r="G463" s="154"/>
      <c r="H463" s="154"/>
      <c r="I463" s="154"/>
      <c r="J463" s="155"/>
      <c r="K463" s="162"/>
      <c r="L463" s="157"/>
      <c r="M463" s="158" t="s">
        <v>28</v>
      </c>
      <c r="N463" s="159" t="s">
        <v>29</v>
      </c>
    </row>
    <row r="464" spans="1:14">
      <c r="A464" s="148"/>
      <c r="B464" s="149"/>
      <c r="C464" s="160"/>
      <c r="D464" s="151"/>
      <c r="E464" s="152"/>
      <c r="F464" s="153"/>
      <c r="G464" s="154"/>
      <c r="H464" s="154"/>
      <c r="I464" s="154"/>
      <c r="J464" s="155"/>
      <c r="K464" s="162"/>
      <c r="L464" s="157"/>
      <c r="M464" s="158" t="s">
        <v>28</v>
      </c>
      <c r="N464" s="159" t="s">
        <v>29</v>
      </c>
    </row>
    <row r="465" spans="1:14">
      <c r="A465" s="148"/>
      <c r="B465" s="149"/>
      <c r="C465" s="160"/>
      <c r="D465" s="151"/>
      <c r="E465" s="152"/>
      <c r="F465" s="153"/>
      <c r="G465" s="154"/>
      <c r="H465" s="154"/>
      <c r="I465" s="154"/>
      <c r="J465" s="155"/>
      <c r="K465" s="162"/>
      <c r="L465" s="157"/>
      <c r="M465" s="158" t="s">
        <v>28</v>
      </c>
      <c r="N465" s="159" t="s">
        <v>29</v>
      </c>
    </row>
    <row r="466" spans="1:14">
      <c r="A466" s="148"/>
      <c r="B466" s="149"/>
      <c r="C466" s="160"/>
      <c r="D466" s="151"/>
      <c r="E466" s="152"/>
      <c r="F466" s="153"/>
      <c r="G466" s="154"/>
      <c r="H466" s="154"/>
      <c r="I466" s="154"/>
      <c r="J466" s="155"/>
      <c r="K466" s="162"/>
      <c r="L466" s="157"/>
      <c r="M466" s="158" t="s">
        <v>28</v>
      </c>
      <c r="N466" s="159" t="s">
        <v>29</v>
      </c>
    </row>
    <row r="467" spans="1:14">
      <c r="A467" s="148"/>
      <c r="B467" s="149"/>
      <c r="C467" s="160"/>
      <c r="D467" s="151"/>
      <c r="E467" s="152"/>
      <c r="F467" s="153"/>
      <c r="G467" s="154"/>
      <c r="H467" s="154"/>
      <c r="I467" s="154"/>
      <c r="J467" s="155"/>
      <c r="K467" s="162"/>
      <c r="L467" s="157"/>
      <c r="M467" s="158" t="s">
        <v>28</v>
      </c>
      <c r="N467" s="159" t="s">
        <v>29</v>
      </c>
    </row>
    <row r="468" spans="1:14">
      <c r="A468" s="148"/>
      <c r="B468" s="149"/>
      <c r="C468" s="160"/>
      <c r="D468" s="151"/>
      <c r="E468" s="152"/>
      <c r="F468" s="153"/>
      <c r="G468" s="154"/>
      <c r="H468" s="154"/>
      <c r="I468" s="154"/>
      <c r="J468" s="155"/>
      <c r="K468" s="162"/>
      <c r="L468" s="157"/>
      <c r="M468" s="158" t="s">
        <v>28</v>
      </c>
      <c r="N468" s="159" t="s">
        <v>29</v>
      </c>
    </row>
    <row r="469" spans="1:14">
      <c r="A469" s="148"/>
      <c r="B469" s="149"/>
      <c r="C469" s="160"/>
      <c r="D469" s="151"/>
      <c r="E469" s="152"/>
      <c r="F469" s="153"/>
      <c r="G469" s="154"/>
      <c r="H469" s="154"/>
      <c r="I469" s="154"/>
      <c r="J469" s="155"/>
      <c r="K469" s="162"/>
      <c r="L469" s="157"/>
      <c r="M469" s="158" t="s">
        <v>28</v>
      </c>
      <c r="N469" s="159" t="s">
        <v>29</v>
      </c>
    </row>
    <row r="470" spans="1:14">
      <c r="A470" s="148"/>
      <c r="B470" s="149"/>
      <c r="C470" s="160"/>
      <c r="D470" s="151"/>
      <c r="E470" s="152"/>
      <c r="F470" s="153"/>
      <c r="G470" s="154"/>
      <c r="H470" s="154"/>
      <c r="I470" s="154"/>
      <c r="J470" s="155"/>
      <c r="K470" s="162"/>
      <c r="L470" s="157"/>
      <c r="M470" s="158" t="s">
        <v>28</v>
      </c>
      <c r="N470" s="159" t="s">
        <v>29</v>
      </c>
    </row>
    <row r="471" spans="1:14">
      <c r="A471" s="148"/>
      <c r="B471" s="149"/>
      <c r="C471" s="160"/>
      <c r="D471" s="151"/>
      <c r="E471" s="152"/>
      <c r="F471" s="153"/>
      <c r="G471" s="154"/>
      <c r="H471" s="154"/>
      <c r="I471" s="154"/>
      <c r="J471" s="155"/>
      <c r="K471" s="162"/>
      <c r="L471" s="157"/>
      <c r="M471" s="158" t="s">
        <v>28</v>
      </c>
      <c r="N471" s="159" t="s">
        <v>29</v>
      </c>
    </row>
    <row r="472" spans="1:14">
      <c r="A472" s="148"/>
      <c r="B472" s="149"/>
      <c r="C472" s="160"/>
      <c r="D472" s="151"/>
      <c r="E472" s="152"/>
      <c r="F472" s="153"/>
      <c r="G472" s="154"/>
      <c r="H472" s="154"/>
      <c r="I472" s="154"/>
      <c r="J472" s="155"/>
      <c r="K472" s="162"/>
      <c r="L472" s="157"/>
      <c r="M472" s="158" t="s">
        <v>28</v>
      </c>
      <c r="N472" s="159" t="s">
        <v>29</v>
      </c>
    </row>
    <row r="473" spans="1:14">
      <c r="A473" s="148"/>
      <c r="B473" s="149"/>
      <c r="C473" s="160"/>
      <c r="D473" s="151"/>
      <c r="E473" s="152"/>
      <c r="F473" s="153"/>
      <c r="G473" s="154"/>
      <c r="H473" s="154"/>
      <c r="I473" s="154"/>
      <c r="J473" s="155"/>
      <c r="K473" s="162"/>
      <c r="L473" s="157"/>
      <c r="M473" s="158" t="s">
        <v>28</v>
      </c>
      <c r="N473" s="159" t="s">
        <v>29</v>
      </c>
    </row>
    <row r="474" spans="1:14">
      <c r="A474" s="148"/>
      <c r="B474" s="149"/>
      <c r="C474" s="160"/>
      <c r="D474" s="151"/>
      <c r="E474" s="152"/>
      <c r="F474" s="153"/>
      <c r="G474" s="154"/>
      <c r="H474" s="154"/>
      <c r="I474" s="154"/>
      <c r="J474" s="155"/>
      <c r="K474" s="162"/>
      <c r="L474" s="157"/>
      <c r="M474" s="158" t="s">
        <v>28</v>
      </c>
      <c r="N474" s="159" t="s">
        <v>29</v>
      </c>
    </row>
    <row r="475" spans="1:14">
      <c r="A475" s="148"/>
      <c r="B475" s="149"/>
      <c r="C475" s="160"/>
      <c r="D475" s="151"/>
      <c r="E475" s="152"/>
      <c r="F475" s="153"/>
      <c r="G475" s="154"/>
      <c r="H475" s="154"/>
      <c r="I475" s="154"/>
      <c r="J475" s="155"/>
      <c r="K475" s="162"/>
      <c r="L475" s="157"/>
      <c r="M475" s="158" t="s">
        <v>28</v>
      </c>
      <c r="N475" s="159" t="s">
        <v>29</v>
      </c>
    </row>
    <row r="476" spans="1:14">
      <c r="A476" s="148"/>
      <c r="B476" s="149"/>
      <c r="C476" s="160"/>
      <c r="D476" s="151"/>
      <c r="E476" s="152"/>
      <c r="F476" s="153"/>
      <c r="G476" s="154"/>
      <c r="H476" s="154"/>
      <c r="I476" s="154"/>
      <c r="J476" s="155"/>
      <c r="K476" s="162"/>
      <c r="L476" s="157"/>
      <c r="M476" s="158" t="s">
        <v>28</v>
      </c>
      <c r="N476" s="159" t="s">
        <v>29</v>
      </c>
    </row>
    <row r="477" spans="1:14">
      <c r="A477" s="148"/>
      <c r="B477" s="149"/>
      <c r="C477" s="160"/>
      <c r="D477" s="151"/>
      <c r="E477" s="152"/>
      <c r="F477" s="153"/>
      <c r="G477" s="154"/>
      <c r="H477" s="154"/>
      <c r="I477" s="154"/>
      <c r="J477" s="155"/>
      <c r="K477" s="162"/>
      <c r="L477" s="157"/>
      <c r="M477" s="158" t="s">
        <v>28</v>
      </c>
      <c r="N477" s="159" t="s">
        <v>29</v>
      </c>
    </row>
    <row r="478" spans="1:14">
      <c r="A478" s="148"/>
      <c r="B478" s="149"/>
      <c r="C478" s="160"/>
      <c r="D478" s="151"/>
      <c r="E478" s="152"/>
      <c r="F478" s="153"/>
      <c r="G478" s="154"/>
      <c r="H478" s="154"/>
      <c r="I478" s="154"/>
      <c r="J478" s="155"/>
      <c r="K478" s="162"/>
      <c r="L478" s="157"/>
      <c r="M478" s="158" t="s">
        <v>28</v>
      </c>
      <c r="N478" s="159" t="s">
        <v>29</v>
      </c>
    </row>
    <row r="479" spans="1:14">
      <c r="A479" s="148"/>
      <c r="B479" s="149"/>
      <c r="C479" s="160"/>
      <c r="D479" s="151"/>
      <c r="E479" s="152"/>
      <c r="F479" s="153"/>
      <c r="G479" s="154"/>
      <c r="H479" s="154"/>
      <c r="I479" s="154"/>
      <c r="J479" s="155"/>
      <c r="K479" s="162"/>
      <c r="L479" s="157"/>
      <c r="M479" s="158" t="s">
        <v>28</v>
      </c>
      <c r="N479" s="159" t="s">
        <v>29</v>
      </c>
    </row>
    <row r="480" spans="1:14">
      <c r="A480" s="148"/>
      <c r="B480" s="149"/>
      <c r="C480" s="160"/>
      <c r="D480" s="151"/>
      <c r="E480" s="152"/>
      <c r="F480" s="153"/>
      <c r="G480" s="154"/>
      <c r="H480" s="154"/>
      <c r="I480" s="154"/>
      <c r="J480" s="155"/>
      <c r="K480" s="162"/>
      <c r="L480" s="157"/>
      <c r="M480" s="158" t="s">
        <v>28</v>
      </c>
      <c r="N480" s="159" t="s">
        <v>29</v>
      </c>
    </row>
    <row r="481" spans="1:14">
      <c r="A481" s="148"/>
      <c r="B481" s="149"/>
      <c r="C481" s="160"/>
      <c r="D481" s="151"/>
      <c r="E481" s="152"/>
      <c r="F481" s="153"/>
      <c r="G481" s="154"/>
      <c r="H481" s="154"/>
      <c r="I481" s="154"/>
      <c r="J481" s="155"/>
      <c r="K481" s="162"/>
      <c r="L481" s="157"/>
      <c r="M481" s="158" t="s">
        <v>28</v>
      </c>
      <c r="N481" s="159" t="s">
        <v>29</v>
      </c>
    </row>
    <row r="482" spans="1:14">
      <c r="A482" s="148"/>
      <c r="B482" s="149"/>
      <c r="C482" s="160"/>
      <c r="D482" s="151"/>
      <c r="E482" s="152"/>
      <c r="F482" s="153"/>
      <c r="G482" s="154"/>
      <c r="H482" s="154"/>
      <c r="I482" s="154"/>
      <c r="J482" s="155"/>
      <c r="K482" s="162"/>
      <c r="L482" s="157"/>
      <c r="M482" s="158" t="s">
        <v>28</v>
      </c>
      <c r="N482" s="159" t="s">
        <v>29</v>
      </c>
    </row>
    <row r="483" spans="1:14">
      <c r="A483" s="148"/>
      <c r="B483" s="149"/>
      <c r="C483" s="160"/>
      <c r="D483" s="151"/>
      <c r="E483" s="152"/>
      <c r="F483" s="153"/>
      <c r="G483" s="154"/>
      <c r="H483" s="154"/>
      <c r="I483" s="154"/>
      <c r="J483" s="155"/>
      <c r="K483" s="162"/>
      <c r="L483" s="157"/>
      <c r="M483" s="158" t="s">
        <v>28</v>
      </c>
      <c r="N483" s="159" t="s">
        <v>29</v>
      </c>
    </row>
    <row r="484" spans="1:14">
      <c r="A484" s="148"/>
      <c r="B484" s="149"/>
      <c r="C484" s="160"/>
      <c r="D484" s="151"/>
      <c r="E484" s="152"/>
      <c r="F484" s="153"/>
      <c r="G484" s="154"/>
      <c r="H484" s="154"/>
      <c r="I484" s="154"/>
      <c r="J484" s="155"/>
      <c r="K484" s="162"/>
      <c r="L484" s="157"/>
      <c r="M484" s="158" t="s">
        <v>28</v>
      </c>
      <c r="N484" s="159" t="s">
        <v>29</v>
      </c>
    </row>
    <row r="485" spans="1:14">
      <c r="A485" s="148"/>
      <c r="B485" s="149"/>
      <c r="C485" s="160"/>
      <c r="D485" s="151"/>
      <c r="E485" s="152"/>
      <c r="F485" s="153"/>
      <c r="G485" s="154"/>
      <c r="H485" s="154"/>
      <c r="I485" s="154"/>
      <c r="J485" s="155"/>
      <c r="K485" s="162"/>
      <c r="L485" s="157"/>
      <c r="M485" s="158" t="s">
        <v>28</v>
      </c>
      <c r="N485" s="159" t="s">
        <v>29</v>
      </c>
    </row>
    <row r="486" spans="1:14">
      <c r="A486" s="148"/>
      <c r="B486" s="149"/>
      <c r="C486" s="160"/>
      <c r="D486" s="151"/>
      <c r="E486" s="152"/>
      <c r="F486" s="153"/>
      <c r="G486" s="154"/>
      <c r="H486" s="154"/>
      <c r="I486" s="154"/>
      <c r="J486" s="155"/>
      <c r="K486" s="162"/>
      <c r="L486" s="157"/>
      <c r="M486" s="158" t="s">
        <v>28</v>
      </c>
      <c r="N486" s="159" t="s">
        <v>29</v>
      </c>
    </row>
    <row r="487" spans="1:14">
      <c r="A487" s="148"/>
      <c r="B487" s="149"/>
      <c r="C487" s="160"/>
      <c r="D487" s="151"/>
      <c r="E487" s="152"/>
      <c r="F487" s="153"/>
      <c r="G487" s="154"/>
      <c r="H487" s="154"/>
      <c r="I487" s="154"/>
      <c r="J487" s="155"/>
      <c r="K487" s="162"/>
      <c r="L487" s="157"/>
      <c r="M487" s="158" t="s">
        <v>28</v>
      </c>
      <c r="N487" s="159" t="s">
        <v>29</v>
      </c>
    </row>
    <row r="488" spans="1:14">
      <c r="A488" s="148"/>
      <c r="B488" s="149"/>
      <c r="C488" s="150"/>
      <c r="D488" s="151"/>
      <c r="E488" s="152"/>
      <c r="F488" s="153"/>
      <c r="G488" s="154"/>
      <c r="H488" s="154"/>
      <c r="I488" s="154"/>
      <c r="J488" s="155"/>
      <c r="K488" s="162"/>
      <c r="L488" s="157"/>
      <c r="M488" s="158" t="s">
        <v>28</v>
      </c>
      <c r="N488" s="159" t="s">
        <v>29</v>
      </c>
    </row>
    <row r="489" spans="1:14">
      <c r="A489" s="148"/>
      <c r="B489" s="149"/>
      <c r="C489" s="150"/>
      <c r="D489" s="151"/>
      <c r="E489" s="152"/>
      <c r="F489" s="153"/>
      <c r="G489" s="154"/>
      <c r="H489" s="154"/>
      <c r="I489" s="154"/>
      <c r="J489" s="155"/>
      <c r="K489" s="162"/>
      <c r="L489" s="157"/>
      <c r="M489" s="158" t="s">
        <v>28</v>
      </c>
      <c r="N489" s="159" t="s">
        <v>29</v>
      </c>
    </row>
    <row r="490" spans="1:14">
      <c r="A490" s="148"/>
      <c r="B490" s="149"/>
      <c r="C490" s="150"/>
      <c r="D490" s="151"/>
      <c r="E490" s="152"/>
      <c r="F490" s="153"/>
      <c r="G490" s="154"/>
      <c r="H490" s="154"/>
      <c r="I490" s="154"/>
      <c r="J490" s="155"/>
      <c r="K490" s="162"/>
      <c r="L490" s="157"/>
      <c r="M490" s="158" t="s">
        <v>28</v>
      </c>
      <c r="N490" s="159" t="s">
        <v>29</v>
      </c>
    </row>
    <row r="491" spans="1:14">
      <c r="A491" s="148"/>
      <c r="B491" s="149"/>
      <c r="C491" s="160"/>
      <c r="D491" s="151"/>
      <c r="E491" s="152"/>
      <c r="F491" s="153"/>
      <c r="G491" s="154"/>
      <c r="H491" s="154"/>
      <c r="I491" s="154"/>
      <c r="J491" s="155"/>
      <c r="K491" s="162"/>
      <c r="L491" s="157"/>
      <c r="M491" s="158" t="s">
        <v>28</v>
      </c>
      <c r="N491" s="159" t="s">
        <v>29</v>
      </c>
    </row>
    <row r="492" spans="1:14">
      <c r="A492" s="148"/>
      <c r="B492" s="149"/>
      <c r="C492" s="160"/>
      <c r="D492" s="151"/>
      <c r="E492" s="152"/>
      <c r="F492" s="153"/>
      <c r="G492" s="154"/>
      <c r="H492" s="154"/>
      <c r="I492" s="154"/>
      <c r="J492" s="155"/>
      <c r="K492" s="162"/>
      <c r="L492" s="157"/>
      <c r="M492" s="158" t="s">
        <v>28</v>
      </c>
      <c r="N492" s="159" t="s">
        <v>29</v>
      </c>
    </row>
    <row r="493" spans="1:14">
      <c r="A493" s="148"/>
      <c r="B493" s="149"/>
      <c r="C493" s="160"/>
      <c r="D493" s="151"/>
      <c r="E493" s="152"/>
      <c r="F493" s="153"/>
      <c r="G493" s="154"/>
      <c r="H493" s="154"/>
      <c r="I493" s="154"/>
      <c r="J493" s="155"/>
      <c r="K493" s="162"/>
      <c r="L493" s="157"/>
      <c r="M493" s="158" t="s">
        <v>28</v>
      </c>
      <c r="N493" s="159" t="s">
        <v>29</v>
      </c>
    </row>
    <row r="494" spans="1:14">
      <c r="A494" s="148"/>
      <c r="B494" s="149"/>
      <c r="C494" s="160"/>
      <c r="D494" s="151"/>
      <c r="E494" s="152"/>
      <c r="F494" s="153"/>
      <c r="G494" s="154"/>
      <c r="H494" s="154"/>
      <c r="I494" s="154"/>
      <c r="J494" s="155"/>
      <c r="K494" s="162"/>
      <c r="L494" s="157"/>
      <c r="M494" s="158" t="s">
        <v>28</v>
      </c>
      <c r="N494" s="159" t="s">
        <v>29</v>
      </c>
    </row>
    <row r="495" spans="1:14">
      <c r="A495" s="148"/>
      <c r="B495" s="149"/>
      <c r="C495" s="160"/>
      <c r="D495" s="151"/>
      <c r="E495" s="152"/>
      <c r="F495" s="153"/>
      <c r="G495" s="154"/>
      <c r="H495" s="154"/>
      <c r="I495" s="154"/>
      <c r="J495" s="155"/>
      <c r="K495" s="162"/>
      <c r="L495" s="157"/>
      <c r="M495" s="158" t="s">
        <v>28</v>
      </c>
      <c r="N495" s="159" t="s">
        <v>29</v>
      </c>
    </row>
    <row r="496" spans="1:14">
      <c r="A496" s="148"/>
      <c r="B496" s="149"/>
      <c r="C496" s="160"/>
      <c r="D496" s="151"/>
      <c r="E496" s="152"/>
      <c r="F496" s="153"/>
      <c r="G496" s="154"/>
      <c r="H496" s="154"/>
      <c r="I496" s="154"/>
      <c r="J496" s="155"/>
      <c r="K496" s="162"/>
      <c r="L496" s="157"/>
      <c r="M496" s="158" t="s">
        <v>28</v>
      </c>
      <c r="N496" s="159" t="s">
        <v>29</v>
      </c>
    </row>
    <row r="497" spans="1:14">
      <c r="A497" s="148"/>
      <c r="B497" s="149"/>
      <c r="C497" s="160"/>
      <c r="D497" s="151"/>
      <c r="E497" s="152"/>
      <c r="F497" s="153"/>
      <c r="G497" s="154"/>
      <c r="H497" s="154"/>
      <c r="I497" s="154"/>
      <c r="J497" s="155"/>
      <c r="K497" s="162"/>
      <c r="L497" s="157"/>
      <c r="M497" s="158" t="s">
        <v>28</v>
      </c>
      <c r="N497" s="159" t="s">
        <v>29</v>
      </c>
    </row>
    <row r="498" spans="1:14">
      <c r="A498" s="148"/>
      <c r="B498" s="149"/>
      <c r="C498" s="160"/>
      <c r="D498" s="151"/>
      <c r="E498" s="152"/>
      <c r="F498" s="153"/>
      <c r="G498" s="154"/>
      <c r="H498" s="154"/>
      <c r="I498" s="154"/>
      <c r="J498" s="155"/>
      <c r="K498" s="162"/>
      <c r="L498" s="157"/>
      <c r="M498" s="158" t="s">
        <v>28</v>
      </c>
      <c r="N498" s="159" t="s">
        <v>29</v>
      </c>
    </row>
    <row r="499" spans="1:14">
      <c r="A499" s="148"/>
      <c r="B499" s="149"/>
      <c r="C499" s="160"/>
      <c r="D499" s="151"/>
      <c r="E499" s="152"/>
      <c r="F499" s="153"/>
      <c r="G499" s="154"/>
      <c r="H499" s="154"/>
      <c r="I499" s="154"/>
      <c r="J499" s="155"/>
      <c r="K499" s="162"/>
      <c r="L499" s="157"/>
      <c r="M499" s="158" t="s">
        <v>28</v>
      </c>
      <c r="N499" s="159" t="s">
        <v>29</v>
      </c>
    </row>
    <row r="500" spans="1:14">
      <c r="A500" s="148"/>
      <c r="B500" s="149"/>
      <c r="C500" s="160"/>
      <c r="D500" s="151"/>
      <c r="E500" s="152"/>
      <c r="F500" s="153"/>
      <c r="G500" s="154"/>
      <c r="H500" s="154"/>
      <c r="I500" s="154"/>
      <c r="J500" s="155"/>
      <c r="K500" s="162"/>
      <c r="L500" s="157"/>
      <c r="M500" s="158" t="s">
        <v>28</v>
      </c>
      <c r="N500" s="159" t="s">
        <v>29</v>
      </c>
    </row>
    <row r="501" spans="1:14">
      <c r="A501" s="148"/>
      <c r="B501" s="149"/>
      <c r="C501" s="160"/>
      <c r="D501" s="151"/>
      <c r="E501" s="152"/>
      <c r="F501" s="153"/>
      <c r="G501" s="154"/>
      <c r="H501" s="154"/>
      <c r="I501" s="154"/>
      <c r="J501" s="155"/>
      <c r="K501" s="162"/>
      <c r="L501" s="157"/>
      <c r="M501" s="158" t="s">
        <v>28</v>
      </c>
      <c r="N501" s="159" t="s">
        <v>29</v>
      </c>
    </row>
    <row r="502" spans="1:14">
      <c r="A502" s="148"/>
      <c r="B502" s="149"/>
      <c r="C502" s="160"/>
      <c r="D502" s="151"/>
      <c r="E502" s="152"/>
      <c r="F502" s="153"/>
      <c r="G502" s="154"/>
      <c r="H502" s="154"/>
      <c r="I502" s="154"/>
      <c r="J502" s="155"/>
      <c r="K502" s="162"/>
      <c r="L502" s="157"/>
      <c r="M502" s="158" t="s">
        <v>28</v>
      </c>
      <c r="N502" s="159" t="s">
        <v>29</v>
      </c>
    </row>
    <row r="503" spans="1:14">
      <c r="A503" s="148"/>
      <c r="B503" s="149"/>
      <c r="C503" s="160"/>
      <c r="D503" s="151"/>
      <c r="E503" s="152"/>
      <c r="F503" s="153"/>
      <c r="G503" s="154"/>
      <c r="H503" s="154"/>
      <c r="I503" s="154"/>
      <c r="J503" s="155"/>
      <c r="K503" s="162"/>
      <c r="L503" s="157"/>
      <c r="M503" s="158" t="s">
        <v>28</v>
      </c>
      <c r="N503" s="159" t="s">
        <v>29</v>
      </c>
    </row>
    <row r="504" spans="1:14">
      <c r="A504" s="148"/>
      <c r="B504" s="149"/>
      <c r="C504" s="160"/>
      <c r="D504" s="151"/>
      <c r="E504" s="152"/>
      <c r="F504" s="153"/>
      <c r="G504" s="154"/>
      <c r="H504" s="154"/>
      <c r="I504" s="154"/>
      <c r="J504" s="155"/>
      <c r="K504" s="162"/>
      <c r="L504" s="157"/>
      <c r="M504" s="158" t="s">
        <v>28</v>
      </c>
      <c r="N504" s="159" t="s">
        <v>29</v>
      </c>
    </row>
    <row r="505" spans="1:14">
      <c r="A505" s="148"/>
      <c r="B505" s="149"/>
      <c r="C505" s="160"/>
      <c r="D505" s="151"/>
      <c r="E505" s="152"/>
      <c r="F505" s="153"/>
      <c r="G505" s="154"/>
      <c r="H505" s="154"/>
      <c r="I505" s="154"/>
      <c r="J505" s="155"/>
      <c r="K505" s="162"/>
      <c r="L505" s="157"/>
      <c r="M505" s="158" t="s">
        <v>28</v>
      </c>
      <c r="N505" s="159" t="s">
        <v>29</v>
      </c>
    </row>
    <row r="506" spans="1:14">
      <c r="A506" s="148"/>
      <c r="B506" s="149"/>
      <c r="C506" s="160"/>
      <c r="D506" s="151"/>
      <c r="E506" s="152"/>
      <c r="F506" s="153"/>
      <c r="G506" s="154"/>
      <c r="H506" s="154"/>
      <c r="I506" s="154"/>
      <c r="J506" s="155"/>
      <c r="K506" s="162"/>
      <c r="L506" s="157"/>
      <c r="M506" s="158" t="s">
        <v>28</v>
      </c>
      <c r="N506" s="159" t="s">
        <v>29</v>
      </c>
    </row>
    <row r="507" spans="1:14">
      <c r="A507" s="148"/>
      <c r="B507" s="149"/>
      <c r="C507" s="160"/>
      <c r="D507" s="151"/>
      <c r="E507" s="152"/>
      <c r="F507" s="153"/>
      <c r="G507" s="154"/>
      <c r="H507" s="154"/>
      <c r="I507" s="154"/>
      <c r="J507" s="155"/>
      <c r="K507" s="162"/>
      <c r="L507" s="157"/>
      <c r="M507" s="158" t="s">
        <v>28</v>
      </c>
      <c r="N507" s="159" t="s">
        <v>29</v>
      </c>
    </row>
    <row r="508" spans="1:14">
      <c r="A508" s="148"/>
      <c r="B508" s="149"/>
      <c r="C508" s="160"/>
      <c r="D508" s="151"/>
      <c r="E508" s="152"/>
      <c r="F508" s="153"/>
      <c r="G508" s="154"/>
      <c r="H508" s="154"/>
      <c r="I508" s="154"/>
      <c r="J508" s="155"/>
      <c r="K508" s="162"/>
      <c r="L508" s="157"/>
      <c r="M508" s="158" t="s">
        <v>28</v>
      </c>
      <c r="N508" s="159" t="s">
        <v>29</v>
      </c>
    </row>
    <row r="509" spans="1:14">
      <c r="A509" s="148"/>
      <c r="B509" s="149"/>
      <c r="C509" s="160"/>
      <c r="D509" s="151"/>
      <c r="E509" s="152"/>
      <c r="F509" s="153"/>
      <c r="G509" s="154"/>
      <c r="H509" s="154"/>
      <c r="I509" s="154"/>
      <c r="J509" s="155"/>
      <c r="K509" s="162"/>
      <c r="L509" s="157"/>
      <c r="M509" s="158" t="s">
        <v>28</v>
      </c>
      <c r="N509" s="159" t="s">
        <v>29</v>
      </c>
    </row>
    <row r="510" spans="1:14">
      <c r="A510" s="148"/>
      <c r="B510" s="149"/>
      <c r="C510" s="160"/>
      <c r="D510" s="151"/>
      <c r="E510" s="152"/>
      <c r="F510" s="153"/>
      <c r="G510" s="154"/>
      <c r="H510" s="154"/>
      <c r="I510" s="154"/>
      <c r="J510" s="155"/>
      <c r="K510" s="162"/>
      <c r="L510" s="157"/>
      <c r="M510" s="158" t="s">
        <v>28</v>
      </c>
      <c r="N510" s="159" t="s">
        <v>29</v>
      </c>
    </row>
    <row r="511" spans="1:14">
      <c r="A511" s="148"/>
      <c r="B511" s="149"/>
      <c r="C511" s="160"/>
      <c r="D511" s="151"/>
      <c r="E511" s="152"/>
      <c r="F511" s="153"/>
      <c r="G511" s="154"/>
      <c r="H511" s="154"/>
      <c r="I511" s="154"/>
      <c r="J511" s="155"/>
      <c r="K511" s="162"/>
      <c r="L511" s="157"/>
      <c r="M511" s="158" t="s">
        <v>28</v>
      </c>
      <c r="N511" s="159" t="s">
        <v>29</v>
      </c>
    </row>
    <row r="512" spans="1:14">
      <c r="A512" s="148"/>
      <c r="B512" s="149"/>
      <c r="C512" s="160"/>
      <c r="D512" s="151"/>
      <c r="E512" s="152"/>
      <c r="F512" s="153"/>
      <c r="G512" s="154"/>
      <c r="H512" s="154"/>
      <c r="I512" s="154"/>
      <c r="J512" s="155"/>
      <c r="K512" s="162"/>
      <c r="L512" s="157"/>
      <c r="M512" s="158" t="s">
        <v>28</v>
      </c>
      <c r="N512" s="159" t="s">
        <v>29</v>
      </c>
    </row>
    <row r="513" spans="1:14">
      <c r="A513" s="148"/>
      <c r="B513" s="149"/>
      <c r="C513" s="160"/>
      <c r="D513" s="151"/>
      <c r="E513" s="152"/>
      <c r="F513" s="153"/>
      <c r="G513" s="154"/>
      <c r="H513" s="154"/>
      <c r="I513" s="154"/>
      <c r="J513" s="155"/>
      <c r="K513" s="162"/>
      <c r="L513" s="157"/>
      <c r="M513" s="158" t="s">
        <v>28</v>
      </c>
      <c r="N513" s="159" t="s">
        <v>29</v>
      </c>
    </row>
    <row r="514" spans="1:14">
      <c r="A514" s="148"/>
      <c r="B514" s="149"/>
      <c r="C514" s="160"/>
      <c r="D514" s="151"/>
      <c r="E514" s="152"/>
      <c r="F514" s="153"/>
      <c r="G514" s="154"/>
      <c r="H514" s="154"/>
      <c r="I514" s="154"/>
      <c r="J514" s="155"/>
      <c r="K514" s="162"/>
      <c r="L514" s="157"/>
      <c r="M514" s="158" t="s">
        <v>28</v>
      </c>
      <c r="N514" s="159" t="s">
        <v>29</v>
      </c>
    </row>
    <row r="515" spans="1:14">
      <c r="A515" s="148"/>
      <c r="B515" s="149"/>
      <c r="C515" s="160"/>
      <c r="D515" s="151"/>
      <c r="E515" s="152"/>
      <c r="F515" s="153"/>
      <c r="G515" s="154"/>
      <c r="H515" s="154"/>
      <c r="I515" s="154"/>
      <c r="J515" s="155"/>
      <c r="K515" s="162"/>
      <c r="L515" s="157"/>
      <c r="M515" s="158" t="s">
        <v>28</v>
      </c>
      <c r="N515" s="159" t="s">
        <v>29</v>
      </c>
    </row>
    <row r="516" spans="1:14">
      <c r="A516" s="148"/>
      <c r="B516" s="149"/>
      <c r="C516" s="160"/>
      <c r="D516" s="151"/>
      <c r="E516" s="152"/>
      <c r="F516" s="153"/>
      <c r="G516" s="154"/>
      <c r="H516" s="154"/>
      <c r="I516" s="154"/>
      <c r="J516" s="155"/>
      <c r="K516" s="162"/>
      <c r="L516" s="157"/>
      <c r="M516" s="158" t="s">
        <v>28</v>
      </c>
      <c r="N516" s="159" t="s">
        <v>29</v>
      </c>
    </row>
    <row r="517" spans="1:14">
      <c r="A517" s="148"/>
      <c r="B517" s="149"/>
      <c r="C517" s="160"/>
      <c r="D517" s="151"/>
      <c r="E517" s="152"/>
      <c r="F517" s="153"/>
      <c r="G517" s="154"/>
      <c r="H517" s="154"/>
      <c r="I517" s="154"/>
      <c r="J517" s="155"/>
      <c r="K517" s="162"/>
      <c r="L517" s="157"/>
      <c r="M517" s="158" t="s">
        <v>28</v>
      </c>
      <c r="N517" s="159" t="s">
        <v>29</v>
      </c>
    </row>
    <row r="518" spans="1:14">
      <c r="A518" s="148"/>
      <c r="B518" s="149"/>
      <c r="C518" s="160"/>
      <c r="D518" s="151"/>
      <c r="E518" s="152"/>
      <c r="F518" s="153"/>
      <c r="G518" s="154"/>
      <c r="H518" s="154"/>
      <c r="I518" s="154"/>
      <c r="J518" s="155"/>
      <c r="K518" s="162"/>
      <c r="L518" s="157"/>
      <c r="M518" s="158" t="s">
        <v>28</v>
      </c>
      <c r="N518" s="159" t="s">
        <v>29</v>
      </c>
    </row>
    <row r="519" spans="1:14">
      <c r="A519" s="148"/>
      <c r="B519" s="149"/>
      <c r="C519" s="160"/>
      <c r="D519" s="151"/>
      <c r="E519" s="152"/>
      <c r="F519" s="153"/>
      <c r="G519" s="154"/>
      <c r="H519" s="154"/>
      <c r="I519" s="154"/>
      <c r="J519" s="155"/>
      <c r="K519" s="162"/>
      <c r="L519" s="157"/>
      <c r="M519" s="158" t="s">
        <v>28</v>
      </c>
      <c r="N519" s="159" t="s">
        <v>29</v>
      </c>
    </row>
    <row r="520" spans="1:14">
      <c r="A520" s="148"/>
      <c r="B520" s="149"/>
      <c r="C520" s="160"/>
      <c r="D520" s="151"/>
      <c r="E520" s="152"/>
      <c r="F520" s="153"/>
      <c r="G520" s="154"/>
      <c r="H520" s="154"/>
      <c r="I520" s="154"/>
      <c r="J520" s="155"/>
      <c r="K520" s="162"/>
      <c r="L520" s="157"/>
      <c r="M520" s="158" t="s">
        <v>28</v>
      </c>
      <c r="N520" s="159" t="s">
        <v>29</v>
      </c>
    </row>
    <row r="521" spans="1:14">
      <c r="A521" s="148"/>
      <c r="B521" s="149"/>
      <c r="C521" s="160"/>
      <c r="D521" s="151"/>
      <c r="E521" s="152"/>
      <c r="F521" s="153"/>
      <c r="G521" s="154"/>
      <c r="H521" s="154"/>
      <c r="I521" s="154"/>
      <c r="J521" s="155"/>
      <c r="K521" s="162"/>
      <c r="L521" s="157"/>
      <c r="M521" s="158" t="s">
        <v>28</v>
      </c>
      <c r="N521" s="159" t="s">
        <v>29</v>
      </c>
    </row>
    <row r="522" spans="1:14">
      <c r="A522" s="148"/>
      <c r="B522" s="149"/>
      <c r="C522" s="160"/>
      <c r="D522" s="151"/>
      <c r="E522" s="152"/>
      <c r="F522" s="153"/>
      <c r="G522" s="154"/>
      <c r="H522" s="154"/>
      <c r="I522" s="154"/>
      <c r="J522" s="155"/>
      <c r="K522" s="162"/>
      <c r="L522" s="157"/>
      <c r="M522" s="158" t="s">
        <v>28</v>
      </c>
      <c r="N522" s="159" t="s">
        <v>29</v>
      </c>
    </row>
    <row r="523" spans="1:14">
      <c r="A523" s="148"/>
      <c r="B523" s="149"/>
      <c r="C523" s="160"/>
      <c r="D523" s="151"/>
      <c r="E523" s="152"/>
      <c r="F523" s="153"/>
      <c r="G523" s="154"/>
      <c r="H523" s="154"/>
      <c r="I523" s="154"/>
      <c r="J523" s="155"/>
      <c r="K523" s="162"/>
      <c r="L523" s="157"/>
      <c r="M523" s="158" t="s">
        <v>28</v>
      </c>
      <c r="N523" s="159" t="s">
        <v>29</v>
      </c>
    </row>
    <row r="524" spans="1:14">
      <c r="A524" s="148"/>
      <c r="B524" s="149"/>
      <c r="C524" s="160"/>
      <c r="D524" s="151"/>
      <c r="E524" s="152"/>
      <c r="F524" s="153"/>
      <c r="G524" s="154"/>
      <c r="H524" s="154"/>
      <c r="I524" s="154"/>
      <c r="J524" s="155"/>
      <c r="K524" s="162"/>
      <c r="L524" s="157"/>
      <c r="M524" s="158" t="s">
        <v>28</v>
      </c>
      <c r="N524" s="159" t="s">
        <v>29</v>
      </c>
    </row>
    <row r="525" spans="1:14">
      <c r="A525" s="148"/>
      <c r="B525" s="149"/>
      <c r="C525" s="160"/>
      <c r="D525" s="151"/>
      <c r="E525" s="152"/>
      <c r="F525" s="153"/>
      <c r="G525" s="154"/>
      <c r="H525" s="154"/>
      <c r="I525" s="154"/>
      <c r="J525" s="155"/>
      <c r="K525" s="162"/>
      <c r="L525" s="157"/>
      <c r="M525" s="158" t="s">
        <v>28</v>
      </c>
      <c r="N525" s="159" t="s">
        <v>29</v>
      </c>
    </row>
    <row r="526" spans="1:14">
      <c r="A526" s="148"/>
      <c r="B526" s="149"/>
      <c r="C526" s="160"/>
      <c r="D526" s="151"/>
      <c r="E526" s="152"/>
      <c r="F526" s="153"/>
      <c r="G526" s="154"/>
      <c r="H526" s="154"/>
      <c r="I526" s="154"/>
      <c r="J526" s="155"/>
      <c r="K526" s="162"/>
      <c r="L526" s="157"/>
      <c r="M526" s="158" t="s">
        <v>28</v>
      </c>
      <c r="N526" s="159" t="s">
        <v>29</v>
      </c>
    </row>
    <row r="527" spans="1:14">
      <c r="A527" s="148"/>
      <c r="B527" s="149"/>
      <c r="C527" s="160"/>
      <c r="D527" s="151"/>
      <c r="E527" s="152"/>
      <c r="F527" s="153"/>
      <c r="G527" s="154"/>
      <c r="H527" s="154"/>
      <c r="I527" s="154"/>
      <c r="J527" s="155"/>
      <c r="K527" s="162"/>
      <c r="L527" s="157"/>
      <c r="M527" s="158" t="s">
        <v>28</v>
      </c>
      <c r="N527" s="159" t="s">
        <v>29</v>
      </c>
    </row>
    <row r="528" spans="1:14">
      <c r="A528" s="148"/>
      <c r="B528" s="149"/>
      <c r="C528" s="160"/>
      <c r="D528" s="151"/>
      <c r="E528" s="152"/>
      <c r="F528" s="153"/>
      <c r="G528" s="154"/>
      <c r="H528" s="154"/>
      <c r="I528" s="154"/>
      <c r="J528" s="155"/>
      <c r="K528" s="162"/>
      <c r="L528" s="157"/>
      <c r="M528" s="158" t="s">
        <v>28</v>
      </c>
      <c r="N528" s="159" t="s">
        <v>29</v>
      </c>
    </row>
    <row r="529" spans="1:14">
      <c r="A529" s="148"/>
      <c r="B529" s="149"/>
      <c r="C529" s="160"/>
      <c r="D529" s="151"/>
      <c r="E529" s="152"/>
      <c r="F529" s="153"/>
      <c r="G529" s="154"/>
      <c r="H529" s="154"/>
      <c r="I529" s="154"/>
      <c r="J529" s="155"/>
      <c r="K529" s="162"/>
      <c r="L529" s="157"/>
      <c r="M529" s="158" t="s">
        <v>28</v>
      </c>
      <c r="N529" s="159" t="s">
        <v>29</v>
      </c>
    </row>
    <row r="530" spans="1:14">
      <c r="A530" s="148"/>
      <c r="B530" s="149"/>
      <c r="C530" s="160"/>
      <c r="D530" s="151"/>
      <c r="E530" s="152"/>
      <c r="F530" s="153"/>
      <c r="G530" s="154"/>
      <c r="H530" s="154"/>
      <c r="I530" s="154"/>
      <c r="J530" s="155"/>
      <c r="K530" s="162"/>
      <c r="L530" s="157"/>
      <c r="M530" s="158" t="s">
        <v>28</v>
      </c>
      <c r="N530" s="159" t="s">
        <v>29</v>
      </c>
    </row>
    <row r="531" spans="1:14">
      <c r="A531" s="148"/>
      <c r="B531" s="149"/>
      <c r="C531" s="160"/>
      <c r="D531" s="151"/>
      <c r="E531" s="152"/>
      <c r="F531" s="153"/>
      <c r="G531" s="154"/>
      <c r="H531" s="154"/>
      <c r="I531" s="154"/>
      <c r="J531" s="155"/>
      <c r="K531" s="162"/>
      <c r="L531" s="157"/>
      <c r="M531" s="158" t="s">
        <v>28</v>
      </c>
      <c r="N531" s="159" t="s">
        <v>29</v>
      </c>
    </row>
    <row r="532" spans="1:14">
      <c r="A532" s="148"/>
      <c r="B532" s="149"/>
      <c r="C532" s="160"/>
      <c r="D532" s="151"/>
      <c r="E532" s="152"/>
      <c r="F532" s="153"/>
      <c r="G532" s="154"/>
      <c r="H532" s="154"/>
      <c r="I532" s="154"/>
      <c r="J532" s="155"/>
      <c r="K532" s="162"/>
      <c r="L532" s="157"/>
      <c r="M532" s="158" t="s">
        <v>28</v>
      </c>
      <c r="N532" s="159" t="s">
        <v>29</v>
      </c>
    </row>
    <row r="533" spans="1:14">
      <c r="A533" s="148"/>
      <c r="B533" s="149"/>
      <c r="C533" s="160"/>
      <c r="D533" s="151"/>
      <c r="E533" s="152"/>
      <c r="F533" s="153"/>
      <c r="G533" s="154"/>
      <c r="H533" s="154"/>
      <c r="I533" s="154"/>
      <c r="J533" s="155"/>
      <c r="K533" s="162"/>
      <c r="L533" s="157"/>
      <c r="M533" s="158" t="s">
        <v>28</v>
      </c>
      <c r="N533" s="159" t="s">
        <v>29</v>
      </c>
    </row>
    <row r="534" spans="1:14">
      <c r="A534" s="148"/>
      <c r="B534" s="149"/>
      <c r="C534" s="160"/>
      <c r="D534" s="151"/>
      <c r="E534" s="152"/>
      <c r="F534" s="153"/>
      <c r="G534" s="154"/>
      <c r="H534" s="154"/>
      <c r="I534" s="154"/>
      <c r="J534" s="155"/>
      <c r="K534" s="162"/>
      <c r="L534" s="157"/>
      <c r="M534" s="158" t="s">
        <v>28</v>
      </c>
      <c r="N534" s="159" t="s">
        <v>29</v>
      </c>
    </row>
    <row r="535" spans="1:14">
      <c r="A535" s="148"/>
      <c r="B535" s="149"/>
      <c r="C535" s="160"/>
      <c r="D535" s="151"/>
      <c r="E535" s="152"/>
      <c r="F535" s="153"/>
      <c r="G535" s="154"/>
      <c r="H535" s="154"/>
      <c r="I535" s="154"/>
      <c r="J535" s="155"/>
      <c r="K535" s="162"/>
      <c r="L535" s="157"/>
      <c r="M535" s="158" t="s">
        <v>28</v>
      </c>
      <c r="N535" s="159" t="s">
        <v>29</v>
      </c>
    </row>
    <row r="536" spans="1:14">
      <c r="A536" s="148"/>
      <c r="B536" s="149"/>
      <c r="C536" s="160"/>
      <c r="D536" s="151"/>
      <c r="E536" s="152"/>
      <c r="F536" s="153"/>
      <c r="G536" s="154"/>
      <c r="H536" s="154"/>
      <c r="I536" s="154"/>
      <c r="J536" s="155"/>
      <c r="K536" s="162"/>
      <c r="L536" s="157"/>
      <c r="M536" s="158" t="s">
        <v>28</v>
      </c>
      <c r="N536" s="159" t="s">
        <v>29</v>
      </c>
    </row>
    <row r="537" spans="1:14">
      <c r="A537" s="148"/>
      <c r="B537" s="149"/>
      <c r="C537" s="160"/>
      <c r="D537" s="151"/>
      <c r="E537" s="152"/>
      <c r="F537" s="153"/>
      <c r="G537" s="154"/>
      <c r="H537" s="154"/>
      <c r="I537" s="154"/>
      <c r="J537" s="155"/>
      <c r="K537" s="162"/>
      <c r="L537" s="157"/>
      <c r="M537" s="158" t="s">
        <v>28</v>
      </c>
      <c r="N537" s="159" t="s">
        <v>29</v>
      </c>
    </row>
    <row r="538" spans="1:14">
      <c r="A538" s="148"/>
      <c r="B538" s="149"/>
      <c r="C538" s="160"/>
      <c r="D538" s="151"/>
      <c r="E538" s="152"/>
      <c r="F538" s="153"/>
      <c r="G538" s="154"/>
      <c r="H538" s="154"/>
      <c r="I538" s="154"/>
      <c r="J538" s="155"/>
      <c r="K538" s="162"/>
      <c r="L538" s="157"/>
      <c r="M538" s="158" t="s">
        <v>28</v>
      </c>
      <c r="N538" s="159" t="s">
        <v>29</v>
      </c>
    </row>
    <row r="539" spans="1:14">
      <c r="A539" s="148"/>
      <c r="B539" s="149"/>
      <c r="C539" s="160"/>
      <c r="D539" s="151"/>
      <c r="E539" s="152"/>
      <c r="F539" s="153"/>
      <c r="G539" s="154"/>
      <c r="H539" s="154"/>
      <c r="I539" s="154"/>
      <c r="J539" s="155"/>
      <c r="K539" s="162"/>
      <c r="L539" s="157"/>
      <c r="M539" s="158" t="s">
        <v>28</v>
      </c>
      <c r="N539" s="159" t="s">
        <v>29</v>
      </c>
    </row>
    <row r="540" spans="1:14">
      <c r="A540" s="148"/>
      <c r="B540" s="149"/>
      <c r="C540" s="160"/>
      <c r="D540" s="151"/>
      <c r="E540" s="152"/>
      <c r="F540" s="153"/>
      <c r="G540" s="154"/>
      <c r="H540" s="154"/>
      <c r="I540" s="154"/>
      <c r="J540" s="155"/>
      <c r="K540" s="162"/>
      <c r="L540" s="157"/>
      <c r="M540" s="158" t="s">
        <v>28</v>
      </c>
      <c r="N540" s="159" t="s">
        <v>29</v>
      </c>
    </row>
    <row r="541" spans="1:14">
      <c r="A541" s="148"/>
      <c r="B541" s="149"/>
      <c r="C541" s="160"/>
      <c r="D541" s="151"/>
      <c r="E541" s="152"/>
      <c r="F541" s="153"/>
      <c r="G541" s="154"/>
      <c r="H541" s="154"/>
      <c r="I541" s="154"/>
      <c r="J541" s="155"/>
      <c r="K541" s="162"/>
      <c r="L541" s="157"/>
      <c r="M541" s="158" t="s">
        <v>28</v>
      </c>
      <c r="N541" s="159" t="s">
        <v>29</v>
      </c>
    </row>
    <row r="542" spans="1:14">
      <c r="A542" s="148"/>
      <c r="B542" s="149"/>
      <c r="C542" s="160"/>
      <c r="D542" s="151"/>
      <c r="E542" s="152"/>
      <c r="F542" s="153"/>
      <c r="G542" s="154"/>
      <c r="H542" s="154"/>
      <c r="I542" s="154"/>
      <c r="J542" s="155"/>
      <c r="K542" s="162"/>
      <c r="L542" s="157"/>
      <c r="M542" s="158" t="s">
        <v>28</v>
      </c>
      <c r="N542" s="159" t="s">
        <v>29</v>
      </c>
    </row>
    <row r="543" spans="1:14">
      <c r="A543" s="148"/>
      <c r="B543" s="149"/>
      <c r="C543" s="160"/>
      <c r="D543" s="151"/>
      <c r="E543" s="152"/>
      <c r="F543" s="153"/>
      <c r="G543" s="154"/>
      <c r="H543" s="154"/>
      <c r="I543" s="154"/>
      <c r="J543" s="155"/>
      <c r="K543" s="162"/>
      <c r="L543" s="157"/>
      <c r="M543" s="158" t="s">
        <v>28</v>
      </c>
      <c r="N543" s="159" t="s">
        <v>29</v>
      </c>
    </row>
    <row r="544" spans="1:14">
      <c r="A544" s="148"/>
      <c r="B544" s="149"/>
      <c r="C544" s="160"/>
      <c r="D544" s="151"/>
      <c r="E544" s="152"/>
      <c r="F544" s="153"/>
      <c r="G544" s="154"/>
      <c r="H544" s="154"/>
      <c r="I544" s="154"/>
      <c r="J544" s="155"/>
      <c r="K544" s="162"/>
      <c r="L544" s="157"/>
      <c r="M544" s="158" t="s">
        <v>28</v>
      </c>
      <c r="N544" s="159" t="s">
        <v>29</v>
      </c>
    </row>
    <row r="545" spans="1:14">
      <c r="A545" s="148"/>
      <c r="B545" s="149"/>
      <c r="C545" s="160"/>
      <c r="D545" s="151"/>
      <c r="E545" s="152"/>
      <c r="F545" s="153"/>
      <c r="G545" s="154"/>
      <c r="H545" s="154"/>
      <c r="I545" s="154"/>
      <c r="J545" s="155"/>
      <c r="K545" s="162"/>
      <c r="L545" s="157"/>
      <c r="M545" s="158" t="s">
        <v>28</v>
      </c>
      <c r="N545" s="159" t="s">
        <v>29</v>
      </c>
    </row>
    <row r="546" spans="1:14">
      <c r="A546" s="148"/>
      <c r="B546" s="149"/>
      <c r="C546" s="160"/>
      <c r="D546" s="151"/>
      <c r="E546" s="152"/>
      <c r="F546" s="153"/>
      <c r="G546" s="154"/>
      <c r="H546" s="154"/>
      <c r="I546" s="154"/>
      <c r="J546" s="155"/>
      <c r="K546" s="162"/>
      <c r="L546" s="157"/>
      <c r="M546" s="158" t="s">
        <v>28</v>
      </c>
      <c r="N546" s="159" t="s">
        <v>29</v>
      </c>
    </row>
    <row r="547" spans="1:14">
      <c r="A547" s="148"/>
      <c r="B547" s="149"/>
      <c r="C547" s="160"/>
      <c r="D547" s="151"/>
      <c r="E547" s="152"/>
      <c r="F547" s="153"/>
      <c r="G547" s="154"/>
      <c r="H547" s="154"/>
      <c r="I547" s="154"/>
      <c r="J547" s="155"/>
      <c r="K547" s="162"/>
      <c r="L547" s="157"/>
      <c r="M547" s="158" t="s">
        <v>28</v>
      </c>
      <c r="N547" s="159" t="s">
        <v>29</v>
      </c>
    </row>
    <row r="548" spans="1:14">
      <c r="A548" s="148"/>
      <c r="B548" s="149"/>
      <c r="C548" s="160"/>
      <c r="D548" s="151"/>
      <c r="E548" s="152"/>
      <c r="F548" s="153"/>
      <c r="G548" s="154"/>
      <c r="H548" s="154"/>
      <c r="I548" s="154"/>
      <c r="J548" s="155"/>
      <c r="K548" s="162"/>
      <c r="L548" s="157"/>
      <c r="M548" s="158" t="s">
        <v>28</v>
      </c>
      <c r="N548" s="159" t="s">
        <v>29</v>
      </c>
    </row>
    <row r="549" spans="1:14">
      <c r="A549" s="148"/>
      <c r="B549" s="149"/>
      <c r="C549" s="160"/>
      <c r="D549" s="151"/>
      <c r="E549" s="152"/>
      <c r="F549" s="153"/>
      <c r="G549" s="154"/>
      <c r="H549" s="154"/>
      <c r="I549" s="154"/>
      <c r="J549" s="155"/>
      <c r="K549" s="162"/>
      <c r="L549" s="157"/>
      <c r="M549" s="158" t="s">
        <v>28</v>
      </c>
      <c r="N549" s="159" t="s">
        <v>29</v>
      </c>
    </row>
    <row r="550" spans="1:14">
      <c r="A550" s="148"/>
      <c r="B550" s="149"/>
      <c r="C550" s="160"/>
      <c r="D550" s="151"/>
      <c r="E550" s="152"/>
      <c r="F550" s="153"/>
      <c r="G550" s="154"/>
      <c r="H550" s="154"/>
      <c r="I550" s="154"/>
      <c r="J550" s="155"/>
      <c r="K550" s="162"/>
      <c r="L550" s="157"/>
      <c r="M550" s="158" t="s">
        <v>28</v>
      </c>
      <c r="N550" s="159" t="s">
        <v>29</v>
      </c>
    </row>
    <row r="551" spans="1:14">
      <c r="A551" s="148"/>
      <c r="B551" s="149"/>
      <c r="C551" s="160"/>
      <c r="D551" s="151"/>
      <c r="E551" s="152"/>
      <c r="F551" s="153"/>
      <c r="G551" s="154"/>
      <c r="H551" s="154"/>
      <c r="I551" s="154"/>
      <c r="J551" s="155"/>
      <c r="K551" s="162"/>
      <c r="L551" s="157"/>
      <c r="M551" s="158" t="s">
        <v>28</v>
      </c>
      <c r="N551" s="159" t="s">
        <v>29</v>
      </c>
    </row>
    <row r="552" spans="1:14">
      <c r="A552" s="148"/>
      <c r="B552" s="149"/>
      <c r="C552" s="160"/>
      <c r="D552" s="151"/>
      <c r="E552" s="152"/>
      <c r="F552" s="153"/>
      <c r="G552" s="154"/>
      <c r="H552" s="154"/>
      <c r="I552" s="154"/>
      <c r="J552" s="155"/>
      <c r="K552" s="162"/>
      <c r="L552" s="157"/>
      <c r="M552" s="158" t="s">
        <v>28</v>
      </c>
      <c r="N552" s="159" t="s">
        <v>29</v>
      </c>
    </row>
    <row r="553" spans="1:14">
      <c r="A553" s="148"/>
      <c r="B553" s="149"/>
      <c r="C553" s="150"/>
      <c r="D553" s="151"/>
      <c r="E553" s="152"/>
      <c r="F553" s="153"/>
      <c r="G553" s="154"/>
      <c r="H553" s="154"/>
      <c r="I553" s="154"/>
      <c r="J553" s="155"/>
      <c r="K553" s="162"/>
      <c r="L553" s="157"/>
      <c r="M553" s="158" t="s">
        <v>28</v>
      </c>
      <c r="N553" s="159" t="s">
        <v>29</v>
      </c>
    </row>
    <row r="554" spans="1:14">
      <c r="A554" s="148"/>
      <c r="B554" s="149"/>
      <c r="C554" s="150"/>
      <c r="D554" s="151"/>
      <c r="E554" s="152"/>
      <c r="F554" s="153"/>
      <c r="G554" s="154"/>
      <c r="H554" s="154"/>
      <c r="I554" s="154"/>
      <c r="J554" s="155"/>
      <c r="K554" s="162"/>
      <c r="L554" s="157"/>
      <c r="M554" s="158" t="s">
        <v>28</v>
      </c>
      <c r="N554" s="159" t="s">
        <v>29</v>
      </c>
    </row>
    <row r="555" spans="1:14">
      <c r="A555" s="148"/>
      <c r="B555" s="149"/>
      <c r="C555" s="160"/>
      <c r="D555" s="151"/>
      <c r="E555" s="152"/>
      <c r="F555" s="153"/>
      <c r="G555" s="154"/>
      <c r="H555" s="154"/>
      <c r="I555" s="154"/>
      <c r="J555" s="155"/>
      <c r="K555" s="162"/>
      <c r="L555" s="157"/>
      <c r="M555" s="158" t="s">
        <v>28</v>
      </c>
      <c r="N555" s="159" t="s">
        <v>29</v>
      </c>
    </row>
    <row r="556" spans="1:14">
      <c r="A556" s="148"/>
      <c r="B556" s="149"/>
      <c r="C556" s="160"/>
      <c r="D556" s="151"/>
      <c r="E556" s="152"/>
      <c r="F556" s="153"/>
      <c r="G556" s="154"/>
      <c r="H556" s="154"/>
      <c r="I556" s="154"/>
      <c r="J556" s="155"/>
      <c r="K556" s="162"/>
      <c r="L556" s="157"/>
      <c r="M556" s="158" t="s">
        <v>28</v>
      </c>
      <c r="N556" s="159" t="s">
        <v>29</v>
      </c>
    </row>
    <row r="557" spans="1:14">
      <c r="A557" s="148"/>
      <c r="B557" s="149"/>
      <c r="C557" s="160"/>
      <c r="D557" s="151"/>
      <c r="E557" s="152"/>
      <c r="F557" s="153"/>
      <c r="G557" s="154"/>
      <c r="H557" s="154"/>
      <c r="I557" s="154"/>
      <c r="J557" s="155"/>
      <c r="K557" s="162"/>
      <c r="L557" s="157"/>
      <c r="M557" s="158" t="s">
        <v>28</v>
      </c>
      <c r="N557" s="159" t="s">
        <v>29</v>
      </c>
    </row>
    <row r="558" spans="1:14">
      <c r="A558" s="148"/>
      <c r="B558" s="149"/>
      <c r="C558" s="160"/>
      <c r="D558" s="151"/>
      <c r="E558" s="152"/>
      <c r="F558" s="153"/>
      <c r="G558" s="154"/>
      <c r="H558" s="154"/>
      <c r="I558" s="154"/>
      <c r="J558" s="155"/>
      <c r="K558" s="162"/>
      <c r="L558" s="157"/>
      <c r="M558" s="158" t="s">
        <v>28</v>
      </c>
      <c r="N558" s="159" t="s">
        <v>29</v>
      </c>
    </row>
    <row r="559" spans="1:14">
      <c r="A559" s="148"/>
      <c r="B559" s="149"/>
      <c r="C559" s="160"/>
      <c r="D559" s="151"/>
      <c r="E559" s="152"/>
      <c r="F559" s="153"/>
      <c r="G559" s="154"/>
      <c r="H559" s="154"/>
      <c r="I559" s="154"/>
      <c r="J559" s="155"/>
      <c r="K559" s="162"/>
      <c r="L559" s="157"/>
      <c r="M559" s="158" t="s">
        <v>28</v>
      </c>
      <c r="N559" s="159" t="s">
        <v>29</v>
      </c>
    </row>
    <row r="560" spans="1:14">
      <c r="A560" s="148"/>
      <c r="B560" s="149"/>
      <c r="C560" s="160"/>
      <c r="D560" s="151"/>
      <c r="E560" s="152"/>
      <c r="F560" s="153"/>
      <c r="G560" s="154"/>
      <c r="H560" s="154"/>
      <c r="I560" s="154"/>
      <c r="J560" s="155"/>
      <c r="K560" s="162"/>
      <c r="L560" s="157"/>
      <c r="M560" s="158" t="s">
        <v>28</v>
      </c>
      <c r="N560" s="159" t="s">
        <v>29</v>
      </c>
    </row>
    <row r="561" spans="1:14">
      <c r="A561" s="148"/>
      <c r="B561" s="149"/>
      <c r="C561" s="160"/>
      <c r="D561" s="151"/>
      <c r="E561" s="152"/>
      <c r="F561" s="153"/>
      <c r="G561" s="154"/>
      <c r="H561" s="154"/>
      <c r="I561" s="154"/>
      <c r="J561" s="155"/>
      <c r="K561" s="162"/>
      <c r="L561" s="157"/>
      <c r="M561" s="158" t="s">
        <v>28</v>
      </c>
      <c r="N561" s="159" t="s">
        <v>29</v>
      </c>
    </row>
    <row r="562" spans="1:14">
      <c r="A562" s="148"/>
      <c r="B562" s="149"/>
      <c r="C562" s="160"/>
      <c r="D562" s="151"/>
      <c r="E562" s="152"/>
      <c r="F562" s="153"/>
      <c r="G562" s="154"/>
      <c r="H562" s="154"/>
      <c r="I562" s="154"/>
      <c r="J562" s="155"/>
      <c r="K562" s="162"/>
      <c r="L562" s="157"/>
      <c r="M562" s="158" t="s">
        <v>28</v>
      </c>
      <c r="N562" s="159" t="s">
        <v>29</v>
      </c>
    </row>
    <row r="563" spans="1:14">
      <c r="A563" s="148"/>
      <c r="B563" s="149"/>
      <c r="C563" s="160"/>
      <c r="D563" s="151"/>
      <c r="E563" s="152"/>
      <c r="F563" s="153"/>
      <c r="G563" s="154"/>
      <c r="H563" s="154"/>
      <c r="I563" s="154"/>
      <c r="J563" s="155"/>
      <c r="K563" s="162"/>
      <c r="L563" s="157"/>
      <c r="M563" s="158" t="s">
        <v>28</v>
      </c>
      <c r="N563" s="159" t="s">
        <v>29</v>
      </c>
    </row>
    <row r="564" spans="1:14">
      <c r="A564" s="148"/>
      <c r="B564" s="149"/>
      <c r="C564" s="160"/>
      <c r="D564" s="151"/>
      <c r="E564" s="152"/>
      <c r="F564" s="153"/>
      <c r="G564" s="154"/>
      <c r="H564" s="154"/>
      <c r="I564" s="154"/>
      <c r="J564" s="155"/>
      <c r="K564" s="162"/>
      <c r="L564" s="157"/>
      <c r="M564" s="158" t="s">
        <v>28</v>
      </c>
      <c r="N564" s="159" t="s">
        <v>29</v>
      </c>
    </row>
    <row r="565" spans="1:14">
      <c r="A565" s="148"/>
      <c r="B565" s="149"/>
      <c r="C565" s="160"/>
      <c r="D565" s="151"/>
      <c r="E565" s="152"/>
      <c r="F565" s="153"/>
      <c r="G565" s="154"/>
      <c r="H565" s="154"/>
      <c r="I565" s="154"/>
      <c r="J565" s="155"/>
      <c r="K565" s="162"/>
      <c r="L565" s="157"/>
      <c r="M565" s="158" t="s">
        <v>28</v>
      </c>
      <c r="N565" s="159" t="s">
        <v>29</v>
      </c>
    </row>
    <row r="566" spans="1:14">
      <c r="A566" s="148"/>
      <c r="B566" s="149"/>
      <c r="C566" s="160"/>
      <c r="D566" s="151"/>
      <c r="E566" s="152"/>
      <c r="F566" s="153"/>
      <c r="G566" s="154"/>
      <c r="H566" s="154"/>
      <c r="I566" s="154"/>
      <c r="J566" s="155"/>
      <c r="K566" s="162"/>
      <c r="L566" s="157"/>
      <c r="M566" s="158" t="s">
        <v>28</v>
      </c>
      <c r="N566" s="159" t="s">
        <v>29</v>
      </c>
    </row>
    <row r="567" spans="1:14">
      <c r="A567" s="148"/>
      <c r="B567" s="149"/>
      <c r="C567" s="160"/>
      <c r="D567" s="151"/>
      <c r="E567" s="152"/>
      <c r="F567" s="153"/>
      <c r="G567" s="154"/>
      <c r="H567" s="154"/>
      <c r="I567" s="154"/>
      <c r="J567" s="155"/>
      <c r="K567" s="156"/>
      <c r="L567" s="157"/>
      <c r="M567" s="158" t="s">
        <v>28</v>
      </c>
      <c r="N567" s="159" t="s">
        <v>29</v>
      </c>
    </row>
    <row r="568" spans="1:14">
      <c r="A568" s="148"/>
      <c r="B568" s="149"/>
      <c r="C568" s="150"/>
      <c r="D568" s="151"/>
      <c r="E568" s="152"/>
      <c r="F568" s="153"/>
      <c r="G568" s="154"/>
      <c r="H568" s="154"/>
      <c r="I568" s="154"/>
      <c r="J568" s="155"/>
      <c r="K568" s="156"/>
      <c r="L568" s="157"/>
      <c r="M568" s="158" t="s">
        <v>28</v>
      </c>
      <c r="N568" s="159" t="s">
        <v>29</v>
      </c>
    </row>
    <row r="569" spans="1:14">
      <c r="A569" s="148"/>
      <c r="B569" s="149"/>
      <c r="C569" s="150"/>
      <c r="D569" s="151"/>
      <c r="E569" s="152"/>
      <c r="F569" s="153"/>
      <c r="G569" s="154"/>
      <c r="H569" s="154"/>
      <c r="I569" s="154"/>
      <c r="J569" s="155"/>
      <c r="K569" s="156"/>
      <c r="L569" s="157"/>
      <c r="M569" s="158" t="s">
        <v>28</v>
      </c>
      <c r="N569" s="159" t="s">
        <v>29</v>
      </c>
    </row>
    <row r="570" spans="1:14">
      <c r="A570" s="148"/>
      <c r="B570" s="149"/>
      <c r="C570" s="150"/>
      <c r="D570" s="151"/>
      <c r="E570" s="152"/>
      <c r="F570" s="153"/>
      <c r="G570" s="154"/>
      <c r="H570" s="154"/>
      <c r="I570" s="154"/>
      <c r="J570" s="155"/>
      <c r="K570" s="162"/>
      <c r="L570" s="157"/>
      <c r="M570" s="158" t="s">
        <v>28</v>
      </c>
      <c r="N570" s="159" t="s">
        <v>29</v>
      </c>
    </row>
    <row r="571" spans="1:14">
      <c r="A571" s="148"/>
      <c r="B571" s="149"/>
      <c r="C571" s="150"/>
      <c r="D571" s="151"/>
      <c r="E571" s="152"/>
      <c r="F571" s="153"/>
      <c r="G571" s="154"/>
      <c r="H571" s="154"/>
      <c r="I571" s="154"/>
      <c r="J571" s="155"/>
      <c r="K571" s="162"/>
      <c r="L571" s="157"/>
      <c r="M571" s="158" t="s">
        <v>28</v>
      </c>
      <c r="N571" s="159" t="s">
        <v>29</v>
      </c>
    </row>
    <row r="572" spans="1:14">
      <c r="A572" s="148"/>
      <c r="B572" s="149"/>
      <c r="C572" s="160"/>
      <c r="D572" s="151"/>
      <c r="E572" s="152"/>
      <c r="F572" s="153"/>
      <c r="G572" s="154"/>
      <c r="H572" s="154"/>
      <c r="I572" s="154"/>
      <c r="J572" s="155"/>
      <c r="K572" s="156"/>
      <c r="L572" s="157"/>
      <c r="M572" s="158" t="s">
        <v>28</v>
      </c>
      <c r="N572" s="159" t="s">
        <v>29</v>
      </c>
    </row>
    <row r="573" spans="1:14">
      <c r="A573" s="148"/>
      <c r="B573" s="149"/>
      <c r="C573" s="160"/>
      <c r="D573" s="151"/>
      <c r="E573" s="152"/>
      <c r="F573" s="153"/>
      <c r="G573" s="154"/>
      <c r="H573" s="154"/>
      <c r="I573" s="154"/>
      <c r="J573" s="155"/>
      <c r="K573" s="156"/>
      <c r="L573" s="157"/>
      <c r="M573" s="158" t="s">
        <v>28</v>
      </c>
      <c r="N573" s="159" t="s">
        <v>29</v>
      </c>
    </row>
    <row r="574" spans="1:14">
      <c r="A574" s="148"/>
      <c r="B574" s="149"/>
      <c r="C574" s="150"/>
      <c r="D574" s="151"/>
      <c r="E574" s="152"/>
      <c r="F574" s="153"/>
      <c r="G574" s="154"/>
      <c r="H574" s="154"/>
      <c r="I574" s="154"/>
      <c r="J574" s="155"/>
      <c r="K574" s="156"/>
      <c r="L574" s="157"/>
      <c r="M574" s="158" t="s">
        <v>28</v>
      </c>
      <c r="N574" s="159" t="s">
        <v>29</v>
      </c>
    </row>
    <row r="575" spans="1:14">
      <c r="A575" s="148"/>
      <c r="B575" s="149"/>
      <c r="C575" s="160"/>
      <c r="D575" s="151"/>
      <c r="E575" s="152"/>
      <c r="F575" s="153"/>
      <c r="G575" s="154"/>
      <c r="H575" s="154"/>
      <c r="I575" s="154"/>
      <c r="J575" s="155"/>
      <c r="K575" s="156"/>
      <c r="L575" s="157"/>
      <c r="M575" s="158" t="s">
        <v>28</v>
      </c>
      <c r="N575" s="159" t="s">
        <v>29</v>
      </c>
    </row>
    <row r="576" spans="1:14">
      <c r="A576" s="148"/>
      <c r="B576" s="149"/>
      <c r="C576" s="160"/>
      <c r="D576" s="151"/>
      <c r="E576" s="152"/>
      <c r="F576" s="153"/>
      <c r="G576" s="154"/>
      <c r="H576" s="154"/>
      <c r="I576" s="154"/>
      <c r="J576" s="155"/>
      <c r="K576" s="156"/>
      <c r="L576" s="157"/>
      <c r="M576" s="158" t="s">
        <v>28</v>
      </c>
      <c r="N576" s="159" t="s">
        <v>29</v>
      </c>
    </row>
    <row r="577" spans="1:14">
      <c r="A577" s="148"/>
      <c r="B577" s="149"/>
      <c r="C577" s="160"/>
      <c r="D577" s="151"/>
      <c r="E577" s="152"/>
      <c r="F577" s="153"/>
      <c r="G577" s="154"/>
      <c r="H577" s="154"/>
      <c r="I577" s="154"/>
      <c r="J577" s="155"/>
      <c r="K577" s="156"/>
      <c r="L577" s="157"/>
      <c r="M577" s="158" t="s">
        <v>28</v>
      </c>
      <c r="N577" s="159" t="s">
        <v>29</v>
      </c>
    </row>
    <row r="578" spans="1:14">
      <c r="A578" s="148"/>
      <c r="B578" s="149"/>
      <c r="C578" s="160"/>
      <c r="D578" s="151"/>
      <c r="E578" s="152"/>
      <c r="F578" s="153"/>
      <c r="G578" s="154"/>
      <c r="H578" s="154"/>
      <c r="I578" s="154"/>
      <c r="J578" s="155"/>
      <c r="K578" s="156"/>
      <c r="L578" s="157"/>
      <c r="M578" s="158" t="s">
        <v>28</v>
      </c>
      <c r="N578" s="159" t="s">
        <v>29</v>
      </c>
    </row>
    <row r="579" spans="1:14">
      <c r="A579" s="148"/>
      <c r="B579" s="149"/>
      <c r="C579" s="160"/>
      <c r="D579" s="151"/>
      <c r="E579" s="152"/>
      <c r="F579" s="153"/>
      <c r="G579" s="154"/>
      <c r="H579" s="154"/>
      <c r="I579" s="154"/>
      <c r="J579" s="155"/>
      <c r="K579" s="156"/>
      <c r="L579" s="157"/>
      <c r="M579" s="158" t="s">
        <v>28</v>
      </c>
      <c r="N579" s="159" t="s">
        <v>29</v>
      </c>
    </row>
    <row r="580" spans="1:14">
      <c r="A580" s="148"/>
      <c r="B580" s="149"/>
      <c r="C580" s="160"/>
      <c r="D580" s="151"/>
      <c r="E580" s="152"/>
      <c r="F580" s="153"/>
      <c r="G580" s="154"/>
      <c r="H580" s="154"/>
      <c r="I580" s="154"/>
      <c r="J580" s="155"/>
      <c r="K580" s="156"/>
      <c r="L580" s="157"/>
      <c r="M580" s="158" t="s">
        <v>28</v>
      </c>
      <c r="N580" s="159" t="s">
        <v>29</v>
      </c>
    </row>
    <row r="581" spans="1:14">
      <c r="A581" s="148"/>
      <c r="B581" s="149"/>
      <c r="C581" s="150"/>
      <c r="D581" s="151"/>
      <c r="E581" s="152"/>
      <c r="F581" s="153"/>
      <c r="G581" s="154"/>
      <c r="H581" s="154"/>
      <c r="I581" s="154"/>
      <c r="J581" s="155"/>
      <c r="K581" s="156"/>
      <c r="L581" s="157"/>
      <c r="M581" s="158" t="s">
        <v>28</v>
      </c>
      <c r="N581" s="159" t="s">
        <v>29</v>
      </c>
    </row>
    <row r="582" spans="1:14">
      <c r="A582" s="148"/>
      <c r="B582" s="149"/>
      <c r="C582" s="150"/>
      <c r="D582" s="151"/>
      <c r="E582" s="152"/>
      <c r="F582" s="153"/>
      <c r="G582" s="154"/>
      <c r="H582" s="154"/>
      <c r="I582" s="154"/>
      <c r="J582" s="155"/>
      <c r="K582" s="156"/>
      <c r="L582" s="157"/>
      <c r="M582" s="158" t="s">
        <v>28</v>
      </c>
      <c r="N582" s="159" t="s">
        <v>29</v>
      </c>
    </row>
    <row r="583" spans="1:14">
      <c r="A583" s="148"/>
      <c r="B583" s="149"/>
      <c r="C583" s="150"/>
      <c r="D583" s="151"/>
      <c r="E583" s="152"/>
      <c r="F583" s="153"/>
      <c r="G583" s="154"/>
      <c r="H583" s="154"/>
      <c r="I583" s="154"/>
      <c r="J583" s="155"/>
      <c r="K583" s="156"/>
      <c r="L583" s="157"/>
      <c r="M583" s="158" t="s">
        <v>28</v>
      </c>
      <c r="N583" s="159" t="s">
        <v>29</v>
      </c>
    </row>
    <row r="584" spans="1:14">
      <c r="A584" s="148"/>
      <c r="B584" s="149"/>
      <c r="C584" s="150"/>
      <c r="D584" s="151"/>
      <c r="E584" s="152"/>
      <c r="F584" s="153"/>
      <c r="G584" s="154"/>
      <c r="H584" s="154"/>
      <c r="I584" s="154"/>
      <c r="J584" s="155"/>
      <c r="K584" s="156"/>
      <c r="L584" s="157"/>
      <c r="M584" s="158" t="s">
        <v>28</v>
      </c>
      <c r="N584" s="159" t="s">
        <v>29</v>
      </c>
    </row>
    <row r="585" spans="1:14">
      <c r="A585" s="148"/>
      <c r="B585" s="149"/>
      <c r="C585" s="150"/>
      <c r="D585" s="151"/>
      <c r="E585" s="152"/>
      <c r="F585" s="153"/>
      <c r="G585" s="154"/>
      <c r="H585" s="154"/>
      <c r="I585" s="154"/>
      <c r="J585" s="155"/>
      <c r="K585" s="156"/>
      <c r="L585" s="157"/>
      <c r="M585" s="158" t="s">
        <v>28</v>
      </c>
      <c r="N585" s="159" t="s">
        <v>29</v>
      </c>
    </row>
    <row r="586" spans="1:14">
      <c r="A586" s="148"/>
      <c r="B586" s="149"/>
      <c r="C586" s="150"/>
      <c r="D586" s="151"/>
      <c r="E586" s="152"/>
      <c r="F586" s="153"/>
      <c r="G586" s="154"/>
      <c r="H586" s="154"/>
      <c r="I586" s="154"/>
      <c r="J586" s="155"/>
      <c r="K586" s="156"/>
      <c r="L586" s="157"/>
      <c r="M586" s="158" t="s">
        <v>28</v>
      </c>
      <c r="N586" s="159" t="s">
        <v>29</v>
      </c>
    </row>
    <row r="587" spans="1:14">
      <c r="A587" s="148"/>
      <c r="B587" s="149"/>
      <c r="C587" s="150"/>
      <c r="D587" s="151"/>
      <c r="E587" s="152"/>
      <c r="F587" s="153"/>
      <c r="G587" s="154"/>
      <c r="H587" s="154"/>
      <c r="I587" s="154"/>
      <c r="J587" s="155"/>
      <c r="K587" s="156"/>
      <c r="L587" s="157"/>
      <c r="M587" s="158" t="s">
        <v>28</v>
      </c>
      <c r="N587" s="159" t="s">
        <v>29</v>
      </c>
    </row>
    <row r="588" spans="1:14">
      <c r="A588" s="148"/>
      <c r="B588" s="149"/>
      <c r="C588" s="160"/>
      <c r="D588" s="151"/>
      <c r="E588" s="152"/>
      <c r="F588" s="153"/>
      <c r="G588" s="154"/>
      <c r="H588" s="154"/>
      <c r="I588" s="154"/>
      <c r="J588" s="155"/>
      <c r="K588" s="156"/>
      <c r="L588" s="157"/>
      <c r="M588" s="158" t="s">
        <v>28</v>
      </c>
      <c r="N588" s="159" t="s">
        <v>29</v>
      </c>
    </row>
    <row r="589" spans="1:14">
      <c r="A589" s="148"/>
      <c r="B589" s="149"/>
      <c r="C589" s="160"/>
      <c r="D589" s="151"/>
      <c r="E589" s="152"/>
      <c r="F589" s="153"/>
      <c r="G589" s="154"/>
      <c r="H589" s="154"/>
      <c r="I589" s="154"/>
      <c r="J589" s="155"/>
      <c r="K589" s="156"/>
      <c r="L589" s="157"/>
      <c r="M589" s="158" t="s">
        <v>28</v>
      </c>
      <c r="N589" s="159" t="s">
        <v>29</v>
      </c>
    </row>
    <row r="590" spans="1:14">
      <c r="A590" s="148"/>
      <c r="B590" s="149"/>
      <c r="C590" s="150"/>
      <c r="D590" s="151"/>
      <c r="E590" s="152"/>
      <c r="F590" s="153"/>
      <c r="G590" s="154"/>
      <c r="H590" s="154"/>
      <c r="I590" s="154"/>
      <c r="J590" s="155"/>
      <c r="K590" s="162"/>
      <c r="L590" s="157"/>
      <c r="M590" s="158" t="s">
        <v>28</v>
      </c>
      <c r="N590" s="159" t="s">
        <v>29</v>
      </c>
    </row>
    <row r="591" spans="1:14">
      <c r="A591" s="148"/>
      <c r="B591" s="149"/>
      <c r="C591" s="160"/>
      <c r="D591" s="151"/>
      <c r="E591" s="152"/>
      <c r="F591" s="153"/>
      <c r="G591" s="154"/>
      <c r="H591" s="154"/>
      <c r="I591" s="154"/>
      <c r="J591" s="155"/>
      <c r="K591" s="162"/>
      <c r="L591" s="157"/>
      <c r="M591" s="158" t="s">
        <v>28</v>
      </c>
      <c r="N591" s="159" t="s">
        <v>29</v>
      </c>
    </row>
    <row r="592" spans="1:14">
      <c r="A592" s="148"/>
      <c r="B592" s="149"/>
      <c r="C592" s="160"/>
      <c r="D592" s="151"/>
      <c r="E592" s="152"/>
      <c r="F592" s="153"/>
      <c r="G592" s="154"/>
      <c r="H592" s="154"/>
      <c r="I592" s="154"/>
      <c r="J592" s="155"/>
      <c r="K592" s="156"/>
      <c r="L592" s="157"/>
      <c r="M592" s="158" t="s">
        <v>28</v>
      </c>
      <c r="N592" s="159" t="s">
        <v>29</v>
      </c>
    </row>
    <row r="593" spans="1:14">
      <c r="A593" s="148"/>
      <c r="B593" s="149"/>
      <c r="C593" s="160"/>
      <c r="D593" s="151"/>
      <c r="E593" s="152"/>
      <c r="F593" s="153"/>
      <c r="G593" s="154"/>
      <c r="H593" s="154"/>
      <c r="I593" s="154"/>
      <c r="J593" s="155"/>
      <c r="K593" s="156"/>
      <c r="L593" s="157"/>
      <c r="M593" s="158" t="s">
        <v>28</v>
      </c>
      <c r="N593" s="159" t="s">
        <v>29</v>
      </c>
    </row>
    <row r="594" spans="1:14">
      <c r="A594" s="148"/>
      <c r="B594" s="149"/>
      <c r="C594" s="160"/>
      <c r="D594" s="151"/>
      <c r="E594" s="152"/>
      <c r="F594" s="153"/>
      <c r="G594" s="154"/>
      <c r="H594" s="154"/>
      <c r="I594" s="154"/>
      <c r="J594" s="155"/>
      <c r="K594" s="156"/>
      <c r="L594" s="157"/>
      <c r="M594" s="158" t="s">
        <v>28</v>
      </c>
      <c r="N594" s="159" t="s">
        <v>29</v>
      </c>
    </row>
    <row r="595" spans="1:14">
      <c r="A595" s="148"/>
      <c r="B595" s="149"/>
      <c r="C595" s="160"/>
      <c r="D595" s="151"/>
      <c r="E595" s="152"/>
      <c r="F595" s="153"/>
      <c r="G595" s="154"/>
      <c r="H595" s="154"/>
      <c r="I595" s="154"/>
      <c r="J595" s="155"/>
      <c r="K595" s="156"/>
      <c r="L595" s="157"/>
      <c r="M595" s="158" t="s">
        <v>28</v>
      </c>
      <c r="N595" s="159" t="s">
        <v>29</v>
      </c>
    </row>
    <row r="596" spans="1:14">
      <c r="A596" s="148"/>
      <c r="B596" s="149"/>
      <c r="C596" s="160"/>
      <c r="D596" s="151"/>
      <c r="E596" s="152"/>
      <c r="F596" s="153"/>
      <c r="G596" s="154"/>
      <c r="H596" s="154"/>
      <c r="I596" s="154"/>
      <c r="J596" s="155"/>
      <c r="K596" s="156"/>
      <c r="L596" s="157"/>
      <c r="M596" s="158" t="s">
        <v>28</v>
      </c>
      <c r="N596" s="159" t="s">
        <v>29</v>
      </c>
    </row>
    <row r="597" spans="1:14">
      <c r="A597" s="148"/>
      <c r="B597" s="149"/>
      <c r="C597" s="160"/>
      <c r="D597" s="151"/>
      <c r="E597" s="152"/>
      <c r="F597" s="153"/>
      <c r="G597" s="154"/>
      <c r="H597" s="154"/>
      <c r="I597" s="154"/>
      <c r="J597" s="155"/>
      <c r="K597" s="156"/>
      <c r="L597" s="157"/>
      <c r="M597" s="158" t="s">
        <v>28</v>
      </c>
      <c r="N597" s="159" t="s">
        <v>29</v>
      </c>
    </row>
    <row r="598" spans="1:14">
      <c r="A598" s="148"/>
      <c r="B598" s="149"/>
      <c r="C598" s="160"/>
      <c r="D598" s="151"/>
      <c r="E598" s="152"/>
      <c r="F598" s="153"/>
      <c r="G598" s="154"/>
      <c r="H598" s="154"/>
      <c r="I598" s="154"/>
      <c r="J598" s="155"/>
      <c r="K598" s="156"/>
      <c r="L598" s="157"/>
      <c r="M598" s="158" t="s">
        <v>28</v>
      </c>
      <c r="N598" s="159" t="s">
        <v>29</v>
      </c>
    </row>
    <row r="599" spans="1:14">
      <c r="A599" s="148"/>
      <c r="B599" s="149"/>
      <c r="C599" s="160"/>
      <c r="D599" s="151"/>
      <c r="E599" s="152"/>
      <c r="F599" s="153"/>
      <c r="G599" s="154"/>
      <c r="H599" s="154"/>
      <c r="I599" s="154"/>
      <c r="J599" s="155"/>
      <c r="K599" s="156"/>
      <c r="L599" s="157"/>
      <c r="M599" s="158" t="s">
        <v>28</v>
      </c>
      <c r="N599" s="159" t="s">
        <v>29</v>
      </c>
    </row>
    <row r="600" spans="1:14">
      <c r="A600" s="148"/>
      <c r="B600" s="149"/>
      <c r="C600" s="160"/>
      <c r="D600" s="151"/>
      <c r="E600" s="152"/>
      <c r="F600" s="153"/>
      <c r="G600" s="154"/>
      <c r="H600" s="154"/>
      <c r="I600" s="154"/>
      <c r="J600" s="155"/>
      <c r="K600" s="156"/>
      <c r="L600" s="157"/>
      <c r="M600" s="158" t="s">
        <v>28</v>
      </c>
      <c r="N600" s="159" t="s">
        <v>29</v>
      </c>
    </row>
    <row r="601" spans="1:14">
      <c r="A601" s="148"/>
      <c r="B601" s="149"/>
      <c r="C601" s="160"/>
      <c r="D601" s="151"/>
      <c r="E601" s="152"/>
      <c r="F601" s="153"/>
      <c r="G601" s="154"/>
      <c r="H601" s="154"/>
      <c r="I601" s="154"/>
      <c r="J601" s="155"/>
      <c r="K601" s="156"/>
      <c r="L601" s="157"/>
      <c r="M601" s="158" t="s">
        <v>28</v>
      </c>
      <c r="N601" s="159" t="s">
        <v>29</v>
      </c>
    </row>
    <row r="602" spans="1:14">
      <c r="A602" s="148"/>
      <c r="B602" s="149"/>
      <c r="C602" s="160"/>
      <c r="D602" s="151"/>
      <c r="E602" s="152"/>
      <c r="F602" s="153"/>
      <c r="G602" s="154"/>
      <c r="H602" s="154"/>
      <c r="I602" s="154"/>
      <c r="J602" s="155"/>
      <c r="K602" s="156"/>
      <c r="L602" s="157"/>
      <c r="M602" s="158" t="s">
        <v>28</v>
      </c>
      <c r="N602" s="159" t="s">
        <v>29</v>
      </c>
    </row>
    <row r="603" spans="1:14">
      <c r="A603" s="148"/>
      <c r="B603" s="149"/>
      <c r="C603" s="160"/>
      <c r="D603" s="151"/>
      <c r="E603" s="152"/>
      <c r="F603" s="153"/>
      <c r="G603" s="154"/>
      <c r="H603" s="154"/>
      <c r="I603" s="154"/>
      <c r="J603" s="155"/>
      <c r="K603" s="156"/>
      <c r="L603" s="157"/>
      <c r="M603" s="158" t="s">
        <v>28</v>
      </c>
      <c r="N603" s="159" t="s">
        <v>29</v>
      </c>
    </row>
    <row r="604" spans="1:14">
      <c r="A604" s="148"/>
      <c r="B604" s="149"/>
      <c r="C604" s="160"/>
      <c r="D604" s="151"/>
      <c r="E604" s="152"/>
      <c r="F604" s="153"/>
      <c r="G604" s="154"/>
      <c r="H604" s="154"/>
      <c r="I604" s="154"/>
      <c r="J604" s="155"/>
      <c r="K604" s="156"/>
      <c r="L604" s="157"/>
      <c r="M604" s="158" t="s">
        <v>28</v>
      </c>
      <c r="N604" s="159" t="s">
        <v>29</v>
      </c>
    </row>
    <row r="605" spans="1:14">
      <c r="A605" s="148"/>
      <c r="B605" s="149"/>
      <c r="C605" s="160"/>
      <c r="D605" s="151"/>
      <c r="E605" s="152"/>
      <c r="F605" s="153"/>
      <c r="G605" s="154"/>
      <c r="H605" s="154"/>
      <c r="I605" s="154"/>
      <c r="J605" s="155"/>
      <c r="K605" s="156"/>
      <c r="L605" s="157"/>
      <c r="M605" s="158" t="s">
        <v>28</v>
      </c>
      <c r="N605" s="159" t="s">
        <v>29</v>
      </c>
    </row>
    <row r="606" spans="1:14">
      <c r="A606" s="148"/>
      <c r="B606" s="149"/>
      <c r="C606" s="160"/>
      <c r="D606" s="151"/>
      <c r="E606" s="152"/>
      <c r="F606" s="153"/>
      <c r="G606" s="154"/>
      <c r="H606" s="154"/>
      <c r="I606" s="154"/>
      <c r="J606" s="155"/>
      <c r="K606" s="156"/>
      <c r="L606" s="157"/>
      <c r="M606" s="158" t="s">
        <v>28</v>
      </c>
      <c r="N606" s="159" t="s">
        <v>29</v>
      </c>
    </row>
    <row r="607" spans="1:14">
      <c r="A607" s="148"/>
      <c r="B607" s="149"/>
      <c r="C607" s="160"/>
      <c r="D607" s="151"/>
      <c r="E607" s="152"/>
      <c r="F607" s="153"/>
      <c r="G607" s="154"/>
      <c r="H607" s="154"/>
      <c r="I607" s="154"/>
      <c r="J607" s="155"/>
      <c r="K607" s="156"/>
      <c r="L607" s="157"/>
      <c r="M607" s="158" t="s">
        <v>28</v>
      </c>
      <c r="N607" s="159" t="s">
        <v>29</v>
      </c>
    </row>
    <row r="608" spans="1:14">
      <c r="A608" s="148"/>
      <c r="B608" s="149"/>
      <c r="C608" s="160"/>
      <c r="D608" s="151"/>
      <c r="E608" s="152"/>
      <c r="F608" s="153"/>
      <c r="G608" s="154"/>
      <c r="H608" s="154"/>
      <c r="I608" s="154"/>
      <c r="J608" s="155"/>
      <c r="K608" s="156"/>
      <c r="L608" s="157"/>
      <c r="M608" s="158" t="s">
        <v>28</v>
      </c>
      <c r="N608" s="159" t="s">
        <v>29</v>
      </c>
    </row>
    <row r="609" spans="1:14">
      <c r="A609" s="148"/>
      <c r="B609" s="149"/>
      <c r="C609" s="160"/>
      <c r="D609" s="151"/>
      <c r="E609" s="152"/>
      <c r="F609" s="153"/>
      <c r="G609" s="154"/>
      <c r="H609" s="154"/>
      <c r="I609" s="154"/>
      <c r="J609" s="155"/>
      <c r="K609" s="156"/>
      <c r="L609" s="157"/>
      <c r="M609" s="158" t="s">
        <v>28</v>
      </c>
      <c r="N609" s="159" t="s">
        <v>29</v>
      </c>
    </row>
    <row r="610" spans="1:14">
      <c r="A610" s="148"/>
      <c r="B610" s="149"/>
      <c r="C610" s="160"/>
      <c r="D610" s="151"/>
      <c r="E610" s="152"/>
      <c r="F610" s="153"/>
      <c r="G610" s="154"/>
      <c r="H610" s="154"/>
      <c r="I610" s="154"/>
      <c r="J610" s="155"/>
      <c r="K610" s="156"/>
      <c r="L610" s="157"/>
      <c r="M610" s="158" t="s">
        <v>28</v>
      </c>
      <c r="N610" s="159" t="s">
        <v>29</v>
      </c>
    </row>
    <row r="611" spans="1:14">
      <c r="A611" s="148"/>
      <c r="B611" s="149"/>
      <c r="C611" s="160"/>
      <c r="D611" s="151"/>
      <c r="E611" s="152"/>
      <c r="F611" s="153"/>
      <c r="G611" s="154"/>
      <c r="H611" s="154"/>
      <c r="I611" s="154"/>
      <c r="J611" s="155"/>
      <c r="K611" s="156"/>
      <c r="L611" s="157"/>
      <c r="M611" s="158" t="s">
        <v>28</v>
      </c>
      <c r="N611" s="159" t="s">
        <v>29</v>
      </c>
    </row>
    <row r="612" spans="1:14">
      <c r="A612" s="148"/>
      <c r="B612" s="149"/>
      <c r="C612" s="160"/>
      <c r="D612" s="151"/>
      <c r="E612" s="152"/>
      <c r="F612" s="153"/>
      <c r="G612" s="154"/>
      <c r="H612" s="154"/>
      <c r="I612" s="154"/>
      <c r="J612" s="155"/>
      <c r="K612" s="156"/>
      <c r="L612" s="157"/>
      <c r="M612" s="158" t="s">
        <v>28</v>
      </c>
      <c r="N612" s="159" t="s">
        <v>29</v>
      </c>
    </row>
    <row r="613" spans="1:14">
      <c r="A613" s="148"/>
      <c r="B613" s="149"/>
      <c r="C613" s="160"/>
      <c r="D613" s="151"/>
      <c r="E613" s="152"/>
      <c r="F613" s="153"/>
      <c r="G613" s="154"/>
      <c r="H613" s="154"/>
      <c r="I613" s="154"/>
      <c r="J613" s="155"/>
      <c r="K613" s="156"/>
      <c r="L613" s="157"/>
      <c r="M613" s="158" t="s">
        <v>28</v>
      </c>
      <c r="N613" s="159" t="s">
        <v>29</v>
      </c>
    </row>
    <row r="614" spans="1:14">
      <c r="A614" s="148"/>
      <c r="B614" s="149"/>
      <c r="C614" s="160"/>
      <c r="D614" s="151"/>
      <c r="E614" s="152"/>
      <c r="F614" s="153"/>
      <c r="G614" s="154"/>
      <c r="H614" s="154"/>
      <c r="I614" s="154"/>
      <c r="J614" s="155"/>
      <c r="K614" s="156"/>
      <c r="L614" s="157"/>
      <c r="M614" s="158" t="s">
        <v>28</v>
      </c>
      <c r="N614" s="159" t="s">
        <v>29</v>
      </c>
    </row>
    <row r="615" spans="1:14">
      <c r="A615" s="148"/>
      <c r="B615" s="149"/>
      <c r="C615" s="160"/>
      <c r="D615" s="151"/>
      <c r="E615" s="152"/>
      <c r="F615" s="153"/>
      <c r="G615" s="154"/>
      <c r="H615" s="154"/>
      <c r="I615" s="154"/>
      <c r="J615" s="155"/>
      <c r="K615" s="156"/>
      <c r="L615" s="157"/>
      <c r="M615" s="158" t="s">
        <v>28</v>
      </c>
      <c r="N615" s="159" t="s">
        <v>29</v>
      </c>
    </row>
    <row r="616" spans="1:14">
      <c r="A616" s="148"/>
      <c r="B616" s="149"/>
      <c r="C616" s="160"/>
      <c r="D616" s="151"/>
      <c r="E616" s="152"/>
      <c r="F616" s="153"/>
      <c r="G616" s="154"/>
      <c r="H616" s="154"/>
      <c r="I616" s="154"/>
      <c r="J616" s="155"/>
      <c r="K616" s="156"/>
      <c r="L616" s="157"/>
      <c r="M616" s="158" t="s">
        <v>28</v>
      </c>
      <c r="N616" s="159" t="s">
        <v>29</v>
      </c>
    </row>
    <row r="617" spans="1:14">
      <c r="A617" s="148"/>
      <c r="B617" s="149"/>
      <c r="C617" s="160"/>
      <c r="D617" s="151"/>
      <c r="E617" s="152"/>
      <c r="F617" s="153"/>
      <c r="G617" s="154"/>
      <c r="H617" s="154"/>
      <c r="I617" s="154"/>
      <c r="J617" s="155"/>
      <c r="K617" s="156"/>
      <c r="L617" s="157"/>
      <c r="M617" s="158" t="s">
        <v>28</v>
      </c>
      <c r="N617" s="159" t="s">
        <v>29</v>
      </c>
    </row>
    <row r="618" spans="1:14">
      <c r="A618" s="148"/>
      <c r="B618" s="149"/>
      <c r="C618" s="160"/>
      <c r="D618" s="151"/>
      <c r="E618" s="152"/>
      <c r="F618" s="153"/>
      <c r="G618" s="154"/>
      <c r="H618" s="154"/>
      <c r="I618" s="154"/>
      <c r="J618" s="155"/>
      <c r="K618" s="156"/>
      <c r="L618" s="157"/>
      <c r="M618" s="158" t="s">
        <v>28</v>
      </c>
      <c r="N618" s="159" t="s">
        <v>29</v>
      </c>
    </row>
    <row r="619" spans="1:14">
      <c r="A619" s="148"/>
      <c r="B619" s="149"/>
      <c r="C619" s="160"/>
      <c r="D619" s="151"/>
      <c r="E619" s="152"/>
      <c r="F619" s="153"/>
      <c r="G619" s="154"/>
      <c r="H619" s="154"/>
      <c r="I619" s="154"/>
      <c r="J619" s="155"/>
      <c r="K619" s="156"/>
      <c r="L619" s="157"/>
      <c r="M619" s="158" t="s">
        <v>28</v>
      </c>
      <c r="N619" s="159" t="s">
        <v>29</v>
      </c>
    </row>
    <row r="620" spans="1:14">
      <c r="A620" s="148"/>
      <c r="B620" s="149"/>
      <c r="C620" s="160"/>
      <c r="D620" s="151"/>
      <c r="E620" s="152"/>
      <c r="F620" s="153"/>
      <c r="G620" s="154"/>
      <c r="H620" s="154"/>
      <c r="I620" s="154"/>
      <c r="J620" s="155"/>
      <c r="K620" s="156"/>
      <c r="L620" s="157"/>
      <c r="M620" s="158" t="s">
        <v>28</v>
      </c>
      <c r="N620" s="159" t="s">
        <v>29</v>
      </c>
    </row>
    <row r="621" spans="1:14">
      <c r="A621" s="148"/>
      <c r="B621" s="149"/>
      <c r="C621" s="160"/>
      <c r="D621" s="151"/>
      <c r="E621" s="152"/>
      <c r="F621" s="153"/>
      <c r="G621" s="154"/>
      <c r="H621" s="154"/>
      <c r="I621" s="154"/>
      <c r="J621" s="155"/>
      <c r="K621" s="156"/>
      <c r="L621" s="157"/>
      <c r="M621" s="158" t="s">
        <v>28</v>
      </c>
      <c r="N621" s="159" t="s">
        <v>29</v>
      </c>
    </row>
    <row r="622" spans="1:14">
      <c r="A622" s="148"/>
      <c r="B622" s="149"/>
      <c r="C622" s="160"/>
      <c r="D622" s="151"/>
      <c r="E622" s="152"/>
      <c r="F622" s="153"/>
      <c r="G622" s="154"/>
      <c r="H622" s="154"/>
      <c r="I622" s="154"/>
      <c r="J622" s="155"/>
      <c r="K622" s="156"/>
      <c r="L622" s="157"/>
      <c r="M622" s="158" t="s">
        <v>28</v>
      </c>
      <c r="N622" s="159" t="s">
        <v>29</v>
      </c>
    </row>
    <row r="623" spans="1:14">
      <c r="A623" s="148"/>
      <c r="B623" s="149"/>
      <c r="C623" s="160"/>
      <c r="D623" s="151"/>
      <c r="E623" s="152"/>
      <c r="F623" s="153"/>
      <c r="G623" s="154"/>
      <c r="H623" s="154"/>
      <c r="I623" s="154"/>
      <c r="J623" s="155"/>
      <c r="K623" s="156"/>
      <c r="L623" s="157"/>
      <c r="M623" s="158" t="s">
        <v>28</v>
      </c>
      <c r="N623" s="159" t="s">
        <v>29</v>
      </c>
    </row>
    <row r="624" spans="1:14">
      <c r="A624" s="148"/>
      <c r="B624" s="149"/>
      <c r="C624" s="160"/>
      <c r="D624" s="151"/>
      <c r="E624" s="152"/>
      <c r="F624" s="153"/>
      <c r="G624" s="154"/>
      <c r="H624" s="154"/>
      <c r="I624" s="154"/>
      <c r="J624" s="155"/>
      <c r="K624" s="156"/>
      <c r="L624" s="157"/>
      <c r="M624" s="158" t="s">
        <v>28</v>
      </c>
      <c r="N624" s="159" t="s">
        <v>29</v>
      </c>
    </row>
    <row r="625" spans="1:14">
      <c r="A625" s="148"/>
      <c r="B625" s="149"/>
      <c r="C625" s="160"/>
      <c r="D625" s="151"/>
      <c r="E625" s="152"/>
      <c r="F625" s="153"/>
      <c r="G625" s="154"/>
      <c r="H625" s="154"/>
      <c r="I625" s="154"/>
      <c r="J625" s="155"/>
      <c r="K625" s="156"/>
      <c r="L625" s="157"/>
      <c r="M625" s="158" t="s">
        <v>28</v>
      </c>
      <c r="N625" s="159" t="s">
        <v>29</v>
      </c>
    </row>
    <row r="626" spans="1:14">
      <c r="A626" s="148"/>
      <c r="B626" s="149"/>
      <c r="C626" s="160"/>
      <c r="D626" s="151"/>
      <c r="E626" s="152"/>
      <c r="F626" s="153"/>
      <c r="G626" s="154"/>
      <c r="H626" s="154"/>
      <c r="I626" s="154"/>
      <c r="J626" s="155"/>
      <c r="K626" s="156"/>
      <c r="L626" s="157"/>
      <c r="M626" s="158" t="s">
        <v>28</v>
      </c>
      <c r="N626" s="159" t="s">
        <v>29</v>
      </c>
    </row>
    <row r="627" spans="1:14">
      <c r="A627" s="148"/>
      <c r="B627" s="149"/>
      <c r="C627" s="160"/>
      <c r="D627" s="151"/>
      <c r="E627" s="152"/>
      <c r="F627" s="153"/>
      <c r="G627" s="154"/>
      <c r="H627" s="154"/>
      <c r="I627" s="154"/>
      <c r="J627" s="155"/>
      <c r="K627" s="156"/>
      <c r="L627" s="157"/>
      <c r="M627" s="158" t="s">
        <v>28</v>
      </c>
      <c r="N627" s="159" t="s">
        <v>29</v>
      </c>
    </row>
    <row r="628" spans="1:14">
      <c r="A628" s="148"/>
      <c r="B628" s="149"/>
      <c r="C628" s="160"/>
      <c r="D628" s="151"/>
      <c r="E628" s="152"/>
      <c r="F628" s="153"/>
      <c r="G628" s="154"/>
      <c r="H628" s="154"/>
      <c r="I628" s="154"/>
      <c r="J628" s="155"/>
      <c r="K628" s="156"/>
      <c r="L628" s="157"/>
      <c r="M628" s="158" t="s">
        <v>28</v>
      </c>
      <c r="N628" s="159" t="s">
        <v>29</v>
      </c>
    </row>
    <row r="629" spans="1:14">
      <c r="A629" s="148"/>
      <c r="B629" s="149"/>
      <c r="C629" s="160"/>
      <c r="D629" s="151"/>
      <c r="E629" s="152"/>
      <c r="F629" s="153"/>
      <c r="G629" s="154"/>
      <c r="H629" s="154"/>
      <c r="I629" s="154"/>
      <c r="J629" s="155"/>
      <c r="K629" s="156"/>
      <c r="L629" s="157"/>
      <c r="M629" s="158" t="s">
        <v>28</v>
      </c>
      <c r="N629" s="159" t="s">
        <v>29</v>
      </c>
    </row>
    <row r="630" spans="1:14">
      <c r="A630" s="148"/>
      <c r="B630" s="149"/>
      <c r="C630" s="160"/>
      <c r="D630" s="151"/>
      <c r="E630" s="152"/>
      <c r="F630" s="153"/>
      <c r="G630" s="154"/>
      <c r="H630" s="154"/>
      <c r="I630" s="154"/>
      <c r="J630" s="155"/>
      <c r="K630" s="156"/>
      <c r="L630" s="157"/>
      <c r="M630" s="158" t="s">
        <v>28</v>
      </c>
      <c r="N630" s="159" t="s">
        <v>29</v>
      </c>
    </row>
    <row r="631" spans="1:14">
      <c r="A631" s="148"/>
      <c r="B631" s="149"/>
      <c r="C631" s="160"/>
      <c r="D631" s="151"/>
      <c r="E631" s="152"/>
      <c r="F631" s="153"/>
      <c r="G631" s="154"/>
      <c r="H631" s="154"/>
      <c r="I631" s="154"/>
      <c r="J631" s="155"/>
      <c r="K631" s="156"/>
      <c r="L631" s="157"/>
      <c r="M631" s="158" t="s">
        <v>28</v>
      </c>
      <c r="N631" s="159" t="s">
        <v>29</v>
      </c>
    </row>
    <row r="632" spans="1:14">
      <c r="A632" s="148"/>
      <c r="B632" s="149"/>
      <c r="C632" s="160"/>
      <c r="D632" s="151"/>
      <c r="E632" s="152"/>
      <c r="F632" s="153"/>
      <c r="G632" s="154"/>
      <c r="H632" s="154"/>
      <c r="I632" s="154"/>
      <c r="J632" s="155"/>
      <c r="K632" s="156"/>
      <c r="L632" s="157"/>
      <c r="M632" s="158" t="s">
        <v>28</v>
      </c>
      <c r="N632" s="159" t="s">
        <v>29</v>
      </c>
    </row>
    <row r="633" spans="1:14">
      <c r="A633" s="148"/>
      <c r="B633" s="149"/>
      <c r="C633" s="160"/>
      <c r="D633" s="151"/>
      <c r="E633" s="152"/>
      <c r="F633" s="153"/>
      <c r="G633" s="154"/>
      <c r="H633" s="154"/>
      <c r="I633" s="154"/>
      <c r="J633" s="155"/>
      <c r="K633" s="156"/>
      <c r="L633" s="157"/>
      <c r="M633" s="158" t="s">
        <v>28</v>
      </c>
      <c r="N633" s="159" t="s">
        <v>29</v>
      </c>
    </row>
    <row r="634" spans="1:14">
      <c r="A634" s="148"/>
      <c r="B634" s="149"/>
      <c r="C634" s="160"/>
      <c r="D634" s="151"/>
      <c r="E634" s="152"/>
      <c r="F634" s="153"/>
      <c r="G634" s="154"/>
      <c r="H634" s="154"/>
      <c r="I634" s="154"/>
      <c r="J634" s="155"/>
      <c r="K634" s="156"/>
      <c r="L634" s="157"/>
      <c r="M634" s="158" t="s">
        <v>28</v>
      </c>
      <c r="N634" s="159" t="s">
        <v>29</v>
      </c>
    </row>
    <row r="635" spans="1:14">
      <c r="A635" s="148"/>
      <c r="B635" s="149"/>
      <c r="C635" s="160"/>
      <c r="D635" s="151"/>
      <c r="E635" s="152"/>
      <c r="F635" s="153"/>
      <c r="G635" s="154"/>
      <c r="H635" s="154"/>
      <c r="I635" s="154"/>
      <c r="J635" s="155"/>
      <c r="K635" s="156"/>
      <c r="L635" s="157"/>
      <c r="M635" s="158" t="s">
        <v>28</v>
      </c>
      <c r="N635" s="159" t="s">
        <v>29</v>
      </c>
    </row>
    <row r="636" spans="1:14">
      <c r="A636" s="148"/>
      <c r="B636" s="149"/>
      <c r="C636" s="160"/>
      <c r="D636" s="151"/>
      <c r="E636" s="152"/>
      <c r="F636" s="153"/>
      <c r="G636" s="154"/>
      <c r="H636" s="154"/>
      <c r="I636" s="154"/>
      <c r="J636" s="155"/>
      <c r="K636" s="156"/>
      <c r="L636" s="157"/>
      <c r="M636" s="158" t="s">
        <v>28</v>
      </c>
      <c r="N636" s="159" t="s">
        <v>29</v>
      </c>
    </row>
    <row r="637" spans="1:14">
      <c r="A637" s="148"/>
      <c r="B637" s="149"/>
      <c r="C637" s="160"/>
      <c r="D637" s="151"/>
      <c r="E637" s="152"/>
      <c r="F637" s="153"/>
      <c r="G637" s="154"/>
      <c r="H637" s="154"/>
      <c r="I637" s="154"/>
      <c r="J637" s="155"/>
      <c r="K637" s="156"/>
      <c r="L637" s="157"/>
      <c r="M637" s="158" t="s">
        <v>28</v>
      </c>
      <c r="N637" s="159" t="s">
        <v>29</v>
      </c>
    </row>
    <row r="638" spans="1:14">
      <c r="A638" s="148"/>
      <c r="B638" s="149"/>
      <c r="C638" s="160"/>
      <c r="D638" s="151"/>
      <c r="E638" s="152"/>
      <c r="F638" s="153"/>
      <c r="G638" s="154"/>
      <c r="H638" s="154"/>
      <c r="I638" s="154"/>
      <c r="J638" s="155"/>
      <c r="K638" s="156"/>
      <c r="L638" s="157"/>
      <c r="M638" s="158" t="s">
        <v>28</v>
      </c>
      <c r="N638" s="159" t="s">
        <v>29</v>
      </c>
    </row>
    <row r="639" spans="1:14">
      <c r="A639" s="148"/>
      <c r="B639" s="149"/>
      <c r="C639" s="160"/>
      <c r="D639" s="151"/>
      <c r="E639" s="152"/>
      <c r="F639" s="153"/>
      <c r="G639" s="154"/>
      <c r="H639" s="154"/>
      <c r="I639" s="154"/>
      <c r="J639" s="155"/>
      <c r="K639" s="156"/>
      <c r="L639" s="157"/>
      <c r="M639" s="158" t="s">
        <v>28</v>
      </c>
      <c r="N639" s="159" t="s">
        <v>29</v>
      </c>
    </row>
    <row r="640" spans="1:14">
      <c r="A640" s="148"/>
      <c r="B640" s="149"/>
      <c r="C640" s="160"/>
      <c r="D640" s="151"/>
      <c r="E640" s="152"/>
      <c r="F640" s="153"/>
      <c r="G640" s="154"/>
      <c r="H640" s="154"/>
      <c r="I640" s="154"/>
      <c r="J640" s="155"/>
      <c r="K640" s="156"/>
      <c r="L640" s="157"/>
      <c r="M640" s="158" t="s">
        <v>28</v>
      </c>
      <c r="N640" s="159" t="s">
        <v>29</v>
      </c>
    </row>
    <row r="641" spans="1:14">
      <c r="A641" s="148"/>
      <c r="B641" s="149"/>
      <c r="C641" s="160"/>
      <c r="D641" s="151"/>
      <c r="E641" s="152"/>
      <c r="F641" s="153"/>
      <c r="G641" s="154"/>
      <c r="H641" s="154"/>
      <c r="I641" s="154"/>
      <c r="J641" s="155"/>
      <c r="K641" s="156"/>
      <c r="L641" s="157"/>
      <c r="M641" s="158" t="s">
        <v>28</v>
      </c>
      <c r="N641" s="159" t="s">
        <v>29</v>
      </c>
    </row>
    <row r="642" spans="1:14">
      <c r="A642" s="148"/>
      <c r="B642" s="149"/>
      <c r="C642" s="160"/>
      <c r="D642" s="151"/>
      <c r="E642" s="152"/>
      <c r="F642" s="153"/>
      <c r="G642" s="154"/>
      <c r="H642" s="154"/>
      <c r="I642" s="154"/>
      <c r="J642" s="155"/>
      <c r="K642" s="156"/>
      <c r="L642" s="157"/>
      <c r="M642" s="158" t="s">
        <v>28</v>
      </c>
      <c r="N642" s="159" t="s">
        <v>29</v>
      </c>
    </row>
    <row r="643" spans="1:14">
      <c r="A643" s="148"/>
      <c r="B643" s="149"/>
      <c r="C643" s="160"/>
      <c r="D643" s="151"/>
      <c r="E643" s="152"/>
      <c r="F643" s="153"/>
      <c r="G643" s="154"/>
      <c r="H643" s="154"/>
      <c r="I643" s="154"/>
      <c r="J643" s="155"/>
      <c r="K643" s="156"/>
      <c r="L643" s="157"/>
      <c r="M643" s="158" t="s">
        <v>28</v>
      </c>
      <c r="N643" s="159" t="s">
        <v>29</v>
      </c>
    </row>
    <row r="644" spans="1:14">
      <c r="A644" s="148"/>
      <c r="B644" s="149"/>
      <c r="C644" s="160"/>
      <c r="D644" s="151"/>
      <c r="E644" s="152"/>
      <c r="F644" s="153"/>
      <c r="G644" s="154"/>
      <c r="H644" s="154"/>
      <c r="I644" s="154"/>
      <c r="J644" s="155"/>
      <c r="K644" s="156"/>
      <c r="L644" s="157"/>
      <c r="M644" s="158" t="s">
        <v>28</v>
      </c>
      <c r="N644" s="159" t="s">
        <v>29</v>
      </c>
    </row>
    <row r="645" spans="1:14">
      <c r="A645" s="148"/>
      <c r="B645" s="149"/>
      <c r="C645" s="160"/>
      <c r="D645" s="151"/>
      <c r="E645" s="152"/>
      <c r="F645" s="153"/>
      <c r="G645" s="154"/>
      <c r="H645" s="154"/>
      <c r="I645" s="154"/>
      <c r="J645" s="155"/>
      <c r="K645" s="156"/>
      <c r="L645" s="157"/>
      <c r="M645" s="158" t="s">
        <v>28</v>
      </c>
      <c r="N645" s="159" t="s">
        <v>29</v>
      </c>
    </row>
    <row r="646" spans="1:14">
      <c r="A646" s="148"/>
      <c r="B646" s="149"/>
      <c r="C646" s="160"/>
      <c r="D646" s="151"/>
      <c r="E646" s="152"/>
      <c r="F646" s="153"/>
      <c r="G646" s="154"/>
      <c r="H646" s="154"/>
      <c r="I646" s="154"/>
      <c r="J646" s="155"/>
      <c r="K646" s="156"/>
      <c r="L646" s="157"/>
      <c r="M646" s="158" t="s">
        <v>28</v>
      </c>
      <c r="N646" s="159" t="s">
        <v>29</v>
      </c>
    </row>
    <row r="647" spans="1:14">
      <c r="A647" s="148"/>
      <c r="B647" s="149"/>
      <c r="C647" s="160"/>
      <c r="D647" s="151"/>
      <c r="E647" s="152"/>
      <c r="F647" s="153"/>
      <c r="G647" s="154"/>
      <c r="H647" s="154"/>
      <c r="I647" s="154"/>
      <c r="J647" s="155"/>
      <c r="K647" s="156"/>
      <c r="L647" s="157"/>
      <c r="M647" s="158" t="s">
        <v>28</v>
      </c>
      <c r="N647" s="159" t="s">
        <v>29</v>
      </c>
    </row>
    <row r="648" spans="1:14">
      <c r="A648" s="148"/>
      <c r="B648" s="149"/>
      <c r="C648" s="160"/>
      <c r="D648" s="151"/>
      <c r="E648" s="152"/>
      <c r="F648" s="153"/>
      <c r="G648" s="154"/>
      <c r="H648" s="154"/>
      <c r="I648" s="154"/>
      <c r="J648" s="155"/>
      <c r="K648" s="156"/>
      <c r="L648" s="157"/>
      <c r="M648" s="158" t="s">
        <v>28</v>
      </c>
      <c r="N648" s="159" t="s">
        <v>29</v>
      </c>
    </row>
    <row r="649" spans="1:14">
      <c r="A649" s="148"/>
      <c r="B649" s="149"/>
      <c r="C649" s="160"/>
      <c r="D649" s="151"/>
      <c r="E649" s="152"/>
      <c r="F649" s="153"/>
      <c r="G649" s="154"/>
      <c r="H649" s="154"/>
      <c r="I649" s="154"/>
      <c r="J649" s="155"/>
      <c r="K649" s="156"/>
      <c r="L649" s="157"/>
      <c r="M649" s="158" t="s">
        <v>28</v>
      </c>
      <c r="N649" s="159" t="s">
        <v>29</v>
      </c>
    </row>
    <row r="650" spans="1:14">
      <c r="A650" s="148"/>
      <c r="B650" s="149"/>
      <c r="C650" s="150"/>
      <c r="D650" s="151"/>
      <c r="E650" s="152"/>
      <c r="F650" s="153"/>
      <c r="G650" s="154"/>
      <c r="H650" s="154"/>
      <c r="I650" s="154"/>
      <c r="J650" s="155"/>
      <c r="K650" s="156"/>
      <c r="L650" s="157"/>
      <c r="M650" s="158" t="s">
        <v>28</v>
      </c>
      <c r="N650" s="159" t="s">
        <v>29</v>
      </c>
    </row>
    <row r="651" spans="1:14">
      <c r="A651" s="148"/>
      <c r="B651" s="149"/>
      <c r="C651" s="160"/>
      <c r="D651" s="151"/>
      <c r="E651" s="152"/>
      <c r="F651" s="153"/>
      <c r="G651" s="154"/>
      <c r="H651" s="154"/>
      <c r="I651" s="154"/>
      <c r="J651" s="155"/>
      <c r="K651" s="156"/>
      <c r="L651" s="157"/>
      <c r="M651" s="158" t="s">
        <v>28</v>
      </c>
      <c r="N651" s="159" t="s">
        <v>29</v>
      </c>
    </row>
    <row r="652" spans="1:14">
      <c r="A652" s="148"/>
      <c r="B652" s="149"/>
      <c r="C652" s="160"/>
      <c r="D652" s="151"/>
      <c r="E652" s="152"/>
      <c r="F652" s="153"/>
      <c r="G652" s="154"/>
      <c r="H652" s="154"/>
      <c r="I652" s="154"/>
      <c r="J652" s="155"/>
      <c r="K652" s="156"/>
      <c r="L652" s="157"/>
      <c r="M652" s="158" t="s">
        <v>28</v>
      </c>
      <c r="N652" s="159" t="s">
        <v>29</v>
      </c>
    </row>
    <row r="653" spans="1:14">
      <c r="A653" s="148"/>
      <c r="B653" s="149"/>
      <c r="C653" s="160"/>
      <c r="D653" s="151"/>
      <c r="E653" s="152"/>
      <c r="F653" s="153"/>
      <c r="G653" s="154"/>
      <c r="H653" s="154"/>
      <c r="I653" s="154"/>
      <c r="J653" s="155"/>
      <c r="K653" s="156"/>
      <c r="L653" s="157"/>
      <c r="M653" s="158" t="s">
        <v>28</v>
      </c>
      <c r="N653" s="159" t="s">
        <v>29</v>
      </c>
    </row>
    <row r="654" spans="1:14">
      <c r="A654" s="148"/>
      <c r="B654" s="149"/>
      <c r="C654" s="160"/>
      <c r="D654" s="151"/>
      <c r="E654" s="152"/>
      <c r="F654" s="153"/>
      <c r="G654" s="154"/>
      <c r="H654" s="154"/>
      <c r="I654" s="154"/>
      <c r="J654" s="155"/>
      <c r="K654" s="156"/>
      <c r="L654" s="157"/>
      <c r="M654" s="158" t="s">
        <v>28</v>
      </c>
      <c r="N654" s="159" t="s">
        <v>29</v>
      </c>
    </row>
    <row r="655" spans="1:14">
      <c r="A655" s="148"/>
      <c r="B655" s="149"/>
      <c r="C655" s="160"/>
      <c r="D655" s="151"/>
      <c r="E655" s="152"/>
      <c r="F655" s="153"/>
      <c r="G655" s="154"/>
      <c r="H655" s="154"/>
      <c r="I655" s="154"/>
      <c r="J655" s="155"/>
      <c r="K655" s="156"/>
      <c r="L655" s="157"/>
      <c r="M655" s="158" t="s">
        <v>28</v>
      </c>
      <c r="N655" s="159" t="s">
        <v>29</v>
      </c>
    </row>
    <row r="656" spans="1:14">
      <c r="A656" s="148"/>
      <c r="B656" s="149"/>
      <c r="C656" s="160"/>
      <c r="D656" s="151"/>
      <c r="E656" s="152"/>
      <c r="F656" s="153"/>
      <c r="G656" s="154"/>
      <c r="H656" s="154"/>
      <c r="I656" s="154"/>
      <c r="J656" s="155"/>
      <c r="K656" s="156"/>
      <c r="L656" s="157"/>
      <c r="M656" s="158" t="s">
        <v>28</v>
      </c>
      <c r="N656" s="159" t="s">
        <v>29</v>
      </c>
    </row>
    <row r="657" spans="1:14">
      <c r="A657" s="148"/>
      <c r="B657" s="149"/>
      <c r="C657" s="160"/>
      <c r="D657" s="151"/>
      <c r="E657" s="152"/>
      <c r="F657" s="153"/>
      <c r="G657" s="154"/>
      <c r="H657" s="154"/>
      <c r="I657" s="154"/>
      <c r="J657" s="155"/>
      <c r="K657" s="156"/>
      <c r="L657" s="157"/>
      <c r="M657" s="158" t="s">
        <v>28</v>
      </c>
      <c r="N657" s="159" t="s">
        <v>29</v>
      </c>
    </row>
    <row r="658" spans="1:14">
      <c r="A658" s="148"/>
      <c r="B658" s="149"/>
      <c r="C658" s="160"/>
      <c r="D658" s="151"/>
      <c r="E658" s="152"/>
      <c r="F658" s="153"/>
      <c r="G658" s="154"/>
      <c r="H658" s="154"/>
      <c r="I658" s="154"/>
      <c r="J658" s="155"/>
      <c r="K658" s="156"/>
      <c r="L658" s="157"/>
      <c r="M658" s="158" t="s">
        <v>28</v>
      </c>
      <c r="N658" s="159" t="s">
        <v>29</v>
      </c>
    </row>
    <row r="659" spans="1:14">
      <c r="A659" s="148"/>
      <c r="B659" s="149"/>
      <c r="C659" s="160"/>
      <c r="D659" s="151"/>
      <c r="E659" s="152"/>
      <c r="F659" s="153"/>
      <c r="G659" s="154"/>
      <c r="H659" s="154"/>
      <c r="I659" s="154"/>
      <c r="J659" s="155"/>
      <c r="K659" s="156"/>
      <c r="L659" s="157"/>
      <c r="M659" s="158" t="s">
        <v>28</v>
      </c>
      <c r="N659" s="159" t="s">
        <v>29</v>
      </c>
    </row>
    <row r="660" spans="1:14">
      <c r="A660" s="148"/>
      <c r="B660" s="149"/>
      <c r="C660" s="160"/>
      <c r="D660" s="151"/>
      <c r="E660" s="152"/>
      <c r="F660" s="153"/>
      <c r="G660" s="154"/>
      <c r="H660" s="154"/>
      <c r="I660" s="154"/>
      <c r="J660" s="155"/>
      <c r="K660" s="156"/>
      <c r="L660" s="157"/>
      <c r="M660" s="158" t="s">
        <v>28</v>
      </c>
      <c r="N660" s="159" t="s">
        <v>29</v>
      </c>
    </row>
    <row r="661" spans="1:14">
      <c r="A661" s="148"/>
      <c r="B661" s="149"/>
      <c r="C661" s="160"/>
      <c r="D661" s="151"/>
      <c r="E661" s="152"/>
      <c r="F661" s="153"/>
      <c r="G661" s="154"/>
      <c r="H661" s="154"/>
      <c r="I661" s="154"/>
      <c r="J661" s="155"/>
      <c r="K661" s="156"/>
      <c r="L661" s="157"/>
      <c r="M661" s="158" t="s">
        <v>28</v>
      </c>
      <c r="N661" s="159" t="s">
        <v>29</v>
      </c>
    </row>
    <row r="662" spans="1:14">
      <c r="A662" s="148"/>
      <c r="B662" s="149"/>
      <c r="C662" s="160"/>
      <c r="D662" s="151"/>
      <c r="E662" s="152"/>
      <c r="F662" s="153"/>
      <c r="G662" s="154"/>
      <c r="H662" s="154"/>
      <c r="I662" s="154"/>
      <c r="J662" s="155"/>
      <c r="K662" s="156"/>
      <c r="L662" s="157"/>
      <c r="M662" s="158" t="s">
        <v>28</v>
      </c>
      <c r="N662" s="159" t="s">
        <v>29</v>
      </c>
    </row>
    <row r="663" spans="1:14">
      <c r="A663" s="148"/>
      <c r="B663" s="149"/>
      <c r="C663" s="160"/>
      <c r="D663" s="151"/>
      <c r="E663" s="152"/>
      <c r="F663" s="153"/>
      <c r="G663" s="154"/>
      <c r="H663" s="154"/>
      <c r="I663" s="154"/>
      <c r="J663" s="155"/>
      <c r="K663" s="156"/>
      <c r="L663" s="157"/>
      <c r="M663" s="158" t="s">
        <v>28</v>
      </c>
      <c r="N663" s="159" t="s">
        <v>29</v>
      </c>
    </row>
    <row r="664" spans="1:14">
      <c r="A664" s="148"/>
      <c r="B664" s="149"/>
      <c r="C664" s="160"/>
      <c r="D664" s="151"/>
      <c r="E664" s="152"/>
      <c r="F664" s="153"/>
      <c r="G664" s="154"/>
      <c r="H664" s="154"/>
      <c r="I664" s="154"/>
      <c r="J664" s="155"/>
      <c r="K664" s="156"/>
      <c r="L664" s="157"/>
      <c r="M664" s="158" t="s">
        <v>28</v>
      </c>
      <c r="N664" s="159" t="s">
        <v>29</v>
      </c>
    </row>
    <row r="665" spans="1:14">
      <c r="A665" s="148"/>
      <c r="B665" s="149"/>
      <c r="C665" s="160"/>
      <c r="D665" s="151"/>
      <c r="E665" s="152"/>
      <c r="F665" s="153"/>
      <c r="G665" s="154"/>
      <c r="H665" s="154"/>
      <c r="I665" s="154"/>
      <c r="J665" s="155"/>
      <c r="K665" s="156"/>
      <c r="L665" s="157"/>
      <c r="M665" s="158" t="s">
        <v>28</v>
      </c>
      <c r="N665" s="159" t="s">
        <v>29</v>
      </c>
    </row>
    <row r="666" spans="1:14">
      <c r="A666" s="148"/>
      <c r="B666" s="149"/>
      <c r="C666" s="160"/>
      <c r="D666" s="151"/>
      <c r="E666" s="152"/>
      <c r="F666" s="153"/>
      <c r="G666" s="154"/>
      <c r="H666" s="154"/>
      <c r="I666" s="154"/>
      <c r="J666" s="155"/>
      <c r="K666" s="156"/>
      <c r="L666" s="157"/>
      <c r="M666" s="158" t="s">
        <v>28</v>
      </c>
      <c r="N666" s="159" t="s">
        <v>29</v>
      </c>
    </row>
    <row r="667" spans="1:14">
      <c r="A667" s="148"/>
      <c r="B667" s="149"/>
      <c r="C667" s="160"/>
      <c r="D667" s="151"/>
      <c r="E667" s="152"/>
      <c r="F667" s="153"/>
      <c r="G667" s="154"/>
      <c r="H667" s="154"/>
      <c r="I667" s="154"/>
      <c r="J667" s="155"/>
      <c r="K667" s="156"/>
      <c r="L667" s="157"/>
      <c r="M667" s="158" t="s">
        <v>28</v>
      </c>
      <c r="N667" s="159" t="s">
        <v>29</v>
      </c>
    </row>
    <row r="668" spans="1:14">
      <c r="A668" s="148"/>
      <c r="B668" s="149"/>
      <c r="C668" s="160"/>
      <c r="D668" s="151"/>
      <c r="E668" s="152"/>
      <c r="F668" s="153"/>
      <c r="G668" s="154"/>
      <c r="H668" s="154"/>
      <c r="I668" s="154"/>
      <c r="J668" s="155"/>
      <c r="K668" s="156"/>
      <c r="L668" s="157"/>
      <c r="M668" s="158" t="s">
        <v>28</v>
      </c>
      <c r="N668" s="159" t="s">
        <v>29</v>
      </c>
    </row>
    <row r="669" spans="1:14">
      <c r="A669" s="148"/>
      <c r="B669" s="149"/>
      <c r="C669" s="160"/>
      <c r="D669" s="151"/>
      <c r="E669" s="152"/>
      <c r="F669" s="153"/>
      <c r="G669" s="154"/>
      <c r="H669" s="154"/>
      <c r="I669" s="154"/>
      <c r="J669" s="155"/>
      <c r="K669" s="156"/>
      <c r="L669" s="157"/>
      <c r="M669" s="158" t="s">
        <v>28</v>
      </c>
      <c r="N669" s="159" t="s">
        <v>29</v>
      </c>
    </row>
    <row r="670" spans="1:14">
      <c r="A670" s="148"/>
      <c r="B670" s="149"/>
      <c r="C670" s="160"/>
      <c r="D670" s="151"/>
      <c r="E670" s="152"/>
      <c r="F670" s="153"/>
      <c r="G670" s="154"/>
      <c r="H670" s="154"/>
      <c r="I670" s="154"/>
      <c r="J670" s="155"/>
      <c r="K670" s="156"/>
      <c r="L670" s="157"/>
      <c r="M670" s="158" t="s">
        <v>28</v>
      </c>
      <c r="N670" s="159" t="s">
        <v>29</v>
      </c>
    </row>
    <row r="671" spans="1:14">
      <c r="A671" s="148"/>
      <c r="B671" s="149"/>
      <c r="C671" s="160"/>
      <c r="D671" s="151"/>
      <c r="E671" s="152"/>
      <c r="F671" s="153"/>
      <c r="G671" s="154"/>
      <c r="H671" s="154"/>
      <c r="I671" s="154"/>
      <c r="J671" s="155"/>
      <c r="K671" s="156"/>
      <c r="L671" s="157"/>
      <c r="M671" s="158" t="s">
        <v>28</v>
      </c>
      <c r="N671" s="159" t="s">
        <v>29</v>
      </c>
    </row>
    <row r="672" spans="1:14">
      <c r="A672" s="148"/>
      <c r="B672" s="149"/>
      <c r="C672" s="160"/>
      <c r="D672" s="151"/>
      <c r="E672" s="152"/>
      <c r="F672" s="153"/>
      <c r="G672" s="154"/>
      <c r="H672" s="154"/>
      <c r="I672" s="154"/>
      <c r="J672" s="155"/>
      <c r="K672" s="156"/>
      <c r="L672" s="157"/>
      <c r="M672" s="158" t="s">
        <v>28</v>
      </c>
      <c r="N672" s="159" t="s">
        <v>29</v>
      </c>
    </row>
    <row r="673" spans="1:14">
      <c r="A673" s="148"/>
      <c r="B673" s="149"/>
      <c r="C673" s="150"/>
      <c r="D673" s="151"/>
      <c r="E673" s="152"/>
      <c r="F673" s="153"/>
      <c r="G673" s="154"/>
      <c r="H673" s="154"/>
      <c r="I673" s="154"/>
      <c r="J673" s="155"/>
      <c r="K673" s="156"/>
      <c r="L673" s="157"/>
      <c r="M673" s="158" t="s">
        <v>28</v>
      </c>
      <c r="N673" s="159" t="s">
        <v>29</v>
      </c>
    </row>
    <row r="674" spans="1:14">
      <c r="A674" s="148"/>
      <c r="B674" s="149"/>
      <c r="C674" s="160"/>
      <c r="D674" s="151"/>
      <c r="E674" s="152"/>
      <c r="F674" s="153"/>
      <c r="G674" s="154"/>
      <c r="H674" s="154"/>
      <c r="I674" s="154"/>
      <c r="J674" s="155"/>
      <c r="K674" s="156"/>
      <c r="L674" s="157"/>
      <c r="M674" s="158" t="s">
        <v>28</v>
      </c>
      <c r="N674" s="159" t="s">
        <v>29</v>
      </c>
    </row>
    <row r="675" spans="1:14">
      <c r="A675" s="148"/>
      <c r="B675" s="149"/>
      <c r="C675" s="160"/>
      <c r="D675" s="151"/>
      <c r="E675" s="152"/>
      <c r="F675" s="153"/>
      <c r="G675" s="154"/>
      <c r="H675" s="154"/>
      <c r="I675" s="154"/>
      <c r="J675" s="155"/>
      <c r="K675" s="156"/>
      <c r="L675" s="157"/>
      <c r="M675" s="158" t="s">
        <v>28</v>
      </c>
      <c r="N675" s="159" t="s">
        <v>29</v>
      </c>
    </row>
    <row r="676" spans="1:14">
      <c r="A676" s="148"/>
      <c r="B676" s="149"/>
      <c r="C676" s="150"/>
      <c r="D676" s="151"/>
      <c r="E676" s="152"/>
      <c r="F676" s="153"/>
      <c r="G676" s="154"/>
      <c r="H676" s="154"/>
      <c r="I676" s="154"/>
      <c r="J676" s="155"/>
      <c r="K676" s="156"/>
      <c r="L676" s="157"/>
      <c r="M676" s="158" t="s">
        <v>28</v>
      </c>
      <c r="N676" s="159" t="s">
        <v>29</v>
      </c>
    </row>
    <row r="677" spans="1:14">
      <c r="A677" s="148"/>
      <c r="B677" s="149"/>
      <c r="C677" s="160"/>
      <c r="D677" s="151"/>
      <c r="E677" s="152"/>
      <c r="F677" s="153"/>
      <c r="G677" s="154"/>
      <c r="H677" s="154"/>
      <c r="I677" s="154"/>
      <c r="J677" s="155"/>
      <c r="K677" s="156"/>
      <c r="L677" s="157"/>
      <c r="M677" s="158" t="s">
        <v>28</v>
      </c>
      <c r="N677" s="159" t="s">
        <v>29</v>
      </c>
    </row>
    <row r="678" spans="1:14">
      <c r="A678" s="148"/>
      <c r="B678" s="149"/>
      <c r="C678" s="160"/>
      <c r="D678" s="151"/>
      <c r="E678" s="152"/>
      <c r="F678" s="153"/>
      <c r="G678" s="154"/>
      <c r="H678" s="154"/>
      <c r="I678" s="154"/>
      <c r="J678" s="155"/>
      <c r="K678" s="156"/>
      <c r="L678" s="157"/>
      <c r="M678" s="158" t="s">
        <v>28</v>
      </c>
      <c r="N678" s="159" t="s">
        <v>29</v>
      </c>
    </row>
    <row r="679" spans="1:14">
      <c r="A679" s="148"/>
      <c r="B679" s="149"/>
      <c r="C679" s="160"/>
      <c r="D679" s="151"/>
      <c r="E679" s="152"/>
      <c r="F679" s="153"/>
      <c r="G679" s="154"/>
      <c r="H679" s="154"/>
      <c r="I679" s="154"/>
      <c r="J679" s="155"/>
      <c r="K679" s="156"/>
      <c r="L679" s="157"/>
      <c r="M679" s="158" t="s">
        <v>28</v>
      </c>
      <c r="N679" s="159" t="s">
        <v>29</v>
      </c>
    </row>
    <row r="680" spans="1:14">
      <c r="A680" s="148"/>
      <c r="B680" s="149"/>
      <c r="C680" s="160"/>
      <c r="D680" s="151"/>
      <c r="E680" s="152"/>
      <c r="F680" s="153"/>
      <c r="G680" s="154"/>
      <c r="H680" s="154"/>
      <c r="I680" s="154"/>
      <c r="J680" s="155"/>
      <c r="K680" s="156"/>
      <c r="L680" s="157"/>
      <c r="M680" s="158" t="s">
        <v>28</v>
      </c>
      <c r="N680" s="159" t="s">
        <v>29</v>
      </c>
    </row>
    <row r="681" spans="1:14">
      <c r="A681" s="148"/>
      <c r="B681" s="149"/>
      <c r="C681" s="160"/>
      <c r="D681" s="151"/>
      <c r="E681" s="152"/>
      <c r="F681" s="153"/>
      <c r="G681" s="154"/>
      <c r="H681" s="154"/>
      <c r="I681" s="154"/>
      <c r="J681" s="155"/>
      <c r="K681" s="156"/>
      <c r="L681" s="157"/>
      <c r="M681" s="158" t="s">
        <v>28</v>
      </c>
      <c r="N681" s="159" t="s">
        <v>29</v>
      </c>
    </row>
    <row r="682" spans="1:14">
      <c r="A682" s="148"/>
      <c r="B682" s="149"/>
      <c r="C682" s="160"/>
      <c r="D682" s="151"/>
      <c r="E682" s="152"/>
      <c r="F682" s="153"/>
      <c r="G682" s="154"/>
      <c r="H682" s="154"/>
      <c r="I682" s="154"/>
      <c r="J682" s="155"/>
      <c r="K682" s="156"/>
      <c r="L682" s="157"/>
      <c r="M682" s="158" t="s">
        <v>28</v>
      </c>
      <c r="N682" s="159" t="s">
        <v>29</v>
      </c>
    </row>
    <row r="683" spans="1:14">
      <c r="A683" s="148"/>
      <c r="B683" s="149"/>
      <c r="C683" s="160"/>
      <c r="D683" s="151"/>
      <c r="E683" s="152"/>
      <c r="F683" s="153"/>
      <c r="G683" s="154"/>
      <c r="H683" s="154"/>
      <c r="I683" s="154"/>
      <c r="J683" s="155"/>
      <c r="K683" s="156"/>
      <c r="L683" s="157"/>
      <c r="M683" s="158" t="s">
        <v>28</v>
      </c>
      <c r="N683" s="159" t="s">
        <v>29</v>
      </c>
    </row>
    <row r="684" spans="1:14">
      <c r="A684" s="148"/>
      <c r="B684" s="149"/>
      <c r="C684" s="160"/>
      <c r="D684" s="151"/>
      <c r="E684" s="152"/>
      <c r="F684" s="153"/>
      <c r="G684" s="154"/>
      <c r="H684" s="154"/>
      <c r="I684" s="154"/>
      <c r="J684" s="155"/>
      <c r="K684" s="156"/>
      <c r="L684" s="157"/>
      <c r="M684" s="158" t="s">
        <v>28</v>
      </c>
      <c r="N684" s="159" t="s">
        <v>29</v>
      </c>
    </row>
    <row r="685" spans="1:14">
      <c r="A685" s="148"/>
      <c r="B685" s="149"/>
      <c r="C685" s="160"/>
      <c r="D685" s="151"/>
      <c r="E685" s="152"/>
      <c r="F685" s="153"/>
      <c r="G685" s="154"/>
      <c r="H685" s="154"/>
      <c r="I685" s="154"/>
      <c r="J685" s="155"/>
      <c r="K685" s="156"/>
      <c r="L685" s="157"/>
      <c r="M685" s="158" t="s">
        <v>28</v>
      </c>
      <c r="N685" s="159" t="s">
        <v>29</v>
      </c>
    </row>
    <row r="686" spans="1:14">
      <c r="A686" s="148"/>
      <c r="B686" s="149"/>
      <c r="C686" s="160"/>
      <c r="D686" s="151"/>
      <c r="E686" s="152"/>
      <c r="F686" s="153"/>
      <c r="G686" s="154"/>
      <c r="H686" s="154"/>
      <c r="I686" s="154"/>
      <c r="J686" s="155"/>
      <c r="K686" s="156"/>
      <c r="L686" s="157"/>
      <c r="M686" s="158" t="s">
        <v>28</v>
      </c>
      <c r="N686" s="159" t="s">
        <v>29</v>
      </c>
    </row>
    <row r="687" spans="1:14">
      <c r="A687" s="148"/>
      <c r="B687" s="149"/>
      <c r="C687" s="160"/>
      <c r="D687" s="151"/>
      <c r="E687" s="152"/>
      <c r="F687" s="153"/>
      <c r="G687" s="154"/>
      <c r="H687" s="154"/>
      <c r="I687" s="154"/>
      <c r="J687" s="155"/>
      <c r="K687" s="156"/>
      <c r="L687" s="157"/>
      <c r="M687" s="158" t="s">
        <v>28</v>
      </c>
      <c r="N687" s="159" t="s">
        <v>29</v>
      </c>
    </row>
    <row r="688" spans="1:14">
      <c r="A688" s="148"/>
      <c r="B688" s="149"/>
      <c r="C688" s="160"/>
      <c r="D688" s="151"/>
      <c r="E688" s="152"/>
      <c r="F688" s="153"/>
      <c r="G688" s="154"/>
      <c r="H688" s="154"/>
      <c r="I688" s="154"/>
      <c r="J688" s="155"/>
      <c r="K688" s="156"/>
      <c r="L688" s="157"/>
      <c r="M688" s="158" t="s">
        <v>28</v>
      </c>
      <c r="N688" s="159" t="s">
        <v>29</v>
      </c>
    </row>
    <row r="689" spans="1:14">
      <c r="A689" s="148"/>
      <c r="B689" s="149"/>
      <c r="C689" s="160"/>
      <c r="D689" s="151"/>
      <c r="E689" s="152"/>
      <c r="F689" s="153"/>
      <c r="G689" s="154"/>
      <c r="H689" s="154"/>
      <c r="I689" s="154"/>
      <c r="J689" s="155"/>
      <c r="K689" s="156"/>
      <c r="L689" s="157"/>
      <c r="M689" s="158" t="s">
        <v>28</v>
      </c>
      <c r="N689" s="159" t="s">
        <v>29</v>
      </c>
    </row>
    <row r="690" spans="1:14">
      <c r="A690" s="148"/>
      <c r="B690" s="149"/>
      <c r="C690" s="160"/>
      <c r="D690" s="151"/>
      <c r="E690" s="152"/>
      <c r="F690" s="153"/>
      <c r="G690" s="154"/>
      <c r="H690" s="154"/>
      <c r="I690" s="154"/>
      <c r="J690" s="155"/>
      <c r="K690" s="156"/>
      <c r="L690" s="157"/>
      <c r="M690" s="158" t="s">
        <v>28</v>
      </c>
      <c r="N690" s="159" t="s">
        <v>29</v>
      </c>
    </row>
    <row r="691" spans="1:14">
      <c r="A691" s="148"/>
      <c r="B691" s="149"/>
      <c r="C691" s="160"/>
      <c r="D691" s="151"/>
      <c r="E691" s="152"/>
      <c r="F691" s="153"/>
      <c r="G691" s="154"/>
      <c r="H691" s="154"/>
      <c r="I691" s="154"/>
      <c r="J691" s="155"/>
      <c r="K691" s="156"/>
      <c r="L691" s="157"/>
      <c r="M691" s="158" t="s">
        <v>28</v>
      </c>
      <c r="N691" s="159" t="s">
        <v>29</v>
      </c>
    </row>
    <row r="692" spans="1:14">
      <c r="A692" s="148"/>
      <c r="B692" s="149"/>
      <c r="C692" s="160"/>
      <c r="D692" s="151"/>
      <c r="E692" s="152"/>
      <c r="F692" s="153"/>
      <c r="G692" s="154"/>
      <c r="H692" s="154"/>
      <c r="I692" s="154"/>
      <c r="J692" s="155"/>
      <c r="K692" s="156"/>
      <c r="L692" s="157"/>
      <c r="M692" s="158" t="s">
        <v>28</v>
      </c>
      <c r="N692" s="159" t="s">
        <v>29</v>
      </c>
    </row>
    <row r="693" spans="1:14">
      <c r="A693" s="148"/>
      <c r="B693" s="149"/>
      <c r="C693" s="160"/>
      <c r="D693" s="151"/>
      <c r="E693" s="152"/>
      <c r="F693" s="153"/>
      <c r="G693" s="154"/>
      <c r="H693" s="154"/>
      <c r="I693" s="154"/>
      <c r="J693" s="155"/>
      <c r="K693" s="156"/>
      <c r="L693" s="157"/>
      <c r="M693" s="158" t="s">
        <v>28</v>
      </c>
      <c r="N693" s="159" t="s">
        <v>29</v>
      </c>
    </row>
    <row r="694" spans="1:14">
      <c r="A694" s="148"/>
      <c r="B694" s="149"/>
      <c r="C694" s="160"/>
      <c r="D694" s="151"/>
      <c r="E694" s="152"/>
      <c r="F694" s="153"/>
      <c r="G694" s="154"/>
      <c r="H694" s="154"/>
      <c r="I694" s="154"/>
      <c r="J694" s="155"/>
      <c r="K694" s="156"/>
      <c r="L694" s="157"/>
      <c r="M694" s="158" t="s">
        <v>28</v>
      </c>
      <c r="N694" s="159" t="s">
        <v>29</v>
      </c>
    </row>
    <row r="695" spans="1:14">
      <c r="A695" s="148"/>
      <c r="B695" s="149"/>
      <c r="C695" s="160"/>
      <c r="D695" s="151"/>
      <c r="E695" s="152"/>
      <c r="F695" s="153"/>
      <c r="G695" s="154"/>
      <c r="H695" s="154"/>
      <c r="I695" s="154"/>
      <c r="J695" s="155"/>
      <c r="K695" s="156"/>
      <c r="L695" s="157"/>
      <c r="M695" s="158" t="s">
        <v>28</v>
      </c>
      <c r="N695" s="159" t="s">
        <v>29</v>
      </c>
    </row>
    <row r="696" spans="1:14">
      <c r="A696" s="148"/>
      <c r="B696" s="149"/>
      <c r="C696" s="160"/>
      <c r="D696" s="151"/>
      <c r="E696" s="152"/>
      <c r="F696" s="153"/>
      <c r="G696" s="154"/>
      <c r="H696" s="154"/>
      <c r="I696" s="154"/>
      <c r="J696" s="155"/>
      <c r="K696" s="156"/>
      <c r="L696" s="157"/>
      <c r="M696" s="158" t="s">
        <v>28</v>
      </c>
      <c r="N696" s="159" t="s">
        <v>29</v>
      </c>
    </row>
    <row r="697" spans="1:14">
      <c r="A697" s="148"/>
      <c r="B697" s="149"/>
      <c r="C697" s="160"/>
      <c r="D697" s="151"/>
      <c r="E697" s="152"/>
      <c r="F697" s="153"/>
      <c r="G697" s="154"/>
      <c r="H697" s="154"/>
      <c r="I697" s="154"/>
      <c r="J697" s="155"/>
      <c r="K697" s="156"/>
      <c r="L697" s="157"/>
      <c r="M697" s="158" t="s">
        <v>28</v>
      </c>
      <c r="N697" s="159" t="s">
        <v>29</v>
      </c>
    </row>
    <row r="698" spans="1:14">
      <c r="A698" s="148"/>
      <c r="B698" s="149"/>
      <c r="C698" s="160"/>
      <c r="D698" s="151"/>
      <c r="E698" s="152"/>
      <c r="F698" s="153"/>
      <c r="G698" s="154"/>
      <c r="H698" s="154"/>
      <c r="I698" s="154"/>
      <c r="J698" s="155"/>
      <c r="K698" s="156"/>
      <c r="L698" s="157"/>
      <c r="M698" s="158" t="s">
        <v>28</v>
      </c>
      <c r="N698" s="159" t="s">
        <v>29</v>
      </c>
    </row>
    <row r="699" spans="1:14">
      <c r="A699" s="148"/>
      <c r="B699" s="149"/>
      <c r="C699" s="160"/>
      <c r="D699" s="151"/>
      <c r="E699" s="152"/>
      <c r="F699" s="153"/>
      <c r="G699" s="154"/>
      <c r="H699" s="154"/>
      <c r="I699" s="154"/>
      <c r="J699" s="155"/>
      <c r="K699" s="156"/>
      <c r="L699" s="157"/>
      <c r="M699" s="158" t="s">
        <v>28</v>
      </c>
      <c r="N699" s="159" t="s">
        <v>29</v>
      </c>
    </row>
    <row r="700" spans="1:14">
      <c r="A700" s="148"/>
      <c r="B700" s="149"/>
      <c r="C700" s="160"/>
      <c r="D700" s="151"/>
      <c r="E700" s="152"/>
      <c r="F700" s="153"/>
      <c r="G700" s="154"/>
      <c r="H700" s="154"/>
      <c r="I700" s="154"/>
      <c r="J700" s="155"/>
      <c r="K700" s="156"/>
      <c r="L700" s="157"/>
      <c r="M700" s="158" t="s">
        <v>28</v>
      </c>
      <c r="N700" s="159" t="s">
        <v>29</v>
      </c>
    </row>
    <row r="701" spans="1:14">
      <c r="A701" s="148"/>
      <c r="B701" s="149"/>
      <c r="C701" s="160"/>
      <c r="D701" s="151"/>
      <c r="E701" s="152"/>
      <c r="F701" s="153"/>
      <c r="G701" s="154"/>
      <c r="H701" s="154"/>
      <c r="I701" s="154"/>
      <c r="J701" s="155"/>
      <c r="K701" s="156"/>
      <c r="L701" s="157"/>
      <c r="M701" s="158" t="s">
        <v>28</v>
      </c>
      <c r="N701" s="159" t="s">
        <v>29</v>
      </c>
    </row>
    <row r="702" spans="1:14">
      <c r="A702" s="148"/>
      <c r="B702" s="149"/>
      <c r="C702" s="160"/>
      <c r="D702" s="151"/>
      <c r="E702" s="152"/>
      <c r="F702" s="153"/>
      <c r="G702" s="154"/>
      <c r="H702" s="154"/>
      <c r="I702" s="154"/>
      <c r="J702" s="155"/>
      <c r="K702" s="156"/>
      <c r="L702" s="157"/>
      <c r="M702" s="158" t="s">
        <v>28</v>
      </c>
      <c r="N702" s="159" t="s">
        <v>29</v>
      </c>
    </row>
    <row r="703" spans="1:14">
      <c r="A703" s="148"/>
      <c r="B703" s="149"/>
      <c r="C703" s="160"/>
      <c r="D703" s="151"/>
      <c r="E703" s="152"/>
      <c r="F703" s="153"/>
      <c r="G703" s="154"/>
      <c r="H703" s="154"/>
      <c r="I703" s="154"/>
      <c r="J703" s="155"/>
      <c r="K703" s="156"/>
      <c r="L703" s="157"/>
      <c r="M703" s="158" t="s">
        <v>28</v>
      </c>
      <c r="N703" s="159" t="s">
        <v>29</v>
      </c>
    </row>
    <row r="704" spans="1:14">
      <c r="A704" s="148"/>
      <c r="B704" s="149"/>
      <c r="C704" s="160"/>
      <c r="D704" s="151"/>
      <c r="E704" s="152"/>
      <c r="F704" s="153"/>
      <c r="G704" s="154"/>
      <c r="H704" s="154"/>
      <c r="I704" s="154"/>
      <c r="J704" s="155"/>
      <c r="K704" s="156"/>
      <c r="L704" s="157"/>
      <c r="M704" s="158" t="s">
        <v>28</v>
      </c>
      <c r="N704" s="159" t="s">
        <v>29</v>
      </c>
    </row>
    <row r="705" spans="1:14">
      <c r="A705" s="148"/>
      <c r="B705" s="149"/>
      <c r="C705" s="160"/>
      <c r="D705" s="151"/>
      <c r="E705" s="152"/>
      <c r="F705" s="153"/>
      <c r="G705" s="154"/>
      <c r="H705" s="154"/>
      <c r="I705" s="154"/>
      <c r="J705" s="155"/>
      <c r="K705" s="156"/>
      <c r="L705" s="157"/>
      <c r="M705" s="158" t="s">
        <v>28</v>
      </c>
      <c r="N705" s="159" t="s">
        <v>29</v>
      </c>
    </row>
    <row r="706" spans="1:14">
      <c r="A706" s="148"/>
      <c r="B706" s="149"/>
      <c r="C706" s="160"/>
      <c r="D706" s="151"/>
      <c r="E706" s="152"/>
      <c r="F706" s="153"/>
      <c r="G706" s="154"/>
      <c r="H706" s="154"/>
      <c r="I706" s="154"/>
      <c r="J706" s="155"/>
      <c r="K706" s="156"/>
      <c r="L706" s="157"/>
      <c r="M706" s="158" t="s">
        <v>28</v>
      </c>
      <c r="N706" s="159" t="s">
        <v>29</v>
      </c>
    </row>
    <row r="707" spans="1:14">
      <c r="A707" s="148"/>
      <c r="B707" s="149"/>
      <c r="C707" s="160"/>
      <c r="D707" s="151"/>
      <c r="E707" s="152"/>
      <c r="F707" s="153"/>
      <c r="G707" s="154"/>
      <c r="H707" s="154"/>
      <c r="I707" s="154"/>
      <c r="J707" s="155"/>
      <c r="K707" s="156"/>
      <c r="L707" s="157"/>
      <c r="M707" s="158" t="s">
        <v>28</v>
      </c>
      <c r="N707" s="159" t="s">
        <v>29</v>
      </c>
    </row>
    <row r="708" spans="1:14">
      <c r="A708" s="148"/>
      <c r="B708" s="149"/>
      <c r="C708" s="160"/>
      <c r="D708" s="151"/>
      <c r="E708" s="152"/>
      <c r="F708" s="153"/>
      <c r="G708" s="154"/>
      <c r="H708" s="154"/>
      <c r="I708" s="154"/>
      <c r="J708" s="155"/>
      <c r="K708" s="156"/>
      <c r="L708" s="157"/>
      <c r="M708" s="158" t="s">
        <v>28</v>
      </c>
      <c r="N708" s="159" t="s">
        <v>29</v>
      </c>
    </row>
    <row r="709" spans="1:14">
      <c r="A709" s="148"/>
      <c r="B709" s="149"/>
      <c r="C709" s="160"/>
      <c r="D709" s="151"/>
      <c r="E709" s="152"/>
      <c r="F709" s="153"/>
      <c r="G709" s="154"/>
      <c r="H709" s="154"/>
      <c r="I709" s="154"/>
      <c r="J709" s="155"/>
      <c r="K709" s="156"/>
      <c r="L709" s="157"/>
      <c r="M709" s="158" t="s">
        <v>28</v>
      </c>
      <c r="N709" s="159" t="s">
        <v>29</v>
      </c>
    </row>
    <row r="710" spans="1:14">
      <c r="A710" s="148"/>
      <c r="B710" s="149"/>
      <c r="C710" s="160"/>
      <c r="D710" s="151"/>
      <c r="E710" s="152"/>
      <c r="F710" s="153"/>
      <c r="G710" s="154"/>
      <c r="H710" s="154"/>
      <c r="I710" s="154"/>
      <c r="J710" s="155"/>
      <c r="K710" s="156"/>
      <c r="L710" s="157"/>
      <c r="M710" s="158" t="s">
        <v>28</v>
      </c>
      <c r="N710" s="159" t="s">
        <v>29</v>
      </c>
    </row>
    <row r="711" spans="1:14">
      <c r="A711" s="148"/>
      <c r="B711" s="149"/>
      <c r="C711" s="160"/>
      <c r="D711" s="151"/>
      <c r="E711" s="152"/>
      <c r="F711" s="153"/>
      <c r="G711" s="154"/>
      <c r="H711" s="154"/>
      <c r="I711" s="154"/>
      <c r="J711" s="155"/>
      <c r="K711" s="156"/>
      <c r="L711" s="157"/>
      <c r="M711" s="158" t="s">
        <v>28</v>
      </c>
      <c r="N711" s="159" t="s">
        <v>29</v>
      </c>
    </row>
    <row r="712" spans="1:14">
      <c r="A712" s="148"/>
      <c r="B712" s="149"/>
      <c r="C712" s="160"/>
      <c r="D712" s="151"/>
      <c r="E712" s="152"/>
      <c r="F712" s="153"/>
      <c r="G712" s="154"/>
      <c r="H712" s="154"/>
      <c r="I712" s="154"/>
      <c r="J712" s="155"/>
      <c r="K712" s="156"/>
      <c r="L712" s="157"/>
      <c r="M712" s="158" t="s">
        <v>28</v>
      </c>
      <c r="N712" s="159" t="s">
        <v>29</v>
      </c>
    </row>
    <row r="713" spans="1:14">
      <c r="A713" s="148"/>
      <c r="B713" s="149"/>
      <c r="C713" s="160"/>
      <c r="D713" s="151"/>
      <c r="E713" s="152"/>
      <c r="F713" s="153"/>
      <c r="G713" s="154"/>
      <c r="H713" s="154"/>
      <c r="I713" s="154"/>
      <c r="J713" s="155"/>
      <c r="K713" s="156"/>
      <c r="L713" s="157"/>
      <c r="M713" s="158" t="s">
        <v>28</v>
      </c>
      <c r="N713" s="159" t="s">
        <v>29</v>
      </c>
    </row>
    <row r="714" spans="1:14">
      <c r="A714" s="148"/>
      <c r="B714" s="149"/>
      <c r="C714" s="160"/>
      <c r="D714" s="151"/>
      <c r="E714" s="152"/>
      <c r="F714" s="153"/>
      <c r="G714" s="154"/>
      <c r="H714" s="154"/>
      <c r="I714" s="154"/>
      <c r="J714" s="155"/>
      <c r="K714" s="156"/>
      <c r="L714" s="157"/>
      <c r="M714" s="158" t="s">
        <v>28</v>
      </c>
      <c r="N714" s="159" t="s">
        <v>29</v>
      </c>
    </row>
    <row r="715" spans="1:14">
      <c r="A715" s="148"/>
      <c r="B715" s="149"/>
      <c r="C715" s="160"/>
      <c r="D715" s="151"/>
      <c r="E715" s="152"/>
      <c r="F715" s="153"/>
      <c r="G715" s="154"/>
      <c r="H715" s="154"/>
      <c r="I715" s="154"/>
      <c r="J715" s="155"/>
      <c r="K715" s="156"/>
      <c r="L715" s="157"/>
      <c r="M715" s="158" t="s">
        <v>28</v>
      </c>
      <c r="N715" s="159" t="s">
        <v>29</v>
      </c>
    </row>
    <row r="716" spans="1:14">
      <c r="A716" s="148"/>
      <c r="B716" s="149"/>
      <c r="C716" s="160"/>
      <c r="D716" s="151"/>
      <c r="E716" s="152"/>
      <c r="F716" s="153"/>
      <c r="G716" s="154"/>
      <c r="H716" s="154"/>
      <c r="I716" s="154"/>
      <c r="J716" s="155"/>
      <c r="K716" s="156"/>
      <c r="L716" s="157"/>
      <c r="M716" s="158" t="s">
        <v>28</v>
      </c>
      <c r="N716" s="159" t="s">
        <v>29</v>
      </c>
    </row>
    <row r="717" spans="1:14">
      <c r="A717" s="148"/>
      <c r="B717" s="149"/>
      <c r="C717" s="160"/>
      <c r="D717" s="151"/>
      <c r="E717" s="152"/>
      <c r="F717" s="153"/>
      <c r="G717" s="154"/>
      <c r="H717" s="154"/>
      <c r="I717" s="154"/>
      <c r="J717" s="155"/>
      <c r="K717" s="156"/>
      <c r="L717" s="157"/>
      <c r="M717" s="158" t="s">
        <v>28</v>
      </c>
      <c r="N717" s="159" t="s">
        <v>29</v>
      </c>
    </row>
    <row r="718" spans="1:14">
      <c r="A718" s="148"/>
      <c r="B718" s="149"/>
      <c r="C718" s="160"/>
      <c r="D718" s="151"/>
      <c r="E718" s="152"/>
      <c r="F718" s="153"/>
      <c r="G718" s="154"/>
      <c r="H718" s="154"/>
      <c r="I718" s="154"/>
      <c r="J718" s="155"/>
      <c r="K718" s="156"/>
      <c r="L718" s="157"/>
      <c r="M718" s="158" t="s">
        <v>28</v>
      </c>
      <c r="N718" s="159" t="s">
        <v>29</v>
      </c>
    </row>
    <row r="719" spans="1:14">
      <c r="A719" s="148"/>
      <c r="B719" s="149"/>
      <c r="C719" s="160"/>
      <c r="D719" s="151"/>
      <c r="E719" s="152"/>
      <c r="F719" s="153"/>
      <c r="G719" s="154"/>
      <c r="H719" s="154"/>
      <c r="I719" s="154"/>
      <c r="J719" s="155"/>
      <c r="K719" s="156"/>
      <c r="L719" s="157"/>
      <c r="M719" s="158" t="s">
        <v>28</v>
      </c>
      <c r="N719" s="159" t="s">
        <v>29</v>
      </c>
    </row>
    <row r="720" spans="1:14">
      <c r="A720" s="148"/>
      <c r="B720" s="149"/>
      <c r="C720" s="160"/>
      <c r="D720" s="151"/>
      <c r="E720" s="152"/>
      <c r="F720" s="153"/>
      <c r="G720" s="154"/>
      <c r="H720" s="154"/>
      <c r="I720" s="154"/>
      <c r="J720" s="155"/>
      <c r="K720" s="156"/>
      <c r="L720" s="157"/>
      <c r="M720" s="158" t="s">
        <v>28</v>
      </c>
      <c r="N720" s="159" t="s">
        <v>29</v>
      </c>
    </row>
    <row r="721" spans="1:14">
      <c r="A721" s="148"/>
      <c r="B721" s="149"/>
      <c r="C721" s="160"/>
      <c r="D721" s="151"/>
      <c r="E721" s="152"/>
      <c r="F721" s="153"/>
      <c r="G721" s="154"/>
      <c r="H721" s="154"/>
      <c r="I721" s="154"/>
      <c r="J721" s="155"/>
      <c r="K721" s="156"/>
      <c r="L721" s="157"/>
      <c r="M721" s="158" t="s">
        <v>28</v>
      </c>
      <c r="N721" s="159" t="s">
        <v>29</v>
      </c>
    </row>
    <row r="722" spans="1:14">
      <c r="A722" s="148"/>
      <c r="B722" s="149"/>
      <c r="C722" s="160"/>
      <c r="D722" s="151"/>
      <c r="E722" s="152"/>
      <c r="F722" s="153"/>
      <c r="G722" s="154"/>
      <c r="H722" s="154"/>
      <c r="I722" s="154"/>
      <c r="J722" s="155"/>
      <c r="K722" s="156"/>
      <c r="L722" s="157"/>
      <c r="M722" s="158" t="s">
        <v>28</v>
      </c>
      <c r="N722" s="159" t="s">
        <v>29</v>
      </c>
    </row>
    <row r="723" spans="1:14">
      <c r="A723" s="148"/>
      <c r="B723" s="149"/>
      <c r="C723" s="160"/>
      <c r="D723" s="151"/>
      <c r="E723" s="152"/>
      <c r="F723" s="153"/>
      <c r="G723" s="154"/>
      <c r="H723" s="154"/>
      <c r="I723" s="154"/>
      <c r="J723" s="155"/>
      <c r="K723" s="156"/>
      <c r="L723" s="157"/>
      <c r="M723" s="158" t="s">
        <v>28</v>
      </c>
      <c r="N723" s="159" t="s">
        <v>29</v>
      </c>
    </row>
    <row r="724" spans="1:14">
      <c r="A724" s="148"/>
      <c r="B724" s="149"/>
      <c r="C724" s="160"/>
      <c r="D724" s="151"/>
      <c r="E724" s="152"/>
      <c r="F724" s="153"/>
      <c r="G724" s="154"/>
      <c r="H724" s="154"/>
      <c r="I724" s="154"/>
      <c r="J724" s="155"/>
      <c r="K724" s="156"/>
      <c r="L724" s="157"/>
      <c r="M724" s="158" t="s">
        <v>28</v>
      </c>
      <c r="N724" s="159" t="s">
        <v>29</v>
      </c>
    </row>
    <row r="725" spans="1:14">
      <c r="A725" s="148"/>
      <c r="B725" s="149"/>
      <c r="C725" s="160"/>
      <c r="D725" s="151"/>
      <c r="E725" s="152"/>
      <c r="F725" s="153"/>
      <c r="G725" s="154"/>
      <c r="H725" s="154"/>
      <c r="I725" s="154"/>
      <c r="J725" s="155"/>
      <c r="K725" s="156"/>
      <c r="L725" s="157"/>
      <c r="M725" s="158" t="s">
        <v>28</v>
      </c>
      <c r="N725" s="159" t="s">
        <v>29</v>
      </c>
    </row>
    <row r="726" spans="1:14">
      <c r="A726" s="148"/>
      <c r="B726" s="149"/>
      <c r="C726" s="160"/>
      <c r="D726" s="151"/>
      <c r="E726" s="152"/>
      <c r="F726" s="153"/>
      <c r="G726" s="154"/>
      <c r="H726" s="154"/>
      <c r="I726" s="154"/>
      <c r="J726" s="155"/>
      <c r="K726" s="156"/>
      <c r="L726" s="157"/>
      <c r="M726" s="158" t="s">
        <v>28</v>
      </c>
      <c r="N726" s="159" t="s">
        <v>29</v>
      </c>
    </row>
    <row r="727" spans="1:14">
      <c r="A727" s="148"/>
      <c r="B727" s="149"/>
      <c r="C727" s="160"/>
      <c r="D727" s="151"/>
      <c r="E727" s="152"/>
      <c r="F727" s="153"/>
      <c r="G727" s="154"/>
      <c r="H727" s="154"/>
      <c r="I727" s="154"/>
      <c r="J727" s="155"/>
      <c r="K727" s="156"/>
      <c r="L727" s="157"/>
      <c r="M727" s="158" t="s">
        <v>28</v>
      </c>
      <c r="N727" s="159" t="s">
        <v>29</v>
      </c>
    </row>
    <row r="728" spans="1:14">
      <c r="A728" s="148"/>
      <c r="B728" s="149"/>
      <c r="C728" s="160"/>
      <c r="D728" s="151"/>
      <c r="E728" s="152"/>
      <c r="F728" s="153"/>
      <c r="G728" s="154"/>
      <c r="H728" s="154"/>
      <c r="I728" s="154"/>
      <c r="J728" s="155"/>
      <c r="K728" s="156"/>
      <c r="L728" s="157"/>
      <c r="M728" s="158" t="s">
        <v>28</v>
      </c>
      <c r="N728" s="159" t="s">
        <v>29</v>
      </c>
    </row>
    <row r="729" spans="1:14">
      <c r="A729" s="148"/>
      <c r="B729" s="149"/>
      <c r="C729" s="160"/>
      <c r="D729" s="151"/>
      <c r="E729" s="152"/>
      <c r="F729" s="153"/>
      <c r="G729" s="154"/>
      <c r="H729" s="154"/>
      <c r="I729" s="154"/>
      <c r="J729" s="155"/>
      <c r="K729" s="156"/>
      <c r="L729" s="157"/>
      <c r="M729" s="158" t="s">
        <v>28</v>
      </c>
      <c r="N729" s="159" t="s">
        <v>29</v>
      </c>
    </row>
    <row r="730" spans="1:14">
      <c r="A730" s="148"/>
      <c r="B730" s="149"/>
      <c r="C730" s="160"/>
      <c r="D730" s="151"/>
      <c r="E730" s="152"/>
      <c r="F730" s="153"/>
      <c r="G730" s="154"/>
      <c r="H730" s="154"/>
      <c r="I730" s="154"/>
      <c r="J730" s="155"/>
      <c r="K730" s="156"/>
      <c r="L730" s="157"/>
      <c r="M730" s="158" t="s">
        <v>28</v>
      </c>
      <c r="N730" s="159" t="s">
        <v>29</v>
      </c>
    </row>
    <row r="731" spans="1:14">
      <c r="A731" s="148"/>
      <c r="B731" s="149"/>
      <c r="C731" s="160"/>
      <c r="D731" s="151"/>
      <c r="E731" s="152"/>
      <c r="F731" s="153"/>
      <c r="G731" s="154"/>
      <c r="H731" s="154"/>
      <c r="I731" s="154"/>
      <c r="J731" s="155"/>
      <c r="K731" s="156"/>
      <c r="L731" s="157"/>
      <c r="M731" s="158" t="s">
        <v>28</v>
      </c>
      <c r="N731" s="159" t="s">
        <v>29</v>
      </c>
    </row>
    <row r="732" spans="1:14">
      <c r="A732" s="148"/>
      <c r="B732" s="149"/>
      <c r="C732" s="160"/>
      <c r="D732" s="151"/>
      <c r="E732" s="152"/>
      <c r="F732" s="153"/>
      <c r="G732" s="154"/>
      <c r="H732" s="154"/>
      <c r="I732" s="154"/>
      <c r="J732" s="155"/>
      <c r="K732" s="156"/>
      <c r="L732" s="157"/>
      <c r="M732" s="158" t="s">
        <v>28</v>
      </c>
      <c r="N732" s="159" t="s">
        <v>29</v>
      </c>
    </row>
    <row r="733" spans="1:14">
      <c r="A733" s="148"/>
      <c r="B733" s="149"/>
      <c r="C733" s="160"/>
      <c r="D733" s="151"/>
      <c r="E733" s="152"/>
      <c r="F733" s="153"/>
      <c r="G733" s="154"/>
      <c r="H733" s="154"/>
      <c r="I733" s="154"/>
      <c r="J733" s="155"/>
      <c r="K733" s="156"/>
      <c r="L733" s="157"/>
      <c r="M733" s="158" t="s">
        <v>28</v>
      </c>
      <c r="N733" s="159" t="s">
        <v>29</v>
      </c>
    </row>
    <row r="734" spans="1:14">
      <c r="A734" s="148"/>
      <c r="B734" s="149"/>
      <c r="C734" s="160"/>
      <c r="D734" s="151"/>
      <c r="E734" s="152"/>
      <c r="F734" s="153"/>
      <c r="G734" s="154"/>
      <c r="H734" s="154"/>
      <c r="I734" s="154"/>
      <c r="J734" s="155"/>
      <c r="K734" s="156"/>
      <c r="L734" s="157"/>
      <c r="M734" s="158" t="s">
        <v>28</v>
      </c>
      <c r="N734" s="159" t="s">
        <v>29</v>
      </c>
    </row>
    <row r="735" spans="1:14">
      <c r="A735" s="148"/>
      <c r="B735" s="149"/>
      <c r="C735" s="160"/>
      <c r="D735" s="151"/>
      <c r="E735" s="152"/>
      <c r="F735" s="153"/>
      <c r="G735" s="154"/>
      <c r="H735" s="154"/>
      <c r="I735" s="154"/>
      <c r="J735" s="155"/>
      <c r="K735" s="156"/>
      <c r="L735" s="157"/>
      <c r="M735" s="158" t="s">
        <v>28</v>
      </c>
      <c r="N735" s="159" t="s">
        <v>29</v>
      </c>
    </row>
    <row r="736" spans="1:14">
      <c r="A736" s="148"/>
      <c r="B736" s="149"/>
      <c r="C736" s="160"/>
      <c r="D736" s="151"/>
      <c r="E736" s="152"/>
      <c r="F736" s="153"/>
      <c r="G736" s="154"/>
      <c r="H736" s="154"/>
      <c r="I736" s="154"/>
      <c r="J736" s="155"/>
      <c r="K736" s="156"/>
      <c r="L736" s="157"/>
      <c r="M736" s="158" t="s">
        <v>28</v>
      </c>
      <c r="N736" s="159" t="s">
        <v>29</v>
      </c>
    </row>
    <row r="737" spans="1:14">
      <c r="A737" s="148"/>
      <c r="B737" s="149"/>
      <c r="C737" s="160"/>
      <c r="D737" s="151"/>
      <c r="E737" s="152"/>
      <c r="F737" s="153"/>
      <c r="G737" s="154"/>
      <c r="H737" s="154"/>
      <c r="I737" s="154"/>
      <c r="J737" s="155"/>
      <c r="K737" s="156"/>
      <c r="L737" s="157"/>
      <c r="M737" s="158" t="s">
        <v>28</v>
      </c>
      <c r="N737" s="159" t="s">
        <v>29</v>
      </c>
    </row>
    <row r="738" spans="1:14">
      <c r="A738" s="148"/>
      <c r="B738" s="149"/>
      <c r="C738" s="160"/>
      <c r="D738" s="151"/>
      <c r="E738" s="152"/>
      <c r="F738" s="153"/>
      <c r="G738" s="154"/>
      <c r="H738" s="154"/>
      <c r="I738" s="154"/>
      <c r="J738" s="155"/>
      <c r="K738" s="156"/>
      <c r="L738" s="157"/>
      <c r="M738" s="158" t="s">
        <v>28</v>
      </c>
      <c r="N738" s="159" t="s">
        <v>29</v>
      </c>
    </row>
    <row r="739" spans="1:14">
      <c r="A739" s="148"/>
      <c r="B739" s="149"/>
      <c r="C739" s="160"/>
      <c r="D739" s="151"/>
      <c r="E739" s="152"/>
      <c r="F739" s="153"/>
      <c r="G739" s="154"/>
      <c r="H739" s="154"/>
      <c r="I739" s="154"/>
      <c r="J739" s="155"/>
      <c r="K739" s="156"/>
      <c r="L739" s="157"/>
      <c r="M739" s="158" t="s">
        <v>28</v>
      </c>
      <c r="N739" s="159" t="s">
        <v>29</v>
      </c>
    </row>
    <row r="740" spans="1:14">
      <c r="A740" s="148"/>
      <c r="B740" s="149"/>
      <c r="C740" s="160"/>
      <c r="D740" s="151"/>
      <c r="E740" s="152"/>
      <c r="F740" s="153"/>
      <c r="G740" s="154"/>
      <c r="H740" s="154"/>
      <c r="I740" s="154"/>
      <c r="J740" s="155"/>
      <c r="K740" s="156"/>
      <c r="L740" s="157"/>
      <c r="M740" s="158" t="s">
        <v>28</v>
      </c>
      <c r="N740" s="159" t="s">
        <v>29</v>
      </c>
    </row>
    <row r="741" spans="1:14">
      <c r="A741" s="148"/>
      <c r="B741" s="149"/>
      <c r="C741" s="160"/>
      <c r="D741" s="151"/>
      <c r="E741" s="152"/>
      <c r="F741" s="153"/>
      <c r="G741" s="154"/>
      <c r="H741" s="154"/>
      <c r="I741" s="154"/>
      <c r="J741" s="155"/>
      <c r="K741" s="156"/>
      <c r="L741" s="157"/>
      <c r="M741" s="158" t="s">
        <v>28</v>
      </c>
      <c r="N741" s="159" t="s">
        <v>29</v>
      </c>
    </row>
    <row r="742" spans="1:14">
      <c r="A742" s="148"/>
      <c r="B742" s="149"/>
      <c r="C742" s="160"/>
      <c r="D742" s="151"/>
      <c r="E742" s="152"/>
      <c r="F742" s="153"/>
      <c r="G742" s="154"/>
      <c r="H742" s="154"/>
      <c r="I742" s="154"/>
      <c r="J742" s="155"/>
      <c r="K742" s="156"/>
      <c r="L742" s="157"/>
      <c r="M742" s="158" t="s">
        <v>28</v>
      </c>
      <c r="N742" s="159" t="s">
        <v>29</v>
      </c>
    </row>
    <row r="743" spans="1:14">
      <c r="A743" s="148"/>
      <c r="B743" s="149"/>
      <c r="C743" s="160"/>
      <c r="D743" s="151"/>
      <c r="E743" s="152"/>
      <c r="F743" s="153"/>
      <c r="G743" s="154"/>
      <c r="H743" s="154"/>
      <c r="I743" s="154"/>
      <c r="J743" s="155"/>
      <c r="K743" s="156"/>
      <c r="L743" s="157"/>
      <c r="M743" s="158" t="s">
        <v>28</v>
      </c>
      <c r="N743" s="159" t="s">
        <v>29</v>
      </c>
    </row>
    <row r="744" spans="1:14">
      <c r="A744" s="148"/>
      <c r="B744" s="149"/>
      <c r="C744" s="160"/>
      <c r="D744" s="151"/>
      <c r="E744" s="152"/>
      <c r="F744" s="153"/>
      <c r="G744" s="154"/>
      <c r="H744" s="154"/>
      <c r="I744" s="154"/>
      <c r="J744" s="155"/>
      <c r="K744" s="156"/>
      <c r="L744" s="157"/>
      <c r="M744" s="158" t="s">
        <v>28</v>
      </c>
      <c r="N744" s="159" t="s">
        <v>29</v>
      </c>
    </row>
    <row r="745" spans="1:14">
      <c r="A745" s="148"/>
      <c r="B745" s="149"/>
      <c r="C745" s="160"/>
      <c r="D745" s="151"/>
      <c r="E745" s="152"/>
      <c r="F745" s="153"/>
      <c r="G745" s="154"/>
      <c r="H745" s="154"/>
      <c r="I745" s="154"/>
      <c r="J745" s="155"/>
      <c r="K745" s="156"/>
      <c r="L745" s="157"/>
      <c r="M745" s="158" t="s">
        <v>28</v>
      </c>
      <c r="N745" s="159" t="s">
        <v>29</v>
      </c>
    </row>
    <row r="746" spans="1:14">
      <c r="A746" s="148"/>
      <c r="B746" s="149"/>
      <c r="C746" s="160"/>
      <c r="D746" s="151"/>
      <c r="E746" s="152"/>
      <c r="F746" s="153"/>
      <c r="G746" s="154"/>
      <c r="H746" s="154"/>
      <c r="I746" s="154"/>
      <c r="J746" s="155"/>
      <c r="K746" s="156"/>
      <c r="L746" s="157"/>
      <c r="M746" s="158" t="s">
        <v>28</v>
      </c>
      <c r="N746" s="159" t="s">
        <v>29</v>
      </c>
    </row>
    <row r="747" spans="1:14">
      <c r="A747" s="148"/>
      <c r="B747" s="149"/>
      <c r="C747" s="160"/>
      <c r="D747" s="151"/>
      <c r="E747" s="152"/>
      <c r="F747" s="153"/>
      <c r="G747" s="154"/>
      <c r="H747" s="154"/>
      <c r="I747" s="154"/>
      <c r="J747" s="155"/>
      <c r="K747" s="156"/>
      <c r="L747" s="157"/>
      <c r="M747" s="158" t="s">
        <v>28</v>
      </c>
      <c r="N747" s="159" t="s">
        <v>29</v>
      </c>
    </row>
    <row r="748" spans="1:14">
      <c r="A748" s="148"/>
      <c r="B748" s="149"/>
      <c r="C748" s="160"/>
      <c r="D748" s="151"/>
      <c r="E748" s="152"/>
      <c r="F748" s="153"/>
      <c r="G748" s="154"/>
      <c r="H748" s="154"/>
      <c r="I748" s="154"/>
      <c r="J748" s="155"/>
      <c r="K748" s="156"/>
      <c r="L748" s="157"/>
      <c r="M748" s="158" t="s">
        <v>28</v>
      </c>
      <c r="N748" s="159" t="s">
        <v>29</v>
      </c>
    </row>
    <row r="749" spans="1:14">
      <c r="A749" s="148"/>
      <c r="B749" s="149"/>
      <c r="C749" s="160"/>
      <c r="D749" s="151"/>
      <c r="E749" s="152"/>
      <c r="F749" s="153"/>
      <c r="G749" s="154"/>
      <c r="H749" s="154"/>
      <c r="I749" s="154"/>
      <c r="J749" s="155"/>
      <c r="K749" s="156"/>
      <c r="L749" s="157"/>
      <c r="M749" s="158" t="s">
        <v>28</v>
      </c>
      <c r="N749" s="159" t="s">
        <v>29</v>
      </c>
    </row>
    <row r="750" spans="1:14">
      <c r="A750" s="148"/>
      <c r="B750" s="149"/>
      <c r="C750" s="160"/>
      <c r="D750" s="151"/>
      <c r="E750" s="152"/>
      <c r="F750" s="153"/>
      <c r="G750" s="154"/>
      <c r="H750" s="154"/>
      <c r="I750" s="154"/>
      <c r="J750" s="155"/>
      <c r="K750" s="156"/>
      <c r="L750" s="157"/>
      <c r="M750" s="158" t="s">
        <v>28</v>
      </c>
      <c r="N750" s="159" t="s">
        <v>29</v>
      </c>
    </row>
    <row r="751" spans="1:14">
      <c r="A751" s="148"/>
      <c r="B751" s="149"/>
      <c r="C751" s="160"/>
      <c r="D751" s="151"/>
      <c r="E751" s="152"/>
      <c r="F751" s="153"/>
      <c r="G751" s="154"/>
      <c r="H751" s="154"/>
      <c r="I751" s="154"/>
      <c r="J751" s="155"/>
      <c r="K751" s="156"/>
      <c r="L751" s="157"/>
      <c r="M751" s="158" t="s">
        <v>28</v>
      </c>
      <c r="N751" s="159" t="s">
        <v>29</v>
      </c>
    </row>
    <row r="752" spans="1:14">
      <c r="A752" s="148"/>
      <c r="B752" s="149"/>
      <c r="C752" s="160"/>
      <c r="D752" s="151"/>
      <c r="E752" s="152"/>
      <c r="F752" s="153"/>
      <c r="G752" s="154"/>
      <c r="H752" s="154"/>
      <c r="I752" s="154"/>
      <c r="J752" s="155"/>
      <c r="K752" s="156"/>
      <c r="L752" s="157"/>
      <c r="M752" s="158" t="s">
        <v>28</v>
      </c>
      <c r="N752" s="159" t="s">
        <v>29</v>
      </c>
    </row>
    <row r="753" spans="1:14">
      <c r="A753" s="148"/>
      <c r="B753" s="149"/>
      <c r="C753" s="160"/>
      <c r="D753" s="151"/>
      <c r="E753" s="152"/>
      <c r="F753" s="153"/>
      <c r="G753" s="154"/>
      <c r="H753" s="154"/>
      <c r="I753" s="154"/>
      <c r="J753" s="155"/>
      <c r="K753" s="156"/>
      <c r="L753" s="157"/>
      <c r="M753" s="158" t="s">
        <v>28</v>
      </c>
      <c r="N753" s="159" t="s">
        <v>29</v>
      </c>
    </row>
    <row r="754" spans="1:14">
      <c r="A754" s="148"/>
      <c r="B754" s="149"/>
      <c r="C754" s="160"/>
      <c r="D754" s="151"/>
      <c r="E754" s="152"/>
      <c r="F754" s="153"/>
      <c r="G754" s="154"/>
      <c r="H754" s="154"/>
      <c r="I754" s="154"/>
      <c r="J754" s="155"/>
      <c r="K754" s="156"/>
      <c r="L754" s="157"/>
      <c r="M754" s="158" t="s">
        <v>28</v>
      </c>
      <c r="N754" s="159" t="s">
        <v>29</v>
      </c>
    </row>
    <row r="755" spans="1:14">
      <c r="A755" s="148"/>
      <c r="B755" s="149"/>
      <c r="C755" s="160"/>
      <c r="D755" s="151"/>
      <c r="E755" s="152"/>
      <c r="F755" s="153"/>
      <c r="G755" s="154"/>
      <c r="H755" s="154"/>
      <c r="I755" s="154"/>
      <c r="J755" s="155"/>
      <c r="K755" s="156"/>
      <c r="L755" s="157"/>
      <c r="M755" s="158" t="s">
        <v>28</v>
      </c>
      <c r="N755" s="159" t="s">
        <v>29</v>
      </c>
    </row>
    <row r="756" spans="1:14">
      <c r="A756" s="148"/>
      <c r="B756" s="149"/>
      <c r="C756" s="160"/>
      <c r="D756" s="151"/>
      <c r="E756" s="152"/>
      <c r="F756" s="153"/>
      <c r="G756" s="154"/>
      <c r="H756" s="154"/>
      <c r="I756" s="154"/>
      <c r="J756" s="155"/>
      <c r="K756" s="156"/>
      <c r="L756" s="157"/>
      <c r="M756" s="158" t="s">
        <v>28</v>
      </c>
      <c r="N756" s="159" t="s">
        <v>29</v>
      </c>
    </row>
    <row r="757" spans="1:14">
      <c r="A757" s="148"/>
      <c r="B757" s="149"/>
      <c r="C757" s="160"/>
      <c r="D757" s="151"/>
      <c r="E757" s="152"/>
      <c r="F757" s="153"/>
      <c r="G757" s="154"/>
      <c r="H757" s="154"/>
      <c r="I757" s="154"/>
      <c r="J757" s="155"/>
      <c r="K757" s="156"/>
      <c r="L757" s="157"/>
      <c r="M757" s="158" t="s">
        <v>28</v>
      </c>
      <c r="N757" s="159" t="s">
        <v>29</v>
      </c>
    </row>
    <row r="758" spans="1:14">
      <c r="A758" s="148"/>
      <c r="B758" s="149"/>
      <c r="C758" s="160"/>
      <c r="D758" s="151"/>
      <c r="E758" s="152"/>
      <c r="F758" s="153"/>
      <c r="G758" s="154"/>
      <c r="H758" s="154"/>
      <c r="I758" s="154"/>
      <c r="J758" s="155"/>
      <c r="K758" s="156"/>
      <c r="L758" s="157"/>
      <c r="M758" s="158" t="s">
        <v>28</v>
      </c>
      <c r="N758" s="159" t="s">
        <v>29</v>
      </c>
    </row>
    <row r="759" spans="1:14">
      <c r="A759" s="148"/>
      <c r="B759" s="149"/>
      <c r="C759" s="160"/>
      <c r="D759" s="151"/>
      <c r="E759" s="152"/>
      <c r="F759" s="153"/>
      <c r="G759" s="154"/>
      <c r="H759" s="154"/>
      <c r="I759" s="154"/>
      <c r="J759" s="155"/>
      <c r="K759" s="156"/>
      <c r="L759" s="157"/>
      <c r="M759" s="158" t="s">
        <v>28</v>
      </c>
      <c r="N759" s="159" t="s">
        <v>29</v>
      </c>
    </row>
    <row r="760" spans="1:14">
      <c r="A760" s="148"/>
      <c r="B760" s="149"/>
      <c r="C760" s="160"/>
      <c r="D760" s="151"/>
      <c r="E760" s="152"/>
      <c r="F760" s="153"/>
      <c r="G760" s="154"/>
      <c r="H760" s="154"/>
      <c r="I760" s="154"/>
      <c r="J760" s="155"/>
      <c r="K760" s="156"/>
      <c r="L760" s="157"/>
      <c r="M760" s="158" t="s">
        <v>28</v>
      </c>
      <c r="N760" s="159" t="s">
        <v>29</v>
      </c>
    </row>
    <row r="761" spans="1:14">
      <c r="A761" s="148"/>
      <c r="B761" s="149"/>
      <c r="C761" s="160"/>
      <c r="D761" s="151"/>
      <c r="E761" s="152"/>
      <c r="F761" s="153"/>
      <c r="G761" s="154"/>
      <c r="H761" s="154"/>
      <c r="I761" s="154"/>
      <c r="J761" s="155"/>
      <c r="K761" s="156"/>
      <c r="L761" s="157"/>
      <c r="M761" s="158" t="s">
        <v>28</v>
      </c>
      <c r="N761" s="159" t="s">
        <v>29</v>
      </c>
    </row>
    <row r="762" spans="1:14">
      <c r="A762" s="148"/>
      <c r="B762" s="149"/>
      <c r="C762" s="160"/>
      <c r="D762" s="151"/>
      <c r="E762" s="152"/>
      <c r="F762" s="153"/>
      <c r="G762" s="154"/>
      <c r="H762" s="154"/>
      <c r="I762" s="154"/>
      <c r="J762" s="155"/>
      <c r="K762" s="156"/>
      <c r="L762" s="157"/>
      <c r="M762" s="158" t="s">
        <v>28</v>
      </c>
      <c r="N762" s="159" t="s">
        <v>29</v>
      </c>
    </row>
    <row r="763" spans="1:14">
      <c r="A763" s="148"/>
      <c r="B763" s="149"/>
      <c r="C763" s="160"/>
      <c r="D763" s="151"/>
      <c r="E763" s="152"/>
      <c r="F763" s="153"/>
      <c r="G763" s="154"/>
      <c r="H763" s="154"/>
      <c r="I763" s="154"/>
      <c r="J763" s="155"/>
      <c r="K763" s="156"/>
      <c r="L763" s="157"/>
      <c r="M763" s="158" t="s">
        <v>28</v>
      </c>
      <c r="N763" s="159" t="s">
        <v>29</v>
      </c>
    </row>
    <row r="764" spans="1:14">
      <c r="A764" s="148"/>
      <c r="B764" s="149"/>
      <c r="C764" s="160"/>
      <c r="D764" s="151"/>
      <c r="E764" s="152"/>
      <c r="F764" s="153"/>
      <c r="G764" s="154"/>
      <c r="H764" s="154"/>
      <c r="I764" s="154"/>
      <c r="J764" s="155"/>
      <c r="K764" s="156"/>
      <c r="L764" s="157"/>
      <c r="M764" s="158" t="s">
        <v>28</v>
      </c>
      <c r="N764" s="159" t="s">
        <v>29</v>
      </c>
    </row>
    <row r="765" spans="1:14">
      <c r="A765" s="148"/>
      <c r="B765" s="149"/>
      <c r="C765" s="160"/>
      <c r="D765" s="151"/>
      <c r="E765" s="152"/>
      <c r="F765" s="153"/>
      <c r="G765" s="154"/>
      <c r="H765" s="154"/>
      <c r="I765" s="154"/>
      <c r="J765" s="155"/>
      <c r="K765" s="156"/>
      <c r="L765" s="157"/>
      <c r="M765" s="158" t="s">
        <v>28</v>
      </c>
      <c r="N765" s="159" t="s">
        <v>29</v>
      </c>
    </row>
    <row r="766" spans="1:14">
      <c r="A766" s="148"/>
      <c r="B766" s="149"/>
      <c r="C766" s="160"/>
      <c r="D766" s="151"/>
      <c r="E766" s="152"/>
      <c r="F766" s="153"/>
      <c r="G766" s="154"/>
      <c r="H766" s="154"/>
      <c r="I766" s="154"/>
      <c r="J766" s="155"/>
      <c r="K766" s="156"/>
      <c r="L766" s="157"/>
      <c r="M766" s="158" t="s">
        <v>28</v>
      </c>
      <c r="N766" s="159" t="s">
        <v>29</v>
      </c>
    </row>
    <row r="767" spans="1:14">
      <c r="A767" s="148"/>
      <c r="B767" s="149"/>
      <c r="C767" s="160"/>
      <c r="D767" s="151"/>
      <c r="E767" s="152"/>
      <c r="F767" s="153"/>
      <c r="G767" s="154"/>
      <c r="H767" s="154"/>
      <c r="I767" s="154"/>
      <c r="J767" s="155"/>
      <c r="K767" s="156"/>
      <c r="L767" s="157"/>
      <c r="M767" s="158" t="s">
        <v>28</v>
      </c>
      <c r="N767" s="159" t="s">
        <v>29</v>
      </c>
    </row>
    <row r="768" spans="1:14">
      <c r="A768" s="148"/>
      <c r="B768" s="149"/>
      <c r="C768" s="160"/>
      <c r="D768" s="151"/>
      <c r="E768" s="152"/>
      <c r="F768" s="153"/>
      <c r="G768" s="154"/>
      <c r="H768" s="154"/>
      <c r="I768" s="154"/>
      <c r="J768" s="155"/>
      <c r="K768" s="156"/>
      <c r="L768" s="157"/>
      <c r="M768" s="158" t="s">
        <v>28</v>
      </c>
      <c r="N768" s="159" t="s">
        <v>29</v>
      </c>
    </row>
    <row r="769" spans="1:14">
      <c r="A769" s="148"/>
      <c r="B769" s="149"/>
      <c r="C769" s="160"/>
      <c r="D769" s="151"/>
      <c r="E769" s="152"/>
      <c r="F769" s="153"/>
      <c r="G769" s="154"/>
      <c r="H769" s="154"/>
      <c r="I769" s="154"/>
      <c r="J769" s="155"/>
      <c r="K769" s="156"/>
      <c r="L769" s="157"/>
      <c r="M769" s="158" t="s">
        <v>28</v>
      </c>
      <c r="N769" s="159" t="s">
        <v>29</v>
      </c>
    </row>
    <row r="770" spans="1:14">
      <c r="A770" s="148"/>
      <c r="B770" s="149"/>
      <c r="C770" s="160"/>
      <c r="D770" s="151"/>
      <c r="E770" s="152"/>
      <c r="F770" s="153"/>
      <c r="G770" s="154"/>
      <c r="H770" s="154"/>
      <c r="I770" s="154"/>
      <c r="J770" s="155"/>
      <c r="K770" s="156"/>
      <c r="L770" s="157"/>
      <c r="M770" s="158" t="s">
        <v>28</v>
      </c>
      <c r="N770" s="159" t="s">
        <v>29</v>
      </c>
    </row>
    <row r="771" spans="1:14">
      <c r="A771" s="148"/>
      <c r="B771" s="149"/>
      <c r="C771" s="160"/>
      <c r="D771" s="151"/>
      <c r="E771" s="152"/>
      <c r="F771" s="153"/>
      <c r="G771" s="154"/>
      <c r="H771" s="154"/>
      <c r="I771" s="154"/>
      <c r="J771" s="155"/>
      <c r="K771" s="156"/>
      <c r="L771" s="157"/>
      <c r="M771" s="158" t="s">
        <v>28</v>
      </c>
      <c r="N771" s="159" t="s">
        <v>29</v>
      </c>
    </row>
    <row r="772" spans="1:14">
      <c r="A772" s="148"/>
      <c r="B772" s="149"/>
      <c r="C772" s="160"/>
      <c r="D772" s="151"/>
      <c r="E772" s="152"/>
      <c r="F772" s="153"/>
      <c r="G772" s="154"/>
      <c r="H772" s="154"/>
      <c r="I772" s="154"/>
      <c r="J772" s="155"/>
      <c r="K772" s="156"/>
      <c r="L772" s="157"/>
      <c r="M772" s="158" t="s">
        <v>28</v>
      </c>
      <c r="N772" s="159" t="s">
        <v>29</v>
      </c>
    </row>
    <row r="773" spans="1:14">
      <c r="A773" s="148"/>
      <c r="B773" s="149"/>
      <c r="C773" s="160"/>
      <c r="D773" s="151"/>
      <c r="E773" s="152"/>
      <c r="F773" s="153"/>
      <c r="G773" s="154"/>
      <c r="H773" s="154"/>
      <c r="I773" s="154"/>
      <c r="J773" s="155"/>
      <c r="K773" s="156"/>
      <c r="L773" s="157"/>
      <c r="M773" s="158" t="s">
        <v>28</v>
      </c>
      <c r="N773" s="159" t="s">
        <v>29</v>
      </c>
    </row>
    <row r="774" spans="1:14">
      <c r="A774" s="148"/>
      <c r="B774" s="149"/>
      <c r="C774" s="160"/>
      <c r="D774" s="151"/>
      <c r="E774" s="152"/>
      <c r="F774" s="153"/>
      <c r="G774" s="154"/>
      <c r="H774" s="154"/>
      <c r="I774" s="154"/>
      <c r="J774" s="155"/>
      <c r="K774" s="156"/>
      <c r="L774" s="157"/>
      <c r="M774" s="158" t="s">
        <v>28</v>
      </c>
      <c r="N774" s="159" t="s">
        <v>29</v>
      </c>
    </row>
    <row r="775" spans="1:14">
      <c r="A775" s="148"/>
      <c r="B775" s="149"/>
      <c r="C775" s="160"/>
      <c r="D775" s="151"/>
      <c r="E775" s="152"/>
      <c r="F775" s="153"/>
      <c r="G775" s="154"/>
      <c r="H775" s="154"/>
      <c r="I775" s="154"/>
      <c r="J775" s="155"/>
      <c r="K775" s="156"/>
      <c r="L775" s="157"/>
      <c r="M775" s="158" t="s">
        <v>28</v>
      </c>
      <c r="N775" s="159" t="s">
        <v>29</v>
      </c>
    </row>
    <row r="776" spans="1:14">
      <c r="A776" s="148"/>
      <c r="B776" s="149"/>
      <c r="C776" s="160"/>
      <c r="D776" s="151"/>
      <c r="E776" s="152"/>
      <c r="F776" s="153"/>
      <c r="G776" s="154"/>
      <c r="H776" s="154"/>
      <c r="I776" s="154"/>
      <c r="J776" s="155"/>
      <c r="K776" s="156"/>
      <c r="L776" s="157"/>
      <c r="M776" s="158" t="s">
        <v>28</v>
      </c>
      <c r="N776" s="159" t="s">
        <v>29</v>
      </c>
    </row>
    <row r="777" spans="1:14">
      <c r="A777" s="148"/>
      <c r="B777" s="149"/>
      <c r="C777" s="160"/>
      <c r="D777" s="151"/>
      <c r="E777" s="152"/>
      <c r="F777" s="153"/>
      <c r="G777" s="154"/>
      <c r="H777" s="154"/>
      <c r="I777" s="154"/>
      <c r="J777" s="155"/>
      <c r="K777" s="156"/>
      <c r="L777" s="157"/>
      <c r="M777" s="158" t="s">
        <v>28</v>
      </c>
      <c r="N777" s="159" t="s">
        <v>29</v>
      </c>
    </row>
    <row r="778" spans="1:14">
      <c r="A778" s="148"/>
      <c r="B778" s="149"/>
      <c r="C778" s="160"/>
      <c r="D778" s="151"/>
      <c r="E778" s="152"/>
      <c r="F778" s="153"/>
      <c r="G778" s="154"/>
      <c r="H778" s="154"/>
      <c r="I778" s="154"/>
      <c r="J778" s="155"/>
      <c r="K778" s="156"/>
      <c r="L778" s="157"/>
      <c r="M778" s="158" t="s">
        <v>28</v>
      </c>
      <c r="N778" s="159" t="s">
        <v>29</v>
      </c>
    </row>
    <row r="779" spans="1:14">
      <c r="A779" s="148"/>
      <c r="B779" s="149"/>
      <c r="C779" s="160"/>
      <c r="D779" s="151"/>
      <c r="E779" s="152"/>
      <c r="F779" s="153"/>
      <c r="G779" s="154"/>
      <c r="H779" s="154"/>
      <c r="I779" s="154"/>
      <c r="J779" s="155"/>
      <c r="K779" s="156"/>
      <c r="L779" s="157"/>
      <c r="M779" s="158" t="s">
        <v>28</v>
      </c>
      <c r="N779" s="159" t="s">
        <v>29</v>
      </c>
    </row>
    <row r="780" spans="1:14">
      <c r="A780" s="148"/>
      <c r="B780" s="149"/>
      <c r="C780" s="160"/>
      <c r="D780" s="151"/>
      <c r="E780" s="152"/>
      <c r="F780" s="153"/>
      <c r="G780" s="154"/>
      <c r="H780" s="154"/>
      <c r="I780" s="154"/>
      <c r="J780" s="155"/>
      <c r="K780" s="156"/>
      <c r="L780" s="157"/>
      <c r="M780" s="158" t="s">
        <v>28</v>
      </c>
      <c r="N780" s="159" t="s">
        <v>29</v>
      </c>
    </row>
    <row r="781" spans="1:14">
      <c r="A781" s="148"/>
      <c r="B781" s="149"/>
      <c r="C781" s="160"/>
      <c r="D781" s="151"/>
      <c r="E781" s="152"/>
      <c r="F781" s="153"/>
      <c r="G781" s="154"/>
      <c r="H781" s="154"/>
      <c r="I781" s="154"/>
      <c r="J781" s="155"/>
      <c r="K781" s="156"/>
      <c r="L781" s="157"/>
      <c r="M781" s="158" t="s">
        <v>28</v>
      </c>
      <c r="N781" s="159" t="s">
        <v>29</v>
      </c>
    </row>
    <row r="782" spans="1:14">
      <c r="A782" s="148"/>
      <c r="B782" s="149"/>
      <c r="C782" s="160"/>
      <c r="D782" s="151"/>
      <c r="E782" s="152"/>
      <c r="F782" s="153"/>
      <c r="G782" s="154"/>
      <c r="H782" s="154"/>
      <c r="I782" s="154"/>
      <c r="J782" s="155"/>
      <c r="K782" s="156"/>
      <c r="L782" s="157"/>
      <c r="M782" s="158" t="s">
        <v>28</v>
      </c>
      <c r="N782" s="159" t="s">
        <v>29</v>
      </c>
    </row>
    <row r="783" spans="1:14">
      <c r="A783" s="148"/>
      <c r="B783" s="149"/>
      <c r="C783" s="160"/>
      <c r="D783" s="151"/>
      <c r="E783" s="152"/>
      <c r="F783" s="153"/>
      <c r="G783" s="154"/>
      <c r="H783" s="154"/>
      <c r="I783" s="154"/>
      <c r="J783" s="155"/>
      <c r="K783" s="156"/>
      <c r="L783" s="157"/>
      <c r="M783" s="158" t="s">
        <v>28</v>
      </c>
      <c r="N783" s="159" t="s">
        <v>29</v>
      </c>
    </row>
    <row r="784" spans="1:14">
      <c r="A784" s="148"/>
      <c r="B784" s="149"/>
      <c r="C784" s="160"/>
      <c r="D784" s="151"/>
      <c r="E784" s="152"/>
      <c r="F784" s="153"/>
      <c r="G784" s="154"/>
      <c r="H784" s="154"/>
      <c r="I784" s="154"/>
      <c r="J784" s="155"/>
      <c r="K784" s="156"/>
      <c r="L784" s="157"/>
      <c r="M784" s="158" t="s">
        <v>28</v>
      </c>
      <c r="N784" s="159" t="s">
        <v>29</v>
      </c>
    </row>
    <row r="785" spans="1:14">
      <c r="A785" s="148"/>
      <c r="B785" s="149"/>
      <c r="C785" s="160"/>
      <c r="D785" s="151"/>
      <c r="E785" s="152"/>
      <c r="F785" s="153"/>
      <c r="G785" s="154"/>
      <c r="H785" s="154"/>
      <c r="I785" s="154"/>
      <c r="J785" s="155"/>
      <c r="K785" s="156"/>
      <c r="L785" s="157"/>
      <c r="M785" s="158" t="s">
        <v>28</v>
      </c>
      <c r="N785" s="159" t="s">
        <v>29</v>
      </c>
    </row>
    <row r="786" spans="1:14">
      <c r="A786" s="148"/>
      <c r="B786" s="149"/>
      <c r="C786" s="160"/>
      <c r="D786" s="151"/>
      <c r="E786" s="152"/>
      <c r="F786" s="153"/>
      <c r="G786" s="154"/>
      <c r="H786" s="154"/>
      <c r="I786" s="154"/>
      <c r="J786" s="155"/>
      <c r="K786" s="156"/>
      <c r="L786" s="157"/>
      <c r="M786" s="158" t="s">
        <v>28</v>
      </c>
      <c r="N786" s="159" t="s">
        <v>29</v>
      </c>
    </row>
    <row r="787" spans="1:14">
      <c r="A787" s="148"/>
      <c r="B787" s="149"/>
      <c r="C787" s="160"/>
      <c r="D787" s="151"/>
      <c r="E787" s="152"/>
      <c r="F787" s="153"/>
      <c r="G787" s="154"/>
      <c r="H787" s="154"/>
      <c r="I787" s="154"/>
      <c r="J787" s="155"/>
      <c r="K787" s="156"/>
      <c r="L787" s="157"/>
      <c r="M787" s="158" t="s">
        <v>28</v>
      </c>
      <c r="N787" s="159" t="s">
        <v>29</v>
      </c>
    </row>
    <row r="788" spans="1:14">
      <c r="A788" s="148"/>
      <c r="B788" s="149"/>
      <c r="C788" s="160"/>
      <c r="D788" s="151"/>
      <c r="E788" s="152"/>
      <c r="F788" s="153"/>
      <c r="G788" s="154"/>
      <c r="H788" s="154"/>
      <c r="I788" s="154"/>
      <c r="J788" s="155"/>
      <c r="K788" s="156"/>
      <c r="L788" s="157"/>
      <c r="M788" s="158" t="s">
        <v>28</v>
      </c>
      <c r="N788" s="159" t="s">
        <v>29</v>
      </c>
    </row>
    <row r="789" spans="1:14">
      <c r="A789" s="148"/>
      <c r="B789" s="149"/>
      <c r="C789" s="160"/>
      <c r="D789" s="151"/>
      <c r="E789" s="152"/>
      <c r="F789" s="153"/>
      <c r="G789" s="154"/>
      <c r="H789" s="154"/>
      <c r="I789" s="154"/>
      <c r="J789" s="155"/>
      <c r="K789" s="156"/>
      <c r="L789" s="157"/>
      <c r="M789" s="158" t="s">
        <v>28</v>
      </c>
      <c r="N789" s="159" t="s">
        <v>29</v>
      </c>
    </row>
    <row r="790" spans="1:14">
      <c r="A790" s="148"/>
      <c r="B790" s="149"/>
      <c r="C790" s="160"/>
      <c r="D790" s="151"/>
      <c r="E790" s="152"/>
      <c r="F790" s="153"/>
      <c r="G790" s="154"/>
      <c r="H790" s="154"/>
      <c r="I790" s="154"/>
      <c r="J790" s="155"/>
      <c r="K790" s="156"/>
      <c r="L790" s="157"/>
      <c r="M790" s="158" t="s">
        <v>28</v>
      </c>
      <c r="N790" s="159" t="s">
        <v>29</v>
      </c>
    </row>
    <row r="791" spans="1:14">
      <c r="A791" s="148"/>
      <c r="B791" s="149"/>
      <c r="C791" s="160"/>
      <c r="D791" s="151"/>
      <c r="E791" s="152"/>
      <c r="F791" s="153"/>
      <c r="G791" s="154"/>
      <c r="H791" s="154"/>
      <c r="I791" s="154"/>
      <c r="J791" s="155"/>
      <c r="K791" s="156"/>
      <c r="L791" s="157"/>
      <c r="M791" s="158" t="s">
        <v>28</v>
      </c>
      <c r="N791" s="159" t="s">
        <v>29</v>
      </c>
    </row>
    <row r="792" spans="1:14">
      <c r="A792" s="148"/>
      <c r="B792" s="149"/>
      <c r="C792" s="160"/>
      <c r="D792" s="151"/>
      <c r="E792" s="152"/>
      <c r="F792" s="153"/>
      <c r="G792" s="154"/>
      <c r="H792" s="154"/>
      <c r="I792" s="154"/>
      <c r="J792" s="155"/>
      <c r="K792" s="156"/>
      <c r="L792" s="157"/>
      <c r="M792" s="158" t="s">
        <v>28</v>
      </c>
      <c r="N792" s="159" t="s">
        <v>29</v>
      </c>
    </row>
    <row r="793" spans="1:14">
      <c r="A793" s="148"/>
      <c r="B793" s="149"/>
      <c r="C793" s="160"/>
      <c r="D793" s="151"/>
      <c r="E793" s="152"/>
      <c r="F793" s="153"/>
      <c r="G793" s="154"/>
      <c r="H793" s="154"/>
      <c r="I793" s="154"/>
      <c r="J793" s="155"/>
      <c r="K793" s="156"/>
      <c r="L793" s="157"/>
      <c r="M793" s="158" t="s">
        <v>28</v>
      </c>
      <c r="N793" s="159" t="s">
        <v>29</v>
      </c>
    </row>
    <row r="794" spans="1:14">
      <c r="A794" s="148"/>
      <c r="B794" s="149"/>
      <c r="C794" s="160"/>
      <c r="D794" s="151"/>
      <c r="E794" s="152"/>
      <c r="F794" s="153"/>
      <c r="G794" s="154"/>
      <c r="H794" s="154"/>
      <c r="I794" s="154"/>
      <c r="J794" s="155"/>
      <c r="K794" s="156"/>
      <c r="L794" s="157"/>
      <c r="M794" s="158" t="s">
        <v>28</v>
      </c>
      <c r="N794" s="159" t="s">
        <v>29</v>
      </c>
    </row>
    <row r="795" spans="1:14">
      <c r="A795" s="148"/>
      <c r="B795" s="149"/>
      <c r="C795" s="160"/>
      <c r="D795" s="151"/>
      <c r="E795" s="152"/>
      <c r="F795" s="153"/>
      <c r="G795" s="154"/>
      <c r="H795" s="154"/>
      <c r="I795" s="154"/>
      <c r="J795" s="155"/>
      <c r="K795" s="156"/>
      <c r="L795" s="157"/>
      <c r="M795" s="158" t="s">
        <v>28</v>
      </c>
      <c r="N795" s="159" t="s">
        <v>29</v>
      </c>
    </row>
    <row r="796" spans="1:14">
      <c r="A796" s="148"/>
      <c r="B796" s="149"/>
      <c r="C796" s="160"/>
      <c r="D796" s="151"/>
      <c r="E796" s="152"/>
      <c r="F796" s="153"/>
      <c r="G796" s="154"/>
      <c r="H796" s="154"/>
      <c r="I796" s="154"/>
      <c r="J796" s="155"/>
      <c r="K796" s="156"/>
      <c r="L796" s="157"/>
      <c r="M796" s="158" t="s">
        <v>28</v>
      </c>
      <c r="N796" s="159" t="s">
        <v>29</v>
      </c>
    </row>
    <row r="797" spans="1:14">
      <c r="A797" s="148"/>
      <c r="B797" s="149"/>
      <c r="C797" s="160"/>
      <c r="D797" s="151"/>
      <c r="E797" s="152"/>
      <c r="F797" s="153"/>
      <c r="G797" s="154"/>
      <c r="H797" s="154"/>
      <c r="I797" s="154"/>
      <c r="J797" s="155"/>
      <c r="K797" s="156"/>
      <c r="L797" s="157"/>
      <c r="M797" s="158" t="s">
        <v>28</v>
      </c>
      <c r="N797" s="159" t="s">
        <v>29</v>
      </c>
    </row>
    <row r="798" spans="1:14">
      <c r="A798" s="148"/>
      <c r="B798" s="149"/>
      <c r="C798" s="160"/>
      <c r="D798" s="151"/>
      <c r="E798" s="152"/>
      <c r="F798" s="153"/>
      <c r="G798" s="154"/>
      <c r="H798" s="154"/>
      <c r="I798" s="154"/>
      <c r="J798" s="155"/>
      <c r="K798" s="156"/>
      <c r="L798" s="157"/>
      <c r="M798" s="158" t="s">
        <v>28</v>
      </c>
      <c r="N798" s="159" t="s">
        <v>29</v>
      </c>
    </row>
    <row r="799" spans="1:14">
      <c r="A799" s="148"/>
      <c r="B799" s="149"/>
      <c r="C799" s="160"/>
      <c r="D799" s="151"/>
      <c r="E799" s="152"/>
      <c r="F799" s="153"/>
      <c r="G799" s="154"/>
      <c r="H799" s="154"/>
      <c r="I799" s="154"/>
      <c r="J799" s="155"/>
      <c r="K799" s="156"/>
      <c r="L799" s="157"/>
      <c r="M799" s="158" t="s">
        <v>28</v>
      </c>
      <c r="N799" s="159" t="s">
        <v>29</v>
      </c>
    </row>
    <row r="800" spans="1:14">
      <c r="A800" s="148"/>
      <c r="B800" s="149"/>
      <c r="C800" s="160"/>
      <c r="D800" s="151"/>
      <c r="E800" s="152"/>
      <c r="F800" s="153"/>
      <c r="G800" s="154"/>
      <c r="H800" s="154"/>
      <c r="I800" s="154"/>
      <c r="J800" s="155"/>
      <c r="K800" s="156"/>
      <c r="L800" s="157"/>
      <c r="M800" s="158" t="s">
        <v>28</v>
      </c>
      <c r="N800" s="159" t="s">
        <v>29</v>
      </c>
    </row>
    <row r="801" spans="1:14">
      <c r="A801" s="148"/>
      <c r="B801" s="149"/>
      <c r="C801" s="160"/>
      <c r="D801" s="151"/>
      <c r="E801" s="152"/>
      <c r="F801" s="153"/>
      <c r="G801" s="154"/>
      <c r="H801" s="154"/>
      <c r="I801" s="154"/>
      <c r="J801" s="155"/>
      <c r="K801" s="156"/>
      <c r="L801" s="157"/>
      <c r="M801" s="158" t="s">
        <v>28</v>
      </c>
      <c r="N801" s="159" t="s">
        <v>29</v>
      </c>
    </row>
    <row r="802" spans="1:14">
      <c r="A802" s="148"/>
      <c r="B802" s="149"/>
      <c r="C802" s="160"/>
      <c r="D802" s="151"/>
      <c r="E802" s="152"/>
      <c r="F802" s="153"/>
      <c r="G802" s="154"/>
      <c r="H802" s="154"/>
      <c r="I802" s="154"/>
      <c r="J802" s="155"/>
      <c r="K802" s="156"/>
      <c r="L802" s="157"/>
      <c r="M802" s="158" t="s">
        <v>28</v>
      </c>
      <c r="N802" s="159" t="s">
        <v>29</v>
      </c>
    </row>
    <row r="803" spans="1:14">
      <c r="A803" s="148"/>
      <c r="B803" s="149"/>
      <c r="C803" s="160"/>
      <c r="D803" s="151"/>
      <c r="E803" s="152"/>
      <c r="F803" s="153"/>
      <c r="G803" s="154"/>
      <c r="H803" s="154"/>
      <c r="I803" s="154"/>
      <c r="J803" s="155"/>
      <c r="K803" s="156"/>
      <c r="L803" s="157"/>
      <c r="M803" s="158" t="s">
        <v>28</v>
      </c>
      <c r="N803" s="159" t="s">
        <v>29</v>
      </c>
    </row>
    <row r="804" spans="1:14">
      <c r="A804" s="148"/>
      <c r="B804" s="149"/>
      <c r="C804" s="160"/>
      <c r="D804" s="151"/>
      <c r="E804" s="152"/>
      <c r="F804" s="153"/>
      <c r="G804" s="154"/>
      <c r="H804" s="154"/>
      <c r="I804" s="154"/>
      <c r="J804" s="155"/>
      <c r="K804" s="156"/>
      <c r="L804" s="157"/>
      <c r="M804" s="158" t="s">
        <v>28</v>
      </c>
      <c r="N804" s="159" t="s">
        <v>29</v>
      </c>
    </row>
    <row r="805" spans="1:14">
      <c r="A805" s="148"/>
      <c r="B805" s="149"/>
      <c r="C805" s="160"/>
      <c r="D805" s="151"/>
      <c r="E805" s="152"/>
      <c r="F805" s="153"/>
      <c r="G805" s="154"/>
      <c r="H805" s="154"/>
      <c r="I805" s="154"/>
      <c r="J805" s="155"/>
      <c r="K805" s="156"/>
      <c r="L805" s="157"/>
      <c r="M805" s="158" t="s">
        <v>28</v>
      </c>
      <c r="N805" s="159" t="s">
        <v>29</v>
      </c>
    </row>
    <row r="806" spans="1:14">
      <c r="A806" s="148"/>
      <c r="B806" s="149"/>
      <c r="C806" s="160"/>
      <c r="D806" s="151"/>
      <c r="E806" s="152"/>
      <c r="F806" s="153"/>
      <c r="G806" s="154"/>
      <c r="H806" s="154"/>
      <c r="I806" s="154"/>
      <c r="J806" s="155"/>
      <c r="K806" s="156"/>
      <c r="L806" s="157"/>
      <c r="M806" s="158" t="s">
        <v>28</v>
      </c>
      <c r="N806" s="159" t="s">
        <v>29</v>
      </c>
    </row>
    <row r="807" spans="1:14">
      <c r="A807" s="148"/>
      <c r="B807" s="149"/>
      <c r="C807" s="160"/>
      <c r="D807" s="151"/>
      <c r="E807" s="152"/>
      <c r="F807" s="153"/>
      <c r="G807" s="154"/>
      <c r="H807" s="154"/>
      <c r="I807" s="154"/>
      <c r="J807" s="155"/>
      <c r="K807" s="156"/>
      <c r="L807" s="157"/>
      <c r="M807" s="158" t="s">
        <v>28</v>
      </c>
      <c r="N807" s="159" t="s">
        <v>29</v>
      </c>
    </row>
    <row r="808" spans="1:14">
      <c r="A808" s="148"/>
      <c r="B808" s="149"/>
      <c r="C808" s="160"/>
      <c r="D808" s="151"/>
      <c r="E808" s="152"/>
      <c r="F808" s="153"/>
      <c r="G808" s="154"/>
      <c r="H808" s="154"/>
      <c r="I808" s="154"/>
      <c r="J808" s="155"/>
      <c r="K808" s="156"/>
      <c r="L808" s="157"/>
      <c r="M808" s="158" t="s">
        <v>28</v>
      </c>
      <c r="N808" s="159" t="s">
        <v>29</v>
      </c>
    </row>
    <row r="809" spans="1:14">
      <c r="A809" s="148"/>
      <c r="B809" s="149"/>
      <c r="C809" s="160"/>
      <c r="D809" s="151"/>
      <c r="E809" s="152"/>
      <c r="F809" s="153"/>
      <c r="G809" s="154"/>
      <c r="H809" s="154"/>
      <c r="I809" s="154"/>
      <c r="J809" s="155"/>
      <c r="K809" s="156"/>
      <c r="L809" s="157"/>
      <c r="M809" s="158" t="s">
        <v>28</v>
      </c>
      <c r="N809" s="159" t="s">
        <v>29</v>
      </c>
    </row>
    <row r="810" spans="1:14">
      <c r="A810" s="148"/>
      <c r="B810" s="149"/>
      <c r="C810" s="160"/>
      <c r="D810" s="151"/>
      <c r="E810" s="152"/>
      <c r="F810" s="153"/>
      <c r="G810" s="154"/>
      <c r="H810" s="154"/>
      <c r="I810" s="154"/>
      <c r="J810" s="155"/>
      <c r="K810" s="156"/>
      <c r="L810" s="157"/>
      <c r="M810" s="158" t="s">
        <v>28</v>
      </c>
      <c r="N810" s="159" t="s">
        <v>29</v>
      </c>
    </row>
    <row r="811" spans="1:14">
      <c r="A811" s="148"/>
      <c r="B811" s="149"/>
      <c r="C811" s="160"/>
      <c r="D811" s="151"/>
      <c r="E811" s="152"/>
      <c r="F811" s="153"/>
      <c r="G811" s="154"/>
      <c r="H811" s="154"/>
      <c r="I811" s="154"/>
      <c r="J811" s="155"/>
      <c r="K811" s="156"/>
      <c r="L811" s="157"/>
      <c r="M811" s="158" t="s">
        <v>28</v>
      </c>
      <c r="N811" s="159" t="s">
        <v>29</v>
      </c>
    </row>
    <row r="812" spans="1:14">
      <c r="A812" s="148"/>
      <c r="B812" s="149"/>
      <c r="C812" s="160"/>
      <c r="D812" s="151"/>
      <c r="E812" s="152"/>
      <c r="F812" s="153"/>
      <c r="G812" s="154"/>
      <c r="H812" s="154"/>
      <c r="I812" s="154"/>
      <c r="J812" s="155"/>
      <c r="K812" s="156"/>
      <c r="L812" s="157"/>
      <c r="M812" s="158" t="s">
        <v>28</v>
      </c>
      <c r="N812" s="159" t="s">
        <v>29</v>
      </c>
    </row>
    <row r="813" spans="1:14">
      <c r="A813" s="148"/>
      <c r="B813" s="149"/>
      <c r="C813" s="160"/>
      <c r="D813" s="151"/>
      <c r="E813" s="152"/>
      <c r="F813" s="153"/>
      <c r="G813" s="154"/>
      <c r="H813" s="154"/>
      <c r="I813" s="154"/>
      <c r="J813" s="155"/>
      <c r="K813" s="156"/>
      <c r="L813" s="157"/>
      <c r="M813" s="158" t="s">
        <v>28</v>
      </c>
      <c r="N813" s="159" t="s">
        <v>29</v>
      </c>
    </row>
    <row r="814" spans="1:14">
      <c r="A814" s="148"/>
      <c r="B814" s="149"/>
      <c r="C814" s="160"/>
      <c r="D814" s="151"/>
      <c r="E814" s="152"/>
      <c r="F814" s="153"/>
      <c r="G814" s="154"/>
      <c r="H814" s="154"/>
      <c r="I814" s="154"/>
      <c r="J814" s="155"/>
      <c r="K814" s="156"/>
      <c r="L814" s="157"/>
      <c r="M814" s="158" t="s">
        <v>28</v>
      </c>
      <c r="N814" s="159" t="s">
        <v>29</v>
      </c>
    </row>
    <row r="815" spans="1:14">
      <c r="A815" s="148"/>
      <c r="B815" s="149"/>
      <c r="C815" s="160"/>
      <c r="D815" s="151"/>
      <c r="E815" s="152"/>
      <c r="F815" s="153"/>
      <c r="G815" s="154"/>
      <c r="H815" s="154"/>
      <c r="I815" s="154"/>
      <c r="J815" s="155"/>
      <c r="K815" s="156"/>
      <c r="L815" s="157"/>
      <c r="M815" s="158" t="s">
        <v>28</v>
      </c>
      <c r="N815" s="159" t="s">
        <v>29</v>
      </c>
    </row>
    <row r="816" spans="1:14">
      <c r="A816" s="148"/>
      <c r="B816" s="149"/>
      <c r="C816" s="160"/>
      <c r="D816" s="151"/>
      <c r="E816" s="152"/>
      <c r="F816" s="153"/>
      <c r="G816" s="154"/>
      <c r="H816" s="154"/>
      <c r="I816" s="154"/>
      <c r="J816" s="155"/>
      <c r="K816" s="156"/>
      <c r="L816" s="157"/>
      <c r="M816" s="158" t="s">
        <v>28</v>
      </c>
      <c r="N816" s="159" t="s">
        <v>29</v>
      </c>
    </row>
    <row r="817" spans="1:14">
      <c r="A817" s="148"/>
      <c r="B817" s="149"/>
      <c r="C817" s="160"/>
      <c r="D817" s="151"/>
      <c r="E817" s="152"/>
      <c r="F817" s="153"/>
      <c r="G817" s="154"/>
      <c r="H817" s="154"/>
      <c r="I817" s="154"/>
      <c r="J817" s="155"/>
      <c r="K817" s="156"/>
      <c r="L817" s="157"/>
      <c r="M817" s="158" t="s">
        <v>28</v>
      </c>
      <c r="N817" s="159" t="s">
        <v>29</v>
      </c>
    </row>
    <row r="818" spans="1:14">
      <c r="A818" s="148"/>
      <c r="B818" s="149"/>
      <c r="C818" s="160"/>
      <c r="D818" s="151"/>
      <c r="E818" s="152"/>
      <c r="F818" s="153"/>
      <c r="G818" s="154"/>
      <c r="H818" s="154"/>
      <c r="I818" s="154"/>
      <c r="J818" s="155"/>
      <c r="K818" s="156"/>
      <c r="L818" s="157"/>
      <c r="M818" s="158" t="s">
        <v>28</v>
      </c>
      <c r="N818" s="159" t="s">
        <v>29</v>
      </c>
    </row>
    <row r="819" spans="1:14">
      <c r="A819" s="148"/>
      <c r="B819" s="149"/>
      <c r="C819" s="160"/>
      <c r="D819" s="151"/>
      <c r="E819" s="152"/>
      <c r="F819" s="153"/>
      <c r="G819" s="154"/>
      <c r="H819" s="154"/>
      <c r="I819" s="154"/>
      <c r="J819" s="155"/>
      <c r="K819" s="156"/>
      <c r="L819" s="157"/>
      <c r="M819" s="158" t="s">
        <v>28</v>
      </c>
      <c r="N819" s="159" t="s">
        <v>29</v>
      </c>
    </row>
    <row r="820" spans="1:14">
      <c r="A820" s="148"/>
      <c r="B820" s="149"/>
      <c r="C820" s="160"/>
      <c r="D820" s="151"/>
      <c r="E820" s="152"/>
      <c r="F820" s="153"/>
      <c r="G820" s="154"/>
      <c r="H820" s="154"/>
      <c r="I820" s="154"/>
      <c r="J820" s="155"/>
      <c r="K820" s="156"/>
      <c r="L820" s="157"/>
      <c r="M820" s="158" t="s">
        <v>28</v>
      </c>
      <c r="N820" s="159" t="s">
        <v>29</v>
      </c>
    </row>
    <row r="821" spans="1:14">
      <c r="A821" s="148"/>
      <c r="B821" s="149"/>
      <c r="C821" s="160"/>
      <c r="D821" s="151"/>
      <c r="E821" s="152"/>
      <c r="F821" s="153"/>
      <c r="G821" s="154"/>
      <c r="H821" s="154"/>
      <c r="I821" s="154"/>
      <c r="J821" s="155"/>
      <c r="K821" s="156"/>
      <c r="L821" s="157"/>
      <c r="M821" s="158" t="s">
        <v>28</v>
      </c>
      <c r="N821" s="159" t="s">
        <v>29</v>
      </c>
    </row>
    <row r="822" spans="1:14">
      <c r="A822" s="148"/>
      <c r="B822" s="149"/>
      <c r="C822" s="160"/>
      <c r="D822" s="151"/>
      <c r="E822" s="152"/>
      <c r="F822" s="153"/>
      <c r="G822" s="154"/>
      <c r="H822" s="154"/>
      <c r="I822" s="154"/>
      <c r="J822" s="155"/>
      <c r="K822" s="156"/>
      <c r="L822" s="157"/>
      <c r="M822" s="158" t="s">
        <v>28</v>
      </c>
      <c r="N822" s="159" t="s">
        <v>29</v>
      </c>
    </row>
    <row r="823" spans="1:14">
      <c r="A823" s="148"/>
      <c r="B823" s="149"/>
      <c r="C823" s="160"/>
      <c r="D823" s="151"/>
      <c r="E823" s="152"/>
      <c r="F823" s="153"/>
      <c r="G823" s="154"/>
      <c r="H823" s="154"/>
      <c r="I823" s="154"/>
      <c r="J823" s="155"/>
      <c r="K823" s="156"/>
      <c r="L823" s="157"/>
      <c r="M823" s="158" t="s">
        <v>28</v>
      </c>
      <c r="N823" s="159" t="s">
        <v>29</v>
      </c>
    </row>
    <row r="824" spans="1:14">
      <c r="A824" s="148"/>
      <c r="B824" s="149"/>
      <c r="C824" s="160"/>
      <c r="D824" s="151"/>
      <c r="E824" s="152"/>
      <c r="F824" s="153"/>
      <c r="G824" s="154"/>
      <c r="H824" s="154"/>
      <c r="I824" s="154"/>
      <c r="J824" s="155"/>
      <c r="K824" s="156"/>
      <c r="L824" s="157"/>
      <c r="M824" s="158" t="s">
        <v>28</v>
      </c>
      <c r="N824" s="159" t="s">
        <v>29</v>
      </c>
    </row>
    <row r="825" spans="1:14">
      <c r="A825" s="148"/>
      <c r="B825" s="149"/>
      <c r="C825" s="160"/>
      <c r="D825" s="151"/>
      <c r="E825" s="152"/>
      <c r="F825" s="153"/>
      <c r="G825" s="154"/>
      <c r="H825" s="154"/>
      <c r="I825" s="154"/>
      <c r="J825" s="155"/>
      <c r="K825" s="156"/>
      <c r="L825" s="157"/>
      <c r="M825" s="158" t="s">
        <v>28</v>
      </c>
      <c r="N825" s="159" t="s">
        <v>29</v>
      </c>
    </row>
    <row r="826" spans="1:14">
      <c r="A826" s="148"/>
      <c r="B826" s="149"/>
      <c r="C826" s="160"/>
      <c r="D826" s="151"/>
      <c r="E826" s="152"/>
      <c r="F826" s="153"/>
      <c r="G826" s="154"/>
      <c r="H826" s="154"/>
      <c r="I826" s="154"/>
      <c r="J826" s="155"/>
      <c r="K826" s="156"/>
      <c r="L826" s="157"/>
      <c r="M826" s="158" t="s">
        <v>28</v>
      </c>
      <c r="N826" s="159" t="s">
        <v>29</v>
      </c>
    </row>
    <row r="827" spans="1:14">
      <c r="A827" s="148"/>
      <c r="B827" s="149"/>
      <c r="C827" s="160"/>
      <c r="D827" s="151"/>
      <c r="E827" s="152"/>
      <c r="F827" s="153"/>
      <c r="G827" s="154"/>
      <c r="H827" s="154"/>
      <c r="I827" s="154"/>
      <c r="J827" s="155"/>
      <c r="K827" s="156"/>
      <c r="L827" s="157"/>
      <c r="M827" s="158" t="s">
        <v>28</v>
      </c>
      <c r="N827" s="159" t="s">
        <v>29</v>
      </c>
    </row>
    <row r="828" spans="1:14">
      <c r="A828" s="148"/>
      <c r="B828" s="149"/>
      <c r="C828" s="160"/>
      <c r="D828" s="151"/>
      <c r="E828" s="152"/>
      <c r="F828" s="153"/>
      <c r="G828" s="154"/>
      <c r="H828" s="154"/>
      <c r="I828" s="154"/>
      <c r="J828" s="155"/>
      <c r="K828" s="156"/>
      <c r="L828" s="157"/>
      <c r="M828" s="158" t="s">
        <v>28</v>
      </c>
      <c r="N828" s="159" t="s">
        <v>29</v>
      </c>
    </row>
    <row r="829" spans="1:14">
      <c r="A829" s="148"/>
      <c r="B829" s="149"/>
      <c r="C829" s="160"/>
      <c r="D829" s="151"/>
      <c r="E829" s="152"/>
      <c r="F829" s="153"/>
      <c r="G829" s="154"/>
      <c r="H829" s="154"/>
      <c r="I829" s="154"/>
      <c r="J829" s="155"/>
      <c r="K829" s="156"/>
      <c r="L829" s="157"/>
      <c r="M829" s="158" t="s">
        <v>28</v>
      </c>
      <c r="N829" s="159" t="s">
        <v>29</v>
      </c>
    </row>
    <row r="830" spans="1:14">
      <c r="A830" s="148"/>
      <c r="B830" s="149"/>
      <c r="C830" s="160"/>
      <c r="D830" s="151"/>
      <c r="E830" s="152"/>
      <c r="F830" s="153"/>
      <c r="G830" s="154"/>
      <c r="H830" s="154"/>
      <c r="I830" s="154"/>
      <c r="J830" s="155"/>
      <c r="K830" s="156"/>
      <c r="L830" s="157"/>
      <c r="M830" s="158" t="s">
        <v>28</v>
      </c>
      <c r="N830" s="159" t="s">
        <v>29</v>
      </c>
    </row>
    <row r="831" spans="1:14">
      <c r="A831" s="148"/>
      <c r="B831" s="149"/>
      <c r="C831" s="150"/>
      <c r="D831" s="151"/>
      <c r="E831" s="152"/>
      <c r="F831" s="153"/>
      <c r="G831" s="154"/>
      <c r="H831" s="154"/>
      <c r="I831" s="154"/>
      <c r="J831" s="155"/>
      <c r="K831" s="156"/>
      <c r="L831" s="157"/>
      <c r="M831" s="158" t="s">
        <v>28</v>
      </c>
      <c r="N831" s="159" t="s">
        <v>29</v>
      </c>
    </row>
    <row r="832" spans="1:14">
      <c r="A832" s="148"/>
      <c r="B832" s="149"/>
      <c r="C832" s="150"/>
      <c r="D832" s="151"/>
      <c r="E832" s="152"/>
      <c r="F832" s="153"/>
      <c r="G832" s="154"/>
      <c r="H832" s="154"/>
      <c r="I832" s="154"/>
      <c r="J832" s="155"/>
      <c r="K832" s="156"/>
      <c r="L832" s="157"/>
      <c r="M832" s="158" t="s">
        <v>28</v>
      </c>
      <c r="N832" s="159" t="s">
        <v>29</v>
      </c>
    </row>
    <row r="833" spans="1:14">
      <c r="A833" s="148"/>
      <c r="B833" s="149"/>
      <c r="C833" s="160"/>
      <c r="D833" s="151"/>
      <c r="E833" s="152"/>
      <c r="F833" s="153"/>
      <c r="G833" s="154"/>
      <c r="H833" s="154"/>
      <c r="I833" s="154"/>
      <c r="J833" s="155"/>
      <c r="K833" s="156"/>
      <c r="L833" s="157"/>
      <c r="M833" s="158" t="s">
        <v>28</v>
      </c>
      <c r="N833" s="159" t="s">
        <v>29</v>
      </c>
    </row>
    <row r="834" spans="1:14">
      <c r="A834" s="148"/>
      <c r="B834" s="149"/>
      <c r="C834" s="160"/>
      <c r="D834" s="151"/>
      <c r="E834" s="152"/>
      <c r="F834" s="153"/>
      <c r="G834" s="154"/>
      <c r="H834" s="154"/>
      <c r="I834" s="154"/>
      <c r="J834" s="155"/>
      <c r="K834" s="156"/>
      <c r="L834" s="157"/>
      <c r="M834" s="158" t="s">
        <v>28</v>
      </c>
      <c r="N834" s="159" t="s">
        <v>29</v>
      </c>
    </row>
    <row r="835" spans="1:14">
      <c r="A835" s="148"/>
      <c r="B835" s="149"/>
      <c r="C835" s="160"/>
      <c r="D835" s="151"/>
      <c r="E835" s="152"/>
      <c r="F835" s="153"/>
      <c r="G835" s="154"/>
      <c r="H835" s="154"/>
      <c r="I835" s="154"/>
      <c r="J835" s="155"/>
      <c r="K835" s="156"/>
      <c r="L835" s="157"/>
      <c r="M835" s="158" t="s">
        <v>28</v>
      </c>
      <c r="N835" s="159" t="s">
        <v>29</v>
      </c>
    </row>
    <row r="836" spans="1:14">
      <c r="A836" s="148"/>
      <c r="B836" s="149"/>
      <c r="C836" s="160"/>
      <c r="D836" s="151"/>
      <c r="E836" s="152"/>
      <c r="F836" s="153"/>
      <c r="G836" s="154"/>
      <c r="H836" s="154"/>
      <c r="I836" s="154"/>
      <c r="J836" s="155"/>
      <c r="K836" s="156"/>
      <c r="L836" s="157"/>
      <c r="M836" s="158" t="s">
        <v>28</v>
      </c>
      <c r="N836" s="159" t="s">
        <v>29</v>
      </c>
    </row>
    <row r="837" spans="1:14">
      <c r="A837" s="148"/>
      <c r="B837" s="149"/>
      <c r="C837" s="160"/>
      <c r="D837" s="151"/>
      <c r="E837" s="152"/>
      <c r="F837" s="153"/>
      <c r="G837" s="154"/>
      <c r="H837" s="154"/>
      <c r="I837" s="154"/>
      <c r="J837" s="155"/>
      <c r="K837" s="156"/>
      <c r="L837" s="157"/>
      <c r="M837" s="158" t="s">
        <v>28</v>
      </c>
      <c r="N837" s="159" t="s">
        <v>29</v>
      </c>
    </row>
    <row r="838" spans="1:14">
      <c r="A838" s="148"/>
      <c r="B838" s="149"/>
      <c r="C838" s="160"/>
      <c r="D838" s="151"/>
      <c r="E838" s="152"/>
      <c r="F838" s="153"/>
      <c r="G838" s="154"/>
      <c r="H838" s="154"/>
      <c r="I838" s="154"/>
      <c r="J838" s="155"/>
      <c r="K838" s="156"/>
      <c r="L838" s="157"/>
      <c r="M838" s="158" t="s">
        <v>28</v>
      </c>
      <c r="N838" s="159" t="s">
        <v>29</v>
      </c>
    </row>
    <row r="839" spans="1:14">
      <c r="A839" s="148"/>
      <c r="B839" s="149"/>
      <c r="C839" s="160"/>
      <c r="D839" s="151"/>
      <c r="E839" s="152"/>
      <c r="F839" s="153"/>
      <c r="G839" s="154"/>
      <c r="H839" s="154"/>
      <c r="I839" s="154"/>
      <c r="J839" s="155"/>
      <c r="K839" s="156"/>
      <c r="L839" s="157"/>
      <c r="M839" s="158" t="s">
        <v>28</v>
      </c>
      <c r="N839" s="159" t="s">
        <v>29</v>
      </c>
    </row>
    <row r="840" spans="1:14">
      <c r="A840" s="148"/>
      <c r="B840" s="149"/>
      <c r="C840" s="160"/>
      <c r="D840" s="151"/>
      <c r="E840" s="152"/>
      <c r="F840" s="153"/>
      <c r="G840" s="154"/>
      <c r="H840" s="154"/>
      <c r="I840" s="154"/>
      <c r="J840" s="155"/>
      <c r="K840" s="156"/>
      <c r="L840" s="157"/>
      <c r="M840" s="158" t="s">
        <v>28</v>
      </c>
      <c r="N840" s="159" t="s">
        <v>29</v>
      </c>
    </row>
    <row r="841" spans="1:14">
      <c r="A841" s="148"/>
      <c r="B841" s="149"/>
      <c r="C841" s="160"/>
      <c r="D841" s="151"/>
      <c r="E841" s="152"/>
      <c r="F841" s="153"/>
      <c r="G841" s="154"/>
      <c r="H841" s="154"/>
      <c r="I841" s="154"/>
      <c r="J841" s="155"/>
      <c r="K841" s="156"/>
      <c r="L841" s="157"/>
      <c r="M841" s="158" t="s">
        <v>28</v>
      </c>
      <c r="N841" s="159" t="s">
        <v>29</v>
      </c>
    </row>
    <row r="842" spans="1:14">
      <c r="A842" s="148"/>
      <c r="B842" s="149"/>
      <c r="C842" s="160"/>
      <c r="D842" s="151"/>
      <c r="E842" s="152"/>
      <c r="F842" s="153"/>
      <c r="G842" s="154"/>
      <c r="H842" s="154"/>
      <c r="I842" s="154"/>
      <c r="J842" s="155"/>
      <c r="K842" s="156"/>
      <c r="L842" s="157"/>
      <c r="M842" s="158" t="s">
        <v>28</v>
      </c>
      <c r="N842" s="159" t="s">
        <v>29</v>
      </c>
    </row>
    <row r="843" spans="1:14">
      <c r="A843" s="148"/>
      <c r="B843" s="149"/>
      <c r="C843" s="160"/>
      <c r="D843" s="151"/>
      <c r="E843" s="152"/>
      <c r="F843" s="153"/>
      <c r="G843" s="154"/>
      <c r="H843" s="154"/>
      <c r="I843" s="154"/>
      <c r="J843" s="155"/>
      <c r="K843" s="156"/>
      <c r="L843" s="157"/>
      <c r="M843" s="158" t="s">
        <v>28</v>
      </c>
      <c r="N843" s="159" t="s">
        <v>29</v>
      </c>
    </row>
    <row r="844" spans="1:14">
      <c r="A844" s="148"/>
      <c r="B844" s="149"/>
      <c r="C844" s="160"/>
      <c r="D844" s="151"/>
      <c r="E844" s="152"/>
      <c r="F844" s="153"/>
      <c r="G844" s="154"/>
      <c r="H844" s="154"/>
      <c r="I844" s="154"/>
      <c r="J844" s="155"/>
      <c r="K844" s="156"/>
      <c r="L844" s="157"/>
      <c r="M844" s="158" t="s">
        <v>28</v>
      </c>
      <c r="N844" s="159" t="s">
        <v>29</v>
      </c>
    </row>
    <row r="845" spans="1:14">
      <c r="A845" s="148"/>
      <c r="B845" s="149"/>
      <c r="C845" s="160"/>
      <c r="D845" s="151"/>
      <c r="E845" s="152"/>
      <c r="F845" s="153"/>
      <c r="G845" s="154"/>
      <c r="H845" s="154"/>
      <c r="I845" s="154"/>
      <c r="J845" s="155"/>
      <c r="K845" s="156"/>
      <c r="L845" s="157"/>
      <c r="M845" s="158" t="s">
        <v>28</v>
      </c>
      <c r="N845" s="159" t="s">
        <v>29</v>
      </c>
    </row>
    <row r="846" spans="1:14">
      <c r="A846" s="148"/>
      <c r="B846" s="149"/>
      <c r="C846" s="160"/>
      <c r="D846" s="151"/>
      <c r="E846" s="152"/>
      <c r="F846" s="153"/>
      <c r="G846" s="154"/>
      <c r="H846" s="154"/>
      <c r="I846" s="154"/>
      <c r="J846" s="155"/>
      <c r="K846" s="156"/>
      <c r="L846" s="157"/>
      <c r="M846" s="158" t="s">
        <v>28</v>
      </c>
      <c r="N846" s="159" t="s">
        <v>29</v>
      </c>
    </row>
    <row r="847" spans="1:14">
      <c r="A847" s="148"/>
      <c r="B847" s="149"/>
      <c r="C847" s="160"/>
      <c r="D847" s="151"/>
      <c r="E847" s="152"/>
      <c r="F847" s="153"/>
      <c r="G847" s="154"/>
      <c r="H847" s="154"/>
      <c r="I847" s="154"/>
      <c r="J847" s="155"/>
      <c r="K847" s="156"/>
      <c r="L847" s="157"/>
      <c r="M847" s="158" t="s">
        <v>28</v>
      </c>
      <c r="N847" s="159" t="s">
        <v>29</v>
      </c>
    </row>
    <row r="848" spans="1:14">
      <c r="A848" s="148"/>
      <c r="B848" s="149"/>
      <c r="C848" s="160"/>
      <c r="D848" s="151"/>
      <c r="E848" s="152"/>
      <c r="F848" s="153"/>
      <c r="G848" s="154"/>
      <c r="H848" s="154"/>
      <c r="I848" s="154"/>
      <c r="J848" s="155"/>
      <c r="K848" s="156"/>
      <c r="L848" s="157"/>
      <c r="M848" s="158" t="s">
        <v>28</v>
      </c>
      <c r="N848" s="159" t="s">
        <v>29</v>
      </c>
    </row>
    <row r="849" spans="1:14">
      <c r="A849" s="148"/>
      <c r="B849" s="149"/>
      <c r="C849" s="160"/>
      <c r="D849" s="151"/>
      <c r="E849" s="152"/>
      <c r="F849" s="153"/>
      <c r="G849" s="154"/>
      <c r="H849" s="154"/>
      <c r="I849" s="154"/>
      <c r="J849" s="155"/>
      <c r="K849" s="156"/>
      <c r="L849" s="157"/>
      <c r="M849" s="158" t="s">
        <v>28</v>
      </c>
      <c r="N849" s="159" t="s">
        <v>29</v>
      </c>
    </row>
    <row r="850" spans="1:14">
      <c r="A850" s="148"/>
      <c r="B850" s="149"/>
      <c r="C850" s="160"/>
      <c r="D850" s="151"/>
      <c r="E850" s="152"/>
      <c r="F850" s="153"/>
      <c r="G850" s="154"/>
      <c r="H850" s="154"/>
      <c r="I850" s="154"/>
      <c r="J850" s="155"/>
      <c r="K850" s="156"/>
      <c r="L850" s="157"/>
      <c r="M850" s="158" t="s">
        <v>28</v>
      </c>
      <c r="N850" s="159" t="s">
        <v>29</v>
      </c>
    </row>
    <row r="851" spans="1:14">
      <c r="A851" s="148"/>
      <c r="B851" s="149"/>
      <c r="C851" s="160"/>
      <c r="D851" s="151"/>
      <c r="E851" s="152"/>
      <c r="F851" s="153"/>
      <c r="G851" s="154"/>
      <c r="H851" s="154"/>
      <c r="I851" s="154"/>
      <c r="J851" s="155"/>
      <c r="K851" s="156"/>
      <c r="L851" s="157"/>
      <c r="M851" s="158" t="s">
        <v>28</v>
      </c>
      <c r="N851" s="159" t="s">
        <v>29</v>
      </c>
    </row>
    <row r="852" spans="1:14">
      <c r="A852" s="148"/>
      <c r="B852" s="149"/>
      <c r="C852" s="160"/>
      <c r="D852" s="151"/>
      <c r="E852" s="152"/>
      <c r="F852" s="153"/>
      <c r="G852" s="154"/>
      <c r="H852" s="154"/>
      <c r="I852" s="154"/>
      <c r="J852" s="155"/>
      <c r="K852" s="156"/>
      <c r="L852" s="157"/>
      <c r="M852" s="158" t="s">
        <v>28</v>
      </c>
      <c r="N852" s="159" t="s">
        <v>29</v>
      </c>
    </row>
    <row r="853" spans="1:14">
      <c r="A853" s="148"/>
      <c r="B853" s="149"/>
      <c r="C853" s="160"/>
      <c r="D853" s="151"/>
      <c r="E853" s="152"/>
      <c r="F853" s="153"/>
      <c r="G853" s="154"/>
      <c r="H853" s="154"/>
      <c r="I853" s="154"/>
      <c r="J853" s="155"/>
      <c r="K853" s="156"/>
      <c r="L853" s="157"/>
      <c r="M853" s="158" t="s">
        <v>28</v>
      </c>
      <c r="N853" s="159" t="s">
        <v>29</v>
      </c>
    </row>
    <row r="854" spans="1:14">
      <c r="A854" s="148"/>
      <c r="B854" s="149"/>
      <c r="C854" s="160"/>
      <c r="D854" s="151"/>
      <c r="E854" s="152"/>
      <c r="F854" s="153"/>
      <c r="G854" s="154"/>
      <c r="H854" s="154"/>
      <c r="I854" s="154"/>
      <c r="J854" s="155"/>
      <c r="K854" s="156"/>
      <c r="L854" s="157"/>
      <c r="M854" s="158" t="s">
        <v>28</v>
      </c>
      <c r="N854" s="159" t="s">
        <v>29</v>
      </c>
    </row>
    <row r="855" spans="1:14">
      <c r="A855" s="148"/>
      <c r="B855" s="149"/>
      <c r="C855" s="160"/>
      <c r="D855" s="151"/>
      <c r="E855" s="152"/>
      <c r="F855" s="153"/>
      <c r="G855" s="154"/>
      <c r="H855" s="154"/>
      <c r="I855" s="154"/>
      <c r="J855" s="155"/>
      <c r="K855" s="156"/>
      <c r="L855" s="157"/>
      <c r="M855" s="158" t="s">
        <v>28</v>
      </c>
      <c r="N855" s="159" t="s">
        <v>29</v>
      </c>
    </row>
    <row r="856" spans="1:14">
      <c r="A856" s="148"/>
      <c r="B856" s="149"/>
      <c r="C856" s="160"/>
      <c r="D856" s="151"/>
      <c r="E856" s="152"/>
      <c r="F856" s="153"/>
      <c r="G856" s="154"/>
      <c r="H856" s="154"/>
      <c r="I856" s="154"/>
      <c r="J856" s="155"/>
      <c r="K856" s="156"/>
      <c r="L856" s="157"/>
      <c r="M856" s="158" t="s">
        <v>28</v>
      </c>
      <c r="N856" s="159" t="s">
        <v>29</v>
      </c>
    </row>
    <row r="857" spans="1:14">
      <c r="A857" s="148"/>
      <c r="B857" s="149"/>
      <c r="C857" s="160"/>
      <c r="D857" s="151"/>
      <c r="E857" s="152"/>
      <c r="F857" s="153"/>
      <c r="G857" s="154"/>
      <c r="H857" s="154"/>
      <c r="I857" s="154"/>
      <c r="J857" s="155"/>
      <c r="K857" s="156"/>
      <c r="L857" s="157"/>
      <c r="M857" s="158" t="s">
        <v>28</v>
      </c>
      <c r="N857" s="159" t="s">
        <v>29</v>
      </c>
    </row>
    <row r="858" spans="1:14">
      <c r="A858" s="148"/>
      <c r="B858" s="149"/>
      <c r="C858" s="160"/>
      <c r="D858" s="151"/>
      <c r="E858" s="152"/>
      <c r="F858" s="153"/>
      <c r="G858" s="154"/>
      <c r="H858" s="154"/>
      <c r="I858" s="154"/>
      <c r="J858" s="155"/>
      <c r="K858" s="156"/>
      <c r="L858" s="157"/>
      <c r="M858" s="158" t="s">
        <v>28</v>
      </c>
      <c r="N858" s="159" t="s">
        <v>29</v>
      </c>
    </row>
    <row r="859" spans="1:14">
      <c r="A859" s="148"/>
      <c r="B859" s="149"/>
      <c r="C859" s="160"/>
      <c r="D859" s="151"/>
      <c r="E859" s="152"/>
      <c r="F859" s="153"/>
      <c r="G859" s="154"/>
      <c r="H859" s="154"/>
      <c r="I859" s="154"/>
      <c r="J859" s="155"/>
      <c r="K859" s="156"/>
      <c r="L859" s="157"/>
      <c r="M859" s="158" t="s">
        <v>28</v>
      </c>
      <c r="N859" s="159" t="s">
        <v>29</v>
      </c>
    </row>
    <row r="860" spans="1:14">
      <c r="A860" s="148"/>
      <c r="B860" s="149"/>
      <c r="C860" s="160"/>
      <c r="D860" s="151"/>
      <c r="E860" s="152"/>
      <c r="F860" s="153"/>
      <c r="G860" s="154"/>
      <c r="H860" s="154"/>
      <c r="I860" s="154"/>
      <c r="J860" s="155"/>
      <c r="K860" s="156"/>
      <c r="L860" s="157"/>
      <c r="M860" s="158" t="s">
        <v>28</v>
      </c>
      <c r="N860" s="159" t="s">
        <v>29</v>
      </c>
    </row>
    <row r="861" spans="1:14">
      <c r="A861" s="148"/>
      <c r="B861" s="149"/>
      <c r="C861" s="160"/>
      <c r="D861" s="151"/>
      <c r="E861" s="152"/>
      <c r="F861" s="153"/>
      <c r="G861" s="154"/>
      <c r="H861" s="154"/>
      <c r="I861" s="154"/>
      <c r="J861" s="155"/>
      <c r="K861" s="156"/>
      <c r="L861" s="157"/>
      <c r="M861" s="158" t="s">
        <v>28</v>
      </c>
      <c r="N861" s="159" t="s">
        <v>29</v>
      </c>
    </row>
    <row r="862" spans="1:14">
      <c r="A862" s="148"/>
      <c r="B862" s="149"/>
      <c r="C862" s="160"/>
      <c r="D862" s="151"/>
      <c r="E862" s="152"/>
      <c r="F862" s="153"/>
      <c r="G862" s="154"/>
      <c r="H862" s="154"/>
      <c r="I862" s="154"/>
      <c r="J862" s="155"/>
      <c r="K862" s="156"/>
      <c r="L862" s="157"/>
      <c r="M862" s="158" t="s">
        <v>28</v>
      </c>
      <c r="N862" s="159" t="s">
        <v>29</v>
      </c>
    </row>
    <row r="863" spans="1:14">
      <c r="A863" s="148"/>
      <c r="B863" s="149"/>
      <c r="C863" s="160"/>
      <c r="D863" s="151"/>
      <c r="E863" s="152"/>
      <c r="F863" s="153"/>
      <c r="G863" s="154"/>
      <c r="H863" s="154"/>
      <c r="I863" s="154"/>
      <c r="J863" s="155"/>
      <c r="K863" s="156"/>
      <c r="L863" s="157"/>
      <c r="M863" s="158" t="s">
        <v>28</v>
      </c>
      <c r="N863" s="159" t="s">
        <v>29</v>
      </c>
    </row>
    <row r="864" spans="1:14">
      <c r="A864" s="148"/>
      <c r="B864" s="149"/>
      <c r="C864" s="160"/>
      <c r="D864" s="151"/>
      <c r="E864" s="152"/>
      <c r="F864" s="153"/>
      <c r="G864" s="154"/>
      <c r="H864" s="154"/>
      <c r="I864" s="154"/>
      <c r="J864" s="155"/>
      <c r="K864" s="156"/>
      <c r="L864" s="157"/>
      <c r="M864" s="158" t="s">
        <v>28</v>
      </c>
      <c r="N864" s="159" t="s">
        <v>29</v>
      </c>
    </row>
    <row r="865" spans="1:14">
      <c r="A865" s="148"/>
      <c r="B865" s="149"/>
      <c r="C865" s="160"/>
      <c r="D865" s="151"/>
      <c r="E865" s="152"/>
      <c r="F865" s="153"/>
      <c r="G865" s="154"/>
      <c r="H865" s="154"/>
      <c r="I865" s="154"/>
      <c r="J865" s="155"/>
      <c r="K865" s="156"/>
      <c r="L865" s="157"/>
      <c r="M865" s="158" t="s">
        <v>28</v>
      </c>
      <c r="N865" s="159" t="s">
        <v>29</v>
      </c>
    </row>
    <row r="866" spans="1:14">
      <c r="A866" s="148"/>
      <c r="B866" s="149"/>
      <c r="C866" s="160"/>
      <c r="D866" s="151"/>
      <c r="E866" s="152"/>
      <c r="F866" s="153"/>
      <c r="G866" s="154"/>
      <c r="H866" s="154"/>
      <c r="I866" s="154"/>
      <c r="J866" s="155"/>
      <c r="K866" s="156"/>
      <c r="L866" s="157"/>
      <c r="M866" s="158" t="s">
        <v>28</v>
      </c>
      <c r="N866" s="159" t="s">
        <v>29</v>
      </c>
    </row>
    <row r="867" spans="1:14">
      <c r="A867" s="148"/>
      <c r="B867" s="149"/>
      <c r="C867" s="160"/>
      <c r="D867" s="151"/>
      <c r="E867" s="152"/>
      <c r="F867" s="153"/>
      <c r="G867" s="154"/>
      <c r="H867" s="154"/>
      <c r="I867" s="154"/>
      <c r="J867" s="155"/>
      <c r="K867" s="156"/>
      <c r="L867" s="157"/>
      <c r="M867" s="158" t="s">
        <v>28</v>
      </c>
      <c r="N867" s="159" t="s">
        <v>29</v>
      </c>
    </row>
    <row r="868" spans="1:14">
      <c r="A868" s="148"/>
      <c r="B868" s="149"/>
      <c r="C868" s="160"/>
      <c r="D868" s="151"/>
      <c r="E868" s="152"/>
      <c r="F868" s="153"/>
      <c r="G868" s="154"/>
      <c r="H868" s="154"/>
      <c r="I868" s="154"/>
      <c r="J868" s="155"/>
      <c r="K868" s="156"/>
      <c r="L868" s="157"/>
      <c r="M868" s="158" t="s">
        <v>28</v>
      </c>
      <c r="N868" s="159" t="s">
        <v>29</v>
      </c>
    </row>
    <row r="869" spans="1:14">
      <c r="A869" s="148"/>
      <c r="B869" s="149"/>
      <c r="C869" s="160"/>
      <c r="D869" s="151"/>
      <c r="E869" s="152"/>
      <c r="F869" s="153"/>
      <c r="G869" s="154"/>
      <c r="H869" s="154"/>
      <c r="I869" s="154"/>
      <c r="J869" s="155"/>
      <c r="K869" s="156"/>
      <c r="L869" s="157"/>
      <c r="M869" s="158" t="s">
        <v>28</v>
      </c>
      <c r="N869" s="159" t="s">
        <v>29</v>
      </c>
    </row>
    <row r="870" spans="1:14">
      <c r="A870" s="148"/>
      <c r="B870" s="149"/>
      <c r="C870" s="160"/>
      <c r="D870" s="151"/>
      <c r="E870" s="152"/>
      <c r="F870" s="153"/>
      <c r="G870" s="154"/>
      <c r="H870" s="154"/>
      <c r="I870" s="154"/>
      <c r="J870" s="155"/>
      <c r="K870" s="156"/>
      <c r="L870" s="157"/>
      <c r="M870" s="158" t="s">
        <v>28</v>
      </c>
      <c r="N870" s="159" t="s">
        <v>29</v>
      </c>
    </row>
    <row r="871" spans="1:14">
      <c r="A871" s="148"/>
      <c r="B871" s="149"/>
      <c r="C871" s="160"/>
      <c r="D871" s="151"/>
      <c r="E871" s="152"/>
      <c r="F871" s="153"/>
      <c r="G871" s="154"/>
      <c r="H871" s="154"/>
      <c r="I871" s="154"/>
      <c r="J871" s="155"/>
      <c r="K871" s="156"/>
      <c r="L871" s="157"/>
      <c r="M871" s="158" t="s">
        <v>28</v>
      </c>
      <c r="N871" s="159" t="s">
        <v>29</v>
      </c>
    </row>
    <row r="872" spans="1:14">
      <c r="A872" s="148"/>
      <c r="B872" s="149"/>
      <c r="C872" s="160"/>
      <c r="D872" s="151"/>
      <c r="E872" s="152"/>
      <c r="F872" s="153"/>
      <c r="G872" s="154"/>
      <c r="H872" s="154"/>
      <c r="I872" s="154"/>
      <c r="J872" s="155"/>
      <c r="K872" s="156"/>
      <c r="L872" s="157"/>
      <c r="M872" s="158" t="s">
        <v>28</v>
      </c>
      <c r="N872" s="159" t="s">
        <v>29</v>
      </c>
    </row>
    <row r="873" spans="1:14">
      <c r="A873" s="148"/>
      <c r="B873" s="149"/>
      <c r="C873" s="160"/>
      <c r="D873" s="151"/>
      <c r="E873" s="152"/>
      <c r="F873" s="153"/>
      <c r="G873" s="154"/>
      <c r="H873" s="154"/>
      <c r="I873" s="154"/>
      <c r="J873" s="155"/>
      <c r="K873" s="156"/>
      <c r="L873" s="157"/>
      <c r="M873" s="158" t="s">
        <v>28</v>
      </c>
      <c r="N873" s="159" t="s">
        <v>29</v>
      </c>
    </row>
    <row r="874" spans="1:14">
      <c r="A874" s="148"/>
      <c r="B874" s="149"/>
      <c r="C874" s="160"/>
      <c r="D874" s="151"/>
      <c r="E874" s="152"/>
      <c r="F874" s="153"/>
      <c r="G874" s="154"/>
      <c r="H874" s="154"/>
      <c r="I874" s="154"/>
      <c r="J874" s="155"/>
      <c r="K874" s="156"/>
      <c r="L874" s="157"/>
      <c r="M874" s="158" t="s">
        <v>28</v>
      </c>
      <c r="N874" s="159" t="s">
        <v>29</v>
      </c>
    </row>
    <row r="875" spans="1:14">
      <c r="A875" s="148"/>
      <c r="B875" s="149"/>
      <c r="C875" s="160"/>
      <c r="D875" s="151"/>
      <c r="E875" s="152"/>
      <c r="F875" s="153"/>
      <c r="G875" s="154"/>
      <c r="H875" s="154"/>
      <c r="I875" s="154"/>
      <c r="J875" s="155"/>
      <c r="K875" s="156"/>
      <c r="L875" s="157"/>
      <c r="M875" s="158" t="s">
        <v>28</v>
      </c>
      <c r="N875" s="159" t="s">
        <v>29</v>
      </c>
    </row>
    <row r="876" spans="1:14">
      <c r="A876" s="148"/>
      <c r="B876" s="149"/>
      <c r="C876" s="160"/>
      <c r="D876" s="151"/>
      <c r="E876" s="152"/>
      <c r="F876" s="153"/>
      <c r="G876" s="154"/>
      <c r="H876" s="154"/>
      <c r="I876" s="154"/>
      <c r="J876" s="155"/>
      <c r="K876" s="156"/>
      <c r="L876" s="157"/>
      <c r="M876" s="158" t="s">
        <v>28</v>
      </c>
      <c r="N876" s="159" t="s">
        <v>29</v>
      </c>
    </row>
    <row r="877" spans="1:14">
      <c r="A877" s="148"/>
      <c r="B877" s="149"/>
      <c r="C877" s="160"/>
      <c r="D877" s="151"/>
      <c r="E877" s="152"/>
      <c r="F877" s="153"/>
      <c r="G877" s="154"/>
      <c r="H877" s="154"/>
      <c r="I877" s="154"/>
      <c r="J877" s="155"/>
      <c r="K877" s="156"/>
      <c r="L877" s="157"/>
      <c r="M877" s="158" t="s">
        <v>28</v>
      </c>
      <c r="N877" s="159" t="s">
        <v>29</v>
      </c>
    </row>
    <row r="878" spans="1:14">
      <c r="A878" s="148"/>
      <c r="B878" s="149"/>
      <c r="C878" s="160"/>
      <c r="D878" s="151"/>
      <c r="E878" s="152"/>
      <c r="F878" s="153"/>
      <c r="G878" s="154"/>
      <c r="H878" s="154"/>
      <c r="I878" s="154"/>
      <c r="J878" s="155"/>
      <c r="K878" s="156"/>
      <c r="L878" s="157"/>
      <c r="M878" s="158" t="s">
        <v>28</v>
      </c>
      <c r="N878" s="159" t="s">
        <v>29</v>
      </c>
    </row>
    <row r="879" spans="1:14">
      <c r="A879" s="148"/>
      <c r="B879" s="149"/>
      <c r="C879" s="160"/>
      <c r="D879" s="151"/>
      <c r="E879" s="152"/>
      <c r="F879" s="153"/>
      <c r="G879" s="154"/>
      <c r="H879" s="154"/>
      <c r="I879" s="154"/>
      <c r="J879" s="155"/>
      <c r="K879" s="156"/>
      <c r="L879" s="157"/>
      <c r="M879" s="158" t="s">
        <v>28</v>
      </c>
      <c r="N879" s="159" t="s">
        <v>29</v>
      </c>
    </row>
    <row r="880" spans="1:14">
      <c r="A880" s="148"/>
      <c r="B880" s="149"/>
      <c r="C880" s="160"/>
      <c r="D880" s="151"/>
      <c r="E880" s="152"/>
      <c r="F880" s="153"/>
      <c r="G880" s="154"/>
      <c r="H880" s="154"/>
      <c r="I880" s="154"/>
      <c r="J880" s="155"/>
      <c r="K880" s="156"/>
      <c r="L880" s="157"/>
      <c r="M880" s="158" t="s">
        <v>28</v>
      </c>
      <c r="N880" s="159" t="s">
        <v>29</v>
      </c>
    </row>
    <row r="881" spans="1:14">
      <c r="A881" s="148"/>
      <c r="B881" s="149"/>
      <c r="C881" s="160"/>
      <c r="D881" s="151"/>
      <c r="E881" s="152"/>
      <c r="F881" s="153"/>
      <c r="G881" s="154"/>
      <c r="H881" s="154"/>
      <c r="I881" s="154"/>
      <c r="J881" s="155"/>
      <c r="K881" s="156"/>
      <c r="L881" s="157"/>
      <c r="M881" s="158" t="s">
        <v>28</v>
      </c>
      <c r="N881" s="159" t="s">
        <v>29</v>
      </c>
    </row>
    <row r="882" spans="1:14">
      <c r="A882" s="148"/>
      <c r="B882" s="149"/>
      <c r="C882" s="160"/>
      <c r="D882" s="151"/>
      <c r="E882" s="152"/>
      <c r="F882" s="153"/>
      <c r="G882" s="154"/>
      <c r="H882" s="154"/>
      <c r="I882" s="154"/>
      <c r="J882" s="155"/>
      <c r="K882" s="156"/>
      <c r="L882" s="157"/>
      <c r="M882" s="158" t="s">
        <v>28</v>
      </c>
      <c r="N882" s="159" t="s">
        <v>29</v>
      </c>
    </row>
    <row r="883" spans="1:14">
      <c r="A883" s="148"/>
      <c r="B883" s="149"/>
      <c r="C883" s="160"/>
      <c r="D883" s="151"/>
      <c r="E883" s="152"/>
      <c r="F883" s="153"/>
      <c r="G883" s="154"/>
      <c r="H883" s="154"/>
      <c r="I883" s="154"/>
      <c r="J883" s="155"/>
      <c r="K883" s="156"/>
      <c r="L883" s="157"/>
      <c r="M883" s="158" t="s">
        <v>28</v>
      </c>
      <c r="N883" s="159" t="s">
        <v>29</v>
      </c>
    </row>
    <row r="884" spans="1:14">
      <c r="A884" s="148"/>
      <c r="B884" s="149"/>
      <c r="C884" s="160"/>
      <c r="D884" s="151"/>
      <c r="E884" s="152"/>
      <c r="F884" s="153"/>
      <c r="G884" s="154"/>
      <c r="H884" s="154"/>
      <c r="I884" s="154"/>
      <c r="J884" s="155"/>
      <c r="K884" s="156"/>
      <c r="L884" s="157"/>
      <c r="M884" s="158" t="s">
        <v>28</v>
      </c>
      <c r="N884" s="159" t="s">
        <v>29</v>
      </c>
    </row>
    <row r="885" spans="1:14">
      <c r="A885" s="148"/>
      <c r="B885" s="149"/>
      <c r="C885" s="150"/>
      <c r="D885" s="151"/>
      <c r="E885" s="152"/>
      <c r="F885" s="153"/>
      <c r="G885" s="154"/>
      <c r="H885" s="154"/>
      <c r="I885" s="154"/>
      <c r="J885" s="155"/>
      <c r="K885" s="156"/>
      <c r="L885" s="157"/>
      <c r="M885" s="158" t="s">
        <v>28</v>
      </c>
      <c r="N885" s="159" t="s">
        <v>29</v>
      </c>
    </row>
    <row r="886" spans="1:14">
      <c r="A886" s="148"/>
      <c r="B886" s="149"/>
      <c r="C886" s="150"/>
      <c r="D886" s="151"/>
      <c r="E886" s="152"/>
      <c r="F886" s="153"/>
      <c r="G886" s="154"/>
      <c r="H886" s="154"/>
      <c r="I886" s="154"/>
      <c r="J886" s="155"/>
      <c r="K886" s="156"/>
      <c r="L886" s="157"/>
      <c r="M886" s="158" t="s">
        <v>28</v>
      </c>
      <c r="N886" s="159" t="s">
        <v>29</v>
      </c>
    </row>
    <row r="887" spans="1:14">
      <c r="A887" s="148"/>
      <c r="B887" s="149"/>
      <c r="C887" s="150"/>
      <c r="D887" s="151"/>
      <c r="E887" s="152"/>
      <c r="F887" s="153"/>
      <c r="G887" s="154"/>
      <c r="H887" s="154"/>
      <c r="I887" s="154"/>
      <c r="J887" s="155"/>
      <c r="K887" s="156"/>
      <c r="L887" s="157"/>
      <c r="M887" s="158" t="s">
        <v>28</v>
      </c>
      <c r="N887" s="159" t="s">
        <v>29</v>
      </c>
    </row>
    <row r="888" spans="1:14">
      <c r="A888" s="148"/>
      <c r="B888" s="149"/>
      <c r="C888" s="160"/>
      <c r="D888" s="151"/>
      <c r="E888" s="152"/>
      <c r="F888" s="153"/>
      <c r="G888" s="154"/>
      <c r="H888" s="154"/>
      <c r="I888" s="154"/>
      <c r="J888" s="155"/>
      <c r="K888" s="156"/>
      <c r="L888" s="157"/>
      <c r="M888" s="158" t="s">
        <v>28</v>
      </c>
      <c r="N888" s="159" t="s">
        <v>29</v>
      </c>
    </row>
    <row r="889" spans="1:14">
      <c r="A889" s="148"/>
      <c r="B889" s="149"/>
      <c r="C889" s="160"/>
      <c r="D889" s="151"/>
      <c r="E889" s="152"/>
      <c r="F889" s="153"/>
      <c r="G889" s="154"/>
      <c r="H889" s="154"/>
      <c r="I889" s="154"/>
      <c r="J889" s="155"/>
      <c r="K889" s="156"/>
      <c r="L889" s="157"/>
      <c r="M889" s="158" t="s">
        <v>28</v>
      </c>
      <c r="N889" s="159" t="s">
        <v>29</v>
      </c>
    </row>
    <row r="890" spans="1:14">
      <c r="A890" s="148"/>
      <c r="B890" s="149"/>
      <c r="C890" s="160"/>
      <c r="D890" s="151"/>
      <c r="E890" s="152"/>
      <c r="F890" s="153"/>
      <c r="G890" s="154"/>
      <c r="H890" s="154"/>
      <c r="I890" s="154"/>
      <c r="J890" s="155"/>
      <c r="K890" s="156"/>
      <c r="L890" s="157"/>
      <c r="M890" s="158" t="s">
        <v>28</v>
      </c>
      <c r="N890" s="159" t="s">
        <v>29</v>
      </c>
    </row>
    <row r="891" spans="1:14">
      <c r="A891" s="148"/>
      <c r="B891" s="149"/>
      <c r="C891" s="150"/>
      <c r="D891" s="151"/>
      <c r="E891" s="152"/>
      <c r="F891" s="153"/>
      <c r="G891" s="154"/>
      <c r="H891" s="154"/>
      <c r="I891" s="154"/>
      <c r="J891" s="155"/>
      <c r="K891" s="162"/>
      <c r="L891" s="157"/>
      <c r="M891" s="158" t="s">
        <v>28</v>
      </c>
      <c r="N891" s="159" t="s">
        <v>29</v>
      </c>
    </row>
    <row r="892" spans="1:14">
      <c r="A892" s="148"/>
      <c r="B892" s="149"/>
      <c r="C892" s="160"/>
      <c r="D892" s="151"/>
      <c r="E892" s="152"/>
      <c r="F892" s="153"/>
      <c r="G892" s="154"/>
      <c r="H892" s="154"/>
      <c r="I892" s="154"/>
      <c r="J892" s="155"/>
      <c r="K892" s="156"/>
      <c r="L892" s="157"/>
      <c r="M892" s="158" t="s">
        <v>28</v>
      </c>
      <c r="N892" s="159" t="s">
        <v>29</v>
      </c>
    </row>
    <row r="893" spans="1:14">
      <c r="A893" s="148"/>
      <c r="B893" s="149"/>
      <c r="C893" s="160"/>
      <c r="D893" s="151"/>
      <c r="E893" s="152"/>
      <c r="F893" s="153"/>
      <c r="G893" s="154"/>
      <c r="H893" s="154"/>
      <c r="I893" s="154"/>
      <c r="J893" s="155"/>
      <c r="K893" s="156"/>
      <c r="L893" s="157"/>
      <c r="M893" s="158" t="s">
        <v>28</v>
      </c>
      <c r="N893" s="159" t="s">
        <v>29</v>
      </c>
    </row>
    <row r="894" spans="1:14">
      <c r="A894" s="148"/>
      <c r="B894" s="149"/>
      <c r="C894" s="160"/>
      <c r="D894" s="151"/>
      <c r="E894" s="152"/>
      <c r="F894" s="153"/>
      <c r="G894" s="154"/>
      <c r="H894" s="154"/>
      <c r="I894" s="154"/>
      <c r="J894" s="155"/>
      <c r="K894" s="156"/>
      <c r="L894" s="157"/>
      <c r="M894" s="158" t="s">
        <v>28</v>
      </c>
      <c r="N894" s="159" t="s">
        <v>29</v>
      </c>
    </row>
    <row r="895" spans="1:14">
      <c r="A895" s="148"/>
      <c r="B895" s="149"/>
      <c r="C895" s="160"/>
      <c r="D895" s="151"/>
      <c r="E895" s="152"/>
      <c r="F895" s="153"/>
      <c r="G895" s="154"/>
      <c r="H895" s="154"/>
      <c r="I895" s="154"/>
      <c r="J895" s="155"/>
      <c r="K895" s="156"/>
      <c r="L895" s="157"/>
      <c r="M895" s="158" t="s">
        <v>28</v>
      </c>
      <c r="N895" s="159" t="s">
        <v>29</v>
      </c>
    </row>
    <row r="896" spans="1:14">
      <c r="A896" s="148"/>
      <c r="B896" s="149"/>
      <c r="C896" s="160"/>
      <c r="D896" s="151"/>
      <c r="E896" s="152"/>
      <c r="F896" s="153"/>
      <c r="G896" s="154"/>
      <c r="H896" s="154"/>
      <c r="I896" s="154"/>
      <c r="J896" s="155"/>
      <c r="K896" s="156"/>
      <c r="L896" s="157"/>
      <c r="M896" s="158" t="s">
        <v>28</v>
      </c>
      <c r="N896" s="159" t="s">
        <v>29</v>
      </c>
    </row>
    <row r="897" spans="1:14">
      <c r="A897" s="148"/>
      <c r="B897" s="149"/>
      <c r="C897" s="160"/>
      <c r="D897" s="151"/>
      <c r="E897" s="152"/>
      <c r="F897" s="153"/>
      <c r="G897" s="154"/>
      <c r="H897" s="154"/>
      <c r="I897" s="154"/>
      <c r="J897" s="155"/>
      <c r="K897" s="156"/>
      <c r="L897" s="157"/>
      <c r="M897" s="158" t="s">
        <v>28</v>
      </c>
      <c r="N897" s="159" t="s">
        <v>29</v>
      </c>
    </row>
    <row r="898" spans="1:14">
      <c r="A898" s="148"/>
      <c r="B898" s="149"/>
      <c r="C898" s="160"/>
      <c r="D898" s="151"/>
      <c r="E898" s="152"/>
      <c r="F898" s="153"/>
      <c r="G898" s="154"/>
      <c r="H898" s="154"/>
      <c r="I898" s="154"/>
      <c r="J898" s="155"/>
      <c r="K898" s="156"/>
      <c r="L898" s="157"/>
      <c r="M898" s="158" t="s">
        <v>28</v>
      </c>
      <c r="N898" s="159" t="s">
        <v>29</v>
      </c>
    </row>
    <row r="899" spans="1:14">
      <c r="A899" s="148"/>
      <c r="B899" s="149"/>
      <c r="C899" s="160"/>
      <c r="D899" s="151"/>
      <c r="E899" s="152"/>
      <c r="F899" s="153"/>
      <c r="G899" s="154"/>
      <c r="H899" s="154"/>
      <c r="I899" s="154"/>
      <c r="J899" s="155"/>
      <c r="K899" s="156"/>
      <c r="L899" s="157"/>
      <c r="M899" s="158" t="s">
        <v>28</v>
      </c>
      <c r="N899" s="159" t="s">
        <v>29</v>
      </c>
    </row>
    <row r="900" spans="1:14">
      <c r="A900" s="148"/>
      <c r="B900" s="149"/>
      <c r="C900" s="160"/>
      <c r="D900" s="151"/>
      <c r="E900" s="152"/>
      <c r="F900" s="153"/>
      <c r="G900" s="154"/>
      <c r="H900" s="154"/>
      <c r="I900" s="154"/>
      <c r="J900" s="155"/>
      <c r="K900" s="156"/>
      <c r="L900" s="157"/>
      <c r="M900" s="158" t="s">
        <v>28</v>
      </c>
      <c r="N900" s="159" t="s">
        <v>29</v>
      </c>
    </row>
    <row r="901" spans="1:14">
      <c r="A901" s="148"/>
      <c r="B901" s="149"/>
      <c r="C901" s="160"/>
      <c r="D901" s="151"/>
      <c r="E901" s="152"/>
      <c r="F901" s="153"/>
      <c r="G901" s="154"/>
      <c r="H901" s="154"/>
      <c r="I901" s="154"/>
      <c r="J901" s="155"/>
      <c r="K901" s="156"/>
      <c r="L901" s="157"/>
      <c r="M901" s="158" t="s">
        <v>28</v>
      </c>
      <c r="N901" s="159" t="s">
        <v>29</v>
      </c>
    </row>
    <row r="902" spans="1:14">
      <c r="A902" s="148"/>
      <c r="B902" s="149"/>
      <c r="C902" s="160"/>
      <c r="D902" s="151"/>
      <c r="E902" s="152"/>
      <c r="F902" s="153"/>
      <c r="G902" s="154"/>
      <c r="H902" s="154"/>
      <c r="I902" s="154"/>
      <c r="J902" s="155"/>
      <c r="K902" s="156"/>
      <c r="L902" s="157"/>
      <c r="M902" s="158" t="s">
        <v>28</v>
      </c>
      <c r="N902" s="159" t="s">
        <v>29</v>
      </c>
    </row>
    <row r="903" spans="1:14">
      <c r="A903" s="148"/>
      <c r="B903" s="149"/>
      <c r="C903" s="160"/>
      <c r="D903" s="151"/>
      <c r="E903" s="152"/>
      <c r="F903" s="153"/>
      <c r="G903" s="154"/>
      <c r="H903" s="154"/>
      <c r="I903" s="154"/>
      <c r="J903" s="155"/>
      <c r="K903" s="156"/>
      <c r="L903" s="157"/>
      <c r="M903" s="158" t="s">
        <v>28</v>
      </c>
      <c r="N903" s="159" t="s">
        <v>29</v>
      </c>
    </row>
    <row r="904" spans="1:14">
      <c r="A904" s="148"/>
      <c r="B904" s="149"/>
      <c r="C904" s="160"/>
      <c r="D904" s="151"/>
      <c r="E904" s="152"/>
      <c r="F904" s="153"/>
      <c r="G904" s="154"/>
      <c r="H904" s="154"/>
      <c r="I904" s="154"/>
      <c r="J904" s="155"/>
      <c r="K904" s="156"/>
      <c r="L904" s="157"/>
      <c r="M904" s="158" t="s">
        <v>28</v>
      </c>
      <c r="N904" s="159" t="s">
        <v>29</v>
      </c>
    </row>
    <row r="905" spans="1:14">
      <c r="A905" s="148"/>
      <c r="B905" s="149"/>
      <c r="C905" s="150"/>
      <c r="D905" s="151"/>
      <c r="E905" s="152"/>
      <c r="F905" s="153"/>
      <c r="G905" s="154"/>
      <c r="H905" s="154"/>
      <c r="I905" s="154"/>
      <c r="J905" s="155"/>
      <c r="K905" s="156"/>
      <c r="L905" s="157"/>
      <c r="M905" s="158" t="s">
        <v>28</v>
      </c>
      <c r="N905" s="159" t="s">
        <v>29</v>
      </c>
    </row>
    <row r="906" spans="1:14">
      <c r="A906" s="148"/>
      <c r="B906" s="149"/>
      <c r="C906" s="160"/>
      <c r="D906" s="151"/>
      <c r="E906" s="152"/>
      <c r="F906" s="153"/>
      <c r="G906" s="154"/>
      <c r="H906" s="154"/>
      <c r="I906" s="154"/>
      <c r="J906" s="155"/>
      <c r="K906" s="156"/>
      <c r="L906" s="157"/>
      <c r="M906" s="158" t="s">
        <v>28</v>
      </c>
      <c r="N906" s="159" t="s">
        <v>29</v>
      </c>
    </row>
    <row r="907" spans="1:14">
      <c r="A907" s="148"/>
      <c r="B907" s="149"/>
      <c r="C907" s="160"/>
      <c r="D907" s="151"/>
      <c r="E907" s="152"/>
      <c r="F907" s="153"/>
      <c r="G907" s="154"/>
      <c r="H907" s="154"/>
      <c r="I907" s="154"/>
      <c r="J907" s="155"/>
      <c r="K907" s="156"/>
      <c r="L907" s="157"/>
      <c r="M907" s="158" t="s">
        <v>28</v>
      </c>
      <c r="N907" s="159" t="s">
        <v>29</v>
      </c>
    </row>
    <row r="908" spans="1:14">
      <c r="A908" s="148"/>
      <c r="B908" s="149"/>
      <c r="C908" s="160"/>
      <c r="D908" s="151"/>
      <c r="E908" s="152"/>
      <c r="F908" s="153"/>
      <c r="G908" s="154"/>
      <c r="H908" s="154"/>
      <c r="I908" s="154"/>
      <c r="J908" s="155"/>
      <c r="K908" s="156"/>
      <c r="L908" s="157"/>
      <c r="M908" s="158" t="s">
        <v>28</v>
      </c>
      <c r="N908" s="159" t="s">
        <v>29</v>
      </c>
    </row>
    <row r="909" spans="1:14">
      <c r="A909" s="148"/>
      <c r="B909" s="149"/>
      <c r="C909" s="160"/>
      <c r="D909" s="151"/>
      <c r="E909" s="152"/>
      <c r="F909" s="153"/>
      <c r="G909" s="154"/>
      <c r="H909" s="154"/>
      <c r="I909" s="154"/>
      <c r="J909" s="155"/>
      <c r="K909" s="156"/>
      <c r="L909" s="157"/>
      <c r="M909" s="158" t="s">
        <v>28</v>
      </c>
      <c r="N909" s="159" t="s">
        <v>29</v>
      </c>
    </row>
    <row r="910" spans="1:14">
      <c r="A910" s="148"/>
      <c r="B910" s="149"/>
      <c r="C910" s="160"/>
      <c r="D910" s="151"/>
      <c r="E910" s="152"/>
      <c r="F910" s="153"/>
      <c r="G910" s="154"/>
      <c r="H910" s="154"/>
      <c r="I910" s="154"/>
      <c r="J910" s="155"/>
      <c r="K910" s="156"/>
      <c r="L910" s="157"/>
      <c r="M910" s="158" t="s">
        <v>28</v>
      </c>
      <c r="N910" s="159" t="s">
        <v>29</v>
      </c>
    </row>
    <row r="911" spans="1:14">
      <c r="A911" s="148"/>
      <c r="B911" s="149"/>
      <c r="C911" s="160"/>
      <c r="D911" s="151"/>
      <c r="E911" s="152"/>
      <c r="F911" s="153"/>
      <c r="G911" s="154"/>
      <c r="H911" s="154"/>
      <c r="I911" s="154"/>
      <c r="J911" s="155"/>
      <c r="K911" s="156"/>
      <c r="L911" s="157"/>
      <c r="M911" s="158" t="s">
        <v>28</v>
      </c>
      <c r="N911" s="159" t="s">
        <v>29</v>
      </c>
    </row>
    <row r="912" spans="1:14">
      <c r="A912" s="148"/>
      <c r="B912" s="149"/>
      <c r="C912" s="160"/>
      <c r="D912" s="151"/>
      <c r="E912" s="152"/>
      <c r="F912" s="153"/>
      <c r="G912" s="154"/>
      <c r="H912" s="154"/>
      <c r="I912" s="154"/>
      <c r="J912" s="155"/>
      <c r="K912" s="156"/>
      <c r="L912" s="157"/>
      <c r="M912" s="158" t="s">
        <v>28</v>
      </c>
      <c r="N912" s="159" t="s">
        <v>29</v>
      </c>
    </row>
    <row r="913" spans="1:14">
      <c r="A913" s="148"/>
      <c r="B913" s="149"/>
      <c r="C913" s="160"/>
      <c r="D913" s="151"/>
      <c r="E913" s="152"/>
      <c r="F913" s="153"/>
      <c r="G913" s="154"/>
      <c r="H913" s="154"/>
      <c r="I913" s="154"/>
      <c r="J913" s="155"/>
      <c r="K913" s="156"/>
      <c r="L913" s="157"/>
      <c r="M913" s="158" t="s">
        <v>28</v>
      </c>
      <c r="N913" s="159" t="s">
        <v>29</v>
      </c>
    </row>
    <row r="914" spans="1:14">
      <c r="A914" s="148"/>
      <c r="B914" s="149"/>
      <c r="C914" s="160"/>
      <c r="D914" s="151"/>
      <c r="E914" s="152"/>
      <c r="F914" s="153"/>
      <c r="G914" s="154"/>
      <c r="H914" s="154"/>
      <c r="I914" s="154"/>
      <c r="J914" s="155"/>
      <c r="K914" s="156"/>
      <c r="L914" s="157"/>
      <c r="M914" s="158" t="s">
        <v>28</v>
      </c>
      <c r="N914" s="159" t="s">
        <v>29</v>
      </c>
    </row>
    <row r="915" spans="1:14">
      <c r="A915" s="148"/>
      <c r="B915" s="149"/>
      <c r="C915" s="160"/>
      <c r="D915" s="151"/>
      <c r="E915" s="152"/>
      <c r="F915" s="153"/>
      <c r="G915" s="154"/>
      <c r="H915" s="154"/>
      <c r="I915" s="154"/>
      <c r="J915" s="155"/>
      <c r="K915" s="156"/>
      <c r="L915" s="157"/>
      <c r="M915" s="158" t="s">
        <v>28</v>
      </c>
      <c r="N915" s="159" t="s">
        <v>29</v>
      </c>
    </row>
    <row r="916" spans="1:14">
      <c r="A916" s="148"/>
      <c r="B916" s="149"/>
      <c r="C916" s="160"/>
      <c r="D916" s="151"/>
      <c r="E916" s="152"/>
      <c r="F916" s="153"/>
      <c r="G916" s="154"/>
      <c r="H916" s="154"/>
      <c r="I916" s="154"/>
      <c r="J916" s="155"/>
      <c r="K916" s="156"/>
      <c r="L916" s="157"/>
      <c r="M916" s="158" t="s">
        <v>28</v>
      </c>
      <c r="N916" s="159" t="s">
        <v>29</v>
      </c>
    </row>
    <row r="917" spans="1:14">
      <c r="A917" s="148"/>
      <c r="B917" s="149"/>
      <c r="C917" s="160"/>
      <c r="D917" s="151"/>
      <c r="E917" s="152"/>
      <c r="F917" s="153"/>
      <c r="G917" s="154"/>
      <c r="H917" s="154"/>
      <c r="I917" s="154"/>
      <c r="J917" s="155"/>
      <c r="K917" s="156"/>
      <c r="L917" s="157"/>
      <c r="M917" s="158" t="s">
        <v>28</v>
      </c>
      <c r="N917" s="159" t="s">
        <v>29</v>
      </c>
    </row>
    <row r="918" spans="1:14">
      <c r="A918" s="148"/>
      <c r="B918" s="149"/>
      <c r="C918" s="160"/>
      <c r="D918" s="151"/>
      <c r="E918" s="152"/>
      <c r="F918" s="153"/>
      <c r="G918" s="154"/>
      <c r="H918" s="154"/>
      <c r="I918" s="154"/>
      <c r="J918" s="155"/>
      <c r="K918" s="156"/>
      <c r="L918" s="157"/>
      <c r="M918" s="158" t="s">
        <v>28</v>
      </c>
      <c r="N918" s="159" t="s">
        <v>29</v>
      </c>
    </row>
    <row r="919" spans="1:14">
      <c r="A919" s="148"/>
      <c r="B919" s="149"/>
      <c r="C919" s="160"/>
      <c r="D919" s="151"/>
      <c r="E919" s="152"/>
      <c r="F919" s="153"/>
      <c r="G919" s="154"/>
      <c r="H919" s="154"/>
      <c r="I919" s="154"/>
      <c r="J919" s="155"/>
      <c r="K919" s="156"/>
      <c r="L919" s="157"/>
      <c r="M919" s="158" t="s">
        <v>28</v>
      </c>
      <c r="N919" s="159" t="s">
        <v>29</v>
      </c>
    </row>
    <row r="920" spans="1:14">
      <c r="A920" s="148"/>
      <c r="B920" s="149"/>
      <c r="C920" s="160"/>
      <c r="D920" s="151"/>
      <c r="E920" s="152"/>
      <c r="F920" s="153"/>
      <c r="G920" s="154"/>
      <c r="H920" s="154"/>
      <c r="I920" s="154"/>
      <c r="J920" s="155"/>
      <c r="K920" s="156"/>
      <c r="L920" s="157"/>
      <c r="M920" s="158" t="s">
        <v>28</v>
      </c>
      <c r="N920" s="159" t="s">
        <v>29</v>
      </c>
    </row>
    <row r="921" spans="1:14">
      <c r="A921" s="148"/>
      <c r="B921" s="149"/>
      <c r="C921" s="160"/>
      <c r="D921" s="151"/>
      <c r="E921" s="152"/>
      <c r="F921" s="153"/>
      <c r="G921" s="154"/>
      <c r="H921" s="154"/>
      <c r="I921" s="154"/>
      <c r="J921" s="155"/>
      <c r="K921" s="156"/>
      <c r="L921" s="157"/>
      <c r="M921" s="158" t="s">
        <v>28</v>
      </c>
      <c r="N921" s="159" t="s">
        <v>29</v>
      </c>
    </row>
    <row r="922" spans="1:14">
      <c r="A922" s="148"/>
      <c r="B922" s="149"/>
      <c r="C922" s="160"/>
      <c r="D922" s="151"/>
      <c r="E922" s="152"/>
      <c r="F922" s="153"/>
      <c r="G922" s="154"/>
      <c r="H922" s="154"/>
      <c r="I922" s="154"/>
      <c r="J922" s="155"/>
      <c r="K922" s="156"/>
      <c r="L922" s="157"/>
      <c r="M922" s="158" t="s">
        <v>28</v>
      </c>
      <c r="N922" s="159" t="s">
        <v>29</v>
      </c>
    </row>
    <row r="923" spans="1:14">
      <c r="A923" s="148"/>
      <c r="B923" s="149"/>
      <c r="C923" s="160"/>
      <c r="D923" s="151"/>
      <c r="E923" s="152"/>
      <c r="F923" s="153"/>
      <c r="G923" s="154"/>
      <c r="H923" s="154"/>
      <c r="I923" s="154"/>
      <c r="J923" s="155"/>
      <c r="K923" s="156"/>
      <c r="L923" s="157"/>
      <c r="M923" s="158" t="s">
        <v>28</v>
      </c>
      <c r="N923" s="159" t="s">
        <v>29</v>
      </c>
    </row>
    <row r="924" spans="1:14">
      <c r="A924" s="148"/>
      <c r="B924" s="149"/>
      <c r="C924" s="160"/>
      <c r="D924" s="151"/>
      <c r="E924" s="152"/>
      <c r="F924" s="153"/>
      <c r="G924" s="154"/>
      <c r="H924" s="154"/>
      <c r="I924" s="154"/>
      <c r="J924" s="155"/>
      <c r="K924" s="156"/>
      <c r="L924" s="157"/>
      <c r="M924" s="158" t="s">
        <v>28</v>
      </c>
      <c r="N924" s="159" t="s">
        <v>29</v>
      </c>
    </row>
    <row r="925" spans="1:14">
      <c r="A925" s="148"/>
      <c r="B925" s="149"/>
      <c r="C925" s="160"/>
      <c r="D925" s="151"/>
      <c r="E925" s="152"/>
      <c r="F925" s="153"/>
      <c r="G925" s="154"/>
      <c r="H925" s="154"/>
      <c r="I925" s="154"/>
      <c r="J925" s="155"/>
      <c r="K925" s="156"/>
      <c r="L925" s="157"/>
      <c r="M925" s="158" t="s">
        <v>28</v>
      </c>
      <c r="N925" s="159" t="s">
        <v>29</v>
      </c>
    </row>
    <row r="926" spans="1:14">
      <c r="A926" s="148"/>
      <c r="B926" s="149"/>
      <c r="C926" s="160"/>
      <c r="D926" s="151"/>
      <c r="E926" s="152"/>
      <c r="F926" s="153"/>
      <c r="G926" s="154"/>
      <c r="H926" s="154"/>
      <c r="I926" s="154"/>
      <c r="J926" s="155"/>
      <c r="K926" s="156"/>
      <c r="L926" s="157"/>
      <c r="M926" s="158" t="s">
        <v>28</v>
      </c>
      <c r="N926" s="159" t="s">
        <v>29</v>
      </c>
    </row>
    <row r="927" spans="1:14">
      <c r="A927" s="148"/>
      <c r="B927" s="149"/>
      <c r="C927" s="160"/>
      <c r="D927" s="151"/>
      <c r="E927" s="152"/>
      <c r="F927" s="153"/>
      <c r="G927" s="154"/>
      <c r="H927" s="154"/>
      <c r="I927" s="154"/>
      <c r="J927" s="155"/>
      <c r="K927" s="156"/>
      <c r="L927" s="157"/>
      <c r="M927" s="158" t="s">
        <v>28</v>
      </c>
      <c r="N927" s="159" t="s">
        <v>29</v>
      </c>
    </row>
    <row r="928" spans="1:14">
      <c r="A928" s="148"/>
      <c r="B928" s="149"/>
      <c r="C928" s="160"/>
      <c r="D928" s="151"/>
      <c r="E928" s="152"/>
      <c r="F928" s="153"/>
      <c r="G928" s="154"/>
      <c r="H928" s="154"/>
      <c r="I928" s="154"/>
      <c r="J928" s="155"/>
      <c r="K928" s="156"/>
      <c r="L928" s="157"/>
      <c r="M928" s="158" t="s">
        <v>28</v>
      </c>
      <c r="N928" s="159" t="s">
        <v>29</v>
      </c>
    </row>
    <row r="929" spans="1:14">
      <c r="A929" s="148"/>
      <c r="B929" s="149"/>
      <c r="C929" s="160"/>
      <c r="D929" s="151"/>
      <c r="E929" s="152"/>
      <c r="F929" s="153"/>
      <c r="G929" s="154"/>
      <c r="H929" s="154"/>
      <c r="I929" s="154"/>
      <c r="J929" s="155"/>
      <c r="K929" s="156"/>
      <c r="L929" s="157"/>
      <c r="M929" s="158" t="s">
        <v>28</v>
      </c>
      <c r="N929" s="159" t="s">
        <v>29</v>
      </c>
    </row>
    <row r="930" spans="1:14">
      <c r="A930" s="148"/>
      <c r="B930" s="149"/>
      <c r="C930" s="160"/>
      <c r="D930" s="151"/>
      <c r="E930" s="152"/>
      <c r="F930" s="153"/>
      <c r="G930" s="154"/>
      <c r="H930" s="154"/>
      <c r="I930" s="154"/>
      <c r="J930" s="155"/>
      <c r="K930" s="156"/>
      <c r="L930" s="157"/>
      <c r="M930" s="158" t="s">
        <v>28</v>
      </c>
      <c r="N930" s="159" t="s">
        <v>29</v>
      </c>
    </row>
    <row r="931" spans="1:14">
      <c r="A931" s="148"/>
      <c r="B931" s="149"/>
      <c r="C931" s="160"/>
      <c r="D931" s="151"/>
      <c r="E931" s="152"/>
      <c r="F931" s="153"/>
      <c r="G931" s="154"/>
      <c r="H931" s="154"/>
      <c r="I931" s="154"/>
      <c r="J931" s="155"/>
      <c r="K931" s="156"/>
      <c r="L931" s="157"/>
      <c r="M931" s="158" t="s">
        <v>28</v>
      </c>
      <c r="N931" s="159" t="s">
        <v>29</v>
      </c>
    </row>
    <row r="932" spans="1:14">
      <c r="A932" s="148"/>
      <c r="B932" s="149"/>
      <c r="C932" s="160"/>
      <c r="D932" s="151"/>
      <c r="E932" s="152"/>
      <c r="F932" s="153"/>
      <c r="G932" s="154"/>
      <c r="H932" s="154"/>
      <c r="I932" s="154"/>
      <c r="J932" s="155"/>
      <c r="K932" s="156"/>
      <c r="L932" s="157"/>
      <c r="M932" s="158" t="s">
        <v>28</v>
      </c>
      <c r="N932" s="159" t="s">
        <v>29</v>
      </c>
    </row>
    <row r="933" spans="1:14">
      <c r="A933" s="148"/>
      <c r="B933" s="149"/>
      <c r="C933" s="160"/>
      <c r="D933" s="151"/>
      <c r="E933" s="152"/>
      <c r="F933" s="153"/>
      <c r="G933" s="154"/>
      <c r="H933" s="154"/>
      <c r="I933" s="154"/>
      <c r="J933" s="155"/>
      <c r="K933" s="156"/>
      <c r="L933" s="157"/>
      <c r="M933" s="158" t="s">
        <v>28</v>
      </c>
      <c r="N933" s="159" t="s">
        <v>29</v>
      </c>
    </row>
    <row r="934" spans="1:14">
      <c r="A934" s="148"/>
      <c r="B934" s="149"/>
      <c r="C934" s="160"/>
      <c r="D934" s="151"/>
      <c r="E934" s="152"/>
      <c r="F934" s="153"/>
      <c r="G934" s="154"/>
      <c r="H934" s="154"/>
      <c r="I934" s="154"/>
      <c r="J934" s="155"/>
      <c r="K934" s="156"/>
      <c r="L934" s="157"/>
      <c r="M934" s="158" t="s">
        <v>28</v>
      </c>
      <c r="N934" s="159" t="s">
        <v>29</v>
      </c>
    </row>
    <row r="935" spans="1:14">
      <c r="A935" s="148"/>
      <c r="B935" s="149"/>
      <c r="C935" s="160"/>
      <c r="D935" s="151"/>
      <c r="E935" s="152"/>
      <c r="F935" s="153"/>
      <c r="G935" s="154"/>
      <c r="H935" s="154"/>
      <c r="I935" s="154"/>
      <c r="J935" s="155"/>
      <c r="K935" s="156"/>
      <c r="L935" s="157"/>
      <c r="M935" s="158" t="s">
        <v>28</v>
      </c>
      <c r="N935" s="159" t="s">
        <v>29</v>
      </c>
    </row>
    <row r="936" spans="1:14">
      <c r="A936" s="148"/>
      <c r="B936" s="149"/>
      <c r="C936" s="160"/>
      <c r="D936" s="151"/>
      <c r="E936" s="152"/>
      <c r="F936" s="153"/>
      <c r="G936" s="154"/>
      <c r="H936" s="154"/>
      <c r="I936" s="154"/>
      <c r="J936" s="155"/>
      <c r="K936" s="156"/>
      <c r="L936" s="157"/>
      <c r="M936" s="158" t="s">
        <v>28</v>
      </c>
      <c r="N936" s="159" t="s">
        <v>29</v>
      </c>
    </row>
    <row r="937" spans="1:14">
      <c r="A937" s="148"/>
      <c r="B937" s="149"/>
      <c r="C937" s="160"/>
      <c r="D937" s="151"/>
      <c r="E937" s="152"/>
      <c r="F937" s="153"/>
      <c r="G937" s="154"/>
      <c r="H937" s="154"/>
      <c r="I937" s="154"/>
      <c r="J937" s="155"/>
      <c r="K937" s="156"/>
      <c r="L937" s="157"/>
      <c r="M937" s="158" t="s">
        <v>28</v>
      </c>
      <c r="N937" s="159" t="s">
        <v>29</v>
      </c>
    </row>
    <row r="938" spans="1:14">
      <c r="A938" s="148"/>
      <c r="B938" s="149"/>
      <c r="C938" s="160"/>
      <c r="D938" s="151"/>
      <c r="E938" s="152"/>
      <c r="F938" s="153"/>
      <c r="G938" s="154"/>
      <c r="H938" s="154"/>
      <c r="I938" s="154"/>
      <c r="J938" s="155"/>
      <c r="K938" s="156"/>
      <c r="L938" s="157"/>
      <c r="M938" s="158" t="s">
        <v>28</v>
      </c>
      <c r="N938" s="159" t="s">
        <v>29</v>
      </c>
    </row>
    <row r="939" spans="1:14">
      <c r="A939" s="148"/>
      <c r="B939" s="149"/>
      <c r="C939" s="160"/>
      <c r="D939" s="151"/>
      <c r="E939" s="191"/>
      <c r="F939" s="153"/>
      <c r="G939" s="154"/>
      <c r="H939" s="154"/>
      <c r="I939" s="154"/>
      <c r="J939" s="155"/>
      <c r="K939" s="156"/>
      <c r="L939" s="157"/>
      <c r="M939" s="158" t="s">
        <v>28</v>
      </c>
      <c r="N939" s="159" t="s">
        <v>29</v>
      </c>
    </row>
    <row r="940" spans="1:14">
      <c r="A940" s="148"/>
      <c r="B940" s="149"/>
      <c r="C940" s="160"/>
      <c r="D940" s="151"/>
      <c r="E940" s="191"/>
      <c r="F940" s="153"/>
      <c r="G940" s="154"/>
      <c r="H940" s="154"/>
      <c r="I940" s="154"/>
      <c r="J940" s="155"/>
      <c r="K940" s="156"/>
      <c r="L940" s="157"/>
      <c r="M940" s="158" t="s">
        <v>28</v>
      </c>
      <c r="N940" s="159" t="s">
        <v>29</v>
      </c>
    </row>
    <row r="941" spans="1:14">
      <c r="A941" s="148"/>
      <c r="B941" s="149"/>
      <c r="C941" s="160"/>
      <c r="D941" s="151"/>
      <c r="E941" s="191"/>
      <c r="F941" s="153"/>
      <c r="G941" s="154"/>
      <c r="H941" s="154"/>
      <c r="I941" s="154"/>
      <c r="J941" s="155"/>
      <c r="K941" s="156"/>
      <c r="L941" s="157"/>
      <c r="M941" s="158" t="s">
        <v>28</v>
      </c>
      <c r="N941" s="159" t="s">
        <v>29</v>
      </c>
    </row>
    <row r="942" spans="1:14">
      <c r="A942" s="148"/>
      <c r="B942" s="149"/>
      <c r="C942" s="160"/>
      <c r="D942" s="151"/>
      <c r="E942" s="191"/>
      <c r="F942" s="153"/>
      <c r="G942" s="154"/>
      <c r="H942" s="154"/>
      <c r="I942" s="154"/>
      <c r="J942" s="155"/>
      <c r="K942" s="156"/>
      <c r="L942" s="157"/>
      <c r="M942" s="158" t="s">
        <v>28</v>
      </c>
      <c r="N942" s="159" t="s">
        <v>29</v>
      </c>
    </row>
    <row r="943" spans="1:14">
      <c r="A943" s="148"/>
      <c r="B943" s="149"/>
      <c r="C943" s="160"/>
      <c r="D943" s="151"/>
      <c r="E943" s="191"/>
      <c r="F943" s="153"/>
      <c r="G943" s="154"/>
      <c r="H943" s="154"/>
      <c r="I943" s="154"/>
      <c r="J943" s="155"/>
      <c r="K943" s="156"/>
      <c r="L943" s="157"/>
      <c r="M943" s="158" t="s">
        <v>28</v>
      </c>
      <c r="N943" s="159" t="s">
        <v>29</v>
      </c>
    </row>
    <row r="944" spans="1:14">
      <c r="A944" s="148"/>
      <c r="B944" s="149"/>
      <c r="C944" s="160"/>
      <c r="D944" s="151"/>
      <c r="E944" s="191"/>
      <c r="F944" s="153"/>
      <c r="G944" s="154"/>
      <c r="H944" s="154"/>
      <c r="I944" s="154"/>
      <c r="J944" s="155"/>
      <c r="K944" s="156"/>
      <c r="L944" s="157"/>
      <c r="M944" s="158" t="s">
        <v>28</v>
      </c>
      <c r="N944" s="159" t="s">
        <v>29</v>
      </c>
    </row>
    <row r="945" spans="1:14">
      <c r="A945" s="148"/>
      <c r="B945" s="149"/>
      <c r="C945" s="160"/>
      <c r="D945" s="151"/>
      <c r="E945" s="191"/>
      <c r="F945" s="153"/>
      <c r="G945" s="154"/>
      <c r="H945" s="154"/>
      <c r="I945" s="154"/>
      <c r="J945" s="155"/>
      <c r="K945" s="156"/>
      <c r="L945" s="157"/>
      <c r="M945" s="158" t="s">
        <v>28</v>
      </c>
      <c r="N945" s="159" t="s">
        <v>29</v>
      </c>
    </row>
    <row r="946" spans="1:14">
      <c r="A946" s="148"/>
      <c r="B946" s="149"/>
      <c r="C946" s="160"/>
      <c r="D946" s="151"/>
      <c r="E946" s="191"/>
      <c r="F946" s="153"/>
      <c r="G946" s="154"/>
      <c r="H946" s="154"/>
      <c r="I946" s="154"/>
      <c r="J946" s="155"/>
      <c r="K946" s="156"/>
      <c r="L946" s="157"/>
      <c r="M946" s="158" t="s">
        <v>28</v>
      </c>
      <c r="N946" s="159" t="s">
        <v>29</v>
      </c>
    </row>
    <row r="947" spans="1:14">
      <c r="A947" s="148"/>
      <c r="B947" s="149"/>
      <c r="C947" s="160"/>
      <c r="D947" s="151"/>
      <c r="E947" s="191"/>
      <c r="F947" s="153"/>
      <c r="G947" s="154"/>
      <c r="H947" s="154"/>
      <c r="I947" s="154"/>
      <c r="J947" s="155"/>
      <c r="K947" s="156"/>
      <c r="L947" s="157"/>
      <c r="M947" s="158" t="s">
        <v>28</v>
      </c>
      <c r="N947" s="159" t="s">
        <v>29</v>
      </c>
    </row>
    <row r="948" spans="1:14">
      <c r="A948" s="148"/>
      <c r="B948" s="149"/>
      <c r="C948" s="160"/>
      <c r="D948" s="151"/>
      <c r="E948" s="152"/>
      <c r="F948" s="153"/>
      <c r="G948" s="154"/>
      <c r="H948" s="154"/>
      <c r="I948" s="154"/>
      <c r="J948" s="155"/>
      <c r="K948" s="156"/>
      <c r="L948" s="157"/>
      <c r="M948" s="158" t="s">
        <v>28</v>
      </c>
      <c r="N948" s="159" t="s">
        <v>29</v>
      </c>
    </row>
    <row r="949" spans="1:14">
      <c r="A949" s="148"/>
      <c r="B949" s="149"/>
      <c r="C949" s="160"/>
      <c r="D949" s="151"/>
      <c r="E949" s="152"/>
      <c r="F949" s="153"/>
      <c r="G949" s="154"/>
      <c r="H949" s="154"/>
      <c r="I949" s="154"/>
      <c r="J949" s="155"/>
      <c r="K949" s="156"/>
      <c r="L949" s="157"/>
      <c r="M949" s="158" t="s">
        <v>28</v>
      </c>
      <c r="N949" s="159" t="s">
        <v>29</v>
      </c>
    </row>
    <row r="950" spans="1:14">
      <c r="A950" s="148"/>
      <c r="B950" s="149"/>
      <c r="C950" s="160"/>
      <c r="D950" s="151"/>
      <c r="E950" s="152"/>
      <c r="F950" s="153"/>
      <c r="G950" s="154"/>
      <c r="H950" s="154"/>
      <c r="I950" s="154"/>
      <c r="J950" s="155"/>
      <c r="K950" s="156"/>
      <c r="L950" s="157"/>
      <c r="M950" s="158" t="s">
        <v>28</v>
      </c>
      <c r="N950" s="159" t="s">
        <v>29</v>
      </c>
    </row>
    <row r="951" spans="1:14">
      <c r="A951" s="148"/>
      <c r="B951" s="149"/>
      <c r="C951" s="160"/>
      <c r="D951" s="151"/>
      <c r="E951" s="152"/>
      <c r="F951" s="153"/>
      <c r="G951" s="154"/>
      <c r="H951" s="154"/>
      <c r="I951" s="154"/>
      <c r="J951" s="155"/>
      <c r="K951" s="156"/>
      <c r="L951" s="157"/>
      <c r="M951" s="158" t="s">
        <v>28</v>
      </c>
      <c r="N951" s="159" t="s">
        <v>29</v>
      </c>
    </row>
    <row r="952" spans="1:14">
      <c r="A952" s="148"/>
      <c r="B952" s="149"/>
      <c r="C952" s="160"/>
      <c r="D952" s="151"/>
      <c r="E952" s="152"/>
      <c r="F952" s="153"/>
      <c r="G952" s="154"/>
      <c r="H952" s="154"/>
      <c r="I952" s="154"/>
      <c r="J952" s="155"/>
      <c r="K952" s="156"/>
      <c r="L952" s="157"/>
      <c r="M952" s="158" t="s">
        <v>28</v>
      </c>
      <c r="N952" s="159" t="s">
        <v>29</v>
      </c>
    </row>
    <row r="953" spans="1:14">
      <c r="A953" s="148"/>
      <c r="B953" s="149"/>
      <c r="C953" s="160"/>
      <c r="D953" s="151"/>
      <c r="E953" s="152"/>
      <c r="F953" s="153"/>
      <c r="G953" s="154"/>
      <c r="H953" s="154"/>
      <c r="I953" s="154"/>
      <c r="J953" s="155"/>
      <c r="K953" s="156"/>
      <c r="L953" s="157"/>
      <c r="M953" s="158" t="s">
        <v>28</v>
      </c>
      <c r="N953" s="159" t="s">
        <v>29</v>
      </c>
    </row>
    <row r="954" spans="1:14">
      <c r="A954" s="148"/>
      <c r="B954" s="149"/>
      <c r="C954" s="160"/>
      <c r="D954" s="151"/>
      <c r="E954" s="152"/>
      <c r="F954" s="153"/>
      <c r="G954" s="154"/>
      <c r="H954" s="154"/>
      <c r="I954" s="154"/>
      <c r="J954" s="155"/>
      <c r="K954" s="156"/>
      <c r="L954" s="157"/>
      <c r="M954" s="158" t="s">
        <v>28</v>
      </c>
      <c r="N954" s="159" t="s">
        <v>29</v>
      </c>
    </row>
    <row r="955" spans="1:14">
      <c r="A955" s="148"/>
      <c r="B955" s="149"/>
      <c r="C955" s="160"/>
      <c r="D955" s="151"/>
      <c r="E955" s="152"/>
      <c r="F955" s="153"/>
      <c r="G955" s="154"/>
      <c r="H955" s="154"/>
      <c r="I955" s="154"/>
      <c r="J955" s="155"/>
      <c r="K955" s="156"/>
      <c r="L955" s="157"/>
      <c r="M955" s="158" t="s">
        <v>28</v>
      </c>
      <c r="N955" s="159" t="s">
        <v>29</v>
      </c>
    </row>
    <row r="956" spans="1:14">
      <c r="A956" s="148"/>
      <c r="B956" s="149"/>
      <c r="C956" s="160"/>
      <c r="D956" s="151"/>
      <c r="E956" s="152"/>
      <c r="F956" s="153"/>
      <c r="G956" s="154"/>
      <c r="H956" s="154"/>
      <c r="I956" s="154"/>
      <c r="J956" s="155"/>
      <c r="K956" s="156"/>
      <c r="L956" s="157"/>
      <c r="M956" s="158" t="s">
        <v>28</v>
      </c>
      <c r="N956" s="159" t="s">
        <v>29</v>
      </c>
    </row>
    <row r="957" spans="1:14">
      <c r="A957" s="148"/>
      <c r="B957" s="149"/>
      <c r="C957" s="160"/>
      <c r="D957" s="151"/>
      <c r="E957" s="152"/>
      <c r="F957" s="153"/>
      <c r="G957" s="154"/>
      <c r="H957" s="154"/>
      <c r="I957" s="154"/>
      <c r="J957" s="155"/>
      <c r="K957" s="156"/>
      <c r="L957" s="157"/>
      <c r="M957" s="158" t="s">
        <v>28</v>
      </c>
      <c r="N957" s="159" t="s">
        <v>29</v>
      </c>
    </row>
    <row r="958" spans="1:14">
      <c r="A958" s="148"/>
      <c r="B958" s="149"/>
      <c r="C958" s="160"/>
      <c r="D958" s="151"/>
      <c r="E958" s="152"/>
      <c r="F958" s="153"/>
      <c r="G958" s="154"/>
      <c r="H958" s="154"/>
      <c r="I958" s="154"/>
      <c r="J958" s="155"/>
      <c r="K958" s="156"/>
      <c r="L958" s="157"/>
      <c r="M958" s="158" t="s">
        <v>28</v>
      </c>
      <c r="N958" s="159" t="s">
        <v>29</v>
      </c>
    </row>
    <row r="959" spans="1:14">
      <c r="A959" s="148"/>
      <c r="B959" s="149"/>
      <c r="C959" s="160"/>
      <c r="D959" s="151"/>
      <c r="E959" s="152"/>
      <c r="F959" s="153"/>
      <c r="G959" s="154"/>
      <c r="H959" s="154"/>
      <c r="I959" s="154"/>
      <c r="J959" s="155"/>
      <c r="K959" s="156"/>
      <c r="L959" s="157"/>
      <c r="M959" s="158" t="s">
        <v>28</v>
      </c>
      <c r="N959" s="159" t="s">
        <v>29</v>
      </c>
    </row>
    <row r="960" spans="1:14">
      <c r="A960" s="148"/>
      <c r="B960" s="149"/>
      <c r="C960" s="160"/>
      <c r="D960" s="151"/>
      <c r="E960" s="152"/>
      <c r="F960" s="153"/>
      <c r="G960" s="154"/>
      <c r="H960" s="154"/>
      <c r="I960" s="154"/>
      <c r="J960" s="155"/>
      <c r="K960" s="156"/>
      <c r="L960" s="157"/>
      <c r="M960" s="158" t="s">
        <v>28</v>
      </c>
      <c r="N960" s="159" t="s">
        <v>29</v>
      </c>
    </row>
    <row r="961" spans="1:14">
      <c r="A961" s="148"/>
      <c r="B961" s="149"/>
      <c r="C961" s="160"/>
      <c r="D961" s="151"/>
      <c r="E961" s="152"/>
      <c r="F961" s="153"/>
      <c r="G961" s="154"/>
      <c r="H961" s="154"/>
      <c r="I961" s="154"/>
      <c r="J961" s="155"/>
      <c r="K961" s="156"/>
      <c r="L961" s="157"/>
      <c r="M961" s="158" t="s">
        <v>28</v>
      </c>
      <c r="N961" s="159" t="s">
        <v>29</v>
      </c>
    </row>
    <row r="962" spans="1:14">
      <c r="A962" s="148"/>
      <c r="B962" s="149"/>
      <c r="C962" s="160"/>
      <c r="D962" s="151"/>
      <c r="E962" s="152"/>
      <c r="F962" s="153"/>
      <c r="G962" s="154"/>
      <c r="H962" s="154"/>
      <c r="I962" s="154"/>
      <c r="J962" s="155"/>
      <c r="K962" s="156"/>
      <c r="L962" s="157"/>
      <c r="M962" s="158" t="s">
        <v>28</v>
      </c>
      <c r="N962" s="159" t="s">
        <v>29</v>
      </c>
    </row>
    <row r="963" spans="1:14">
      <c r="A963" s="148"/>
      <c r="B963" s="149"/>
      <c r="C963" s="160"/>
      <c r="D963" s="151"/>
      <c r="E963" s="152"/>
      <c r="F963" s="153"/>
      <c r="G963" s="154"/>
      <c r="H963" s="154"/>
      <c r="I963" s="154"/>
      <c r="J963" s="155"/>
      <c r="K963" s="156"/>
      <c r="L963" s="157"/>
      <c r="M963" s="158" t="s">
        <v>28</v>
      </c>
      <c r="N963" s="159" t="s">
        <v>29</v>
      </c>
    </row>
    <row r="964" spans="1:14">
      <c r="A964" s="148"/>
      <c r="B964" s="149"/>
      <c r="C964" s="160"/>
      <c r="D964" s="151"/>
      <c r="E964" s="152"/>
      <c r="F964" s="153"/>
      <c r="G964" s="154"/>
      <c r="H964" s="154"/>
      <c r="I964" s="154"/>
      <c r="J964" s="155"/>
      <c r="K964" s="156"/>
      <c r="L964" s="157"/>
      <c r="M964" s="158" t="s">
        <v>28</v>
      </c>
      <c r="N964" s="159" t="s">
        <v>29</v>
      </c>
    </row>
    <row r="965" spans="1:14">
      <c r="A965" s="148"/>
      <c r="B965" s="149"/>
      <c r="C965" s="160"/>
      <c r="D965" s="151"/>
      <c r="E965" s="152"/>
      <c r="F965" s="153"/>
      <c r="G965" s="154"/>
      <c r="H965" s="154"/>
      <c r="I965" s="154"/>
      <c r="J965" s="155"/>
      <c r="K965" s="156"/>
      <c r="L965" s="157"/>
      <c r="M965" s="158" t="s">
        <v>28</v>
      </c>
      <c r="N965" s="159" t="s">
        <v>29</v>
      </c>
    </row>
    <row r="966" spans="1:14">
      <c r="A966" s="148"/>
      <c r="B966" s="149"/>
      <c r="C966" s="160"/>
      <c r="D966" s="151"/>
      <c r="E966" s="152"/>
      <c r="F966" s="153"/>
      <c r="G966" s="154"/>
      <c r="H966" s="154"/>
      <c r="I966" s="154"/>
      <c r="J966" s="155"/>
      <c r="K966" s="156"/>
      <c r="L966" s="157"/>
      <c r="M966" s="158" t="s">
        <v>28</v>
      </c>
      <c r="N966" s="159" t="s">
        <v>29</v>
      </c>
    </row>
    <row r="967" spans="1:14">
      <c r="A967" s="148"/>
      <c r="B967" s="149"/>
      <c r="C967" s="160"/>
      <c r="D967" s="151"/>
      <c r="E967" s="152"/>
      <c r="F967" s="153"/>
      <c r="G967" s="154"/>
      <c r="H967" s="154"/>
      <c r="I967" s="154"/>
      <c r="J967" s="155"/>
      <c r="K967" s="156"/>
      <c r="L967" s="157"/>
      <c r="M967" s="158" t="s">
        <v>28</v>
      </c>
      <c r="N967" s="159" t="s">
        <v>29</v>
      </c>
    </row>
    <row r="968" spans="1:14">
      <c r="A968" s="148"/>
      <c r="B968" s="149"/>
      <c r="C968" s="160"/>
      <c r="D968" s="151"/>
      <c r="E968" s="152"/>
      <c r="F968" s="153"/>
      <c r="G968" s="154"/>
      <c r="H968" s="154"/>
      <c r="I968" s="154"/>
      <c r="J968" s="155"/>
      <c r="K968" s="156"/>
      <c r="L968" s="157"/>
      <c r="M968" s="158" t="s">
        <v>28</v>
      </c>
      <c r="N968" s="159" t="s">
        <v>29</v>
      </c>
    </row>
    <row r="969" spans="1:14">
      <c r="A969" s="148"/>
      <c r="B969" s="149"/>
      <c r="C969" s="160"/>
      <c r="D969" s="151"/>
      <c r="E969" s="152"/>
      <c r="F969" s="153"/>
      <c r="G969" s="154"/>
      <c r="H969" s="154"/>
      <c r="I969" s="154"/>
      <c r="J969" s="155"/>
      <c r="K969" s="156"/>
      <c r="L969" s="157"/>
      <c r="M969" s="158" t="s">
        <v>28</v>
      </c>
      <c r="N969" s="159" t="s">
        <v>29</v>
      </c>
    </row>
    <row r="970" spans="1:14">
      <c r="A970" s="148"/>
      <c r="B970" s="149"/>
      <c r="C970" s="160"/>
      <c r="D970" s="151"/>
      <c r="E970" s="152"/>
      <c r="F970" s="153"/>
      <c r="G970" s="154"/>
      <c r="H970" s="154"/>
      <c r="I970" s="154"/>
      <c r="J970" s="155"/>
      <c r="K970" s="156"/>
      <c r="L970" s="157"/>
      <c r="M970" s="158" t="s">
        <v>28</v>
      </c>
      <c r="N970" s="159" t="s">
        <v>29</v>
      </c>
    </row>
    <row r="971" spans="1:14">
      <c r="A971" s="148"/>
      <c r="B971" s="149"/>
      <c r="C971" s="160"/>
      <c r="D971" s="151"/>
      <c r="E971" s="152"/>
      <c r="F971" s="153"/>
      <c r="G971" s="154"/>
      <c r="H971" s="154"/>
      <c r="I971" s="154"/>
      <c r="J971" s="155"/>
      <c r="K971" s="156"/>
      <c r="L971" s="157"/>
      <c r="M971" s="158" t="s">
        <v>28</v>
      </c>
      <c r="N971" s="159" t="s">
        <v>29</v>
      </c>
    </row>
    <row r="972" spans="1:14">
      <c r="A972" s="148"/>
      <c r="B972" s="149"/>
      <c r="C972" s="160"/>
      <c r="D972" s="151"/>
      <c r="E972" s="152"/>
      <c r="F972" s="153"/>
      <c r="G972" s="154"/>
      <c r="H972" s="154"/>
      <c r="I972" s="154"/>
      <c r="J972" s="155"/>
      <c r="K972" s="156"/>
      <c r="L972" s="157"/>
      <c r="M972" s="158" t="s">
        <v>28</v>
      </c>
      <c r="N972" s="159" t="s">
        <v>29</v>
      </c>
    </row>
    <row r="973" spans="1:14">
      <c r="A973" s="148"/>
      <c r="B973" s="149"/>
      <c r="C973" s="160"/>
      <c r="D973" s="151"/>
      <c r="E973" s="152"/>
      <c r="F973" s="153"/>
      <c r="G973" s="154"/>
      <c r="H973" s="154"/>
      <c r="I973" s="154"/>
      <c r="J973" s="155"/>
      <c r="K973" s="156"/>
      <c r="L973" s="157"/>
      <c r="M973" s="158" t="s">
        <v>28</v>
      </c>
      <c r="N973" s="159" t="s">
        <v>29</v>
      </c>
    </row>
    <row r="974" spans="1:14">
      <c r="A974" s="148"/>
      <c r="B974" s="149"/>
      <c r="C974" s="160"/>
      <c r="D974" s="151"/>
      <c r="E974" s="152"/>
      <c r="F974" s="153"/>
      <c r="G974" s="154"/>
      <c r="H974" s="154"/>
      <c r="I974" s="154"/>
      <c r="J974" s="155"/>
      <c r="K974" s="156"/>
      <c r="L974" s="157"/>
      <c r="M974" s="158" t="s">
        <v>28</v>
      </c>
      <c r="N974" s="159" t="s">
        <v>29</v>
      </c>
    </row>
    <row r="975" spans="1:14">
      <c r="A975" s="148"/>
      <c r="B975" s="149"/>
      <c r="C975" s="160"/>
      <c r="D975" s="151"/>
      <c r="E975" s="152"/>
      <c r="F975" s="153"/>
      <c r="G975" s="154"/>
      <c r="H975" s="154"/>
      <c r="I975" s="154"/>
      <c r="J975" s="155"/>
      <c r="K975" s="156"/>
      <c r="L975" s="157"/>
      <c r="M975" s="158" t="s">
        <v>28</v>
      </c>
      <c r="N975" s="159" t="s">
        <v>29</v>
      </c>
    </row>
    <row r="976" spans="1:14">
      <c r="A976" s="148"/>
      <c r="B976" s="149"/>
      <c r="C976" s="160"/>
      <c r="D976" s="151"/>
      <c r="E976" s="152"/>
      <c r="F976" s="153"/>
      <c r="G976" s="154"/>
      <c r="H976" s="154"/>
      <c r="I976" s="154"/>
      <c r="J976" s="155"/>
      <c r="K976" s="156"/>
      <c r="L976" s="157"/>
      <c r="M976" s="158" t="s">
        <v>28</v>
      </c>
      <c r="N976" s="159" t="s">
        <v>29</v>
      </c>
    </row>
    <row r="977" spans="1:14">
      <c r="A977" s="148"/>
      <c r="B977" s="149"/>
      <c r="C977" s="160"/>
      <c r="D977" s="151"/>
      <c r="E977" s="152"/>
      <c r="F977" s="153"/>
      <c r="G977" s="154"/>
      <c r="H977" s="154"/>
      <c r="I977" s="154"/>
      <c r="J977" s="155"/>
      <c r="K977" s="156"/>
      <c r="L977" s="157"/>
      <c r="M977" s="158" t="s">
        <v>28</v>
      </c>
      <c r="N977" s="159" t="s">
        <v>29</v>
      </c>
    </row>
    <row r="978" spans="1:14">
      <c r="A978" s="148"/>
      <c r="B978" s="149"/>
      <c r="C978" s="160"/>
      <c r="D978" s="151"/>
      <c r="E978" s="152"/>
      <c r="F978" s="153"/>
      <c r="G978" s="154"/>
      <c r="H978" s="154"/>
      <c r="I978" s="154"/>
      <c r="J978" s="155"/>
      <c r="K978" s="156"/>
      <c r="L978" s="157"/>
      <c r="M978" s="158" t="s">
        <v>28</v>
      </c>
      <c r="N978" s="159" t="s">
        <v>29</v>
      </c>
    </row>
    <row r="979" spans="1:14">
      <c r="A979" s="148"/>
      <c r="B979" s="149"/>
      <c r="C979" s="160"/>
      <c r="D979" s="151"/>
      <c r="E979" s="152"/>
      <c r="F979" s="153"/>
      <c r="G979" s="154"/>
      <c r="H979" s="154"/>
      <c r="I979" s="154"/>
      <c r="J979" s="155"/>
      <c r="K979" s="156"/>
      <c r="L979" s="157"/>
      <c r="M979" s="158" t="s">
        <v>28</v>
      </c>
      <c r="N979" s="159" t="s">
        <v>29</v>
      </c>
    </row>
    <row r="980" spans="1:14">
      <c r="A980" s="148"/>
      <c r="B980" s="149"/>
      <c r="C980" s="160"/>
      <c r="D980" s="151"/>
      <c r="E980" s="152"/>
      <c r="F980" s="153"/>
      <c r="G980" s="154"/>
      <c r="H980" s="154"/>
      <c r="I980" s="154"/>
      <c r="J980" s="155"/>
      <c r="K980" s="156"/>
      <c r="L980" s="157"/>
      <c r="M980" s="158" t="s">
        <v>28</v>
      </c>
      <c r="N980" s="159" t="s">
        <v>29</v>
      </c>
    </row>
    <row r="981" spans="1:14">
      <c r="A981" s="148"/>
      <c r="B981" s="149"/>
      <c r="C981" s="160"/>
      <c r="D981" s="151"/>
      <c r="E981" s="152"/>
      <c r="F981" s="153"/>
      <c r="G981" s="154"/>
      <c r="H981" s="154"/>
      <c r="I981" s="154"/>
      <c r="J981" s="155"/>
      <c r="K981" s="156"/>
      <c r="L981" s="157"/>
      <c r="M981" s="158" t="s">
        <v>28</v>
      </c>
      <c r="N981" s="159" t="s">
        <v>29</v>
      </c>
    </row>
    <row r="982" spans="1:14">
      <c r="A982" s="148"/>
      <c r="B982" s="149"/>
      <c r="C982" s="160"/>
      <c r="D982" s="151"/>
      <c r="E982" s="152"/>
      <c r="F982" s="153"/>
      <c r="G982" s="154"/>
      <c r="H982" s="154"/>
      <c r="I982" s="154"/>
      <c r="J982" s="155"/>
      <c r="K982" s="156"/>
      <c r="L982" s="157"/>
      <c r="M982" s="158" t="s">
        <v>28</v>
      </c>
      <c r="N982" s="159" t="s">
        <v>29</v>
      </c>
    </row>
    <row r="983" spans="1:14">
      <c r="A983" s="148"/>
      <c r="B983" s="149"/>
      <c r="C983" s="160"/>
      <c r="D983" s="151"/>
      <c r="E983" s="152"/>
      <c r="F983" s="153"/>
      <c r="G983" s="154"/>
      <c r="H983" s="154"/>
      <c r="I983" s="154"/>
      <c r="J983" s="155"/>
      <c r="K983" s="156"/>
      <c r="L983" s="157"/>
      <c r="M983" s="158" t="s">
        <v>28</v>
      </c>
      <c r="N983" s="159" t="s">
        <v>29</v>
      </c>
    </row>
    <row r="984" spans="1:14">
      <c r="A984" s="148"/>
      <c r="B984" s="149"/>
      <c r="C984" s="160"/>
      <c r="D984" s="151"/>
      <c r="E984" s="152"/>
      <c r="F984" s="153"/>
      <c r="G984" s="154"/>
      <c r="H984" s="154"/>
      <c r="I984" s="154"/>
      <c r="J984" s="155"/>
      <c r="K984" s="156"/>
      <c r="L984" s="157"/>
      <c r="M984" s="158" t="s">
        <v>28</v>
      </c>
      <c r="N984" s="159" t="s">
        <v>29</v>
      </c>
    </row>
    <row r="985" spans="1:14">
      <c r="A985" s="148"/>
      <c r="B985" s="149"/>
      <c r="C985" s="160"/>
      <c r="D985" s="151"/>
      <c r="E985" s="152"/>
      <c r="F985" s="153"/>
      <c r="G985" s="154"/>
      <c r="H985" s="154"/>
      <c r="I985" s="154"/>
      <c r="J985" s="155"/>
      <c r="K985" s="156"/>
      <c r="L985" s="157"/>
      <c r="M985" s="158" t="s">
        <v>28</v>
      </c>
      <c r="N985" s="159" t="s">
        <v>29</v>
      </c>
    </row>
    <row r="986" spans="1:14">
      <c r="A986" s="148"/>
      <c r="B986" s="149"/>
      <c r="C986" s="160"/>
      <c r="D986" s="151"/>
      <c r="E986" s="152"/>
      <c r="F986" s="153"/>
      <c r="G986" s="154"/>
      <c r="H986" s="154"/>
      <c r="I986" s="154"/>
      <c r="J986" s="155"/>
      <c r="K986" s="156"/>
      <c r="L986" s="157"/>
      <c r="M986" s="158" t="s">
        <v>28</v>
      </c>
      <c r="N986" s="159" t="s">
        <v>29</v>
      </c>
    </row>
    <row r="987" spans="1:14">
      <c r="A987" s="148"/>
      <c r="B987" s="149"/>
      <c r="C987" s="160"/>
      <c r="D987" s="151"/>
      <c r="E987" s="152"/>
      <c r="F987" s="153"/>
      <c r="G987" s="154"/>
      <c r="H987" s="154"/>
      <c r="I987" s="154"/>
      <c r="J987" s="155"/>
      <c r="K987" s="156"/>
      <c r="L987" s="157"/>
      <c r="M987" s="158" t="s">
        <v>28</v>
      </c>
      <c r="N987" s="159" t="s">
        <v>29</v>
      </c>
    </row>
    <row r="988" spans="1:14">
      <c r="A988" s="148"/>
      <c r="B988" s="149"/>
      <c r="C988" s="160"/>
      <c r="D988" s="151"/>
      <c r="E988" s="152"/>
      <c r="F988" s="153"/>
      <c r="G988" s="154"/>
      <c r="H988" s="154"/>
      <c r="I988" s="154"/>
      <c r="J988" s="155"/>
      <c r="K988" s="156"/>
      <c r="L988" s="157"/>
      <c r="M988" s="158" t="s">
        <v>28</v>
      </c>
      <c r="N988" s="159" t="s">
        <v>29</v>
      </c>
    </row>
    <row r="989" spans="1:14">
      <c r="A989" s="148"/>
      <c r="B989" s="149"/>
      <c r="C989" s="160"/>
      <c r="D989" s="151"/>
      <c r="E989" s="152"/>
      <c r="F989" s="153"/>
      <c r="G989" s="154"/>
      <c r="H989" s="154"/>
      <c r="I989" s="154"/>
      <c r="J989" s="155"/>
      <c r="K989" s="156"/>
      <c r="L989" s="157"/>
      <c r="M989" s="158" t="s">
        <v>28</v>
      </c>
      <c r="N989" s="159" t="s">
        <v>29</v>
      </c>
    </row>
    <row r="990" spans="1:14">
      <c r="A990" s="148"/>
      <c r="B990" s="149"/>
      <c r="C990" s="160"/>
      <c r="D990" s="151"/>
      <c r="E990" s="152"/>
      <c r="F990" s="153"/>
      <c r="G990" s="154"/>
      <c r="H990" s="154"/>
      <c r="I990" s="154"/>
      <c r="J990" s="155"/>
      <c r="K990" s="156"/>
      <c r="L990" s="157"/>
      <c r="M990" s="158" t="s">
        <v>28</v>
      </c>
      <c r="N990" s="159" t="s">
        <v>29</v>
      </c>
    </row>
    <row r="991" spans="1:14">
      <c r="A991" s="148"/>
      <c r="B991" s="149"/>
      <c r="C991" s="160"/>
      <c r="D991" s="151"/>
      <c r="E991" s="152"/>
      <c r="F991" s="153"/>
      <c r="G991" s="154"/>
      <c r="H991" s="154"/>
      <c r="I991" s="154"/>
      <c r="J991" s="155"/>
      <c r="K991" s="156"/>
      <c r="L991" s="157"/>
      <c r="M991" s="158" t="s">
        <v>28</v>
      </c>
      <c r="N991" s="159" t="s">
        <v>29</v>
      </c>
    </row>
    <row r="992" spans="1:14">
      <c r="A992" s="148"/>
      <c r="B992" s="149"/>
      <c r="C992" s="160"/>
      <c r="D992" s="151"/>
      <c r="E992" s="152"/>
      <c r="F992" s="153"/>
      <c r="G992" s="154"/>
      <c r="H992" s="154"/>
      <c r="I992" s="154"/>
      <c r="J992" s="155"/>
      <c r="K992" s="156"/>
      <c r="L992" s="157"/>
      <c r="M992" s="158" t="s">
        <v>28</v>
      </c>
      <c r="N992" s="159" t="s">
        <v>29</v>
      </c>
    </row>
    <row r="993" spans="1:14">
      <c r="A993" s="148"/>
      <c r="B993" s="149"/>
      <c r="C993" s="160"/>
      <c r="D993" s="151"/>
      <c r="E993" s="152"/>
      <c r="F993" s="153"/>
      <c r="G993" s="154"/>
      <c r="H993" s="154"/>
      <c r="I993" s="154"/>
      <c r="J993" s="155"/>
      <c r="K993" s="156"/>
      <c r="L993" s="157"/>
      <c r="M993" s="158" t="s">
        <v>28</v>
      </c>
      <c r="N993" s="159" t="s">
        <v>29</v>
      </c>
    </row>
    <row r="994" spans="1:14">
      <c r="A994" s="148"/>
      <c r="B994" s="149"/>
      <c r="C994" s="160"/>
      <c r="D994" s="151"/>
      <c r="E994" s="152"/>
      <c r="F994" s="153"/>
      <c r="G994" s="154"/>
      <c r="H994" s="154"/>
      <c r="I994" s="154"/>
      <c r="J994" s="155"/>
      <c r="K994" s="156"/>
      <c r="L994" s="157"/>
      <c r="M994" s="158" t="s">
        <v>28</v>
      </c>
      <c r="N994" s="159" t="s">
        <v>29</v>
      </c>
    </row>
    <row r="995" spans="1:14">
      <c r="A995" s="148"/>
      <c r="B995" s="149"/>
      <c r="C995" s="160"/>
      <c r="D995" s="151"/>
      <c r="E995" s="152"/>
      <c r="F995" s="153"/>
      <c r="G995" s="154"/>
      <c r="H995" s="154"/>
      <c r="I995" s="154"/>
      <c r="J995" s="155"/>
      <c r="K995" s="156"/>
      <c r="L995" s="157"/>
      <c r="M995" s="158" t="s">
        <v>28</v>
      </c>
      <c r="N995" s="159" t="s">
        <v>29</v>
      </c>
    </row>
    <row r="996" spans="1:14">
      <c r="A996" s="148"/>
      <c r="B996" s="149"/>
      <c r="C996" s="160"/>
      <c r="D996" s="151"/>
      <c r="E996" s="152"/>
      <c r="F996" s="153"/>
      <c r="G996" s="154"/>
      <c r="H996" s="154"/>
      <c r="I996" s="154"/>
      <c r="J996" s="155"/>
      <c r="K996" s="156"/>
      <c r="L996" s="157"/>
      <c r="M996" s="158" t="s">
        <v>28</v>
      </c>
      <c r="N996" s="159" t="s">
        <v>29</v>
      </c>
    </row>
    <row r="997" spans="1:14">
      <c r="A997" s="148"/>
      <c r="B997" s="149"/>
      <c r="C997" s="160"/>
      <c r="D997" s="151"/>
      <c r="E997" s="152"/>
      <c r="F997" s="153"/>
      <c r="G997" s="154"/>
      <c r="H997" s="154"/>
      <c r="I997" s="154"/>
      <c r="J997" s="155"/>
      <c r="K997" s="156"/>
      <c r="L997" s="157"/>
      <c r="M997" s="158" t="s">
        <v>28</v>
      </c>
      <c r="N997" s="159" t="s">
        <v>29</v>
      </c>
    </row>
    <row r="998" spans="1:14">
      <c r="A998" s="148"/>
      <c r="B998" s="149"/>
      <c r="C998" s="160"/>
      <c r="D998" s="151"/>
      <c r="E998" s="152"/>
      <c r="F998" s="153"/>
      <c r="G998" s="154"/>
      <c r="H998" s="154"/>
      <c r="I998" s="154"/>
      <c r="J998" s="155"/>
      <c r="K998" s="156"/>
      <c r="L998" s="157"/>
      <c r="M998" s="158" t="s">
        <v>28</v>
      </c>
      <c r="N998" s="159" t="s">
        <v>29</v>
      </c>
    </row>
    <row r="999" spans="1:14">
      <c r="A999" s="148"/>
      <c r="B999" s="149"/>
      <c r="C999" s="160"/>
      <c r="D999" s="151"/>
      <c r="E999" s="152"/>
      <c r="F999" s="153"/>
      <c r="G999" s="154"/>
      <c r="H999" s="154"/>
      <c r="I999" s="154"/>
      <c r="J999" s="155"/>
      <c r="K999" s="156"/>
      <c r="L999" s="157"/>
      <c r="M999" s="158" t="s">
        <v>28</v>
      </c>
      <c r="N999" s="159" t="s">
        <v>29</v>
      </c>
    </row>
    <row r="1000" spans="1:14">
      <c r="A1000" s="148"/>
      <c r="B1000" s="149"/>
      <c r="C1000" s="160"/>
      <c r="D1000" s="151"/>
      <c r="E1000" s="152"/>
      <c r="F1000" s="153"/>
      <c r="G1000" s="154"/>
      <c r="H1000" s="154"/>
      <c r="I1000" s="154"/>
      <c r="J1000" s="155"/>
      <c r="K1000" s="156"/>
      <c r="L1000" s="157"/>
      <c r="M1000" s="158" t="s">
        <v>28</v>
      </c>
      <c r="N1000" s="159" t="s">
        <v>29</v>
      </c>
    </row>
    <row r="1001" spans="1:14">
      <c r="A1001" s="148"/>
      <c r="B1001" s="149"/>
      <c r="C1001" s="160"/>
      <c r="D1001" s="151"/>
      <c r="E1001" s="152"/>
      <c r="F1001" s="153"/>
      <c r="G1001" s="154"/>
      <c r="H1001" s="154"/>
      <c r="I1001" s="154"/>
      <c r="J1001" s="155"/>
      <c r="K1001" s="156"/>
      <c r="L1001" s="157"/>
      <c r="M1001" s="158" t="s">
        <v>28</v>
      </c>
      <c r="N1001" s="159" t="s">
        <v>29</v>
      </c>
    </row>
    <row r="1002" spans="1:14">
      <c r="A1002" s="148"/>
      <c r="B1002" s="149"/>
      <c r="C1002" s="160"/>
      <c r="D1002" s="151"/>
      <c r="E1002" s="152"/>
      <c r="F1002" s="153"/>
      <c r="G1002" s="154"/>
      <c r="H1002" s="154"/>
      <c r="I1002" s="154"/>
      <c r="J1002" s="155"/>
      <c r="K1002" s="156"/>
      <c r="L1002" s="157"/>
      <c r="M1002" s="158" t="s">
        <v>28</v>
      </c>
      <c r="N1002" s="159" t="s">
        <v>29</v>
      </c>
    </row>
    <row r="1003" spans="1:14">
      <c r="A1003" s="148"/>
      <c r="B1003" s="149"/>
      <c r="C1003" s="160"/>
      <c r="D1003" s="151"/>
      <c r="E1003" s="152"/>
      <c r="F1003" s="153"/>
      <c r="G1003" s="154"/>
      <c r="H1003" s="154"/>
      <c r="I1003" s="154"/>
      <c r="J1003" s="155"/>
      <c r="K1003" s="156"/>
      <c r="L1003" s="157"/>
      <c r="M1003" s="158" t="s">
        <v>28</v>
      </c>
      <c r="N1003" s="159" t="s">
        <v>29</v>
      </c>
    </row>
    <row r="1004" spans="1:14">
      <c r="A1004" s="148"/>
      <c r="B1004" s="149"/>
      <c r="C1004" s="160"/>
      <c r="D1004" s="151"/>
      <c r="E1004" s="152"/>
      <c r="F1004" s="153"/>
      <c r="G1004" s="154"/>
      <c r="H1004" s="154"/>
      <c r="I1004" s="154"/>
      <c r="J1004" s="155"/>
      <c r="K1004" s="156"/>
      <c r="L1004" s="157"/>
      <c r="M1004" s="158" t="s">
        <v>28</v>
      </c>
      <c r="N1004" s="159" t="s">
        <v>29</v>
      </c>
    </row>
    <row r="1005" spans="1:14">
      <c r="A1005" s="148"/>
      <c r="B1005" s="149"/>
      <c r="C1005" s="160"/>
      <c r="D1005" s="151"/>
      <c r="E1005" s="152"/>
      <c r="F1005" s="153"/>
      <c r="G1005" s="154"/>
      <c r="H1005" s="154"/>
      <c r="I1005" s="154"/>
      <c r="J1005" s="155"/>
      <c r="K1005" s="156"/>
      <c r="L1005" s="157"/>
      <c r="M1005" s="158" t="s">
        <v>28</v>
      </c>
      <c r="N1005" s="159" t="s">
        <v>29</v>
      </c>
    </row>
    <row r="1006" spans="1:14">
      <c r="A1006" s="148"/>
      <c r="B1006" s="149"/>
      <c r="C1006" s="160"/>
      <c r="D1006" s="151"/>
      <c r="E1006" s="152"/>
      <c r="F1006" s="153"/>
      <c r="G1006" s="154"/>
      <c r="H1006" s="154"/>
      <c r="I1006" s="154"/>
      <c r="J1006" s="155"/>
      <c r="K1006" s="156"/>
      <c r="L1006" s="157"/>
      <c r="M1006" s="158" t="s">
        <v>28</v>
      </c>
      <c r="N1006" s="159" t="s">
        <v>29</v>
      </c>
    </row>
    <row r="1007" spans="1:14">
      <c r="A1007" s="148"/>
      <c r="B1007" s="149"/>
      <c r="C1007" s="160"/>
      <c r="D1007" s="151"/>
      <c r="E1007" s="152"/>
      <c r="F1007" s="153"/>
      <c r="G1007" s="154"/>
      <c r="H1007" s="154"/>
      <c r="I1007" s="154"/>
      <c r="J1007" s="155"/>
      <c r="K1007" s="156"/>
      <c r="L1007" s="157"/>
      <c r="M1007" s="158" t="s">
        <v>28</v>
      </c>
      <c r="N1007" s="159" t="s">
        <v>29</v>
      </c>
    </row>
    <row r="1008" spans="1:14">
      <c r="A1008" s="148"/>
      <c r="B1008" s="149"/>
      <c r="C1008" s="160"/>
      <c r="D1008" s="151"/>
      <c r="E1008" s="152"/>
      <c r="F1008" s="153"/>
      <c r="G1008" s="154"/>
      <c r="H1008" s="154"/>
      <c r="I1008" s="154"/>
      <c r="J1008" s="155"/>
      <c r="K1008" s="156"/>
      <c r="L1008" s="157"/>
      <c r="M1008" s="158" t="s">
        <v>28</v>
      </c>
      <c r="N1008" s="159" t="s">
        <v>29</v>
      </c>
    </row>
    <row r="1009" spans="1:14">
      <c r="A1009" s="148"/>
      <c r="B1009" s="149"/>
      <c r="C1009" s="160"/>
      <c r="D1009" s="151"/>
      <c r="E1009" s="152"/>
      <c r="F1009" s="153"/>
      <c r="G1009" s="154"/>
      <c r="H1009" s="154"/>
      <c r="I1009" s="154"/>
      <c r="J1009" s="155"/>
      <c r="K1009" s="156"/>
      <c r="L1009" s="157"/>
      <c r="M1009" s="158" t="s">
        <v>28</v>
      </c>
      <c r="N1009" s="159" t="s">
        <v>29</v>
      </c>
    </row>
    <row r="1010" spans="1:14">
      <c r="A1010" s="148"/>
      <c r="B1010" s="149"/>
      <c r="C1010" s="160"/>
      <c r="D1010" s="151"/>
      <c r="E1010" s="152"/>
      <c r="F1010" s="153"/>
      <c r="G1010" s="154"/>
      <c r="H1010" s="154"/>
      <c r="I1010" s="154"/>
      <c r="J1010" s="155"/>
      <c r="K1010" s="156"/>
      <c r="L1010" s="157"/>
      <c r="M1010" s="158" t="s">
        <v>28</v>
      </c>
      <c r="N1010" s="159" t="s">
        <v>29</v>
      </c>
    </row>
    <row r="1011" spans="1:14">
      <c r="A1011" s="148"/>
      <c r="B1011" s="149"/>
      <c r="C1011" s="160"/>
      <c r="D1011" s="151"/>
      <c r="E1011" s="152"/>
      <c r="F1011" s="153"/>
      <c r="G1011" s="154"/>
      <c r="H1011" s="154"/>
      <c r="I1011" s="154"/>
      <c r="J1011" s="155"/>
      <c r="K1011" s="156"/>
      <c r="L1011" s="157"/>
      <c r="M1011" s="158" t="s">
        <v>28</v>
      </c>
      <c r="N1011" s="159" t="s">
        <v>29</v>
      </c>
    </row>
    <row r="1012" spans="1:14">
      <c r="A1012" s="148"/>
      <c r="B1012" s="149"/>
      <c r="C1012" s="160"/>
      <c r="D1012" s="151"/>
      <c r="E1012" s="152"/>
      <c r="F1012" s="153"/>
      <c r="G1012" s="154"/>
      <c r="H1012" s="154"/>
      <c r="I1012" s="154"/>
      <c r="J1012" s="155"/>
      <c r="K1012" s="156"/>
      <c r="L1012" s="157"/>
      <c r="M1012" s="158" t="s">
        <v>28</v>
      </c>
      <c r="N1012" s="159" t="s">
        <v>29</v>
      </c>
    </row>
    <row r="1013" spans="1:14">
      <c r="A1013" s="148"/>
      <c r="B1013" s="149"/>
      <c r="C1013" s="160"/>
      <c r="D1013" s="151"/>
      <c r="E1013" s="152"/>
      <c r="F1013" s="153"/>
      <c r="G1013" s="154"/>
      <c r="H1013" s="154"/>
      <c r="I1013" s="154"/>
      <c r="J1013" s="155"/>
      <c r="K1013" s="156"/>
      <c r="L1013" s="157"/>
      <c r="M1013" s="158" t="s">
        <v>28</v>
      </c>
      <c r="N1013" s="159" t="s">
        <v>29</v>
      </c>
    </row>
    <row r="1014" spans="1:14">
      <c r="A1014" s="148"/>
      <c r="B1014" s="149"/>
      <c r="C1014" s="160"/>
      <c r="D1014" s="151"/>
      <c r="E1014" s="152"/>
      <c r="F1014" s="153"/>
      <c r="G1014" s="154"/>
      <c r="H1014" s="154"/>
      <c r="I1014" s="154"/>
      <c r="J1014" s="155"/>
      <c r="K1014" s="156"/>
      <c r="L1014" s="157"/>
      <c r="M1014" s="158" t="s">
        <v>28</v>
      </c>
      <c r="N1014" s="159" t="s">
        <v>29</v>
      </c>
    </row>
    <row r="1015" spans="1:14">
      <c r="A1015" s="148"/>
      <c r="B1015" s="149"/>
      <c r="C1015" s="160"/>
      <c r="D1015" s="151"/>
      <c r="E1015" s="152"/>
      <c r="F1015" s="153"/>
      <c r="G1015" s="154"/>
      <c r="H1015" s="154"/>
      <c r="I1015" s="154"/>
      <c r="J1015" s="155"/>
      <c r="K1015" s="156"/>
      <c r="L1015" s="157"/>
      <c r="M1015" s="158" t="s">
        <v>28</v>
      </c>
      <c r="N1015" s="159" t="s">
        <v>29</v>
      </c>
    </row>
    <row r="1016" spans="1:14">
      <c r="A1016" s="148"/>
      <c r="B1016" s="149"/>
      <c r="C1016" s="160"/>
      <c r="D1016" s="151"/>
      <c r="E1016" s="152"/>
      <c r="F1016" s="153"/>
      <c r="G1016" s="154"/>
      <c r="H1016" s="154"/>
      <c r="I1016" s="154"/>
      <c r="J1016" s="155"/>
      <c r="K1016" s="156"/>
      <c r="L1016" s="157"/>
      <c r="M1016" s="158" t="s">
        <v>28</v>
      </c>
      <c r="N1016" s="159" t="s">
        <v>29</v>
      </c>
    </row>
    <row r="1017" spans="1:14">
      <c r="A1017" s="148"/>
      <c r="B1017" s="149"/>
      <c r="C1017" s="160"/>
      <c r="D1017" s="151"/>
      <c r="E1017" s="152"/>
      <c r="F1017" s="153"/>
      <c r="G1017" s="154"/>
      <c r="H1017" s="154"/>
      <c r="I1017" s="154"/>
      <c r="J1017" s="155"/>
      <c r="K1017" s="156"/>
      <c r="L1017" s="157"/>
      <c r="M1017" s="158" t="s">
        <v>28</v>
      </c>
      <c r="N1017" s="159" t="s">
        <v>29</v>
      </c>
    </row>
    <row r="1018" spans="1:14">
      <c r="A1018" s="148"/>
      <c r="B1018" s="149"/>
      <c r="C1018" s="160"/>
      <c r="D1018" s="151"/>
      <c r="E1018" s="152"/>
      <c r="F1018" s="153"/>
      <c r="G1018" s="154"/>
      <c r="H1018" s="154"/>
      <c r="I1018" s="154"/>
      <c r="J1018" s="155"/>
      <c r="K1018" s="156"/>
      <c r="L1018" s="157"/>
      <c r="M1018" s="158" t="s">
        <v>28</v>
      </c>
      <c r="N1018" s="159" t="s">
        <v>29</v>
      </c>
    </row>
    <row r="1019" spans="1:14">
      <c r="A1019" s="148"/>
      <c r="B1019" s="149"/>
      <c r="C1019" s="160"/>
      <c r="D1019" s="151"/>
      <c r="E1019" s="152"/>
      <c r="F1019" s="153"/>
      <c r="G1019" s="154"/>
      <c r="H1019" s="154"/>
      <c r="I1019" s="154"/>
      <c r="J1019" s="155"/>
      <c r="K1019" s="156"/>
      <c r="L1019" s="157"/>
      <c r="M1019" s="158" t="s">
        <v>28</v>
      </c>
      <c r="N1019" s="159" t="s">
        <v>29</v>
      </c>
    </row>
    <row r="1020" spans="1:14">
      <c r="A1020" s="148"/>
      <c r="B1020" s="149"/>
      <c r="C1020" s="160"/>
      <c r="D1020" s="151"/>
      <c r="E1020" s="152"/>
      <c r="F1020" s="153"/>
      <c r="G1020" s="154"/>
      <c r="H1020" s="154"/>
      <c r="I1020" s="154"/>
      <c r="J1020" s="155"/>
      <c r="K1020" s="156"/>
      <c r="L1020" s="157"/>
      <c r="M1020" s="158" t="s">
        <v>28</v>
      </c>
      <c r="N1020" s="159" t="s">
        <v>29</v>
      </c>
    </row>
    <row r="1021" spans="1:14">
      <c r="A1021" s="148"/>
      <c r="B1021" s="149"/>
      <c r="C1021" s="160"/>
      <c r="D1021" s="151"/>
      <c r="E1021" s="152"/>
      <c r="F1021" s="153"/>
      <c r="G1021" s="154"/>
      <c r="H1021" s="154"/>
      <c r="I1021" s="154"/>
      <c r="J1021" s="155"/>
      <c r="K1021" s="156"/>
      <c r="L1021" s="157"/>
      <c r="M1021" s="158" t="s">
        <v>28</v>
      </c>
      <c r="N1021" s="159" t="s">
        <v>29</v>
      </c>
    </row>
    <row r="1022" spans="1:14">
      <c r="A1022" s="148"/>
      <c r="B1022" s="149"/>
      <c r="C1022" s="160"/>
      <c r="D1022" s="151"/>
      <c r="E1022" s="152"/>
      <c r="F1022" s="153"/>
      <c r="G1022" s="154"/>
      <c r="H1022" s="154"/>
      <c r="I1022" s="154"/>
      <c r="J1022" s="155"/>
      <c r="K1022" s="156"/>
      <c r="L1022" s="157"/>
      <c r="M1022" s="158" t="s">
        <v>28</v>
      </c>
      <c r="N1022" s="159" t="s">
        <v>29</v>
      </c>
    </row>
    <row r="1023" spans="1:14">
      <c r="A1023" s="148"/>
      <c r="B1023" s="149"/>
      <c r="C1023" s="160"/>
      <c r="D1023" s="151"/>
      <c r="E1023" s="152"/>
      <c r="F1023" s="153"/>
      <c r="G1023" s="154"/>
      <c r="H1023" s="154"/>
      <c r="I1023" s="154"/>
      <c r="J1023" s="155"/>
      <c r="K1023" s="156"/>
      <c r="L1023" s="157"/>
      <c r="M1023" s="158" t="s">
        <v>28</v>
      </c>
      <c r="N1023" s="159" t="s">
        <v>29</v>
      </c>
    </row>
    <row r="1024" spans="1:14">
      <c r="A1024" s="148"/>
      <c r="B1024" s="149"/>
      <c r="C1024" s="160"/>
      <c r="D1024" s="151"/>
      <c r="E1024" s="152"/>
      <c r="F1024" s="153"/>
      <c r="G1024" s="154"/>
      <c r="H1024" s="154"/>
      <c r="I1024" s="154"/>
      <c r="J1024" s="155"/>
      <c r="K1024" s="156"/>
      <c r="L1024" s="157"/>
      <c r="M1024" s="158" t="s">
        <v>28</v>
      </c>
      <c r="N1024" s="159" t="s">
        <v>29</v>
      </c>
    </row>
    <row r="1025" spans="1:14">
      <c r="A1025" s="148"/>
      <c r="B1025" s="149"/>
      <c r="C1025" s="160"/>
      <c r="D1025" s="151"/>
      <c r="E1025" s="152"/>
      <c r="F1025" s="153"/>
      <c r="G1025" s="154"/>
      <c r="H1025" s="154"/>
      <c r="I1025" s="154"/>
      <c r="J1025" s="155"/>
      <c r="K1025" s="156"/>
      <c r="L1025" s="157"/>
      <c r="M1025" s="158" t="s">
        <v>28</v>
      </c>
      <c r="N1025" s="159" t="s">
        <v>29</v>
      </c>
    </row>
    <row r="1026" spans="1:14">
      <c r="A1026" s="148"/>
      <c r="B1026" s="149"/>
      <c r="C1026" s="160"/>
      <c r="D1026" s="151"/>
      <c r="E1026" s="152"/>
      <c r="F1026" s="153"/>
      <c r="G1026" s="154"/>
      <c r="H1026" s="154"/>
      <c r="I1026" s="154"/>
      <c r="J1026" s="155"/>
      <c r="K1026" s="156"/>
      <c r="L1026" s="157"/>
      <c r="M1026" s="158" t="s">
        <v>28</v>
      </c>
      <c r="N1026" s="159" t="s">
        <v>29</v>
      </c>
    </row>
    <row r="1027" spans="1:14">
      <c r="A1027" s="148"/>
      <c r="B1027" s="149"/>
      <c r="C1027" s="160"/>
      <c r="D1027" s="151"/>
      <c r="E1027" s="152"/>
      <c r="F1027" s="153"/>
      <c r="G1027" s="154"/>
      <c r="H1027" s="154"/>
      <c r="I1027" s="154"/>
      <c r="J1027" s="155"/>
      <c r="K1027" s="156"/>
      <c r="L1027" s="157"/>
      <c r="M1027" s="158" t="s">
        <v>28</v>
      </c>
      <c r="N1027" s="159" t="s">
        <v>29</v>
      </c>
    </row>
    <row r="1028" spans="1:14">
      <c r="A1028" s="148"/>
      <c r="B1028" s="149"/>
      <c r="C1028" s="160"/>
      <c r="D1028" s="151"/>
      <c r="E1028" s="152"/>
      <c r="F1028" s="153"/>
      <c r="G1028" s="154"/>
      <c r="H1028" s="154"/>
      <c r="I1028" s="154"/>
      <c r="J1028" s="155"/>
      <c r="K1028" s="156"/>
      <c r="L1028" s="157"/>
      <c r="M1028" s="158" t="s">
        <v>28</v>
      </c>
      <c r="N1028" s="159" t="s">
        <v>29</v>
      </c>
    </row>
    <row r="1029" spans="1:14">
      <c r="A1029" s="148"/>
      <c r="B1029" s="149"/>
      <c r="C1029" s="160"/>
      <c r="D1029" s="151"/>
      <c r="E1029" s="152"/>
      <c r="F1029" s="153"/>
      <c r="G1029" s="154"/>
      <c r="H1029" s="154"/>
      <c r="I1029" s="154"/>
      <c r="J1029" s="155"/>
      <c r="K1029" s="156"/>
      <c r="L1029" s="157"/>
      <c r="M1029" s="158" t="s">
        <v>28</v>
      </c>
      <c r="N1029" s="159" t="s">
        <v>29</v>
      </c>
    </row>
    <row r="1030" spans="1:14">
      <c r="A1030" s="148"/>
      <c r="B1030" s="149"/>
      <c r="C1030" s="160"/>
      <c r="D1030" s="151"/>
      <c r="E1030" s="152"/>
      <c r="F1030" s="153"/>
      <c r="G1030" s="154"/>
      <c r="H1030" s="154"/>
      <c r="I1030" s="154"/>
      <c r="J1030" s="155"/>
      <c r="K1030" s="156"/>
      <c r="L1030" s="157"/>
      <c r="M1030" s="158" t="s">
        <v>28</v>
      </c>
      <c r="N1030" s="159" t="s">
        <v>29</v>
      </c>
    </row>
    <row r="1031" spans="1:14">
      <c r="A1031" s="148"/>
      <c r="B1031" s="149"/>
      <c r="C1031" s="160"/>
      <c r="D1031" s="151"/>
      <c r="E1031" s="152"/>
      <c r="F1031" s="153"/>
      <c r="G1031" s="154"/>
      <c r="H1031" s="154"/>
      <c r="I1031" s="154"/>
      <c r="J1031" s="155"/>
      <c r="K1031" s="156"/>
      <c r="L1031" s="157"/>
      <c r="M1031" s="158" t="s">
        <v>28</v>
      </c>
      <c r="N1031" s="159" t="s">
        <v>29</v>
      </c>
    </row>
    <row r="1032" spans="1:14">
      <c r="A1032" s="148"/>
      <c r="B1032" s="149"/>
      <c r="C1032" s="160"/>
      <c r="D1032" s="151"/>
      <c r="E1032" s="152"/>
      <c r="F1032" s="153"/>
      <c r="G1032" s="154"/>
      <c r="H1032" s="154"/>
      <c r="I1032" s="154"/>
      <c r="J1032" s="155"/>
      <c r="K1032" s="156"/>
      <c r="L1032" s="157"/>
      <c r="M1032" s="158" t="s">
        <v>28</v>
      </c>
      <c r="N1032" s="159" t="s">
        <v>29</v>
      </c>
    </row>
    <row r="1033" spans="1:14">
      <c r="A1033" s="148"/>
      <c r="B1033" s="149"/>
      <c r="C1033" s="160"/>
      <c r="D1033" s="151"/>
      <c r="E1033" s="152"/>
      <c r="F1033" s="153"/>
      <c r="G1033" s="154"/>
      <c r="H1033" s="154"/>
      <c r="I1033" s="154"/>
      <c r="J1033" s="155"/>
      <c r="K1033" s="156"/>
      <c r="L1033" s="157"/>
      <c r="M1033" s="158" t="s">
        <v>28</v>
      </c>
      <c r="N1033" s="159" t="s">
        <v>29</v>
      </c>
    </row>
    <row r="1034" spans="1:14">
      <c r="A1034" s="148"/>
      <c r="B1034" s="149"/>
      <c r="C1034" s="160"/>
      <c r="D1034" s="151"/>
      <c r="E1034" s="152"/>
      <c r="F1034" s="153"/>
      <c r="G1034" s="154"/>
      <c r="H1034" s="154"/>
      <c r="I1034" s="154"/>
      <c r="J1034" s="155"/>
      <c r="K1034" s="156"/>
      <c r="L1034" s="157"/>
      <c r="M1034" s="158" t="s">
        <v>28</v>
      </c>
      <c r="N1034" s="159" t="s">
        <v>29</v>
      </c>
    </row>
    <row r="1035" spans="1:14">
      <c r="A1035" s="148"/>
      <c r="B1035" s="149"/>
      <c r="C1035" s="160"/>
      <c r="D1035" s="151"/>
      <c r="E1035" s="152"/>
      <c r="F1035" s="153"/>
      <c r="G1035" s="154"/>
      <c r="H1035" s="154"/>
      <c r="I1035" s="154"/>
      <c r="J1035" s="155"/>
      <c r="K1035" s="156"/>
      <c r="L1035" s="157"/>
      <c r="M1035" s="158" t="s">
        <v>28</v>
      </c>
      <c r="N1035" s="159" t="s">
        <v>29</v>
      </c>
    </row>
    <row r="1036" spans="1:14">
      <c r="A1036" s="148"/>
      <c r="B1036" s="149"/>
      <c r="C1036" s="160"/>
      <c r="D1036" s="151"/>
      <c r="E1036" s="152"/>
      <c r="F1036" s="153"/>
      <c r="G1036" s="154"/>
      <c r="H1036" s="154"/>
      <c r="I1036" s="154"/>
      <c r="J1036" s="155"/>
      <c r="K1036" s="156"/>
      <c r="L1036" s="157"/>
      <c r="M1036" s="158" t="s">
        <v>28</v>
      </c>
      <c r="N1036" s="159" t="s">
        <v>29</v>
      </c>
    </row>
    <row r="1037" spans="1:14">
      <c r="A1037" s="148"/>
      <c r="B1037" s="149"/>
      <c r="C1037" s="160"/>
      <c r="D1037" s="151"/>
      <c r="E1037" s="152"/>
      <c r="F1037" s="153"/>
      <c r="G1037" s="154"/>
      <c r="H1037" s="154"/>
      <c r="I1037" s="154"/>
      <c r="J1037" s="155"/>
      <c r="K1037" s="156"/>
      <c r="L1037" s="157"/>
      <c r="M1037" s="158" t="s">
        <v>28</v>
      </c>
      <c r="N1037" s="159" t="s">
        <v>29</v>
      </c>
    </row>
    <row r="1038" spans="1:14">
      <c r="A1038" s="148"/>
      <c r="B1038" s="149"/>
      <c r="C1038" s="160"/>
      <c r="D1038" s="151"/>
      <c r="E1038" s="152"/>
      <c r="F1038" s="153"/>
      <c r="G1038" s="154"/>
      <c r="H1038" s="154"/>
      <c r="I1038" s="154"/>
      <c r="J1038" s="155"/>
      <c r="K1038" s="156"/>
      <c r="L1038" s="157"/>
      <c r="M1038" s="158" t="s">
        <v>28</v>
      </c>
      <c r="N1038" s="159" t="s">
        <v>29</v>
      </c>
    </row>
    <row r="1039" spans="1:14">
      <c r="A1039" s="148"/>
      <c r="B1039" s="149"/>
      <c r="C1039" s="160"/>
      <c r="D1039" s="151"/>
      <c r="E1039" s="152"/>
      <c r="F1039" s="153"/>
      <c r="G1039" s="154"/>
      <c r="H1039" s="154"/>
      <c r="I1039" s="154"/>
      <c r="J1039" s="155"/>
      <c r="K1039" s="156"/>
      <c r="L1039" s="157"/>
      <c r="M1039" s="158" t="s">
        <v>28</v>
      </c>
      <c r="N1039" s="159" t="s">
        <v>29</v>
      </c>
    </row>
    <row r="1040" spans="1:14">
      <c r="A1040" s="148"/>
      <c r="B1040" s="149"/>
      <c r="C1040" s="160"/>
      <c r="D1040" s="151"/>
      <c r="E1040" s="152"/>
      <c r="F1040" s="153"/>
      <c r="G1040" s="154"/>
      <c r="H1040" s="154"/>
      <c r="I1040" s="154"/>
      <c r="J1040" s="155"/>
      <c r="K1040" s="156"/>
      <c r="L1040" s="157"/>
      <c r="M1040" s="158" t="s">
        <v>28</v>
      </c>
      <c r="N1040" s="159" t="s">
        <v>29</v>
      </c>
    </row>
    <row r="1041" spans="1:14">
      <c r="A1041" s="148"/>
      <c r="B1041" s="149"/>
      <c r="C1041" s="160"/>
      <c r="D1041" s="151"/>
      <c r="E1041" s="152"/>
      <c r="F1041" s="153"/>
      <c r="G1041" s="154"/>
      <c r="H1041" s="154"/>
      <c r="I1041" s="154"/>
      <c r="J1041" s="155"/>
      <c r="K1041" s="156"/>
      <c r="L1041" s="157"/>
      <c r="M1041" s="158" t="s">
        <v>28</v>
      </c>
      <c r="N1041" s="159" t="s">
        <v>29</v>
      </c>
    </row>
    <row r="1042" spans="1:14">
      <c r="A1042" s="148"/>
      <c r="B1042" s="149"/>
      <c r="C1042" s="160"/>
      <c r="D1042" s="151"/>
      <c r="E1042" s="152"/>
      <c r="F1042" s="153"/>
      <c r="G1042" s="154"/>
      <c r="H1042" s="154"/>
      <c r="I1042" s="154"/>
      <c r="J1042" s="155"/>
      <c r="K1042" s="156"/>
      <c r="L1042" s="157"/>
      <c r="M1042" s="158" t="s">
        <v>28</v>
      </c>
      <c r="N1042" s="159" t="s">
        <v>29</v>
      </c>
    </row>
    <row r="1043" spans="1:14">
      <c r="A1043" s="148"/>
      <c r="B1043" s="149"/>
      <c r="C1043" s="160"/>
      <c r="D1043" s="151"/>
      <c r="E1043" s="152"/>
      <c r="F1043" s="153"/>
      <c r="G1043" s="154"/>
      <c r="H1043" s="154"/>
      <c r="I1043" s="154"/>
      <c r="J1043" s="155"/>
      <c r="K1043" s="156"/>
      <c r="L1043" s="157"/>
      <c r="M1043" s="158" t="s">
        <v>28</v>
      </c>
      <c r="N1043" s="159" t="s">
        <v>29</v>
      </c>
    </row>
    <row r="1044" spans="1:14">
      <c r="A1044" s="148"/>
      <c r="B1044" s="149"/>
      <c r="C1044" s="160"/>
      <c r="D1044" s="151"/>
      <c r="E1044" s="152"/>
      <c r="F1044" s="153"/>
      <c r="G1044" s="154"/>
      <c r="H1044" s="154"/>
      <c r="I1044" s="154"/>
      <c r="J1044" s="155"/>
      <c r="K1044" s="156"/>
      <c r="L1044" s="157"/>
      <c r="M1044" s="158" t="s">
        <v>28</v>
      </c>
      <c r="N1044" s="159" t="s">
        <v>29</v>
      </c>
    </row>
    <row r="1045" spans="1:14">
      <c r="A1045" s="148"/>
      <c r="B1045" s="149"/>
      <c r="C1045" s="160"/>
      <c r="D1045" s="151"/>
      <c r="E1045" s="152"/>
      <c r="F1045" s="153"/>
      <c r="G1045" s="154"/>
      <c r="H1045" s="154"/>
      <c r="I1045" s="154"/>
      <c r="J1045" s="155"/>
      <c r="K1045" s="156"/>
      <c r="L1045" s="157"/>
      <c r="M1045" s="158" t="s">
        <v>28</v>
      </c>
      <c r="N1045" s="159" t="s">
        <v>29</v>
      </c>
    </row>
    <row r="1046" spans="1:14">
      <c r="A1046" s="148"/>
      <c r="B1046" s="149"/>
      <c r="C1046" s="150"/>
      <c r="D1046" s="151"/>
      <c r="E1046" s="152"/>
      <c r="F1046" s="153"/>
      <c r="G1046" s="154"/>
      <c r="H1046" s="154"/>
      <c r="I1046" s="154"/>
      <c r="J1046" s="155"/>
      <c r="K1046" s="156"/>
      <c r="L1046" s="157"/>
      <c r="M1046" s="158" t="s">
        <v>28</v>
      </c>
      <c r="N1046" s="159" t="s">
        <v>29</v>
      </c>
    </row>
    <row r="1047" spans="1:14">
      <c r="A1047" s="148"/>
      <c r="B1047" s="149"/>
      <c r="C1047" s="150"/>
      <c r="D1047" s="151"/>
      <c r="E1047" s="152"/>
      <c r="F1047" s="153"/>
      <c r="G1047" s="154"/>
      <c r="H1047" s="154"/>
      <c r="I1047" s="154"/>
      <c r="J1047" s="155"/>
      <c r="K1047" s="156"/>
      <c r="L1047" s="157"/>
      <c r="M1047" s="158" t="s">
        <v>28</v>
      </c>
      <c r="N1047" s="159" t="s">
        <v>29</v>
      </c>
    </row>
    <row r="1048" spans="1:14">
      <c r="A1048" s="148"/>
      <c r="B1048" s="149"/>
      <c r="C1048" s="160"/>
      <c r="D1048" s="151"/>
      <c r="E1048" s="152"/>
      <c r="F1048" s="153"/>
      <c r="G1048" s="154"/>
      <c r="H1048" s="154"/>
      <c r="I1048" s="154"/>
      <c r="J1048" s="155"/>
      <c r="K1048" s="156"/>
      <c r="L1048" s="157"/>
      <c r="M1048" s="158" t="s">
        <v>28</v>
      </c>
      <c r="N1048" s="159" t="s">
        <v>29</v>
      </c>
    </row>
    <row r="1049" spans="1:14">
      <c r="A1049" s="148"/>
      <c r="B1049" s="149"/>
      <c r="C1049" s="160"/>
      <c r="D1049" s="151"/>
      <c r="E1049" s="152"/>
      <c r="F1049" s="153"/>
      <c r="G1049" s="154"/>
      <c r="H1049" s="154"/>
      <c r="I1049" s="154"/>
      <c r="J1049" s="155"/>
      <c r="K1049" s="156"/>
      <c r="L1049" s="157"/>
      <c r="M1049" s="158" t="s">
        <v>28</v>
      </c>
      <c r="N1049" s="159" t="s">
        <v>29</v>
      </c>
    </row>
    <row r="1050" spans="1:14">
      <c r="A1050" s="148"/>
      <c r="B1050" s="149"/>
      <c r="C1050" s="160"/>
      <c r="D1050" s="151"/>
      <c r="E1050" s="152"/>
      <c r="F1050" s="153"/>
      <c r="G1050" s="154"/>
      <c r="H1050" s="154"/>
      <c r="I1050" s="154"/>
      <c r="J1050" s="155"/>
      <c r="K1050" s="156"/>
      <c r="L1050" s="157"/>
      <c r="M1050" s="158" t="s">
        <v>28</v>
      </c>
      <c r="N1050" s="159" t="s">
        <v>29</v>
      </c>
    </row>
    <row r="1051" spans="1:14">
      <c r="A1051" s="148"/>
      <c r="B1051" s="149"/>
      <c r="C1051" s="160"/>
      <c r="D1051" s="151"/>
      <c r="E1051" s="152"/>
      <c r="F1051" s="153"/>
      <c r="G1051" s="154"/>
      <c r="H1051" s="154"/>
      <c r="I1051" s="154"/>
      <c r="J1051" s="155"/>
      <c r="K1051" s="156"/>
      <c r="L1051" s="157"/>
      <c r="M1051" s="158" t="s">
        <v>28</v>
      </c>
      <c r="N1051" s="159" t="s">
        <v>29</v>
      </c>
    </row>
    <row r="1052" spans="1:14">
      <c r="A1052" s="148"/>
      <c r="B1052" s="149"/>
      <c r="C1052" s="160"/>
      <c r="D1052" s="151"/>
      <c r="E1052" s="152"/>
      <c r="F1052" s="153"/>
      <c r="G1052" s="154"/>
      <c r="H1052" s="154"/>
      <c r="I1052" s="154"/>
      <c r="J1052" s="155"/>
      <c r="K1052" s="156"/>
      <c r="L1052" s="157"/>
      <c r="M1052" s="158" t="s">
        <v>28</v>
      </c>
      <c r="N1052" s="159" t="s">
        <v>29</v>
      </c>
    </row>
    <row r="1053" spans="1:14">
      <c r="A1053" s="148"/>
      <c r="B1053" s="149"/>
      <c r="C1053" s="160"/>
      <c r="D1053" s="151"/>
      <c r="E1053" s="152"/>
      <c r="F1053" s="153"/>
      <c r="G1053" s="154"/>
      <c r="H1053" s="154"/>
      <c r="I1053" s="154"/>
      <c r="J1053" s="155"/>
      <c r="K1053" s="156"/>
      <c r="L1053" s="157"/>
      <c r="M1053" s="158" t="s">
        <v>28</v>
      </c>
      <c r="N1053" s="159" t="s">
        <v>29</v>
      </c>
    </row>
    <row r="1054" spans="1:14">
      <c r="A1054" s="148"/>
      <c r="B1054" s="149"/>
      <c r="C1054" s="160"/>
      <c r="D1054" s="151"/>
      <c r="E1054" s="152"/>
      <c r="F1054" s="153"/>
      <c r="G1054" s="154"/>
      <c r="H1054" s="154"/>
      <c r="I1054" s="154"/>
      <c r="J1054" s="155"/>
      <c r="K1054" s="156"/>
      <c r="L1054" s="157"/>
      <c r="M1054" s="158" t="s">
        <v>28</v>
      </c>
      <c r="N1054" s="159" t="s">
        <v>29</v>
      </c>
    </row>
    <row r="1055" spans="1:14">
      <c r="A1055" s="148"/>
      <c r="B1055" s="149"/>
      <c r="C1055" s="160"/>
      <c r="D1055" s="151"/>
      <c r="E1055" s="152"/>
      <c r="F1055" s="153"/>
      <c r="G1055" s="154"/>
      <c r="H1055" s="154"/>
      <c r="I1055" s="154"/>
      <c r="J1055" s="155"/>
      <c r="K1055" s="156"/>
      <c r="L1055" s="157"/>
      <c r="M1055" s="158" t="s">
        <v>28</v>
      </c>
      <c r="N1055" s="159" t="s">
        <v>29</v>
      </c>
    </row>
    <row r="1056" spans="1:14">
      <c r="A1056" s="148"/>
      <c r="B1056" s="149"/>
      <c r="C1056" s="160"/>
      <c r="D1056" s="151"/>
      <c r="E1056" s="152"/>
      <c r="F1056" s="153"/>
      <c r="G1056" s="154"/>
      <c r="H1056" s="154"/>
      <c r="I1056" s="154"/>
      <c r="J1056" s="155"/>
      <c r="K1056" s="156"/>
      <c r="L1056" s="157"/>
      <c r="M1056" s="158" t="s">
        <v>28</v>
      </c>
      <c r="N1056" s="159" t="s">
        <v>29</v>
      </c>
    </row>
    <row r="1057" spans="1:14">
      <c r="A1057" s="148"/>
      <c r="B1057" s="149"/>
      <c r="C1057" s="160"/>
      <c r="D1057" s="151"/>
      <c r="E1057" s="152"/>
      <c r="F1057" s="153"/>
      <c r="G1057" s="154"/>
      <c r="H1057" s="154"/>
      <c r="I1057" s="154"/>
      <c r="J1057" s="155"/>
      <c r="K1057" s="156"/>
      <c r="L1057" s="157"/>
      <c r="M1057" s="158" t="s">
        <v>28</v>
      </c>
      <c r="N1057" s="159" t="s">
        <v>29</v>
      </c>
    </row>
    <row r="1058" spans="1:14">
      <c r="A1058" s="148"/>
      <c r="B1058" s="149"/>
      <c r="C1058" s="160"/>
      <c r="D1058" s="151"/>
      <c r="E1058" s="152"/>
      <c r="F1058" s="153"/>
      <c r="G1058" s="154"/>
      <c r="H1058" s="154"/>
      <c r="I1058" s="154"/>
      <c r="J1058" s="155"/>
      <c r="K1058" s="156"/>
      <c r="L1058" s="157"/>
      <c r="M1058" s="158" t="s">
        <v>28</v>
      </c>
      <c r="N1058" s="159" t="s">
        <v>29</v>
      </c>
    </row>
    <row r="1059" spans="1:14">
      <c r="A1059" s="148"/>
      <c r="B1059" s="149"/>
      <c r="C1059" s="160"/>
      <c r="D1059" s="151"/>
      <c r="E1059" s="152"/>
      <c r="F1059" s="153"/>
      <c r="G1059" s="154"/>
      <c r="H1059" s="154"/>
      <c r="I1059" s="154"/>
      <c r="J1059" s="155"/>
      <c r="K1059" s="156"/>
      <c r="L1059" s="157"/>
      <c r="M1059" s="158" t="s">
        <v>28</v>
      </c>
      <c r="N1059" s="159" t="s">
        <v>29</v>
      </c>
    </row>
    <row r="1060" spans="1:14">
      <c r="A1060" s="148"/>
      <c r="B1060" s="149"/>
      <c r="C1060" s="160"/>
      <c r="D1060" s="151"/>
      <c r="E1060" s="152"/>
      <c r="F1060" s="153"/>
      <c r="G1060" s="154"/>
      <c r="H1060" s="154"/>
      <c r="I1060" s="154"/>
      <c r="J1060" s="155"/>
      <c r="K1060" s="156"/>
      <c r="L1060" s="157"/>
      <c r="M1060" s="158" t="s">
        <v>28</v>
      </c>
      <c r="N1060" s="159" t="s">
        <v>29</v>
      </c>
    </row>
    <row r="1061" spans="1:14">
      <c r="A1061" s="148"/>
      <c r="B1061" s="149"/>
      <c r="C1061" s="160"/>
      <c r="D1061" s="151"/>
      <c r="E1061" s="152"/>
      <c r="F1061" s="153"/>
      <c r="G1061" s="154"/>
      <c r="H1061" s="154"/>
      <c r="I1061" s="154"/>
      <c r="J1061" s="155"/>
      <c r="K1061" s="156"/>
      <c r="L1061" s="157"/>
      <c r="M1061" s="158" t="s">
        <v>28</v>
      </c>
      <c r="N1061" s="159" t="s">
        <v>29</v>
      </c>
    </row>
    <row r="1062" spans="1:14">
      <c r="A1062" s="148"/>
      <c r="B1062" s="149"/>
      <c r="C1062" s="160"/>
      <c r="D1062" s="151"/>
      <c r="E1062" s="152"/>
      <c r="F1062" s="153"/>
      <c r="G1062" s="154"/>
      <c r="H1062" s="154"/>
      <c r="I1062" s="154"/>
      <c r="J1062" s="155"/>
      <c r="K1062" s="156"/>
      <c r="L1062" s="157"/>
      <c r="M1062" s="158" t="s">
        <v>28</v>
      </c>
      <c r="N1062" s="159" t="s">
        <v>29</v>
      </c>
    </row>
    <row r="1063" spans="1:14">
      <c r="A1063" s="148"/>
      <c r="B1063" s="149"/>
      <c r="C1063" s="160"/>
      <c r="D1063" s="151"/>
      <c r="E1063" s="152"/>
      <c r="F1063" s="153"/>
      <c r="G1063" s="154"/>
      <c r="H1063" s="154"/>
      <c r="I1063" s="154"/>
      <c r="J1063" s="155"/>
      <c r="K1063" s="156"/>
      <c r="L1063" s="157"/>
      <c r="M1063" s="158" t="s">
        <v>28</v>
      </c>
      <c r="N1063" s="159" t="s">
        <v>29</v>
      </c>
    </row>
    <row r="1064" spans="1:14">
      <c r="A1064" s="148"/>
      <c r="B1064" s="149"/>
      <c r="C1064" s="160"/>
      <c r="D1064" s="151"/>
      <c r="E1064" s="152"/>
      <c r="F1064" s="153"/>
      <c r="G1064" s="154"/>
      <c r="H1064" s="154"/>
      <c r="I1064" s="154"/>
      <c r="J1064" s="155"/>
      <c r="K1064" s="156"/>
      <c r="L1064" s="157"/>
      <c r="M1064" s="158" t="s">
        <v>28</v>
      </c>
      <c r="N1064" s="159" t="s">
        <v>29</v>
      </c>
    </row>
    <row r="1065" spans="1:14">
      <c r="A1065" s="148"/>
      <c r="B1065" s="149"/>
      <c r="C1065" s="160"/>
      <c r="D1065" s="151"/>
      <c r="E1065" s="152"/>
      <c r="F1065" s="153"/>
      <c r="G1065" s="154"/>
      <c r="H1065" s="154"/>
      <c r="I1065" s="154"/>
      <c r="J1065" s="155"/>
      <c r="K1065" s="156"/>
      <c r="L1065" s="157"/>
      <c r="M1065" s="158" t="s">
        <v>28</v>
      </c>
      <c r="N1065" s="159" t="s">
        <v>29</v>
      </c>
    </row>
    <row r="1066" spans="1:14">
      <c r="A1066" s="148"/>
      <c r="B1066" s="149"/>
      <c r="C1066" s="160"/>
      <c r="D1066" s="151"/>
      <c r="E1066" s="152"/>
      <c r="F1066" s="153"/>
      <c r="G1066" s="154"/>
      <c r="H1066" s="154"/>
      <c r="I1066" s="154"/>
      <c r="J1066" s="155"/>
      <c r="K1066" s="156"/>
      <c r="L1066" s="157"/>
      <c r="M1066" s="158" t="s">
        <v>28</v>
      </c>
      <c r="N1066" s="159" t="s">
        <v>29</v>
      </c>
    </row>
    <row r="1067" spans="1:14">
      <c r="A1067" s="148"/>
      <c r="B1067" s="149"/>
      <c r="C1067" s="160"/>
      <c r="D1067" s="151"/>
      <c r="E1067" s="152"/>
      <c r="F1067" s="153"/>
      <c r="G1067" s="154"/>
      <c r="H1067" s="154"/>
      <c r="I1067" s="154"/>
      <c r="J1067" s="155"/>
      <c r="K1067" s="156"/>
      <c r="L1067" s="157"/>
      <c r="M1067" s="158" t="s">
        <v>28</v>
      </c>
      <c r="N1067" s="159" t="s">
        <v>29</v>
      </c>
    </row>
    <row r="1068" spans="1:14">
      <c r="A1068" s="148"/>
      <c r="B1068" s="149"/>
      <c r="C1068" s="160"/>
      <c r="D1068" s="151"/>
      <c r="E1068" s="152"/>
      <c r="F1068" s="153"/>
      <c r="G1068" s="154"/>
      <c r="H1068" s="154"/>
      <c r="I1068" s="154"/>
      <c r="J1068" s="155"/>
      <c r="K1068" s="156"/>
      <c r="L1068" s="157"/>
      <c r="M1068" s="158" t="s">
        <v>28</v>
      </c>
      <c r="N1068" s="159" t="s">
        <v>29</v>
      </c>
    </row>
    <row r="1069" spans="1:14">
      <c r="A1069" s="148"/>
      <c r="B1069" s="149"/>
      <c r="C1069" s="160"/>
      <c r="D1069" s="151"/>
      <c r="E1069" s="152"/>
      <c r="F1069" s="153"/>
      <c r="G1069" s="154"/>
      <c r="H1069" s="154"/>
      <c r="I1069" s="154"/>
      <c r="J1069" s="155"/>
      <c r="K1069" s="156"/>
      <c r="L1069" s="157"/>
      <c r="M1069" s="158" t="s">
        <v>28</v>
      </c>
      <c r="N1069" s="159" t="s">
        <v>29</v>
      </c>
    </row>
    <row r="1070" spans="1:14">
      <c r="A1070" s="148"/>
      <c r="B1070" s="149"/>
      <c r="C1070" s="160"/>
      <c r="D1070" s="151"/>
      <c r="E1070" s="152"/>
      <c r="F1070" s="153"/>
      <c r="G1070" s="154"/>
      <c r="H1070" s="154"/>
      <c r="I1070" s="154"/>
      <c r="J1070" s="155"/>
      <c r="K1070" s="156"/>
      <c r="L1070" s="157"/>
      <c r="M1070" s="158" t="s">
        <v>28</v>
      </c>
      <c r="N1070" s="159" t="s">
        <v>29</v>
      </c>
    </row>
    <row r="1071" spans="1:14">
      <c r="A1071" s="148"/>
      <c r="B1071" s="149"/>
      <c r="C1071" s="160"/>
      <c r="D1071" s="151"/>
      <c r="E1071" s="152"/>
      <c r="F1071" s="153"/>
      <c r="G1071" s="154"/>
      <c r="H1071" s="154"/>
      <c r="I1071" s="154"/>
      <c r="J1071" s="155"/>
      <c r="K1071" s="156"/>
      <c r="L1071" s="157"/>
      <c r="M1071" s="158" t="s">
        <v>28</v>
      </c>
      <c r="N1071" s="159" t="s">
        <v>29</v>
      </c>
    </row>
    <row r="1072" spans="1:14">
      <c r="A1072" s="148"/>
      <c r="B1072" s="149"/>
      <c r="C1072" s="160"/>
      <c r="D1072" s="151"/>
      <c r="E1072" s="152"/>
      <c r="F1072" s="153"/>
      <c r="G1072" s="154"/>
      <c r="H1072" s="154"/>
      <c r="I1072" s="154"/>
      <c r="J1072" s="155"/>
      <c r="K1072" s="156"/>
      <c r="L1072" s="157"/>
      <c r="M1072" s="158" t="s">
        <v>28</v>
      </c>
      <c r="N1072" s="159" t="s">
        <v>29</v>
      </c>
    </row>
    <row r="1073" spans="1:14">
      <c r="A1073" s="148"/>
      <c r="B1073" s="149"/>
      <c r="C1073" s="160"/>
      <c r="D1073" s="151"/>
      <c r="E1073" s="152"/>
      <c r="F1073" s="153"/>
      <c r="G1073" s="154"/>
      <c r="H1073" s="154"/>
      <c r="I1073" s="154"/>
      <c r="J1073" s="155"/>
      <c r="K1073" s="156"/>
      <c r="L1073" s="157"/>
      <c r="M1073" s="158" t="s">
        <v>28</v>
      </c>
      <c r="N1073" s="159" t="s">
        <v>29</v>
      </c>
    </row>
    <row r="1074" spans="1:14">
      <c r="A1074" s="148"/>
      <c r="B1074" s="149"/>
      <c r="C1074" s="160"/>
      <c r="D1074" s="151"/>
      <c r="E1074" s="152"/>
      <c r="F1074" s="153"/>
      <c r="G1074" s="154"/>
      <c r="H1074" s="154"/>
      <c r="I1074" s="154"/>
      <c r="J1074" s="155"/>
      <c r="K1074" s="156"/>
      <c r="L1074" s="157"/>
      <c r="M1074" s="158" t="s">
        <v>28</v>
      </c>
      <c r="N1074" s="159" t="s">
        <v>29</v>
      </c>
    </row>
    <row r="1075" spans="1:14">
      <c r="A1075" s="148"/>
      <c r="B1075" s="149"/>
      <c r="C1075" s="160"/>
      <c r="D1075" s="151"/>
      <c r="E1075" s="152"/>
      <c r="F1075" s="153"/>
      <c r="G1075" s="154"/>
      <c r="H1075" s="154"/>
      <c r="I1075" s="154"/>
      <c r="J1075" s="155"/>
      <c r="K1075" s="156"/>
      <c r="L1075" s="157"/>
      <c r="M1075" s="158" t="s">
        <v>28</v>
      </c>
      <c r="N1075" s="159" t="s">
        <v>29</v>
      </c>
    </row>
    <row r="1076" spans="1:14">
      <c r="A1076" s="148"/>
      <c r="B1076" s="149"/>
      <c r="C1076" s="160"/>
      <c r="D1076" s="151"/>
      <c r="E1076" s="152"/>
      <c r="F1076" s="153"/>
      <c r="G1076" s="154"/>
      <c r="H1076" s="154"/>
      <c r="I1076" s="154"/>
      <c r="J1076" s="155"/>
      <c r="K1076" s="156"/>
      <c r="L1076" s="157"/>
      <c r="M1076" s="158" t="s">
        <v>28</v>
      </c>
      <c r="N1076" s="159" t="s">
        <v>29</v>
      </c>
    </row>
    <row r="1077" spans="1:14">
      <c r="A1077" s="148"/>
      <c r="B1077" s="149"/>
      <c r="C1077" s="160"/>
      <c r="D1077" s="151"/>
      <c r="E1077" s="152"/>
      <c r="F1077" s="153"/>
      <c r="G1077" s="154"/>
      <c r="H1077" s="154"/>
      <c r="I1077" s="154"/>
      <c r="J1077" s="155"/>
      <c r="K1077" s="156"/>
      <c r="L1077" s="157"/>
      <c r="M1077" s="158" t="s">
        <v>28</v>
      </c>
      <c r="N1077" s="159" t="s">
        <v>29</v>
      </c>
    </row>
    <row r="1078" spans="1:14">
      <c r="A1078" s="148"/>
      <c r="B1078" s="149"/>
      <c r="C1078" s="160"/>
      <c r="D1078" s="151"/>
      <c r="E1078" s="152"/>
      <c r="F1078" s="153"/>
      <c r="G1078" s="154"/>
      <c r="H1078" s="154"/>
      <c r="I1078" s="154"/>
      <c r="J1078" s="155"/>
      <c r="K1078" s="156"/>
      <c r="L1078" s="157"/>
      <c r="M1078" s="158" t="s">
        <v>28</v>
      </c>
      <c r="N1078" s="159" t="s">
        <v>29</v>
      </c>
    </row>
    <row r="1079" spans="1:14">
      <c r="A1079" s="148"/>
      <c r="B1079" s="149"/>
      <c r="C1079" s="160"/>
      <c r="D1079" s="151"/>
      <c r="E1079" s="152"/>
      <c r="F1079" s="153"/>
      <c r="G1079" s="154"/>
      <c r="H1079" s="154"/>
      <c r="I1079" s="154"/>
      <c r="J1079" s="155"/>
      <c r="K1079" s="156"/>
      <c r="L1079" s="157"/>
      <c r="M1079" s="158" t="s">
        <v>28</v>
      </c>
      <c r="N1079" s="159" t="s">
        <v>29</v>
      </c>
    </row>
    <row r="1080" spans="1:14">
      <c r="A1080" s="148"/>
      <c r="B1080" s="149"/>
      <c r="C1080" s="160"/>
      <c r="D1080" s="151"/>
      <c r="E1080" s="152"/>
      <c r="F1080" s="153"/>
      <c r="G1080" s="154"/>
      <c r="H1080" s="154"/>
      <c r="I1080" s="154"/>
      <c r="J1080" s="155"/>
      <c r="K1080" s="156"/>
      <c r="L1080" s="157"/>
      <c r="M1080" s="158" t="s">
        <v>28</v>
      </c>
      <c r="N1080" s="159" t="s">
        <v>29</v>
      </c>
    </row>
    <row r="1081" spans="1:14">
      <c r="A1081" s="148"/>
      <c r="B1081" s="149"/>
      <c r="C1081" s="160"/>
      <c r="D1081" s="151"/>
      <c r="E1081" s="152"/>
      <c r="F1081" s="153"/>
      <c r="G1081" s="154"/>
      <c r="H1081" s="154"/>
      <c r="I1081" s="154"/>
      <c r="J1081" s="155"/>
      <c r="K1081" s="156"/>
      <c r="L1081" s="157"/>
      <c r="M1081" s="158" t="s">
        <v>28</v>
      </c>
      <c r="N1081" s="159" t="s">
        <v>29</v>
      </c>
    </row>
    <row r="1082" spans="1:14">
      <c r="A1082" s="148"/>
      <c r="B1082" s="149"/>
      <c r="C1082" s="160"/>
      <c r="D1082" s="151"/>
      <c r="E1082" s="152"/>
      <c r="F1082" s="153"/>
      <c r="G1082" s="154"/>
      <c r="H1082" s="154"/>
      <c r="I1082" s="154"/>
      <c r="J1082" s="155"/>
      <c r="K1082" s="156"/>
      <c r="L1082" s="157"/>
      <c r="M1082" s="158" t="s">
        <v>28</v>
      </c>
      <c r="N1082" s="159" t="s">
        <v>29</v>
      </c>
    </row>
    <row r="1083" spans="1:14">
      <c r="A1083" s="148"/>
      <c r="B1083" s="149"/>
      <c r="C1083" s="160"/>
      <c r="D1083" s="151"/>
      <c r="E1083" s="152"/>
      <c r="F1083" s="153"/>
      <c r="G1083" s="154"/>
      <c r="H1083" s="154"/>
      <c r="I1083" s="154"/>
      <c r="J1083" s="155"/>
      <c r="K1083" s="156"/>
      <c r="L1083" s="157"/>
      <c r="M1083" s="158" t="s">
        <v>28</v>
      </c>
      <c r="N1083" s="159" t="s">
        <v>29</v>
      </c>
    </row>
    <row r="1084" spans="1:14">
      <c r="A1084" s="148"/>
      <c r="B1084" s="149"/>
      <c r="C1084" s="160"/>
      <c r="D1084" s="151"/>
      <c r="E1084" s="152"/>
      <c r="F1084" s="153"/>
      <c r="G1084" s="154"/>
      <c r="H1084" s="154"/>
      <c r="I1084" s="154"/>
      <c r="J1084" s="155"/>
      <c r="K1084" s="156"/>
      <c r="L1084" s="157"/>
      <c r="M1084" s="158" t="s">
        <v>28</v>
      </c>
      <c r="N1084" s="159" t="s">
        <v>29</v>
      </c>
    </row>
    <row r="1085" spans="1:14">
      <c r="A1085" s="148"/>
      <c r="B1085" s="149"/>
      <c r="C1085" s="160"/>
      <c r="D1085" s="151"/>
      <c r="E1085" s="152"/>
      <c r="F1085" s="153"/>
      <c r="G1085" s="154"/>
      <c r="H1085" s="154"/>
      <c r="I1085" s="154"/>
      <c r="J1085" s="155"/>
      <c r="K1085" s="156"/>
      <c r="L1085" s="157"/>
      <c r="M1085" s="158" t="s">
        <v>28</v>
      </c>
      <c r="N1085" s="159" t="s">
        <v>29</v>
      </c>
    </row>
    <row r="1086" spans="1:14">
      <c r="A1086" s="148"/>
      <c r="B1086" s="149"/>
      <c r="C1086" s="160"/>
      <c r="D1086" s="151"/>
      <c r="E1086" s="152"/>
      <c r="F1086" s="153"/>
      <c r="G1086" s="154"/>
      <c r="H1086" s="154"/>
      <c r="I1086" s="154"/>
      <c r="J1086" s="155"/>
      <c r="K1086" s="156"/>
      <c r="L1086" s="157"/>
      <c r="M1086" s="158" t="s">
        <v>28</v>
      </c>
      <c r="N1086" s="159" t="s">
        <v>29</v>
      </c>
    </row>
    <row r="1087" spans="1:14">
      <c r="A1087" s="148"/>
      <c r="B1087" s="149"/>
      <c r="C1087" s="160"/>
      <c r="D1087" s="151"/>
      <c r="E1087" s="152"/>
      <c r="F1087" s="153"/>
      <c r="G1087" s="154"/>
      <c r="H1087" s="154"/>
      <c r="I1087" s="154"/>
      <c r="J1087" s="155"/>
      <c r="K1087" s="156"/>
      <c r="L1087" s="157"/>
      <c r="M1087" s="158" t="s">
        <v>28</v>
      </c>
      <c r="N1087" s="159" t="s">
        <v>29</v>
      </c>
    </row>
    <row r="1088" spans="1:14">
      <c r="A1088" s="148"/>
      <c r="B1088" s="149"/>
      <c r="C1088" s="160"/>
      <c r="D1088" s="151"/>
      <c r="E1088" s="152"/>
      <c r="F1088" s="153"/>
      <c r="G1088" s="154"/>
      <c r="H1088" s="154"/>
      <c r="I1088" s="154"/>
      <c r="J1088" s="155"/>
      <c r="K1088" s="156"/>
      <c r="L1088" s="157"/>
      <c r="M1088" s="158" t="s">
        <v>28</v>
      </c>
      <c r="N1088" s="159" t="s">
        <v>29</v>
      </c>
    </row>
    <row r="1089" spans="1:14">
      <c r="A1089" s="148"/>
      <c r="B1089" s="149"/>
      <c r="C1089" s="160"/>
      <c r="D1089" s="151"/>
      <c r="E1089" s="152"/>
      <c r="F1089" s="153"/>
      <c r="G1089" s="154"/>
      <c r="H1089" s="154"/>
      <c r="I1089" s="154"/>
      <c r="J1089" s="155"/>
      <c r="K1089" s="156"/>
      <c r="L1089" s="157"/>
      <c r="M1089" s="158" t="s">
        <v>28</v>
      </c>
      <c r="N1089" s="159" t="s">
        <v>29</v>
      </c>
    </row>
    <row r="1090" spans="1:14">
      <c r="A1090" s="148"/>
      <c r="B1090" s="149"/>
      <c r="C1090" s="160"/>
      <c r="D1090" s="151"/>
      <c r="E1090" s="152"/>
      <c r="F1090" s="153"/>
      <c r="G1090" s="154"/>
      <c r="H1090" s="154"/>
      <c r="I1090" s="154"/>
      <c r="J1090" s="155"/>
      <c r="K1090" s="156"/>
      <c r="L1090" s="157"/>
      <c r="M1090" s="158" t="s">
        <v>28</v>
      </c>
      <c r="N1090" s="159" t="s">
        <v>29</v>
      </c>
    </row>
    <row r="1091" spans="1:14">
      <c r="A1091" s="148"/>
      <c r="B1091" s="149"/>
      <c r="C1091" s="160"/>
      <c r="D1091" s="151"/>
      <c r="E1091" s="152"/>
      <c r="F1091" s="153"/>
      <c r="G1091" s="154"/>
      <c r="H1091" s="154"/>
      <c r="I1091" s="154"/>
      <c r="J1091" s="155"/>
      <c r="K1091" s="156"/>
      <c r="L1091" s="157"/>
      <c r="M1091" s="158" t="s">
        <v>28</v>
      </c>
      <c r="N1091" s="159" t="s">
        <v>29</v>
      </c>
    </row>
    <row r="1092" spans="1:14">
      <c r="A1092" s="148"/>
      <c r="B1092" s="149"/>
      <c r="C1092" s="160"/>
      <c r="D1092" s="151"/>
      <c r="E1092" s="152"/>
      <c r="F1092" s="153"/>
      <c r="G1092" s="154"/>
      <c r="H1092" s="154"/>
      <c r="I1092" s="154"/>
      <c r="J1092" s="155"/>
      <c r="K1092" s="156"/>
      <c r="L1092" s="157"/>
      <c r="M1092" s="158" t="s">
        <v>28</v>
      </c>
      <c r="N1092" s="159" t="s">
        <v>29</v>
      </c>
    </row>
    <row r="1093" spans="1:14">
      <c r="A1093" s="148"/>
      <c r="B1093" s="149"/>
      <c r="C1093" s="160"/>
      <c r="D1093" s="151"/>
      <c r="E1093" s="152"/>
      <c r="F1093" s="153"/>
      <c r="G1093" s="154"/>
      <c r="H1093" s="154"/>
      <c r="I1093" s="154"/>
      <c r="J1093" s="155"/>
      <c r="K1093" s="156"/>
      <c r="L1093" s="157"/>
      <c r="M1093" s="158" t="s">
        <v>28</v>
      </c>
      <c r="N1093" s="159" t="s">
        <v>29</v>
      </c>
    </row>
    <row r="1094" spans="1:14">
      <c r="A1094" s="148"/>
      <c r="B1094" s="149"/>
      <c r="C1094" s="160"/>
      <c r="D1094" s="151"/>
      <c r="E1094" s="152"/>
      <c r="F1094" s="153"/>
      <c r="G1094" s="154"/>
      <c r="H1094" s="154"/>
      <c r="I1094" s="154"/>
      <c r="J1094" s="155"/>
      <c r="K1094" s="156"/>
      <c r="L1094" s="157"/>
      <c r="M1094" s="158" t="s">
        <v>28</v>
      </c>
      <c r="N1094" s="159" t="s">
        <v>29</v>
      </c>
    </row>
    <row r="1095" spans="1:14">
      <c r="A1095" s="148"/>
      <c r="B1095" s="149"/>
      <c r="C1095" s="160"/>
      <c r="D1095" s="151"/>
      <c r="E1095" s="152"/>
      <c r="F1095" s="153"/>
      <c r="G1095" s="154"/>
      <c r="H1095" s="154"/>
      <c r="I1095" s="154"/>
      <c r="J1095" s="155"/>
      <c r="K1095" s="156"/>
      <c r="L1095" s="157"/>
      <c r="M1095" s="158" t="s">
        <v>28</v>
      </c>
      <c r="N1095" s="159" t="s">
        <v>29</v>
      </c>
    </row>
    <row r="1096" spans="1:14">
      <c r="A1096" s="148"/>
      <c r="B1096" s="149"/>
      <c r="C1096" s="160"/>
      <c r="D1096" s="151"/>
      <c r="E1096" s="152"/>
      <c r="F1096" s="153"/>
      <c r="G1096" s="154"/>
      <c r="H1096" s="154"/>
      <c r="I1096" s="154"/>
      <c r="J1096" s="155"/>
      <c r="K1096" s="156"/>
      <c r="L1096" s="157"/>
      <c r="M1096" s="158" t="s">
        <v>28</v>
      </c>
      <c r="N1096" s="159" t="s">
        <v>29</v>
      </c>
    </row>
    <row r="1097" spans="1:14">
      <c r="A1097" s="148"/>
      <c r="B1097" s="149"/>
      <c r="C1097" s="160"/>
      <c r="D1097" s="151"/>
      <c r="E1097" s="152"/>
      <c r="F1097" s="153"/>
      <c r="G1097" s="154"/>
      <c r="H1097" s="154"/>
      <c r="I1097" s="154"/>
      <c r="J1097" s="155"/>
      <c r="K1097" s="156"/>
      <c r="L1097" s="157"/>
      <c r="M1097" s="158" t="s">
        <v>28</v>
      </c>
      <c r="N1097" s="159" t="s">
        <v>29</v>
      </c>
    </row>
    <row r="1098" spans="1:14">
      <c r="A1098" s="148"/>
      <c r="B1098" s="149"/>
      <c r="C1098" s="160"/>
      <c r="D1098" s="151"/>
      <c r="E1098" s="152"/>
      <c r="F1098" s="153"/>
      <c r="G1098" s="154"/>
      <c r="H1098" s="154"/>
      <c r="I1098" s="154"/>
      <c r="J1098" s="155"/>
      <c r="K1098" s="156"/>
      <c r="L1098" s="157"/>
      <c r="M1098" s="158" t="s">
        <v>28</v>
      </c>
      <c r="N1098" s="159" t="s">
        <v>29</v>
      </c>
    </row>
    <row r="1099" spans="1:14">
      <c r="A1099" s="148"/>
      <c r="B1099" s="149"/>
      <c r="C1099" s="160"/>
      <c r="D1099" s="151"/>
      <c r="E1099" s="152"/>
      <c r="F1099" s="153"/>
      <c r="G1099" s="154"/>
      <c r="H1099" s="154"/>
      <c r="I1099" s="154"/>
      <c r="J1099" s="155"/>
      <c r="K1099" s="156"/>
      <c r="L1099" s="157"/>
      <c r="M1099" s="158" t="s">
        <v>28</v>
      </c>
      <c r="N1099" s="159" t="s">
        <v>29</v>
      </c>
    </row>
    <row r="1100" spans="1:14">
      <c r="A1100" s="148"/>
      <c r="B1100" s="149"/>
      <c r="C1100" s="160"/>
      <c r="D1100" s="151"/>
      <c r="E1100" s="152"/>
      <c r="F1100" s="153"/>
      <c r="G1100" s="154"/>
      <c r="H1100" s="154"/>
      <c r="I1100" s="154"/>
      <c r="J1100" s="155"/>
      <c r="K1100" s="156"/>
      <c r="L1100" s="157"/>
      <c r="M1100" s="158" t="s">
        <v>28</v>
      </c>
      <c r="N1100" s="159" t="s">
        <v>29</v>
      </c>
    </row>
    <row r="1101" spans="1:14">
      <c r="A1101" s="148"/>
      <c r="B1101" s="149"/>
      <c r="C1101" s="160"/>
      <c r="D1101" s="151"/>
      <c r="E1101" s="152"/>
      <c r="F1101" s="153"/>
      <c r="G1101" s="154"/>
      <c r="H1101" s="154"/>
      <c r="I1101" s="154"/>
      <c r="J1101" s="155"/>
      <c r="K1101" s="156"/>
      <c r="L1101" s="157"/>
      <c r="M1101" s="158" t="s">
        <v>28</v>
      </c>
      <c r="N1101" s="159" t="s">
        <v>29</v>
      </c>
    </row>
    <row r="1102" spans="1:14">
      <c r="A1102" s="148"/>
      <c r="B1102" s="149"/>
      <c r="C1102" s="160"/>
      <c r="D1102" s="151"/>
      <c r="E1102" s="152"/>
      <c r="F1102" s="153"/>
      <c r="G1102" s="154"/>
      <c r="H1102" s="154"/>
      <c r="I1102" s="154"/>
      <c r="J1102" s="155"/>
      <c r="K1102" s="156"/>
      <c r="L1102" s="157"/>
      <c r="M1102" s="158" t="s">
        <v>28</v>
      </c>
      <c r="N1102" s="159" t="s">
        <v>29</v>
      </c>
    </row>
    <row r="1103" spans="1:14">
      <c r="A1103" s="148"/>
      <c r="B1103" s="149"/>
      <c r="C1103" s="160"/>
      <c r="D1103" s="151"/>
      <c r="E1103" s="152"/>
      <c r="F1103" s="153"/>
      <c r="G1103" s="154"/>
      <c r="H1103" s="154"/>
      <c r="I1103" s="154"/>
      <c r="J1103" s="155"/>
      <c r="K1103" s="156"/>
      <c r="L1103" s="157"/>
      <c r="M1103" s="158" t="s">
        <v>28</v>
      </c>
      <c r="N1103" s="159" t="s">
        <v>29</v>
      </c>
    </row>
    <row r="1104" spans="1:14">
      <c r="A1104" s="148"/>
      <c r="B1104" s="149"/>
      <c r="C1104" s="160"/>
      <c r="D1104" s="151"/>
      <c r="E1104" s="152"/>
      <c r="F1104" s="153"/>
      <c r="G1104" s="154"/>
      <c r="H1104" s="154"/>
      <c r="I1104" s="154"/>
      <c r="J1104" s="155"/>
      <c r="K1104" s="156"/>
      <c r="L1104" s="157"/>
      <c r="M1104" s="158" t="s">
        <v>28</v>
      </c>
      <c r="N1104" s="159" t="s">
        <v>29</v>
      </c>
    </row>
    <row r="1105" spans="1:14">
      <c r="A1105" s="148"/>
      <c r="B1105" s="149"/>
      <c r="C1105" s="160"/>
      <c r="D1105" s="151"/>
      <c r="E1105" s="152"/>
      <c r="F1105" s="153"/>
      <c r="G1105" s="154"/>
      <c r="H1105" s="154"/>
      <c r="I1105" s="154"/>
      <c r="J1105" s="155"/>
      <c r="K1105" s="156"/>
      <c r="L1105" s="157"/>
      <c r="M1105" s="158" t="s">
        <v>28</v>
      </c>
      <c r="N1105" s="159" t="s">
        <v>29</v>
      </c>
    </row>
    <row r="1106" spans="1:14">
      <c r="A1106" s="148"/>
      <c r="B1106" s="149"/>
      <c r="C1106" s="160"/>
      <c r="D1106" s="151"/>
      <c r="E1106" s="152"/>
      <c r="F1106" s="153"/>
      <c r="G1106" s="154"/>
      <c r="H1106" s="154"/>
      <c r="I1106" s="154"/>
      <c r="J1106" s="155"/>
      <c r="K1106" s="156"/>
      <c r="L1106" s="157"/>
      <c r="M1106" s="158" t="s">
        <v>28</v>
      </c>
      <c r="N1106" s="159" t="s">
        <v>29</v>
      </c>
    </row>
    <row r="1107" spans="1:14">
      <c r="A1107" s="148"/>
      <c r="B1107" s="149"/>
      <c r="C1107" s="160"/>
      <c r="D1107" s="151"/>
      <c r="E1107" s="152"/>
      <c r="F1107" s="153"/>
      <c r="G1107" s="154"/>
      <c r="H1107" s="154"/>
      <c r="I1107" s="154"/>
      <c r="J1107" s="155"/>
      <c r="K1107" s="156"/>
      <c r="L1107" s="157"/>
      <c r="M1107" s="158" t="s">
        <v>28</v>
      </c>
      <c r="N1107" s="159" t="s">
        <v>29</v>
      </c>
    </row>
    <row r="1108" spans="1:14">
      <c r="A1108" s="148"/>
      <c r="B1108" s="149"/>
      <c r="C1108" s="160"/>
      <c r="D1108" s="151"/>
      <c r="E1108" s="152"/>
      <c r="F1108" s="153"/>
      <c r="G1108" s="154"/>
      <c r="H1108" s="154"/>
      <c r="I1108" s="154"/>
      <c r="J1108" s="155"/>
      <c r="K1108" s="156"/>
      <c r="L1108" s="157"/>
      <c r="M1108" s="158" t="s">
        <v>28</v>
      </c>
      <c r="N1108" s="159" t="s">
        <v>29</v>
      </c>
    </row>
    <row r="1109" spans="1:14">
      <c r="A1109" s="148"/>
      <c r="B1109" s="149"/>
      <c r="C1109" s="160"/>
      <c r="D1109" s="151"/>
      <c r="E1109" s="152"/>
      <c r="F1109" s="153"/>
      <c r="G1109" s="154"/>
      <c r="H1109" s="154"/>
      <c r="I1109" s="154"/>
      <c r="J1109" s="155"/>
      <c r="K1109" s="156"/>
      <c r="L1109" s="157"/>
      <c r="M1109" s="158" t="s">
        <v>28</v>
      </c>
      <c r="N1109" s="159" t="s">
        <v>29</v>
      </c>
    </row>
    <row r="1110" spans="1:14">
      <c r="A1110" s="148"/>
      <c r="B1110" s="149"/>
      <c r="C1110" s="160"/>
      <c r="D1110" s="151"/>
      <c r="E1110" s="152"/>
      <c r="F1110" s="153"/>
      <c r="G1110" s="154"/>
      <c r="H1110" s="154"/>
      <c r="I1110" s="154"/>
      <c r="J1110" s="155"/>
      <c r="K1110" s="156"/>
      <c r="L1110" s="157"/>
      <c r="M1110" s="158" t="s">
        <v>28</v>
      </c>
      <c r="N1110" s="159" t="s">
        <v>29</v>
      </c>
    </row>
    <row r="1111" spans="1:14">
      <c r="A1111" s="148"/>
      <c r="B1111" s="149"/>
      <c r="C1111" s="160"/>
      <c r="D1111" s="151"/>
      <c r="E1111" s="152"/>
      <c r="F1111" s="153"/>
      <c r="G1111" s="154"/>
      <c r="H1111" s="154"/>
      <c r="I1111" s="154"/>
      <c r="J1111" s="155"/>
      <c r="K1111" s="156"/>
      <c r="L1111" s="157"/>
      <c r="M1111" s="158" t="s">
        <v>28</v>
      </c>
      <c r="N1111" s="159" t="s">
        <v>29</v>
      </c>
    </row>
    <row r="1112" spans="1:14">
      <c r="A1112" s="148"/>
      <c r="B1112" s="149"/>
      <c r="C1112" s="160"/>
      <c r="D1112" s="151"/>
      <c r="E1112" s="152"/>
      <c r="F1112" s="153"/>
      <c r="G1112" s="154"/>
      <c r="H1112" s="154"/>
      <c r="I1112" s="154"/>
      <c r="J1112" s="155"/>
      <c r="K1112" s="156"/>
      <c r="L1112" s="157"/>
      <c r="M1112" s="158" t="s">
        <v>28</v>
      </c>
      <c r="N1112" s="159" t="s">
        <v>29</v>
      </c>
    </row>
    <row r="1113" spans="1:14">
      <c r="A1113" s="148"/>
      <c r="B1113" s="149"/>
      <c r="C1113" s="160"/>
      <c r="D1113" s="151"/>
      <c r="E1113" s="152"/>
      <c r="F1113" s="153"/>
      <c r="G1113" s="154"/>
      <c r="H1113" s="154"/>
      <c r="I1113" s="154"/>
      <c r="J1113" s="155"/>
      <c r="K1113" s="156"/>
      <c r="L1113" s="157"/>
      <c r="M1113" s="158" t="s">
        <v>28</v>
      </c>
      <c r="N1113" s="159" t="s">
        <v>29</v>
      </c>
    </row>
    <row r="1114" spans="1:14">
      <c r="A1114" s="148"/>
      <c r="B1114" s="149"/>
      <c r="C1114" s="160"/>
      <c r="D1114" s="151"/>
      <c r="E1114" s="152"/>
      <c r="F1114" s="153"/>
      <c r="G1114" s="154"/>
      <c r="H1114" s="154"/>
      <c r="I1114" s="154"/>
      <c r="J1114" s="155"/>
      <c r="K1114" s="156"/>
      <c r="L1114" s="157"/>
      <c r="M1114" s="158" t="s">
        <v>28</v>
      </c>
      <c r="N1114" s="159" t="s">
        <v>29</v>
      </c>
    </row>
    <row r="1115" spans="1:14">
      <c r="A1115" s="148"/>
      <c r="B1115" s="149"/>
      <c r="C1115" s="160"/>
      <c r="D1115" s="151"/>
      <c r="E1115" s="152"/>
      <c r="F1115" s="153"/>
      <c r="G1115" s="154"/>
      <c r="H1115" s="154"/>
      <c r="I1115" s="154"/>
      <c r="J1115" s="155"/>
      <c r="K1115" s="156"/>
      <c r="L1115" s="157"/>
      <c r="M1115" s="158" t="s">
        <v>28</v>
      </c>
      <c r="N1115" s="159" t="s">
        <v>29</v>
      </c>
    </row>
    <row r="1116" spans="1:14">
      <c r="A1116" s="148"/>
      <c r="B1116" s="149"/>
      <c r="C1116" s="160"/>
      <c r="D1116" s="151"/>
      <c r="E1116" s="152"/>
      <c r="F1116" s="153"/>
      <c r="G1116" s="154"/>
      <c r="H1116" s="154"/>
      <c r="I1116" s="154"/>
      <c r="J1116" s="155"/>
      <c r="K1116" s="156"/>
      <c r="L1116" s="157"/>
      <c r="M1116" s="158" t="s">
        <v>28</v>
      </c>
      <c r="N1116" s="159" t="s">
        <v>29</v>
      </c>
    </row>
    <row r="1117" spans="1:14">
      <c r="A1117" s="148"/>
      <c r="B1117" s="149"/>
      <c r="C1117" s="160"/>
      <c r="D1117" s="151"/>
      <c r="E1117" s="152"/>
      <c r="F1117" s="153"/>
      <c r="G1117" s="154"/>
      <c r="H1117" s="154"/>
      <c r="I1117" s="154"/>
      <c r="J1117" s="155"/>
      <c r="K1117" s="156"/>
      <c r="L1117" s="157"/>
      <c r="M1117" s="158" t="s">
        <v>28</v>
      </c>
      <c r="N1117" s="159" t="s">
        <v>29</v>
      </c>
    </row>
    <row r="1118" spans="1:14">
      <c r="A1118" s="148"/>
      <c r="B1118" s="149"/>
      <c r="C1118" s="160"/>
      <c r="D1118" s="151"/>
      <c r="E1118" s="152"/>
      <c r="F1118" s="153"/>
      <c r="G1118" s="154"/>
      <c r="H1118" s="154"/>
      <c r="I1118" s="154"/>
      <c r="J1118" s="155"/>
      <c r="K1118" s="156"/>
      <c r="L1118" s="157"/>
      <c r="M1118" s="158" t="s">
        <v>28</v>
      </c>
      <c r="N1118" s="159" t="s">
        <v>29</v>
      </c>
    </row>
    <row r="1119" spans="1:14">
      <c r="A1119" s="148"/>
      <c r="B1119" s="149"/>
      <c r="C1119" s="160"/>
      <c r="D1119" s="151"/>
      <c r="E1119" s="152"/>
      <c r="F1119" s="153"/>
      <c r="G1119" s="154"/>
      <c r="H1119" s="154"/>
      <c r="I1119" s="154"/>
      <c r="J1119" s="155"/>
      <c r="K1119" s="156"/>
      <c r="L1119" s="157"/>
      <c r="M1119" s="158" t="s">
        <v>28</v>
      </c>
      <c r="N1119" s="159" t="s">
        <v>29</v>
      </c>
    </row>
    <row r="1120" spans="1:14">
      <c r="A1120" s="148"/>
      <c r="B1120" s="149"/>
      <c r="C1120" s="160"/>
      <c r="D1120" s="151"/>
      <c r="E1120" s="152"/>
      <c r="F1120" s="153"/>
      <c r="G1120" s="154"/>
      <c r="H1120" s="154"/>
      <c r="I1120" s="154"/>
      <c r="J1120" s="155"/>
      <c r="K1120" s="156"/>
      <c r="L1120" s="157"/>
      <c r="M1120" s="158" t="s">
        <v>28</v>
      </c>
      <c r="N1120" s="159" t="s">
        <v>29</v>
      </c>
    </row>
    <row r="1121" spans="1:14">
      <c r="A1121" s="148"/>
      <c r="B1121" s="149"/>
      <c r="C1121" s="160"/>
      <c r="D1121" s="151"/>
      <c r="E1121" s="152"/>
      <c r="F1121" s="153"/>
      <c r="G1121" s="154"/>
      <c r="H1121" s="154"/>
      <c r="I1121" s="154"/>
      <c r="J1121" s="155"/>
      <c r="K1121" s="156"/>
      <c r="L1121" s="157"/>
      <c r="M1121" s="158" t="s">
        <v>28</v>
      </c>
      <c r="N1121" s="159" t="s">
        <v>29</v>
      </c>
    </row>
    <row r="1122" spans="1:14">
      <c r="A1122" s="148"/>
      <c r="B1122" s="149"/>
      <c r="C1122" s="160"/>
      <c r="D1122" s="151"/>
      <c r="E1122" s="152"/>
      <c r="F1122" s="153"/>
      <c r="G1122" s="154"/>
      <c r="H1122" s="154"/>
      <c r="I1122" s="154"/>
      <c r="J1122" s="155"/>
      <c r="K1122" s="156"/>
      <c r="L1122" s="157"/>
      <c r="M1122" s="158" t="s">
        <v>28</v>
      </c>
      <c r="N1122" s="159" t="s">
        <v>29</v>
      </c>
    </row>
    <row r="1123" spans="1:14">
      <c r="A1123" s="148"/>
      <c r="B1123" s="149"/>
      <c r="C1123" s="160"/>
      <c r="D1123" s="151"/>
      <c r="E1123" s="152"/>
      <c r="F1123" s="153"/>
      <c r="G1123" s="154"/>
      <c r="H1123" s="154"/>
      <c r="I1123" s="154"/>
      <c r="J1123" s="155"/>
      <c r="K1123" s="156"/>
      <c r="L1123" s="157"/>
      <c r="M1123" s="158" t="s">
        <v>28</v>
      </c>
      <c r="N1123" s="159" t="s">
        <v>29</v>
      </c>
    </row>
    <row r="1124" spans="1:14">
      <c r="A1124" s="148"/>
      <c r="B1124" s="149"/>
      <c r="C1124" s="160"/>
      <c r="D1124" s="151"/>
      <c r="E1124" s="152"/>
      <c r="F1124" s="153"/>
      <c r="G1124" s="154"/>
      <c r="H1124" s="154"/>
      <c r="I1124" s="154"/>
      <c r="J1124" s="155"/>
      <c r="K1124" s="156"/>
      <c r="L1124" s="157"/>
      <c r="M1124" s="158" t="s">
        <v>28</v>
      </c>
      <c r="N1124" s="159" t="s">
        <v>29</v>
      </c>
    </row>
    <row r="1125" spans="1:14">
      <c r="A1125" s="148"/>
      <c r="B1125" s="149"/>
      <c r="C1125" s="160"/>
      <c r="D1125" s="151"/>
      <c r="E1125" s="152"/>
      <c r="F1125" s="153"/>
      <c r="G1125" s="154"/>
      <c r="H1125" s="154"/>
      <c r="I1125" s="154"/>
      <c r="J1125" s="155"/>
      <c r="K1125" s="156"/>
      <c r="L1125" s="157"/>
      <c r="M1125" s="158" t="s">
        <v>28</v>
      </c>
      <c r="N1125" s="159" t="s">
        <v>29</v>
      </c>
    </row>
    <row r="1126" spans="1:14">
      <c r="A1126" s="148"/>
      <c r="B1126" s="149"/>
      <c r="C1126" s="160"/>
      <c r="D1126" s="151"/>
      <c r="E1126" s="152"/>
      <c r="F1126" s="153"/>
      <c r="G1126" s="154"/>
      <c r="H1126" s="154"/>
      <c r="I1126" s="154"/>
      <c r="J1126" s="155"/>
      <c r="K1126" s="156"/>
      <c r="L1126" s="157"/>
      <c r="M1126" s="158" t="s">
        <v>28</v>
      </c>
      <c r="N1126" s="159" t="s">
        <v>29</v>
      </c>
    </row>
    <row r="1127" spans="1:14">
      <c r="A1127" s="148"/>
      <c r="B1127" s="149"/>
      <c r="C1127" s="160"/>
      <c r="D1127" s="151"/>
      <c r="E1127" s="152"/>
      <c r="F1127" s="153"/>
      <c r="G1127" s="154"/>
      <c r="H1127" s="154"/>
      <c r="I1127" s="154"/>
      <c r="J1127" s="155"/>
      <c r="K1127" s="156"/>
      <c r="L1127" s="157"/>
      <c r="M1127" s="158" t="s">
        <v>28</v>
      </c>
      <c r="N1127" s="159" t="s">
        <v>29</v>
      </c>
    </row>
    <row r="1128" spans="1:14">
      <c r="A1128" s="148"/>
      <c r="B1128" s="149"/>
      <c r="C1128" s="160"/>
      <c r="D1128" s="151"/>
      <c r="E1128" s="152"/>
      <c r="F1128" s="153"/>
      <c r="G1128" s="154"/>
      <c r="H1128" s="154"/>
      <c r="I1128" s="154"/>
      <c r="J1128" s="155"/>
      <c r="K1128" s="156"/>
      <c r="L1128" s="157"/>
      <c r="M1128" s="158" t="s">
        <v>28</v>
      </c>
      <c r="N1128" s="159" t="s">
        <v>29</v>
      </c>
    </row>
    <row r="1129" spans="1:14">
      <c r="A1129" s="148"/>
      <c r="B1129" s="149"/>
      <c r="C1129" s="160"/>
      <c r="D1129" s="151"/>
      <c r="E1129" s="152"/>
      <c r="F1129" s="153"/>
      <c r="G1129" s="154"/>
      <c r="H1129" s="154"/>
      <c r="I1129" s="154"/>
      <c r="J1129" s="155"/>
      <c r="K1129" s="156"/>
      <c r="L1129" s="157"/>
      <c r="M1129" s="158" t="s">
        <v>28</v>
      </c>
      <c r="N1129" s="159" t="s">
        <v>29</v>
      </c>
    </row>
    <row r="1130" spans="1:14">
      <c r="A1130" s="148"/>
      <c r="B1130" s="149"/>
      <c r="C1130" s="160"/>
      <c r="D1130" s="151"/>
      <c r="E1130" s="152"/>
      <c r="F1130" s="153"/>
      <c r="G1130" s="154"/>
      <c r="H1130" s="154"/>
      <c r="I1130" s="154"/>
      <c r="J1130" s="155"/>
      <c r="K1130" s="156"/>
      <c r="L1130" s="157"/>
      <c r="M1130" s="158" t="s">
        <v>28</v>
      </c>
      <c r="N1130" s="159" t="s">
        <v>29</v>
      </c>
    </row>
    <row r="1131" spans="1:14">
      <c r="A1131" s="148"/>
      <c r="B1131" s="149"/>
      <c r="C1131" s="160"/>
      <c r="D1131" s="151"/>
      <c r="E1131" s="152"/>
      <c r="F1131" s="153"/>
      <c r="G1131" s="154"/>
      <c r="H1131" s="154"/>
      <c r="I1131" s="154"/>
      <c r="J1131" s="155"/>
      <c r="K1131" s="156"/>
      <c r="L1131" s="157"/>
      <c r="M1131" s="158" t="s">
        <v>28</v>
      </c>
      <c r="N1131" s="159" t="s">
        <v>29</v>
      </c>
    </row>
    <row r="1132" spans="1:14">
      <c r="A1132" s="148"/>
      <c r="B1132" s="149"/>
      <c r="C1132" s="160"/>
      <c r="D1132" s="151"/>
      <c r="E1132" s="152"/>
      <c r="F1132" s="153"/>
      <c r="G1132" s="154"/>
      <c r="H1132" s="154"/>
      <c r="I1132" s="154"/>
      <c r="J1132" s="155"/>
      <c r="K1132" s="156"/>
      <c r="L1132" s="157"/>
      <c r="M1132" s="158" t="s">
        <v>28</v>
      </c>
      <c r="N1132" s="159" t="s">
        <v>29</v>
      </c>
    </row>
    <row r="1133" spans="1:14">
      <c r="A1133" s="148"/>
      <c r="B1133" s="149"/>
      <c r="C1133" s="160"/>
      <c r="D1133" s="151"/>
      <c r="E1133" s="152"/>
      <c r="F1133" s="153"/>
      <c r="G1133" s="154"/>
      <c r="H1133" s="154"/>
      <c r="I1133" s="154"/>
      <c r="J1133" s="155"/>
      <c r="K1133" s="156"/>
      <c r="L1133" s="157"/>
      <c r="M1133" s="158" t="s">
        <v>28</v>
      </c>
      <c r="N1133" s="159" t="s">
        <v>29</v>
      </c>
    </row>
    <row r="1134" spans="1:14">
      <c r="A1134" s="148"/>
      <c r="B1134" s="149"/>
      <c r="C1134" s="160"/>
      <c r="D1134" s="151"/>
      <c r="E1134" s="152"/>
      <c r="F1134" s="153"/>
      <c r="G1134" s="154"/>
      <c r="H1134" s="154"/>
      <c r="I1134" s="154"/>
      <c r="J1134" s="155"/>
      <c r="K1134" s="156"/>
      <c r="L1134" s="157"/>
      <c r="M1134" s="158" t="s">
        <v>28</v>
      </c>
      <c r="N1134" s="159" t="s">
        <v>29</v>
      </c>
    </row>
    <row r="1135" spans="1:14">
      <c r="A1135" s="148"/>
      <c r="B1135" s="149"/>
      <c r="C1135" s="160"/>
      <c r="D1135" s="151"/>
      <c r="E1135" s="152"/>
      <c r="F1135" s="153"/>
      <c r="G1135" s="154"/>
      <c r="H1135" s="154"/>
      <c r="I1135" s="154"/>
      <c r="J1135" s="155"/>
      <c r="K1135" s="156"/>
      <c r="L1135" s="157"/>
      <c r="M1135" s="158" t="s">
        <v>28</v>
      </c>
      <c r="N1135" s="159" t="s">
        <v>29</v>
      </c>
    </row>
    <row r="1136" spans="1:14">
      <c r="A1136" s="148"/>
      <c r="B1136" s="149"/>
      <c r="C1136" s="160"/>
      <c r="D1136" s="151"/>
      <c r="E1136" s="152"/>
      <c r="F1136" s="153"/>
      <c r="G1136" s="154"/>
      <c r="H1136" s="154"/>
      <c r="I1136" s="154"/>
      <c r="J1136" s="155"/>
      <c r="K1136" s="156"/>
      <c r="L1136" s="157"/>
      <c r="M1136" s="158" t="s">
        <v>28</v>
      </c>
      <c r="N1136" s="159" t="s">
        <v>29</v>
      </c>
    </row>
    <row r="1137" spans="1:14">
      <c r="A1137" s="148"/>
      <c r="B1137" s="149"/>
      <c r="C1137" s="160"/>
      <c r="D1137" s="151"/>
      <c r="E1137" s="152"/>
      <c r="F1137" s="153"/>
      <c r="G1137" s="154"/>
      <c r="H1137" s="154"/>
      <c r="I1137" s="154"/>
      <c r="J1137" s="155"/>
      <c r="K1137" s="156"/>
      <c r="L1137" s="157"/>
      <c r="M1137" s="158" t="s">
        <v>28</v>
      </c>
      <c r="N1137" s="159" t="s">
        <v>29</v>
      </c>
    </row>
    <row r="1138" spans="1:14">
      <c r="A1138" s="148"/>
      <c r="B1138" s="149"/>
      <c r="C1138" s="160"/>
      <c r="D1138" s="151"/>
      <c r="E1138" s="152"/>
      <c r="F1138" s="153"/>
      <c r="G1138" s="154"/>
      <c r="H1138" s="154"/>
      <c r="I1138" s="154"/>
      <c r="J1138" s="155"/>
      <c r="K1138" s="156"/>
      <c r="L1138" s="157"/>
      <c r="M1138" s="158" t="s">
        <v>28</v>
      </c>
      <c r="N1138" s="159" t="s">
        <v>29</v>
      </c>
    </row>
    <row r="1139" spans="1:14">
      <c r="A1139" s="148"/>
      <c r="B1139" s="149"/>
      <c r="C1139" s="160"/>
      <c r="D1139" s="151"/>
      <c r="E1139" s="152"/>
      <c r="F1139" s="153"/>
      <c r="G1139" s="154"/>
      <c r="H1139" s="154"/>
      <c r="I1139" s="154"/>
      <c r="J1139" s="155"/>
      <c r="K1139" s="156"/>
      <c r="L1139" s="157"/>
      <c r="M1139" s="158" t="s">
        <v>28</v>
      </c>
      <c r="N1139" s="159" t="s">
        <v>29</v>
      </c>
    </row>
    <row r="1140" spans="1:14">
      <c r="A1140" s="148"/>
      <c r="B1140" s="149"/>
      <c r="C1140" s="160"/>
      <c r="D1140" s="151"/>
      <c r="E1140" s="152"/>
      <c r="F1140" s="153"/>
      <c r="G1140" s="154"/>
      <c r="H1140" s="154"/>
      <c r="I1140" s="154"/>
      <c r="J1140" s="155"/>
      <c r="K1140" s="156"/>
      <c r="L1140" s="157"/>
      <c r="M1140" s="158" t="s">
        <v>28</v>
      </c>
      <c r="N1140" s="159" t="s">
        <v>29</v>
      </c>
    </row>
    <row r="1141" spans="1:14">
      <c r="A1141" s="148"/>
      <c r="B1141" s="149"/>
      <c r="C1141" s="160"/>
      <c r="D1141" s="151"/>
      <c r="E1141" s="152"/>
      <c r="F1141" s="153"/>
      <c r="G1141" s="154"/>
      <c r="H1141" s="154"/>
      <c r="I1141" s="154"/>
      <c r="J1141" s="155"/>
      <c r="K1141" s="156"/>
      <c r="L1141" s="157"/>
      <c r="M1141" s="158" t="s">
        <v>28</v>
      </c>
      <c r="N1141" s="159" t="s">
        <v>29</v>
      </c>
    </row>
    <row r="1142" spans="1:14">
      <c r="A1142" s="148"/>
      <c r="B1142" s="149"/>
      <c r="C1142" s="160"/>
      <c r="D1142" s="151"/>
      <c r="E1142" s="152"/>
      <c r="F1142" s="153"/>
      <c r="G1142" s="154"/>
      <c r="H1142" s="154"/>
      <c r="I1142" s="154"/>
      <c r="J1142" s="155"/>
      <c r="K1142" s="156"/>
      <c r="L1142" s="157"/>
      <c r="M1142" s="158" t="s">
        <v>28</v>
      </c>
      <c r="N1142" s="159" t="s">
        <v>29</v>
      </c>
    </row>
    <row r="1143" spans="1:14">
      <c r="A1143" s="148"/>
      <c r="B1143" s="149"/>
      <c r="C1143" s="160"/>
      <c r="D1143" s="151"/>
      <c r="E1143" s="152"/>
      <c r="F1143" s="153"/>
      <c r="G1143" s="154"/>
      <c r="H1143" s="154"/>
      <c r="I1143" s="154"/>
      <c r="J1143" s="155"/>
      <c r="K1143" s="156"/>
      <c r="L1143" s="157"/>
      <c r="M1143" s="158" t="s">
        <v>28</v>
      </c>
      <c r="N1143" s="159" t="s">
        <v>29</v>
      </c>
    </row>
    <row r="1144" spans="1:14">
      <c r="A1144" s="148"/>
      <c r="B1144" s="149"/>
      <c r="C1144" s="160"/>
      <c r="D1144" s="151"/>
      <c r="E1144" s="152"/>
      <c r="F1144" s="153"/>
      <c r="G1144" s="154"/>
      <c r="H1144" s="154"/>
      <c r="I1144" s="154"/>
      <c r="J1144" s="155"/>
      <c r="K1144" s="156"/>
      <c r="L1144" s="157"/>
      <c r="M1144" s="158" t="s">
        <v>28</v>
      </c>
      <c r="N1144" s="159" t="s">
        <v>29</v>
      </c>
    </row>
    <row r="1145" spans="1:14">
      <c r="A1145" s="148"/>
      <c r="B1145" s="149"/>
      <c r="C1145" s="160"/>
      <c r="D1145" s="151"/>
      <c r="E1145" s="152"/>
      <c r="F1145" s="153"/>
      <c r="G1145" s="154"/>
      <c r="H1145" s="154"/>
      <c r="I1145" s="154"/>
      <c r="J1145" s="155"/>
      <c r="K1145" s="156"/>
      <c r="L1145" s="157"/>
      <c r="M1145" s="158" t="s">
        <v>28</v>
      </c>
      <c r="N1145" s="159" t="s">
        <v>29</v>
      </c>
    </row>
    <row r="1146" spans="1:14">
      <c r="A1146" s="148"/>
      <c r="B1146" s="149"/>
      <c r="C1146" s="160"/>
      <c r="D1146" s="151"/>
      <c r="E1146" s="152"/>
      <c r="F1146" s="153"/>
      <c r="G1146" s="154"/>
      <c r="H1146" s="154"/>
      <c r="I1146" s="154"/>
      <c r="J1146" s="155"/>
      <c r="K1146" s="156"/>
      <c r="L1146" s="157"/>
      <c r="M1146" s="158" t="s">
        <v>28</v>
      </c>
      <c r="N1146" s="159" t="s">
        <v>29</v>
      </c>
    </row>
    <row r="1147" spans="1:14">
      <c r="A1147" s="148"/>
      <c r="B1147" s="149"/>
      <c r="C1147" s="160"/>
      <c r="D1147" s="151"/>
      <c r="E1147" s="152"/>
      <c r="F1147" s="153"/>
      <c r="G1147" s="154"/>
      <c r="H1147" s="154"/>
      <c r="I1147" s="154"/>
      <c r="J1147" s="155"/>
      <c r="K1147" s="156"/>
      <c r="L1147" s="157"/>
      <c r="M1147" s="158" t="s">
        <v>28</v>
      </c>
      <c r="N1147" s="159" t="s">
        <v>29</v>
      </c>
    </row>
    <row r="1148" spans="1:14">
      <c r="A1148" s="148"/>
      <c r="B1148" s="149"/>
      <c r="C1148" s="160"/>
      <c r="D1148" s="151"/>
      <c r="E1148" s="152"/>
      <c r="F1148" s="153"/>
      <c r="G1148" s="154"/>
      <c r="H1148" s="154"/>
      <c r="I1148" s="154"/>
      <c r="J1148" s="155"/>
      <c r="K1148" s="156"/>
      <c r="L1148" s="157"/>
      <c r="M1148" s="158" t="s">
        <v>28</v>
      </c>
      <c r="N1148" s="159" t="s">
        <v>29</v>
      </c>
    </row>
    <row r="1149" spans="1:14">
      <c r="A1149" s="148"/>
      <c r="B1149" s="149"/>
      <c r="C1149" s="160"/>
      <c r="D1149" s="151"/>
      <c r="E1149" s="152"/>
      <c r="F1149" s="153"/>
      <c r="G1149" s="154"/>
      <c r="H1149" s="154"/>
      <c r="I1149" s="154"/>
      <c r="J1149" s="155"/>
      <c r="K1149" s="156"/>
      <c r="L1149" s="157"/>
      <c r="M1149" s="158" t="s">
        <v>28</v>
      </c>
      <c r="N1149" s="159" t="s">
        <v>29</v>
      </c>
    </row>
    <row r="1150" spans="1:14">
      <c r="A1150" s="148"/>
      <c r="B1150" s="149"/>
      <c r="C1150" s="160"/>
      <c r="D1150" s="151"/>
      <c r="E1150" s="152"/>
      <c r="F1150" s="153"/>
      <c r="G1150" s="154"/>
      <c r="H1150" s="154"/>
      <c r="I1150" s="154"/>
      <c r="J1150" s="155"/>
      <c r="K1150" s="156"/>
      <c r="L1150" s="157"/>
      <c r="M1150" s="158" t="s">
        <v>28</v>
      </c>
      <c r="N1150" s="159" t="s">
        <v>29</v>
      </c>
    </row>
    <row r="1151" spans="1:14">
      <c r="A1151" s="148"/>
      <c r="B1151" s="149"/>
      <c r="C1151" s="160"/>
      <c r="D1151" s="151"/>
      <c r="E1151" s="152"/>
      <c r="F1151" s="153"/>
      <c r="G1151" s="154"/>
      <c r="H1151" s="154"/>
      <c r="I1151" s="154"/>
      <c r="J1151" s="155"/>
      <c r="K1151" s="156"/>
      <c r="L1151" s="157"/>
      <c r="M1151" s="158" t="s">
        <v>28</v>
      </c>
      <c r="N1151" s="159" t="s">
        <v>29</v>
      </c>
    </row>
    <row r="1152" spans="1:14">
      <c r="A1152" s="148"/>
      <c r="B1152" s="149"/>
      <c r="C1152" s="160"/>
      <c r="D1152" s="151"/>
      <c r="E1152" s="152"/>
      <c r="F1152" s="153"/>
      <c r="G1152" s="154"/>
      <c r="H1152" s="154"/>
      <c r="I1152" s="154"/>
      <c r="J1152" s="155"/>
      <c r="K1152" s="156"/>
      <c r="L1152" s="157"/>
      <c r="M1152" s="158" t="s">
        <v>28</v>
      </c>
      <c r="N1152" s="159" t="s">
        <v>29</v>
      </c>
    </row>
    <row r="1153" spans="1:14">
      <c r="A1153" s="148"/>
      <c r="B1153" s="149"/>
      <c r="C1153" s="160"/>
      <c r="D1153" s="151"/>
      <c r="E1153" s="152"/>
      <c r="F1153" s="153"/>
      <c r="G1153" s="154"/>
      <c r="H1153" s="154"/>
      <c r="I1153" s="154"/>
      <c r="J1153" s="155"/>
      <c r="K1153" s="156"/>
      <c r="L1153" s="157"/>
      <c r="M1153" s="158" t="s">
        <v>28</v>
      </c>
      <c r="N1153" s="159" t="s">
        <v>29</v>
      </c>
    </row>
    <row r="1154" spans="1:14">
      <c r="A1154" s="148"/>
      <c r="B1154" s="149"/>
      <c r="C1154" s="160"/>
      <c r="D1154" s="151"/>
      <c r="E1154" s="152"/>
      <c r="F1154" s="153"/>
      <c r="G1154" s="154"/>
      <c r="H1154" s="154"/>
      <c r="I1154" s="154"/>
      <c r="J1154" s="155"/>
      <c r="K1154" s="156"/>
      <c r="L1154" s="157"/>
      <c r="M1154" s="158" t="s">
        <v>28</v>
      </c>
      <c r="N1154" s="159" t="s">
        <v>29</v>
      </c>
    </row>
    <row r="1155" spans="1:14">
      <c r="A1155" s="148"/>
      <c r="B1155" s="149"/>
      <c r="C1155" s="160"/>
      <c r="D1155" s="151"/>
      <c r="E1155" s="152"/>
      <c r="F1155" s="153"/>
      <c r="G1155" s="154"/>
      <c r="H1155" s="154"/>
      <c r="I1155" s="154"/>
      <c r="J1155" s="155"/>
      <c r="K1155" s="156"/>
      <c r="L1155" s="157"/>
      <c r="M1155" s="158" t="s">
        <v>28</v>
      </c>
      <c r="N1155" s="159" t="s">
        <v>29</v>
      </c>
    </row>
    <row r="1156" spans="1:14">
      <c r="A1156" s="148"/>
      <c r="B1156" s="149"/>
      <c r="C1156" s="160"/>
      <c r="D1156" s="151"/>
      <c r="E1156" s="152"/>
      <c r="F1156" s="153"/>
      <c r="G1156" s="154"/>
      <c r="H1156" s="154"/>
      <c r="I1156" s="154"/>
      <c r="J1156" s="155"/>
      <c r="K1156" s="156"/>
      <c r="L1156" s="157"/>
      <c r="M1156" s="158" t="s">
        <v>28</v>
      </c>
      <c r="N1156" s="159" t="s">
        <v>29</v>
      </c>
    </row>
    <row r="1157" spans="1:14">
      <c r="A1157" s="148"/>
      <c r="B1157" s="149"/>
      <c r="C1157" s="160"/>
      <c r="D1157" s="151"/>
      <c r="E1157" s="152"/>
      <c r="F1157" s="153"/>
      <c r="G1157" s="154"/>
      <c r="H1157" s="154"/>
      <c r="I1157" s="154"/>
      <c r="J1157" s="155"/>
      <c r="K1157" s="156"/>
      <c r="L1157" s="157"/>
      <c r="M1157" s="158" t="s">
        <v>28</v>
      </c>
      <c r="N1157" s="159" t="s">
        <v>29</v>
      </c>
    </row>
    <row r="1158" spans="1:14">
      <c r="A1158" s="148"/>
      <c r="B1158" s="149"/>
      <c r="C1158" s="160"/>
      <c r="D1158" s="151"/>
      <c r="E1158" s="152"/>
      <c r="F1158" s="153"/>
      <c r="G1158" s="154"/>
      <c r="H1158" s="154"/>
      <c r="I1158" s="154"/>
      <c r="J1158" s="155"/>
      <c r="K1158" s="156"/>
      <c r="L1158" s="157"/>
      <c r="M1158" s="158" t="s">
        <v>28</v>
      </c>
      <c r="N1158" s="159" t="s">
        <v>29</v>
      </c>
    </row>
    <row r="1159" spans="1:14">
      <c r="A1159" s="148"/>
      <c r="B1159" s="149"/>
      <c r="C1159" s="160"/>
      <c r="D1159" s="151"/>
      <c r="E1159" s="152"/>
      <c r="F1159" s="153"/>
      <c r="G1159" s="154"/>
      <c r="H1159" s="154"/>
      <c r="I1159" s="154"/>
      <c r="J1159" s="155"/>
      <c r="K1159" s="156"/>
      <c r="L1159" s="157"/>
      <c r="M1159" s="158" t="s">
        <v>28</v>
      </c>
      <c r="N1159" s="159" t="s">
        <v>29</v>
      </c>
    </row>
    <row r="1160" spans="1:14">
      <c r="A1160" s="148"/>
      <c r="B1160" s="149"/>
      <c r="C1160" s="160"/>
      <c r="D1160" s="151"/>
      <c r="E1160" s="152"/>
      <c r="F1160" s="153"/>
      <c r="G1160" s="154"/>
      <c r="H1160" s="154"/>
      <c r="I1160" s="154"/>
      <c r="J1160" s="155"/>
      <c r="K1160" s="156"/>
      <c r="L1160" s="157"/>
      <c r="M1160" s="158" t="s">
        <v>28</v>
      </c>
      <c r="N1160" s="159" t="s">
        <v>29</v>
      </c>
    </row>
    <row r="1161" spans="1:14">
      <c r="A1161" s="148"/>
      <c r="B1161" s="149"/>
      <c r="C1161" s="160"/>
      <c r="D1161" s="151"/>
      <c r="E1161" s="152"/>
      <c r="F1161" s="153"/>
      <c r="G1161" s="154"/>
      <c r="H1161" s="154"/>
      <c r="I1161" s="154"/>
      <c r="J1161" s="155"/>
      <c r="K1161" s="156"/>
      <c r="L1161" s="157"/>
      <c r="M1161" s="158" t="s">
        <v>28</v>
      </c>
      <c r="N1161" s="159" t="s">
        <v>29</v>
      </c>
    </row>
    <row r="1162" spans="1:14">
      <c r="A1162" s="148"/>
      <c r="B1162" s="149"/>
      <c r="C1162" s="160"/>
      <c r="D1162" s="151"/>
      <c r="E1162" s="152"/>
      <c r="F1162" s="153"/>
      <c r="G1162" s="154"/>
      <c r="H1162" s="154"/>
      <c r="I1162" s="154"/>
      <c r="J1162" s="155"/>
      <c r="K1162" s="156"/>
      <c r="L1162" s="157"/>
      <c r="M1162" s="158" t="s">
        <v>28</v>
      </c>
      <c r="N1162" s="159" t="s">
        <v>29</v>
      </c>
    </row>
    <row r="1163" spans="1:14">
      <c r="A1163" s="148"/>
      <c r="B1163" s="149"/>
      <c r="C1163" s="160"/>
      <c r="D1163" s="151"/>
      <c r="E1163" s="152"/>
      <c r="F1163" s="153"/>
      <c r="G1163" s="154"/>
      <c r="H1163" s="154"/>
      <c r="I1163" s="154"/>
      <c r="J1163" s="155"/>
      <c r="K1163" s="156"/>
      <c r="L1163" s="157"/>
      <c r="M1163" s="158" t="s">
        <v>28</v>
      </c>
      <c r="N1163" s="159" t="s">
        <v>29</v>
      </c>
    </row>
    <row r="1164" spans="1:14">
      <c r="A1164" s="148"/>
      <c r="B1164" s="149"/>
      <c r="C1164" s="160"/>
      <c r="D1164" s="151"/>
      <c r="E1164" s="152"/>
      <c r="F1164" s="153"/>
      <c r="G1164" s="154"/>
      <c r="H1164" s="154"/>
      <c r="I1164" s="154"/>
      <c r="J1164" s="155"/>
      <c r="K1164" s="156"/>
      <c r="L1164" s="157"/>
      <c r="M1164" s="158" t="s">
        <v>28</v>
      </c>
      <c r="N1164" s="159" t="s">
        <v>29</v>
      </c>
    </row>
    <row r="1165" spans="1:14">
      <c r="A1165" s="148"/>
      <c r="B1165" s="149"/>
      <c r="C1165" s="160"/>
      <c r="D1165" s="151"/>
      <c r="E1165" s="152"/>
      <c r="F1165" s="153"/>
      <c r="G1165" s="154"/>
      <c r="H1165" s="154"/>
      <c r="I1165" s="154"/>
      <c r="J1165" s="155"/>
      <c r="K1165" s="156"/>
      <c r="L1165" s="157"/>
      <c r="M1165" s="158" t="s">
        <v>28</v>
      </c>
      <c r="N1165" s="159" t="s">
        <v>29</v>
      </c>
    </row>
    <row r="1166" spans="1:14">
      <c r="A1166" s="148"/>
      <c r="B1166" s="149"/>
      <c r="C1166" s="160"/>
      <c r="D1166" s="151"/>
      <c r="E1166" s="152"/>
      <c r="F1166" s="153"/>
      <c r="G1166" s="154"/>
      <c r="H1166" s="154"/>
      <c r="I1166" s="154"/>
      <c r="J1166" s="155"/>
      <c r="K1166" s="156"/>
      <c r="L1166" s="157"/>
      <c r="M1166" s="158" t="s">
        <v>28</v>
      </c>
      <c r="N1166" s="159" t="s">
        <v>29</v>
      </c>
    </row>
    <row r="1167" spans="1:14">
      <c r="A1167" s="148"/>
      <c r="B1167" s="149"/>
      <c r="C1167" s="160"/>
      <c r="D1167" s="151"/>
      <c r="E1167" s="152"/>
      <c r="F1167" s="153"/>
      <c r="G1167" s="154"/>
      <c r="H1167" s="154"/>
      <c r="I1167" s="154"/>
      <c r="J1167" s="155"/>
      <c r="K1167" s="156"/>
      <c r="L1167" s="157"/>
      <c r="M1167" s="158" t="s">
        <v>28</v>
      </c>
      <c r="N1167" s="159" t="s">
        <v>29</v>
      </c>
    </row>
    <row r="1168" spans="1:14">
      <c r="A1168" s="148"/>
      <c r="B1168" s="149"/>
      <c r="C1168" s="160"/>
      <c r="D1168" s="151"/>
      <c r="E1168" s="152"/>
      <c r="F1168" s="153"/>
      <c r="G1168" s="154"/>
      <c r="H1168" s="154"/>
      <c r="I1168" s="154"/>
      <c r="J1168" s="155"/>
      <c r="K1168" s="156"/>
      <c r="L1168" s="157"/>
      <c r="M1168" s="158" t="s">
        <v>28</v>
      </c>
      <c r="N1168" s="159" t="s">
        <v>29</v>
      </c>
    </row>
    <row r="1169" spans="1:14">
      <c r="A1169" s="148"/>
      <c r="B1169" s="149"/>
      <c r="C1169" s="160"/>
      <c r="D1169" s="151"/>
      <c r="E1169" s="152"/>
      <c r="F1169" s="153"/>
      <c r="G1169" s="154"/>
      <c r="H1169" s="154"/>
      <c r="I1169" s="154"/>
      <c r="J1169" s="155"/>
      <c r="K1169" s="156"/>
      <c r="L1169" s="157"/>
      <c r="M1169" s="158" t="s">
        <v>28</v>
      </c>
      <c r="N1169" s="159" t="s">
        <v>29</v>
      </c>
    </row>
    <row r="1170" spans="1:14">
      <c r="A1170" s="148"/>
      <c r="B1170" s="149"/>
      <c r="C1170" s="160"/>
      <c r="D1170" s="151"/>
      <c r="E1170" s="152"/>
      <c r="F1170" s="153"/>
      <c r="G1170" s="154"/>
      <c r="H1170" s="154"/>
      <c r="I1170" s="154"/>
      <c r="J1170" s="155"/>
      <c r="K1170" s="156"/>
      <c r="L1170" s="157"/>
      <c r="M1170" s="158" t="s">
        <v>28</v>
      </c>
      <c r="N1170" s="159" t="s">
        <v>29</v>
      </c>
    </row>
    <row r="1171" spans="1:14">
      <c r="A1171" s="148"/>
      <c r="B1171" s="149"/>
      <c r="C1171" s="160"/>
      <c r="D1171" s="151"/>
      <c r="E1171" s="152"/>
      <c r="F1171" s="153"/>
      <c r="G1171" s="154"/>
      <c r="H1171" s="154"/>
      <c r="I1171" s="154"/>
      <c r="J1171" s="155"/>
      <c r="K1171" s="156"/>
      <c r="L1171" s="157"/>
      <c r="M1171" s="158" t="s">
        <v>28</v>
      </c>
      <c r="N1171" s="159" t="s">
        <v>29</v>
      </c>
    </row>
    <row r="1172" spans="1:14">
      <c r="A1172" s="148"/>
      <c r="B1172" s="149"/>
      <c r="C1172" s="160"/>
      <c r="D1172" s="151"/>
      <c r="E1172" s="152"/>
      <c r="F1172" s="153"/>
      <c r="G1172" s="154"/>
      <c r="H1172" s="154"/>
      <c r="I1172" s="154"/>
      <c r="J1172" s="155"/>
      <c r="K1172" s="156"/>
      <c r="L1172" s="157"/>
      <c r="M1172" s="158" t="s">
        <v>28</v>
      </c>
      <c r="N1172" s="159" t="s">
        <v>29</v>
      </c>
    </row>
    <row r="1173" spans="1:14">
      <c r="A1173" s="148"/>
      <c r="B1173" s="149"/>
      <c r="C1173" s="160"/>
      <c r="D1173" s="151"/>
      <c r="E1173" s="152"/>
      <c r="F1173" s="153"/>
      <c r="G1173" s="154"/>
      <c r="H1173" s="154"/>
      <c r="I1173" s="154"/>
      <c r="J1173" s="155"/>
      <c r="K1173" s="156"/>
      <c r="L1173" s="157"/>
      <c r="M1173" s="158" t="s">
        <v>28</v>
      </c>
      <c r="N1173" s="159" t="s">
        <v>29</v>
      </c>
    </row>
    <row r="1174" spans="1:14">
      <c r="A1174" s="148"/>
      <c r="B1174" s="149"/>
      <c r="C1174" s="160"/>
      <c r="D1174" s="151"/>
      <c r="E1174" s="152"/>
      <c r="F1174" s="153"/>
      <c r="G1174" s="154"/>
      <c r="H1174" s="154"/>
      <c r="I1174" s="154"/>
      <c r="J1174" s="155"/>
      <c r="K1174" s="156"/>
      <c r="L1174" s="157"/>
      <c r="M1174" s="158" t="s">
        <v>28</v>
      </c>
      <c r="N1174" s="159" t="s">
        <v>29</v>
      </c>
    </row>
    <row r="1175" spans="1:14">
      <c r="A1175" s="148"/>
      <c r="B1175" s="149"/>
      <c r="C1175" s="160"/>
      <c r="D1175" s="151"/>
      <c r="E1175" s="152"/>
      <c r="F1175" s="153"/>
      <c r="G1175" s="154"/>
      <c r="H1175" s="154"/>
      <c r="I1175" s="154"/>
      <c r="J1175" s="155"/>
      <c r="K1175" s="156"/>
      <c r="L1175" s="157"/>
      <c r="M1175" s="158" t="s">
        <v>28</v>
      </c>
      <c r="N1175" s="159" t="s">
        <v>29</v>
      </c>
    </row>
    <row r="1176" spans="1:14">
      <c r="A1176" s="148"/>
      <c r="B1176" s="149"/>
      <c r="C1176" s="160"/>
      <c r="D1176" s="151"/>
      <c r="E1176" s="152"/>
      <c r="F1176" s="153"/>
      <c r="G1176" s="154"/>
      <c r="H1176" s="154"/>
      <c r="I1176" s="154"/>
      <c r="J1176" s="155"/>
      <c r="K1176" s="156"/>
      <c r="L1176" s="157"/>
      <c r="M1176" s="158" t="s">
        <v>28</v>
      </c>
      <c r="N1176" s="159" t="s">
        <v>29</v>
      </c>
    </row>
    <row r="1177" spans="1:14">
      <c r="A1177" s="148"/>
      <c r="B1177" s="149"/>
      <c r="C1177" s="160"/>
      <c r="D1177" s="151"/>
      <c r="E1177" s="152"/>
      <c r="F1177" s="153"/>
      <c r="G1177" s="154"/>
      <c r="H1177" s="154"/>
      <c r="I1177" s="154"/>
      <c r="J1177" s="155"/>
      <c r="K1177" s="156"/>
      <c r="L1177" s="157"/>
      <c r="M1177" s="158" t="s">
        <v>28</v>
      </c>
      <c r="N1177" s="159" t="s">
        <v>29</v>
      </c>
    </row>
    <row r="1178" spans="1:14">
      <c r="A1178" s="148"/>
      <c r="B1178" s="149"/>
      <c r="C1178" s="160"/>
      <c r="D1178" s="151"/>
      <c r="E1178" s="152"/>
      <c r="F1178" s="153"/>
      <c r="G1178" s="154"/>
      <c r="H1178" s="154"/>
      <c r="I1178" s="154"/>
      <c r="J1178" s="155"/>
      <c r="K1178" s="156"/>
      <c r="L1178" s="157"/>
      <c r="M1178" s="158" t="s">
        <v>28</v>
      </c>
      <c r="N1178" s="159" t="s">
        <v>29</v>
      </c>
    </row>
    <row r="1179" spans="1:14">
      <c r="A1179" s="148"/>
      <c r="B1179" s="149"/>
      <c r="C1179" s="160"/>
      <c r="D1179" s="151"/>
      <c r="E1179" s="152"/>
      <c r="F1179" s="153"/>
      <c r="G1179" s="154"/>
      <c r="H1179" s="154"/>
      <c r="I1179" s="154"/>
      <c r="J1179" s="155"/>
      <c r="K1179" s="156"/>
      <c r="L1179" s="157"/>
      <c r="M1179" s="158" t="s">
        <v>28</v>
      </c>
      <c r="N1179" s="159" t="s">
        <v>29</v>
      </c>
    </row>
    <row r="1180" spans="1:14">
      <c r="A1180" s="148"/>
      <c r="B1180" s="149"/>
      <c r="C1180" s="160"/>
      <c r="D1180" s="151"/>
      <c r="E1180" s="152"/>
      <c r="F1180" s="153"/>
      <c r="G1180" s="154"/>
      <c r="H1180" s="154"/>
      <c r="I1180" s="154"/>
      <c r="J1180" s="155"/>
      <c r="K1180" s="156"/>
      <c r="L1180" s="157"/>
      <c r="M1180" s="158" t="s">
        <v>28</v>
      </c>
      <c r="N1180" s="159" t="s">
        <v>29</v>
      </c>
    </row>
    <row r="1181" spans="1:14">
      <c r="A1181" s="148"/>
      <c r="B1181" s="149"/>
      <c r="C1181" s="160"/>
      <c r="D1181" s="151"/>
      <c r="E1181" s="152"/>
      <c r="F1181" s="153"/>
      <c r="G1181" s="154"/>
      <c r="H1181" s="154"/>
      <c r="I1181" s="154"/>
      <c r="J1181" s="155"/>
      <c r="K1181" s="156"/>
      <c r="L1181" s="157"/>
      <c r="M1181" s="158" t="s">
        <v>28</v>
      </c>
      <c r="N1181" s="159" t="s">
        <v>29</v>
      </c>
    </row>
    <row r="1182" spans="1:14">
      <c r="A1182" s="148"/>
      <c r="B1182" s="149"/>
      <c r="C1182" s="160"/>
      <c r="D1182" s="151"/>
      <c r="E1182" s="152"/>
      <c r="F1182" s="153"/>
      <c r="G1182" s="154"/>
      <c r="H1182" s="154"/>
      <c r="I1182" s="154"/>
      <c r="J1182" s="155"/>
      <c r="K1182" s="156"/>
      <c r="L1182" s="157"/>
      <c r="M1182" s="158" t="s">
        <v>28</v>
      </c>
      <c r="N1182" s="159" t="s">
        <v>29</v>
      </c>
    </row>
    <row r="1183" spans="1:14">
      <c r="A1183" s="148"/>
      <c r="B1183" s="149"/>
      <c r="C1183" s="160"/>
      <c r="D1183" s="151"/>
      <c r="E1183" s="152"/>
      <c r="F1183" s="153"/>
      <c r="G1183" s="154"/>
      <c r="H1183" s="154"/>
      <c r="I1183" s="154"/>
      <c r="J1183" s="155"/>
      <c r="K1183" s="156"/>
      <c r="L1183" s="157"/>
      <c r="M1183" s="158" t="s">
        <v>28</v>
      </c>
      <c r="N1183" s="159" t="s">
        <v>29</v>
      </c>
    </row>
    <row r="1184" spans="1:14">
      <c r="A1184" s="148"/>
      <c r="B1184" s="149"/>
      <c r="C1184" s="150"/>
      <c r="D1184" s="151"/>
      <c r="E1184" s="152"/>
      <c r="F1184" s="153"/>
      <c r="G1184" s="154"/>
      <c r="H1184" s="154"/>
      <c r="I1184" s="154"/>
      <c r="J1184" s="155"/>
      <c r="K1184" s="162"/>
      <c r="L1184" s="157"/>
      <c r="M1184" s="158" t="s">
        <v>28</v>
      </c>
      <c r="N1184" s="159" t="s">
        <v>29</v>
      </c>
    </row>
    <row r="1185" spans="1:14">
      <c r="A1185" s="148"/>
      <c r="B1185" s="149"/>
      <c r="C1185" s="150"/>
      <c r="D1185" s="151"/>
      <c r="E1185" s="152"/>
      <c r="F1185" s="153"/>
      <c r="G1185" s="154"/>
      <c r="H1185" s="154"/>
      <c r="I1185" s="154"/>
      <c r="J1185" s="155"/>
      <c r="K1185" s="156"/>
      <c r="L1185" s="157"/>
      <c r="M1185" s="158" t="s">
        <v>28</v>
      </c>
      <c r="N1185" s="159" t="s">
        <v>29</v>
      </c>
    </row>
    <row r="1186" spans="1:14">
      <c r="A1186" s="148"/>
      <c r="B1186" s="149"/>
      <c r="C1186" s="160"/>
      <c r="D1186" s="151"/>
      <c r="E1186" s="152"/>
      <c r="F1186" s="153"/>
      <c r="G1186" s="154"/>
      <c r="H1186" s="154"/>
      <c r="I1186" s="154"/>
      <c r="J1186" s="155"/>
      <c r="K1186" s="156"/>
      <c r="L1186" s="157"/>
      <c r="M1186" s="158" t="s">
        <v>28</v>
      </c>
      <c r="N1186" s="159" t="s">
        <v>29</v>
      </c>
    </row>
    <row r="1187" spans="1:14">
      <c r="A1187" s="148"/>
      <c r="B1187" s="149"/>
      <c r="C1187" s="160"/>
      <c r="D1187" s="151"/>
      <c r="E1187" s="152"/>
      <c r="F1187" s="153"/>
      <c r="G1187" s="154"/>
      <c r="H1187" s="154"/>
      <c r="I1187" s="154"/>
      <c r="J1187" s="155"/>
      <c r="K1187" s="156"/>
      <c r="L1187" s="157"/>
      <c r="M1187" s="158" t="s">
        <v>28</v>
      </c>
      <c r="N1187" s="159" t="s">
        <v>29</v>
      </c>
    </row>
    <row r="1188" spans="1:14">
      <c r="A1188" s="148"/>
      <c r="B1188" s="149"/>
      <c r="C1188" s="160"/>
      <c r="D1188" s="151"/>
      <c r="E1188" s="152"/>
      <c r="F1188" s="153"/>
      <c r="G1188" s="154"/>
      <c r="H1188" s="154"/>
      <c r="I1188" s="154"/>
      <c r="J1188" s="155"/>
      <c r="K1188" s="156"/>
      <c r="L1188" s="157"/>
      <c r="M1188" s="158" t="s">
        <v>28</v>
      </c>
      <c r="N1188" s="159" t="s">
        <v>29</v>
      </c>
    </row>
    <row r="1189" spans="1:14">
      <c r="A1189" s="148"/>
      <c r="B1189" s="149"/>
      <c r="C1189" s="160"/>
      <c r="D1189" s="151"/>
      <c r="E1189" s="152"/>
      <c r="F1189" s="153"/>
      <c r="G1189" s="154"/>
      <c r="H1189" s="154"/>
      <c r="I1189" s="154"/>
      <c r="J1189" s="155"/>
      <c r="K1189" s="156"/>
      <c r="L1189" s="157"/>
      <c r="M1189" s="158" t="s">
        <v>28</v>
      </c>
      <c r="N1189" s="159" t="s">
        <v>29</v>
      </c>
    </row>
    <row r="1190" spans="1:14">
      <c r="A1190" s="148"/>
      <c r="B1190" s="149"/>
      <c r="C1190" s="160"/>
      <c r="D1190" s="151"/>
      <c r="E1190" s="152"/>
      <c r="F1190" s="153"/>
      <c r="G1190" s="154"/>
      <c r="H1190" s="154"/>
      <c r="I1190" s="154"/>
      <c r="J1190" s="155"/>
      <c r="K1190" s="156"/>
      <c r="L1190" s="157"/>
      <c r="M1190" s="158" t="s">
        <v>28</v>
      </c>
      <c r="N1190" s="159" t="s">
        <v>29</v>
      </c>
    </row>
    <row r="1191" spans="1:14">
      <c r="A1191" s="148"/>
      <c r="B1191" s="149"/>
      <c r="C1191" s="160"/>
      <c r="D1191" s="151"/>
      <c r="E1191" s="152"/>
      <c r="F1191" s="153"/>
      <c r="G1191" s="154"/>
      <c r="H1191" s="154"/>
      <c r="I1191" s="154"/>
      <c r="J1191" s="155"/>
      <c r="K1191" s="156"/>
      <c r="L1191" s="157"/>
      <c r="M1191" s="158" t="s">
        <v>28</v>
      </c>
      <c r="N1191" s="159" t="s">
        <v>29</v>
      </c>
    </row>
    <row r="1192" spans="1:14">
      <c r="A1192" s="148"/>
      <c r="B1192" s="149"/>
      <c r="C1192" s="160"/>
      <c r="D1192" s="151"/>
      <c r="E1192" s="152"/>
      <c r="F1192" s="153"/>
      <c r="G1192" s="154"/>
      <c r="H1192" s="154"/>
      <c r="I1192" s="154"/>
      <c r="J1192" s="155"/>
      <c r="K1192" s="156"/>
      <c r="L1192" s="157"/>
      <c r="M1192" s="158" t="s">
        <v>28</v>
      </c>
      <c r="N1192" s="159" t="s">
        <v>29</v>
      </c>
    </row>
    <row r="1193" spans="1:14">
      <c r="A1193" s="148"/>
      <c r="B1193" s="149"/>
      <c r="C1193" s="160"/>
      <c r="D1193" s="151"/>
      <c r="E1193" s="152"/>
      <c r="F1193" s="153"/>
      <c r="G1193" s="154"/>
      <c r="H1193" s="154"/>
      <c r="I1193" s="154"/>
      <c r="J1193" s="155"/>
      <c r="K1193" s="156"/>
      <c r="L1193" s="157"/>
      <c r="M1193" s="158" t="s">
        <v>28</v>
      </c>
      <c r="N1193" s="159" t="s">
        <v>29</v>
      </c>
    </row>
    <row r="1194" spans="1:14">
      <c r="A1194" s="148"/>
      <c r="B1194" s="149"/>
      <c r="C1194" s="160"/>
      <c r="D1194" s="151"/>
      <c r="E1194" s="152"/>
      <c r="F1194" s="153"/>
      <c r="G1194" s="154"/>
      <c r="H1194" s="154"/>
      <c r="I1194" s="154"/>
      <c r="J1194" s="155"/>
      <c r="K1194" s="156"/>
      <c r="L1194" s="157"/>
      <c r="M1194" s="158" t="s">
        <v>28</v>
      </c>
      <c r="N1194" s="159" t="s">
        <v>29</v>
      </c>
    </row>
    <row r="1195" spans="1:14">
      <c r="A1195" s="148"/>
      <c r="B1195" s="149"/>
      <c r="C1195" s="160"/>
      <c r="D1195" s="151"/>
      <c r="E1195" s="152"/>
      <c r="F1195" s="153"/>
      <c r="G1195" s="154"/>
      <c r="H1195" s="154"/>
      <c r="I1195" s="154"/>
      <c r="J1195" s="155"/>
      <c r="K1195" s="156"/>
      <c r="L1195" s="157"/>
      <c r="M1195" s="158" t="s">
        <v>28</v>
      </c>
      <c r="N1195" s="159" t="s">
        <v>29</v>
      </c>
    </row>
    <row r="1196" spans="1:14">
      <c r="A1196" s="148"/>
      <c r="B1196" s="149"/>
      <c r="C1196" s="160"/>
      <c r="D1196" s="151"/>
      <c r="E1196" s="152"/>
      <c r="F1196" s="153"/>
      <c r="G1196" s="154"/>
      <c r="H1196" s="154"/>
      <c r="I1196" s="154"/>
      <c r="J1196" s="155"/>
      <c r="K1196" s="156"/>
      <c r="L1196" s="157"/>
      <c r="M1196" s="158" t="s">
        <v>28</v>
      </c>
      <c r="N1196" s="159" t="s">
        <v>29</v>
      </c>
    </row>
    <row r="1197" spans="1:14">
      <c r="A1197" s="148"/>
      <c r="B1197" s="149"/>
      <c r="C1197" s="160"/>
      <c r="D1197" s="151"/>
      <c r="E1197" s="152"/>
      <c r="F1197" s="153"/>
      <c r="G1197" s="154"/>
      <c r="H1197" s="154"/>
      <c r="I1197" s="154"/>
      <c r="J1197" s="155"/>
      <c r="K1197" s="156"/>
      <c r="L1197" s="157"/>
      <c r="M1197" s="158" t="s">
        <v>28</v>
      </c>
      <c r="N1197" s="159" t="s">
        <v>29</v>
      </c>
    </row>
    <row r="1198" spans="1:14">
      <c r="A1198" s="148"/>
      <c r="B1198" s="149"/>
      <c r="C1198" s="160"/>
      <c r="D1198" s="151"/>
      <c r="E1198" s="152"/>
      <c r="F1198" s="153"/>
      <c r="G1198" s="154"/>
      <c r="H1198" s="154"/>
      <c r="I1198" s="154"/>
      <c r="J1198" s="155"/>
      <c r="K1198" s="156"/>
      <c r="L1198" s="157"/>
      <c r="M1198" s="158" t="s">
        <v>28</v>
      </c>
      <c r="N1198" s="159" t="s">
        <v>29</v>
      </c>
    </row>
    <row r="1199" spans="1:14">
      <c r="A1199" s="148"/>
      <c r="B1199" s="149"/>
      <c r="C1199" s="160"/>
      <c r="D1199" s="151"/>
      <c r="E1199" s="152"/>
      <c r="F1199" s="153"/>
      <c r="G1199" s="154"/>
      <c r="H1199" s="154"/>
      <c r="I1199" s="154"/>
      <c r="J1199" s="155"/>
      <c r="K1199" s="156"/>
      <c r="L1199" s="157"/>
      <c r="M1199" s="158" t="s">
        <v>28</v>
      </c>
      <c r="N1199" s="159" t="s">
        <v>29</v>
      </c>
    </row>
    <row r="1200" spans="1:14">
      <c r="A1200" s="148"/>
      <c r="B1200" s="149"/>
      <c r="C1200" s="160"/>
      <c r="D1200" s="151"/>
      <c r="E1200" s="152"/>
      <c r="F1200" s="153"/>
      <c r="G1200" s="154"/>
      <c r="H1200" s="154"/>
      <c r="I1200" s="154"/>
      <c r="J1200" s="155"/>
      <c r="K1200" s="156"/>
      <c r="L1200" s="157"/>
      <c r="M1200" s="158" t="s">
        <v>28</v>
      </c>
      <c r="N1200" s="159" t="s">
        <v>29</v>
      </c>
    </row>
    <row r="1201" spans="1:14">
      <c r="A1201" s="148"/>
      <c r="B1201" s="149"/>
      <c r="C1201" s="160"/>
      <c r="D1201" s="151"/>
      <c r="E1201" s="152"/>
      <c r="F1201" s="153"/>
      <c r="G1201" s="154"/>
      <c r="H1201" s="154"/>
      <c r="I1201" s="154"/>
      <c r="J1201" s="155"/>
      <c r="K1201" s="156"/>
      <c r="L1201" s="157"/>
      <c r="M1201" s="158" t="s">
        <v>28</v>
      </c>
      <c r="N1201" s="159" t="s">
        <v>29</v>
      </c>
    </row>
    <row r="1202" spans="1:14">
      <c r="A1202" s="148"/>
      <c r="B1202" s="149"/>
      <c r="C1202" s="160"/>
      <c r="D1202" s="151"/>
      <c r="E1202" s="152"/>
      <c r="F1202" s="153"/>
      <c r="G1202" s="154"/>
      <c r="H1202" s="154"/>
      <c r="I1202" s="154"/>
      <c r="J1202" s="155"/>
      <c r="K1202" s="156"/>
      <c r="L1202" s="157"/>
      <c r="M1202" s="158" t="s">
        <v>28</v>
      </c>
      <c r="N1202" s="159" t="s">
        <v>29</v>
      </c>
    </row>
    <row r="1203" spans="1:14">
      <c r="A1203" s="148"/>
      <c r="B1203" s="149"/>
      <c r="C1203" s="160"/>
      <c r="D1203" s="151"/>
      <c r="E1203" s="152"/>
      <c r="F1203" s="153"/>
      <c r="G1203" s="154"/>
      <c r="H1203" s="154"/>
      <c r="I1203" s="154"/>
      <c r="J1203" s="155"/>
      <c r="K1203" s="156"/>
      <c r="L1203" s="157"/>
      <c r="M1203" s="158" t="s">
        <v>28</v>
      </c>
      <c r="N1203" s="159" t="s">
        <v>29</v>
      </c>
    </row>
    <row r="1204" spans="1:14">
      <c r="A1204" s="148"/>
      <c r="B1204" s="149"/>
      <c r="C1204" s="160"/>
      <c r="D1204" s="151"/>
      <c r="E1204" s="152"/>
      <c r="F1204" s="153"/>
      <c r="G1204" s="154"/>
      <c r="H1204" s="154"/>
      <c r="I1204" s="154"/>
      <c r="J1204" s="155"/>
      <c r="K1204" s="156"/>
      <c r="L1204" s="157"/>
      <c r="M1204" s="158" t="s">
        <v>28</v>
      </c>
      <c r="N1204" s="159" t="s">
        <v>29</v>
      </c>
    </row>
    <row r="1205" spans="1:14">
      <c r="A1205" s="148"/>
      <c r="B1205" s="149"/>
      <c r="C1205" s="160"/>
      <c r="D1205" s="151"/>
      <c r="E1205" s="152"/>
      <c r="F1205" s="153"/>
      <c r="G1205" s="154"/>
      <c r="H1205" s="154"/>
      <c r="I1205" s="154"/>
      <c r="J1205" s="155"/>
      <c r="K1205" s="156"/>
      <c r="L1205" s="157"/>
      <c r="M1205" s="158" t="s">
        <v>28</v>
      </c>
      <c r="N1205" s="159" t="s">
        <v>29</v>
      </c>
    </row>
    <row r="1206" spans="1:14">
      <c r="A1206" s="148"/>
      <c r="B1206" s="149"/>
      <c r="C1206" s="160"/>
      <c r="D1206" s="151"/>
      <c r="E1206" s="152"/>
      <c r="F1206" s="153"/>
      <c r="G1206" s="154"/>
      <c r="H1206" s="154"/>
      <c r="I1206" s="154"/>
      <c r="J1206" s="155"/>
      <c r="K1206" s="156"/>
      <c r="L1206" s="157"/>
      <c r="M1206" s="158" t="s">
        <v>28</v>
      </c>
      <c r="N1206" s="159" t="s">
        <v>29</v>
      </c>
    </row>
    <row r="1207" spans="1:14">
      <c r="A1207" s="148"/>
      <c r="B1207" s="149"/>
      <c r="C1207" s="160"/>
      <c r="D1207" s="151"/>
      <c r="E1207" s="152"/>
      <c r="F1207" s="153"/>
      <c r="G1207" s="154"/>
      <c r="H1207" s="154"/>
      <c r="I1207" s="154"/>
      <c r="J1207" s="155"/>
      <c r="K1207" s="156"/>
      <c r="L1207" s="157"/>
      <c r="M1207" s="158" t="s">
        <v>28</v>
      </c>
      <c r="N1207" s="159" t="s">
        <v>29</v>
      </c>
    </row>
    <row r="1208" spans="1:14">
      <c r="A1208" s="148"/>
      <c r="B1208" s="149"/>
      <c r="C1208" s="160"/>
      <c r="D1208" s="151"/>
      <c r="E1208" s="152"/>
      <c r="F1208" s="153"/>
      <c r="G1208" s="154"/>
      <c r="H1208" s="154"/>
      <c r="I1208" s="154"/>
      <c r="J1208" s="155"/>
      <c r="K1208" s="156"/>
      <c r="L1208" s="157"/>
      <c r="M1208" s="158" t="s">
        <v>28</v>
      </c>
      <c r="N1208" s="159" t="s">
        <v>29</v>
      </c>
    </row>
    <row r="1209" spans="1:14">
      <c r="A1209" s="148"/>
      <c r="B1209" s="149"/>
      <c r="C1209" s="160"/>
      <c r="D1209" s="151"/>
      <c r="E1209" s="152"/>
      <c r="F1209" s="153"/>
      <c r="G1209" s="154"/>
      <c r="H1209" s="154"/>
      <c r="I1209" s="154"/>
      <c r="J1209" s="155"/>
      <c r="K1209" s="156"/>
      <c r="L1209" s="157"/>
      <c r="M1209" s="158" t="s">
        <v>28</v>
      </c>
      <c r="N1209" s="159" t="s">
        <v>29</v>
      </c>
    </row>
    <row r="1210" spans="1:14">
      <c r="A1210" s="148"/>
      <c r="B1210" s="149"/>
      <c r="C1210" s="160"/>
      <c r="D1210" s="151"/>
      <c r="E1210" s="152"/>
      <c r="F1210" s="153"/>
      <c r="G1210" s="154"/>
      <c r="H1210" s="154"/>
      <c r="I1210" s="154"/>
      <c r="J1210" s="155"/>
      <c r="K1210" s="156"/>
      <c r="L1210" s="157"/>
      <c r="M1210" s="158" t="s">
        <v>28</v>
      </c>
      <c r="N1210" s="159" t="s">
        <v>29</v>
      </c>
    </row>
    <row r="1211" spans="1:14">
      <c r="A1211" s="148"/>
      <c r="B1211" s="149"/>
      <c r="C1211" s="160"/>
      <c r="D1211" s="151"/>
      <c r="E1211" s="152"/>
      <c r="F1211" s="153"/>
      <c r="G1211" s="154"/>
      <c r="H1211" s="154"/>
      <c r="I1211" s="154"/>
      <c r="J1211" s="155"/>
      <c r="K1211" s="156"/>
      <c r="L1211" s="157"/>
      <c r="M1211" s="158" t="s">
        <v>28</v>
      </c>
      <c r="N1211" s="159" t="s">
        <v>29</v>
      </c>
    </row>
    <row r="1212" spans="1:14">
      <c r="A1212" s="148"/>
      <c r="B1212" s="149"/>
      <c r="C1212" s="160"/>
      <c r="D1212" s="151"/>
      <c r="E1212" s="152"/>
      <c r="F1212" s="153"/>
      <c r="G1212" s="154"/>
      <c r="H1212" s="154"/>
      <c r="I1212" s="154"/>
      <c r="J1212" s="155"/>
      <c r="K1212" s="156"/>
      <c r="L1212" s="157"/>
      <c r="M1212" s="158" t="s">
        <v>28</v>
      </c>
      <c r="N1212" s="159" t="s">
        <v>29</v>
      </c>
    </row>
    <row r="1213" spans="1:14">
      <c r="A1213" s="148"/>
      <c r="B1213" s="149"/>
      <c r="C1213" s="160"/>
      <c r="D1213" s="151"/>
      <c r="E1213" s="152"/>
      <c r="F1213" s="153"/>
      <c r="G1213" s="154"/>
      <c r="H1213" s="154"/>
      <c r="I1213" s="154"/>
      <c r="J1213" s="155"/>
      <c r="K1213" s="156"/>
      <c r="L1213" s="157"/>
      <c r="M1213" s="158" t="s">
        <v>28</v>
      </c>
      <c r="N1213" s="159" t="s">
        <v>29</v>
      </c>
    </row>
    <row r="1214" spans="1:14">
      <c r="A1214" s="148"/>
      <c r="B1214" s="149"/>
      <c r="C1214" s="160"/>
      <c r="D1214" s="151"/>
      <c r="E1214" s="152"/>
      <c r="F1214" s="153"/>
      <c r="G1214" s="154"/>
      <c r="H1214" s="154"/>
      <c r="I1214" s="154"/>
      <c r="J1214" s="155"/>
      <c r="K1214" s="156"/>
      <c r="L1214" s="157"/>
      <c r="M1214" s="158" t="s">
        <v>28</v>
      </c>
      <c r="N1214" s="159" t="s">
        <v>29</v>
      </c>
    </row>
    <row r="1215" spans="1:14">
      <c r="A1215" s="148"/>
      <c r="B1215" s="149"/>
      <c r="C1215" s="160"/>
      <c r="D1215" s="151"/>
      <c r="E1215" s="152"/>
      <c r="F1215" s="153"/>
      <c r="G1215" s="154"/>
      <c r="H1215" s="154"/>
      <c r="I1215" s="154"/>
      <c r="J1215" s="155"/>
      <c r="K1215" s="156"/>
      <c r="L1215" s="157"/>
      <c r="M1215" s="158" t="s">
        <v>28</v>
      </c>
      <c r="N1215" s="159" t="s">
        <v>29</v>
      </c>
    </row>
    <row r="1216" spans="1:14">
      <c r="A1216" s="148"/>
      <c r="B1216" s="149"/>
      <c r="C1216" s="160"/>
      <c r="D1216" s="151"/>
      <c r="E1216" s="152"/>
      <c r="F1216" s="153"/>
      <c r="G1216" s="154"/>
      <c r="H1216" s="154"/>
      <c r="I1216" s="154"/>
      <c r="J1216" s="155"/>
      <c r="K1216" s="156"/>
      <c r="L1216" s="157"/>
      <c r="M1216" s="158" t="s">
        <v>28</v>
      </c>
      <c r="N1216" s="159" t="s">
        <v>29</v>
      </c>
    </row>
    <row r="1217" spans="1:14">
      <c r="A1217" s="148"/>
      <c r="B1217" s="149"/>
      <c r="C1217" s="160"/>
      <c r="D1217" s="151"/>
      <c r="E1217" s="152"/>
      <c r="F1217" s="153"/>
      <c r="G1217" s="154"/>
      <c r="H1217" s="154"/>
      <c r="I1217" s="154"/>
      <c r="J1217" s="155"/>
      <c r="K1217" s="156"/>
      <c r="L1217" s="157"/>
      <c r="M1217" s="158" t="s">
        <v>28</v>
      </c>
      <c r="N1217" s="159" t="s">
        <v>29</v>
      </c>
    </row>
    <row r="1218" spans="1:14">
      <c r="A1218" s="148"/>
      <c r="B1218" s="149"/>
      <c r="C1218" s="160"/>
      <c r="D1218" s="151"/>
      <c r="E1218" s="152"/>
      <c r="F1218" s="153"/>
      <c r="G1218" s="154"/>
      <c r="H1218" s="154"/>
      <c r="I1218" s="154"/>
      <c r="J1218" s="155"/>
      <c r="K1218" s="156"/>
      <c r="L1218" s="157"/>
      <c r="M1218" s="158" t="s">
        <v>28</v>
      </c>
      <c r="N1218" s="159" t="s">
        <v>29</v>
      </c>
    </row>
    <row r="1219" spans="1:14">
      <c r="A1219" s="148"/>
      <c r="B1219" s="149"/>
      <c r="C1219" s="160"/>
      <c r="D1219" s="151"/>
      <c r="E1219" s="152"/>
      <c r="F1219" s="153"/>
      <c r="G1219" s="154"/>
      <c r="H1219" s="154"/>
      <c r="I1219" s="154"/>
      <c r="J1219" s="155"/>
      <c r="K1219" s="156"/>
      <c r="L1219" s="157"/>
      <c r="M1219" s="158" t="s">
        <v>28</v>
      </c>
      <c r="N1219" s="159" t="s">
        <v>29</v>
      </c>
    </row>
    <row r="1220" spans="1:14">
      <c r="A1220" s="148"/>
      <c r="B1220" s="149"/>
      <c r="C1220" s="160"/>
      <c r="D1220" s="151"/>
      <c r="E1220" s="152"/>
      <c r="F1220" s="153"/>
      <c r="G1220" s="154"/>
      <c r="H1220" s="154"/>
      <c r="I1220" s="154"/>
      <c r="J1220" s="155"/>
      <c r="K1220" s="156"/>
      <c r="L1220" s="157"/>
      <c r="M1220" s="158" t="s">
        <v>28</v>
      </c>
      <c r="N1220" s="159" t="s">
        <v>29</v>
      </c>
    </row>
    <row r="1221" spans="1:14">
      <c r="A1221" s="148"/>
      <c r="B1221" s="149"/>
      <c r="C1221" s="160"/>
      <c r="D1221" s="151"/>
      <c r="E1221" s="152"/>
      <c r="F1221" s="153"/>
      <c r="G1221" s="154"/>
      <c r="H1221" s="154"/>
      <c r="I1221" s="154"/>
      <c r="J1221" s="155"/>
      <c r="K1221" s="156"/>
      <c r="L1221" s="157"/>
      <c r="M1221" s="158" t="s">
        <v>28</v>
      </c>
      <c r="N1221" s="159" t="s">
        <v>29</v>
      </c>
    </row>
    <row r="1222" spans="1:14">
      <c r="A1222" s="148"/>
      <c r="B1222" s="149"/>
      <c r="C1222" s="160"/>
      <c r="D1222" s="151"/>
      <c r="E1222" s="152"/>
      <c r="F1222" s="153"/>
      <c r="G1222" s="154"/>
      <c r="H1222" s="154"/>
      <c r="I1222" s="154"/>
      <c r="J1222" s="155"/>
      <c r="K1222" s="156"/>
      <c r="L1222" s="157"/>
      <c r="M1222" s="158" t="s">
        <v>28</v>
      </c>
      <c r="N1222" s="159" t="s">
        <v>29</v>
      </c>
    </row>
    <row r="1223" spans="1:14">
      <c r="A1223" s="148"/>
      <c r="B1223" s="149"/>
      <c r="C1223" s="160"/>
      <c r="D1223" s="151"/>
      <c r="E1223" s="152"/>
      <c r="F1223" s="153"/>
      <c r="G1223" s="154"/>
      <c r="H1223" s="154"/>
      <c r="I1223" s="154"/>
      <c r="J1223" s="155"/>
      <c r="K1223" s="156"/>
      <c r="L1223" s="157"/>
      <c r="M1223" s="158" t="s">
        <v>28</v>
      </c>
      <c r="N1223" s="159" t="s">
        <v>29</v>
      </c>
    </row>
    <row r="1224" spans="1:14">
      <c r="A1224" s="148"/>
      <c r="B1224" s="149"/>
      <c r="C1224" s="160"/>
      <c r="D1224" s="151"/>
      <c r="E1224" s="152"/>
      <c r="F1224" s="153"/>
      <c r="G1224" s="154"/>
      <c r="H1224" s="154"/>
      <c r="I1224" s="154"/>
      <c r="J1224" s="155"/>
      <c r="K1224" s="156"/>
      <c r="L1224" s="157"/>
      <c r="M1224" s="158" t="s">
        <v>28</v>
      </c>
      <c r="N1224" s="159" t="s">
        <v>29</v>
      </c>
    </row>
    <row r="1225" spans="1:14">
      <c r="A1225" s="148"/>
      <c r="B1225" s="149"/>
      <c r="C1225" s="160"/>
      <c r="D1225" s="151"/>
      <c r="E1225" s="152"/>
      <c r="F1225" s="153"/>
      <c r="G1225" s="154"/>
      <c r="H1225" s="154"/>
      <c r="I1225" s="154"/>
      <c r="J1225" s="155"/>
      <c r="K1225" s="156"/>
      <c r="L1225" s="157"/>
      <c r="M1225" s="158" t="s">
        <v>28</v>
      </c>
      <c r="N1225" s="159" t="s">
        <v>29</v>
      </c>
    </row>
    <row r="1226" spans="1:14">
      <c r="A1226" s="148"/>
      <c r="B1226" s="149"/>
      <c r="C1226" s="160"/>
      <c r="D1226" s="151"/>
      <c r="E1226" s="152"/>
      <c r="F1226" s="153"/>
      <c r="G1226" s="154"/>
      <c r="H1226" s="154"/>
      <c r="I1226" s="154"/>
      <c r="J1226" s="155"/>
      <c r="K1226" s="156"/>
      <c r="L1226" s="157"/>
      <c r="M1226" s="158" t="s">
        <v>28</v>
      </c>
      <c r="N1226" s="159" t="s">
        <v>29</v>
      </c>
    </row>
    <row r="1227" spans="1:14">
      <c r="A1227" s="148"/>
      <c r="B1227" s="149"/>
      <c r="C1227" s="160"/>
      <c r="D1227" s="151"/>
      <c r="E1227" s="152"/>
      <c r="F1227" s="153"/>
      <c r="G1227" s="154"/>
      <c r="H1227" s="154"/>
      <c r="I1227" s="154"/>
      <c r="J1227" s="155"/>
      <c r="K1227" s="156"/>
      <c r="L1227" s="157"/>
      <c r="M1227" s="158" t="s">
        <v>28</v>
      </c>
      <c r="N1227" s="159" t="s">
        <v>29</v>
      </c>
    </row>
    <row r="1228" spans="1:14">
      <c r="A1228" s="148"/>
      <c r="B1228" s="149"/>
      <c r="C1228" s="160"/>
      <c r="D1228" s="151"/>
      <c r="E1228" s="152"/>
      <c r="F1228" s="153"/>
      <c r="G1228" s="154"/>
      <c r="H1228" s="154"/>
      <c r="I1228" s="154"/>
      <c r="J1228" s="155"/>
      <c r="K1228" s="156"/>
      <c r="L1228" s="157"/>
      <c r="M1228" s="158" t="s">
        <v>28</v>
      </c>
      <c r="N1228" s="159" t="s">
        <v>29</v>
      </c>
    </row>
    <row r="1229" spans="1:14">
      <c r="A1229" s="148"/>
      <c r="B1229" s="149"/>
      <c r="C1229" s="160"/>
      <c r="D1229" s="151"/>
      <c r="E1229" s="152"/>
      <c r="F1229" s="153"/>
      <c r="G1229" s="154"/>
      <c r="H1229" s="154"/>
      <c r="I1229" s="154"/>
      <c r="J1229" s="155"/>
      <c r="K1229" s="156"/>
      <c r="L1229" s="157"/>
      <c r="M1229" s="158" t="s">
        <v>28</v>
      </c>
      <c r="N1229" s="159" t="s">
        <v>29</v>
      </c>
    </row>
    <row r="1230" spans="1:14">
      <c r="A1230" s="148"/>
      <c r="B1230" s="149"/>
      <c r="C1230" s="160"/>
      <c r="D1230" s="151"/>
      <c r="E1230" s="152"/>
      <c r="F1230" s="153"/>
      <c r="G1230" s="154"/>
      <c r="H1230" s="154"/>
      <c r="I1230" s="154"/>
      <c r="J1230" s="155"/>
      <c r="K1230" s="156"/>
      <c r="L1230" s="157"/>
      <c r="M1230" s="158" t="s">
        <v>28</v>
      </c>
      <c r="N1230" s="159" t="s">
        <v>29</v>
      </c>
    </row>
    <row r="1231" spans="1:14">
      <c r="A1231" s="148"/>
      <c r="B1231" s="149"/>
      <c r="C1231" s="160"/>
      <c r="D1231" s="151"/>
      <c r="E1231" s="152"/>
      <c r="F1231" s="153"/>
      <c r="G1231" s="154"/>
      <c r="H1231" s="154"/>
      <c r="I1231" s="154"/>
      <c r="J1231" s="155"/>
      <c r="K1231" s="156"/>
      <c r="L1231" s="157"/>
      <c r="M1231" s="158" t="s">
        <v>28</v>
      </c>
      <c r="N1231" s="159" t="s">
        <v>29</v>
      </c>
    </row>
    <row r="1232" spans="1:14">
      <c r="A1232" s="148"/>
      <c r="B1232" s="149"/>
      <c r="C1232" s="160"/>
      <c r="D1232" s="151"/>
      <c r="E1232" s="152"/>
      <c r="F1232" s="153"/>
      <c r="G1232" s="154"/>
      <c r="H1232" s="154"/>
      <c r="I1232" s="154"/>
      <c r="J1232" s="155"/>
      <c r="K1232" s="156"/>
      <c r="L1232" s="157"/>
      <c r="M1232" s="158" t="s">
        <v>28</v>
      </c>
      <c r="N1232" s="159" t="s">
        <v>29</v>
      </c>
    </row>
    <row r="1233" spans="1:14">
      <c r="A1233" s="148"/>
      <c r="B1233" s="149"/>
      <c r="C1233" s="160"/>
      <c r="D1233" s="151"/>
      <c r="E1233" s="152"/>
      <c r="F1233" s="153"/>
      <c r="G1233" s="154"/>
      <c r="H1233" s="154"/>
      <c r="I1233" s="154"/>
      <c r="J1233" s="155"/>
      <c r="K1233" s="156"/>
      <c r="L1233" s="157"/>
      <c r="M1233" s="158" t="s">
        <v>28</v>
      </c>
      <c r="N1233" s="159" t="s">
        <v>29</v>
      </c>
    </row>
    <row r="1234" spans="1:14">
      <c r="A1234" s="148"/>
      <c r="B1234" s="149"/>
      <c r="C1234" s="160"/>
      <c r="D1234" s="151"/>
      <c r="E1234" s="152"/>
      <c r="F1234" s="153"/>
      <c r="G1234" s="154"/>
      <c r="H1234" s="154"/>
      <c r="I1234" s="154"/>
      <c r="J1234" s="155"/>
      <c r="K1234" s="156"/>
      <c r="L1234" s="157"/>
      <c r="M1234" s="158" t="s">
        <v>28</v>
      </c>
      <c r="N1234" s="159" t="s">
        <v>29</v>
      </c>
    </row>
    <row r="1235" spans="1:14">
      <c r="A1235" s="148"/>
      <c r="B1235" s="149"/>
      <c r="C1235" s="160"/>
      <c r="D1235" s="151"/>
      <c r="E1235" s="152"/>
      <c r="F1235" s="153"/>
      <c r="G1235" s="154"/>
      <c r="H1235" s="154"/>
      <c r="I1235" s="154"/>
      <c r="J1235" s="155"/>
      <c r="K1235" s="156"/>
      <c r="L1235" s="157"/>
      <c r="M1235" s="158" t="s">
        <v>28</v>
      </c>
      <c r="N1235" s="159" t="s">
        <v>29</v>
      </c>
    </row>
    <row r="1236" spans="1:14">
      <c r="A1236" s="148"/>
      <c r="B1236" s="149"/>
      <c r="C1236" s="160"/>
      <c r="D1236" s="151"/>
      <c r="E1236" s="152"/>
      <c r="F1236" s="153"/>
      <c r="G1236" s="154"/>
      <c r="H1236" s="154"/>
      <c r="I1236" s="154"/>
      <c r="J1236" s="155"/>
      <c r="K1236" s="156"/>
      <c r="L1236" s="157"/>
      <c r="M1236" s="158" t="s">
        <v>28</v>
      </c>
      <c r="N1236" s="159" t="s">
        <v>29</v>
      </c>
    </row>
    <row r="1237" spans="1:14">
      <c r="A1237" s="148"/>
      <c r="B1237" s="149"/>
      <c r="C1237" s="160"/>
      <c r="D1237" s="151"/>
      <c r="E1237" s="152"/>
      <c r="F1237" s="153"/>
      <c r="G1237" s="154"/>
      <c r="H1237" s="154"/>
      <c r="I1237" s="154"/>
      <c r="J1237" s="155"/>
      <c r="K1237" s="156"/>
      <c r="L1237" s="157"/>
      <c r="M1237" s="158" t="s">
        <v>28</v>
      </c>
      <c r="N1237" s="159" t="s">
        <v>29</v>
      </c>
    </row>
    <row r="1238" spans="1:14">
      <c r="A1238" s="148"/>
      <c r="B1238" s="149"/>
      <c r="C1238" s="160"/>
      <c r="D1238" s="151"/>
      <c r="E1238" s="152"/>
      <c r="F1238" s="153"/>
      <c r="G1238" s="154"/>
      <c r="H1238" s="154"/>
      <c r="I1238" s="154"/>
      <c r="J1238" s="155"/>
      <c r="K1238" s="156"/>
      <c r="L1238" s="157"/>
      <c r="M1238" s="158" t="s">
        <v>28</v>
      </c>
      <c r="N1238" s="159" t="s">
        <v>29</v>
      </c>
    </row>
    <row r="1239" spans="1:14">
      <c r="A1239" s="148"/>
      <c r="B1239" s="149"/>
      <c r="C1239" s="160"/>
      <c r="D1239" s="151"/>
      <c r="E1239" s="152"/>
      <c r="F1239" s="153"/>
      <c r="G1239" s="154"/>
      <c r="H1239" s="154"/>
      <c r="I1239" s="154"/>
      <c r="J1239" s="155"/>
      <c r="K1239" s="156"/>
      <c r="L1239" s="157"/>
      <c r="M1239" s="158" t="s">
        <v>28</v>
      </c>
      <c r="N1239" s="159" t="s">
        <v>29</v>
      </c>
    </row>
    <row r="1240" spans="1:14">
      <c r="A1240" s="148"/>
      <c r="B1240" s="149"/>
      <c r="C1240" s="160"/>
      <c r="D1240" s="151"/>
      <c r="E1240" s="152"/>
      <c r="F1240" s="153"/>
      <c r="G1240" s="154"/>
      <c r="H1240" s="154"/>
      <c r="I1240" s="154"/>
      <c r="J1240" s="155"/>
      <c r="K1240" s="156"/>
      <c r="L1240" s="157"/>
      <c r="M1240" s="158" t="s">
        <v>28</v>
      </c>
      <c r="N1240" s="159" t="s">
        <v>29</v>
      </c>
    </row>
    <row r="1241" spans="1:14">
      <c r="A1241" s="148"/>
      <c r="B1241" s="149"/>
      <c r="C1241" s="160"/>
      <c r="D1241" s="151"/>
      <c r="E1241" s="152"/>
      <c r="F1241" s="153"/>
      <c r="G1241" s="154"/>
      <c r="H1241" s="154"/>
      <c r="I1241" s="154"/>
      <c r="J1241" s="155"/>
      <c r="K1241" s="156"/>
      <c r="L1241" s="157"/>
      <c r="M1241" s="158" t="s">
        <v>28</v>
      </c>
      <c r="N1241" s="159" t="s">
        <v>29</v>
      </c>
    </row>
    <row r="1242" spans="1:14">
      <c r="A1242" s="148"/>
      <c r="B1242" s="149"/>
      <c r="C1242" s="160"/>
      <c r="D1242" s="151"/>
      <c r="E1242" s="152"/>
      <c r="F1242" s="153"/>
      <c r="G1242" s="154"/>
      <c r="H1242" s="154"/>
      <c r="I1242" s="154"/>
      <c r="J1242" s="155"/>
      <c r="K1242" s="156"/>
      <c r="L1242" s="157"/>
      <c r="M1242" s="158" t="s">
        <v>28</v>
      </c>
      <c r="N1242" s="159" t="s">
        <v>29</v>
      </c>
    </row>
    <row r="1243" spans="1:14">
      <c r="A1243" s="148"/>
      <c r="B1243" s="149"/>
      <c r="C1243" s="160"/>
      <c r="D1243" s="151"/>
      <c r="E1243" s="152"/>
      <c r="F1243" s="153"/>
      <c r="G1243" s="154"/>
      <c r="H1243" s="154"/>
      <c r="I1243" s="154"/>
      <c r="J1243" s="155"/>
      <c r="K1243" s="156"/>
      <c r="L1243" s="157"/>
      <c r="M1243" s="158" t="s">
        <v>28</v>
      </c>
      <c r="N1243" s="159" t="s">
        <v>29</v>
      </c>
    </row>
    <row r="1244" spans="1:14">
      <c r="A1244" s="148"/>
      <c r="B1244" s="149"/>
      <c r="C1244" s="150"/>
      <c r="D1244" s="151"/>
      <c r="E1244" s="152"/>
      <c r="F1244" s="153"/>
      <c r="G1244" s="154"/>
      <c r="H1244" s="154"/>
      <c r="I1244" s="154"/>
      <c r="J1244" s="155"/>
      <c r="K1244" s="156"/>
      <c r="L1244" s="157"/>
      <c r="M1244" s="158" t="s">
        <v>28</v>
      </c>
      <c r="N1244" s="159" t="s">
        <v>29</v>
      </c>
    </row>
    <row r="1245" spans="1:14">
      <c r="A1245" s="148"/>
      <c r="B1245" s="149"/>
      <c r="C1245" s="150"/>
      <c r="D1245" s="151"/>
      <c r="E1245" s="152"/>
      <c r="F1245" s="153"/>
      <c r="G1245" s="154"/>
      <c r="H1245" s="154"/>
      <c r="I1245" s="154"/>
      <c r="J1245" s="155"/>
      <c r="K1245" s="156"/>
      <c r="L1245" s="157"/>
      <c r="M1245" s="158" t="s">
        <v>28</v>
      </c>
      <c r="N1245" s="159" t="s">
        <v>29</v>
      </c>
    </row>
    <row r="1246" spans="1:14">
      <c r="A1246" s="148"/>
      <c r="B1246" s="149"/>
      <c r="C1246" s="150"/>
      <c r="D1246" s="151"/>
      <c r="E1246" s="152"/>
      <c r="F1246" s="153"/>
      <c r="G1246" s="154"/>
      <c r="H1246" s="154"/>
      <c r="I1246" s="154"/>
      <c r="J1246" s="155"/>
      <c r="K1246" s="156"/>
      <c r="L1246" s="157"/>
      <c r="M1246" s="158" t="s">
        <v>28</v>
      </c>
      <c r="N1246" s="159" t="s">
        <v>29</v>
      </c>
    </row>
    <row r="1247" spans="1:14">
      <c r="A1247" s="148"/>
      <c r="B1247" s="149"/>
      <c r="C1247" s="150"/>
      <c r="D1247" s="151"/>
      <c r="E1247" s="152"/>
      <c r="F1247" s="153"/>
      <c r="G1247" s="154"/>
      <c r="H1247" s="154"/>
      <c r="I1247" s="154"/>
      <c r="J1247" s="155"/>
      <c r="K1247" s="156"/>
      <c r="L1247" s="157"/>
      <c r="M1247" s="158" t="s">
        <v>28</v>
      </c>
      <c r="N1247" s="159" t="s">
        <v>29</v>
      </c>
    </row>
    <row r="1248" spans="1:14">
      <c r="A1248" s="148"/>
      <c r="B1248" s="149"/>
      <c r="C1248" s="150"/>
      <c r="D1248" s="151"/>
      <c r="E1248" s="152"/>
      <c r="F1248" s="153"/>
      <c r="G1248" s="154"/>
      <c r="H1248" s="154"/>
      <c r="I1248" s="154"/>
      <c r="J1248" s="155"/>
      <c r="K1248" s="156"/>
      <c r="L1248" s="157"/>
      <c r="M1248" s="158" t="s">
        <v>28</v>
      </c>
      <c r="N1248" s="159" t="s">
        <v>29</v>
      </c>
    </row>
    <row r="1249" spans="1:14">
      <c r="A1249" s="148"/>
      <c r="B1249" s="149"/>
      <c r="C1249" s="150"/>
      <c r="D1249" s="151"/>
      <c r="E1249" s="152"/>
      <c r="F1249" s="153"/>
      <c r="G1249" s="154"/>
      <c r="H1249" s="154"/>
      <c r="I1249" s="154"/>
      <c r="J1249" s="155"/>
      <c r="K1249" s="156"/>
      <c r="L1249" s="157"/>
      <c r="M1249" s="158" t="s">
        <v>28</v>
      </c>
      <c r="N1249" s="159" t="s">
        <v>29</v>
      </c>
    </row>
    <row r="1250" spans="1:14">
      <c r="A1250" s="148"/>
      <c r="B1250" s="149"/>
      <c r="C1250" s="150"/>
      <c r="D1250" s="151"/>
      <c r="E1250" s="152"/>
      <c r="F1250" s="153"/>
      <c r="G1250" s="154"/>
      <c r="H1250" s="154"/>
      <c r="I1250" s="154"/>
      <c r="J1250" s="155"/>
      <c r="K1250" s="156"/>
      <c r="L1250" s="157"/>
      <c r="M1250" s="158" t="s">
        <v>28</v>
      </c>
      <c r="N1250" s="159" t="s">
        <v>29</v>
      </c>
    </row>
    <row r="1251" spans="1:14">
      <c r="A1251" s="148"/>
      <c r="B1251" s="149"/>
      <c r="C1251" s="160"/>
      <c r="D1251" s="151"/>
      <c r="E1251" s="152"/>
      <c r="F1251" s="153"/>
      <c r="G1251" s="154"/>
      <c r="H1251" s="154"/>
      <c r="I1251" s="154"/>
      <c r="J1251" s="155"/>
      <c r="K1251" s="156"/>
      <c r="L1251" s="157"/>
      <c r="M1251" s="158" t="s">
        <v>28</v>
      </c>
      <c r="N1251" s="159" t="s">
        <v>29</v>
      </c>
    </row>
    <row r="1252" spans="1:14">
      <c r="A1252" s="148"/>
      <c r="B1252" s="149"/>
      <c r="C1252" s="160"/>
      <c r="D1252" s="151"/>
      <c r="E1252" s="152"/>
      <c r="F1252" s="153"/>
      <c r="G1252" s="154"/>
      <c r="H1252" s="154"/>
      <c r="I1252" s="154"/>
      <c r="J1252" s="155"/>
      <c r="K1252" s="156"/>
      <c r="L1252" s="157"/>
      <c r="M1252" s="158" t="s">
        <v>28</v>
      </c>
      <c r="N1252" s="159" t="s">
        <v>29</v>
      </c>
    </row>
    <row r="1253" spans="1:14">
      <c r="A1253" s="148"/>
      <c r="B1253" s="149"/>
      <c r="C1253" s="160"/>
      <c r="D1253" s="151"/>
      <c r="E1253" s="152"/>
      <c r="F1253" s="153"/>
      <c r="G1253" s="154"/>
      <c r="H1253" s="154"/>
      <c r="I1253" s="154"/>
      <c r="J1253" s="155"/>
      <c r="K1253" s="156"/>
      <c r="L1253" s="157"/>
      <c r="M1253" s="158" t="s">
        <v>28</v>
      </c>
      <c r="N1253" s="159" t="s">
        <v>29</v>
      </c>
    </row>
    <row r="1254" spans="1:14">
      <c r="A1254" s="148"/>
      <c r="B1254" s="149"/>
      <c r="C1254" s="160"/>
      <c r="D1254" s="151"/>
      <c r="E1254" s="152"/>
      <c r="F1254" s="153"/>
      <c r="G1254" s="154"/>
      <c r="H1254" s="154"/>
      <c r="I1254" s="154"/>
      <c r="J1254" s="155"/>
      <c r="K1254" s="156"/>
      <c r="L1254" s="157"/>
      <c r="M1254" s="158" t="s">
        <v>28</v>
      </c>
      <c r="N1254" s="159" t="s">
        <v>29</v>
      </c>
    </row>
    <row r="1255" spans="1:14">
      <c r="A1255" s="148"/>
      <c r="B1255" s="149"/>
      <c r="C1255" s="160"/>
      <c r="D1255" s="151"/>
      <c r="E1255" s="152"/>
      <c r="F1255" s="153"/>
      <c r="G1255" s="154"/>
      <c r="H1255" s="154"/>
      <c r="I1255" s="154"/>
      <c r="J1255" s="155"/>
      <c r="K1255" s="156"/>
      <c r="L1255" s="157"/>
      <c r="M1255" s="158" t="s">
        <v>28</v>
      </c>
      <c r="N1255" s="159" t="s">
        <v>29</v>
      </c>
    </row>
    <row r="1256" spans="1:14">
      <c r="A1256" s="148"/>
      <c r="B1256" s="149"/>
      <c r="C1256" s="160"/>
      <c r="D1256" s="151"/>
      <c r="E1256" s="152"/>
      <c r="F1256" s="153"/>
      <c r="G1256" s="154"/>
      <c r="H1256" s="154"/>
      <c r="I1256" s="154"/>
      <c r="J1256" s="155"/>
      <c r="K1256" s="156"/>
      <c r="L1256" s="157"/>
      <c r="M1256" s="158" t="s">
        <v>28</v>
      </c>
      <c r="N1256" s="159" t="s">
        <v>29</v>
      </c>
    </row>
    <row r="1257" spans="1:14">
      <c r="A1257" s="148"/>
      <c r="B1257" s="149"/>
      <c r="C1257" s="160"/>
      <c r="D1257" s="151"/>
      <c r="E1257" s="152"/>
      <c r="F1257" s="153"/>
      <c r="G1257" s="154"/>
      <c r="H1257" s="154"/>
      <c r="I1257" s="154"/>
      <c r="J1257" s="155"/>
      <c r="K1257" s="156"/>
      <c r="L1257" s="157"/>
      <c r="M1257" s="158" t="s">
        <v>28</v>
      </c>
      <c r="N1257" s="159" t="s">
        <v>29</v>
      </c>
    </row>
    <row r="1258" spans="1:14">
      <c r="A1258" s="148"/>
      <c r="B1258" s="149"/>
      <c r="C1258" s="160"/>
      <c r="D1258" s="151"/>
      <c r="E1258" s="152"/>
      <c r="F1258" s="153"/>
      <c r="G1258" s="154"/>
      <c r="H1258" s="154"/>
      <c r="I1258" s="154"/>
      <c r="J1258" s="155"/>
      <c r="K1258" s="156"/>
      <c r="L1258" s="157"/>
      <c r="M1258" s="158" t="s">
        <v>28</v>
      </c>
      <c r="N1258" s="159" t="s">
        <v>29</v>
      </c>
    </row>
    <row r="1259" spans="1:14">
      <c r="A1259" s="148"/>
      <c r="B1259" s="149"/>
      <c r="C1259" s="160"/>
      <c r="D1259" s="151"/>
      <c r="E1259" s="152"/>
      <c r="F1259" s="153"/>
      <c r="G1259" s="154"/>
      <c r="H1259" s="154"/>
      <c r="I1259" s="154"/>
      <c r="J1259" s="155"/>
      <c r="K1259" s="156"/>
      <c r="L1259" s="157"/>
      <c r="M1259" s="158" t="s">
        <v>28</v>
      </c>
      <c r="N1259" s="159" t="s">
        <v>29</v>
      </c>
    </row>
    <row r="1260" spans="1:14">
      <c r="A1260" s="148"/>
      <c r="B1260" s="149"/>
      <c r="C1260" s="160"/>
      <c r="D1260" s="151"/>
      <c r="E1260" s="152"/>
      <c r="F1260" s="153"/>
      <c r="G1260" s="154"/>
      <c r="H1260" s="154"/>
      <c r="I1260" s="154"/>
      <c r="J1260" s="155"/>
      <c r="K1260" s="156"/>
      <c r="L1260" s="157"/>
      <c r="M1260" s="158" t="s">
        <v>28</v>
      </c>
      <c r="N1260" s="159" t="s">
        <v>29</v>
      </c>
    </row>
    <row r="1261" spans="1:14">
      <c r="A1261" s="148"/>
      <c r="B1261" s="149"/>
      <c r="C1261" s="160"/>
      <c r="D1261" s="151"/>
      <c r="E1261" s="152"/>
      <c r="F1261" s="153"/>
      <c r="G1261" s="154"/>
      <c r="H1261" s="154"/>
      <c r="I1261" s="154"/>
      <c r="J1261" s="155"/>
      <c r="K1261" s="156"/>
      <c r="L1261" s="157"/>
      <c r="M1261" s="158" t="s">
        <v>28</v>
      </c>
      <c r="N1261" s="159" t="s">
        <v>29</v>
      </c>
    </row>
    <row r="1262" spans="1:14">
      <c r="A1262" s="148"/>
      <c r="B1262" s="149"/>
      <c r="C1262" s="160"/>
      <c r="D1262" s="151"/>
      <c r="E1262" s="152"/>
      <c r="F1262" s="153"/>
      <c r="G1262" s="154"/>
      <c r="H1262" s="154"/>
      <c r="I1262" s="154"/>
      <c r="J1262" s="155"/>
      <c r="K1262" s="156"/>
      <c r="L1262" s="157"/>
      <c r="M1262" s="158" t="s">
        <v>28</v>
      </c>
      <c r="N1262" s="159" t="s">
        <v>29</v>
      </c>
    </row>
    <row r="1263" spans="1:14">
      <c r="A1263" s="148"/>
      <c r="B1263" s="149"/>
      <c r="C1263" s="160"/>
      <c r="D1263" s="151"/>
      <c r="E1263" s="152"/>
      <c r="F1263" s="153"/>
      <c r="G1263" s="154"/>
      <c r="H1263" s="154"/>
      <c r="I1263" s="154"/>
      <c r="J1263" s="155"/>
      <c r="K1263" s="156"/>
      <c r="L1263" s="157"/>
      <c r="M1263" s="158" t="s">
        <v>28</v>
      </c>
      <c r="N1263" s="159" t="s">
        <v>29</v>
      </c>
    </row>
    <row r="1264" spans="1:14">
      <c r="A1264" s="148"/>
      <c r="B1264" s="149"/>
      <c r="C1264" s="160"/>
      <c r="D1264" s="151"/>
      <c r="E1264" s="152"/>
      <c r="F1264" s="153"/>
      <c r="G1264" s="154"/>
      <c r="H1264" s="154"/>
      <c r="I1264" s="154"/>
      <c r="J1264" s="155"/>
      <c r="K1264" s="156"/>
      <c r="L1264" s="157"/>
      <c r="M1264" s="158" t="s">
        <v>28</v>
      </c>
      <c r="N1264" s="159" t="s">
        <v>29</v>
      </c>
    </row>
    <row r="1265" spans="1:14">
      <c r="A1265" s="148"/>
      <c r="B1265" s="149"/>
      <c r="C1265" s="160"/>
      <c r="D1265" s="151"/>
      <c r="E1265" s="152"/>
      <c r="F1265" s="153"/>
      <c r="G1265" s="154"/>
      <c r="H1265" s="154"/>
      <c r="I1265" s="154"/>
      <c r="J1265" s="155"/>
      <c r="K1265" s="156"/>
      <c r="L1265" s="157"/>
      <c r="M1265" s="158" t="s">
        <v>28</v>
      </c>
      <c r="N1265" s="159" t="s">
        <v>29</v>
      </c>
    </row>
    <row r="1266" spans="1:14">
      <c r="A1266" s="148"/>
      <c r="B1266" s="149"/>
      <c r="C1266" s="160"/>
      <c r="D1266" s="151"/>
      <c r="E1266" s="152"/>
      <c r="F1266" s="153"/>
      <c r="G1266" s="154"/>
      <c r="H1266" s="154"/>
      <c r="I1266" s="154"/>
      <c r="J1266" s="155"/>
      <c r="K1266" s="156"/>
      <c r="L1266" s="157"/>
      <c r="M1266" s="158" t="s">
        <v>28</v>
      </c>
      <c r="N1266" s="159" t="s">
        <v>29</v>
      </c>
    </row>
    <row r="1267" spans="1:14">
      <c r="A1267" s="148"/>
      <c r="B1267" s="149"/>
      <c r="C1267" s="160"/>
      <c r="D1267" s="151"/>
      <c r="E1267" s="152"/>
      <c r="F1267" s="153"/>
      <c r="G1267" s="154"/>
      <c r="H1267" s="154"/>
      <c r="I1267" s="154"/>
      <c r="J1267" s="155"/>
      <c r="K1267" s="156"/>
      <c r="L1267" s="157"/>
      <c r="M1267" s="158" t="s">
        <v>28</v>
      </c>
      <c r="N1267" s="159" t="s">
        <v>29</v>
      </c>
    </row>
    <row r="1268" spans="1:14">
      <c r="A1268" s="148"/>
      <c r="B1268" s="149"/>
      <c r="C1268" s="160"/>
      <c r="D1268" s="151"/>
      <c r="E1268" s="152"/>
      <c r="F1268" s="153"/>
      <c r="G1268" s="154"/>
      <c r="H1268" s="154"/>
      <c r="I1268" s="154"/>
      <c r="J1268" s="155"/>
      <c r="K1268" s="156"/>
      <c r="L1268" s="157"/>
      <c r="M1268" s="158" t="s">
        <v>28</v>
      </c>
      <c r="N1268" s="159" t="s">
        <v>29</v>
      </c>
    </row>
    <row r="1269" spans="1:14">
      <c r="A1269" s="148"/>
      <c r="B1269" s="149"/>
      <c r="C1269" s="160"/>
      <c r="D1269" s="151"/>
      <c r="E1269" s="152"/>
      <c r="F1269" s="153"/>
      <c r="G1269" s="154"/>
      <c r="H1269" s="154"/>
      <c r="I1269" s="154"/>
      <c r="J1269" s="155"/>
      <c r="K1269" s="156"/>
      <c r="L1269" s="157"/>
      <c r="M1269" s="158" t="s">
        <v>28</v>
      </c>
      <c r="N1269" s="159" t="s">
        <v>29</v>
      </c>
    </row>
    <row r="1270" spans="1:14">
      <c r="A1270" s="148"/>
      <c r="B1270" s="149"/>
      <c r="C1270" s="160"/>
      <c r="D1270" s="151"/>
      <c r="E1270" s="152"/>
      <c r="F1270" s="153"/>
      <c r="G1270" s="154"/>
      <c r="H1270" s="154"/>
      <c r="I1270" s="154"/>
      <c r="J1270" s="155"/>
      <c r="K1270" s="156"/>
      <c r="L1270" s="157"/>
      <c r="M1270" s="158" t="s">
        <v>28</v>
      </c>
      <c r="N1270" s="159" t="s">
        <v>29</v>
      </c>
    </row>
    <row r="1271" spans="1:14">
      <c r="A1271" s="148"/>
      <c r="B1271" s="149"/>
      <c r="C1271" s="160"/>
      <c r="D1271" s="151"/>
      <c r="E1271" s="152"/>
      <c r="F1271" s="153"/>
      <c r="G1271" s="154"/>
      <c r="H1271" s="154"/>
      <c r="I1271" s="154"/>
      <c r="J1271" s="155"/>
      <c r="K1271" s="156"/>
      <c r="L1271" s="157"/>
      <c r="M1271" s="158" t="s">
        <v>28</v>
      </c>
      <c r="N1271" s="159" t="s">
        <v>29</v>
      </c>
    </row>
    <row r="1272" spans="1:14">
      <c r="A1272" s="148"/>
      <c r="B1272" s="149"/>
      <c r="C1272" s="160"/>
      <c r="D1272" s="151"/>
      <c r="E1272" s="152"/>
      <c r="F1272" s="153"/>
      <c r="G1272" s="154"/>
      <c r="H1272" s="154"/>
      <c r="I1272" s="154"/>
      <c r="J1272" s="155"/>
      <c r="K1272" s="156"/>
      <c r="L1272" s="157"/>
      <c r="M1272" s="158" t="s">
        <v>28</v>
      </c>
      <c r="N1272" s="159" t="s">
        <v>29</v>
      </c>
    </row>
    <row r="1273" spans="1:14">
      <c r="A1273" s="148"/>
      <c r="B1273" s="149"/>
      <c r="C1273" s="160"/>
      <c r="D1273" s="151"/>
      <c r="E1273" s="152"/>
      <c r="F1273" s="153"/>
      <c r="G1273" s="154"/>
      <c r="H1273" s="154"/>
      <c r="I1273" s="154"/>
      <c r="J1273" s="155"/>
      <c r="K1273" s="156"/>
      <c r="L1273" s="157"/>
      <c r="M1273" s="158" t="s">
        <v>28</v>
      </c>
      <c r="N1273" s="159" t="s">
        <v>29</v>
      </c>
    </row>
    <row r="1274" spans="1:14">
      <c r="A1274" s="148"/>
      <c r="B1274" s="149"/>
      <c r="C1274" s="160"/>
      <c r="D1274" s="151"/>
      <c r="E1274" s="152"/>
      <c r="F1274" s="153"/>
      <c r="G1274" s="154"/>
      <c r="H1274" s="154"/>
      <c r="I1274" s="154"/>
      <c r="J1274" s="155"/>
      <c r="K1274" s="156"/>
      <c r="L1274" s="157"/>
      <c r="M1274" s="158" t="s">
        <v>28</v>
      </c>
      <c r="N1274" s="159" t="s">
        <v>29</v>
      </c>
    </row>
    <row r="1275" spans="1:14">
      <c r="A1275" s="148"/>
      <c r="B1275" s="149"/>
      <c r="C1275" s="160"/>
      <c r="D1275" s="151"/>
      <c r="E1275" s="152"/>
      <c r="F1275" s="153"/>
      <c r="G1275" s="154"/>
      <c r="H1275" s="154"/>
      <c r="I1275" s="154"/>
      <c r="J1275" s="155"/>
      <c r="K1275" s="156"/>
      <c r="L1275" s="157"/>
      <c r="M1275" s="158" t="s">
        <v>28</v>
      </c>
      <c r="N1275" s="159" t="s">
        <v>29</v>
      </c>
    </row>
    <row r="1276" spans="1:14">
      <c r="A1276" s="148"/>
      <c r="B1276" s="149"/>
      <c r="C1276" s="160"/>
      <c r="D1276" s="151"/>
      <c r="E1276" s="152"/>
      <c r="F1276" s="153"/>
      <c r="G1276" s="154"/>
      <c r="H1276" s="154"/>
      <c r="I1276" s="154"/>
      <c r="J1276" s="155"/>
      <c r="K1276" s="156"/>
      <c r="L1276" s="157"/>
      <c r="M1276" s="158" t="s">
        <v>28</v>
      </c>
      <c r="N1276" s="159" t="s">
        <v>29</v>
      </c>
    </row>
    <row r="1277" spans="1:14">
      <c r="A1277" s="148"/>
      <c r="B1277" s="149"/>
      <c r="C1277" s="160"/>
      <c r="D1277" s="151"/>
      <c r="E1277" s="152"/>
      <c r="F1277" s="153"/>
      <c r="G1277" s="154"/>
      <c r="H1277" s="154"/>
      <c r="I1277" s="154"/>
      <c r="J1277" s="155"/>
      <c r="K1277" s="156"/>
      <c r="L1277" s="157"/>
      <c r="M1277" s="158" t="s">
        <v>28</v>
      </c>
      <c r="N1277" s="159" t="s">
        <v>29</v>
      </c>
    </row>
    <row r="1278" spans="1:14">
      <c r="A1278" s="148"/>
      <c r="B1278" s="149"/>
      <c r="C1278" s="160"/>
      <c r="D1278" s="151"/>
      <c r="E1278" s="152"/>
      <c r="F1278" s="153"/>
      <c r="G1278" s="154"/>
      <c r="H1278" s="154"/>
      <c r="I1278" s="154"/>
      <c r="J1278" s="155"/>
      <c r="K1278" s="156"/>
      <c r="L1278" s="157"/>
      <c r="M1278" s="158" t="s">
        <v>28</v>
      </c>
      <c r="N1278" s="159" t="s">
        <v>29</v>
      </c>
    </row>
    <row r="1279" spans="1:14">
      <c r="A1279" s="148"/>
      <c r="B1279" s="149"/>
      <c r="C1279" s="160"/>
      <c r="D1279" s="151"/>
      <c r="E1279" s="152"/>
      <c r="F1279" s="153"/>
      <c r="G1279" s="154"/>
      <c r="H1279" s="154"/>
      <c r="I1279" s="154"/>
      <c r="J1279" s="155"/>
      <c r="K1279" s="156"/>
      <c r="L1279" s="157"/>
      <c r="M1279" s="158" t="s">
        <v>28</v>
      </c>
      <c r="N1279" s="159" t="s">
        <v>29</v>
      </c>
    </row>
    <row r="1280" spans="1:14">
      <c r="A1280" s="148"/>
      <c r="B1280" s="149"/>
      <c r="C1280" s="160"/>
      <c r="D1280" s="151"/>
      <c r="E1280" s="152"/>
      <c r="F1280" s="153"/>
      <c r="G1280" s="154"/>
      <c r="H1280" s="154"/>
      <c r="I1280" s="154"/>
      <c r="J1280" s="155"/>
      <c r="K1280" s="156"/>
      <c r="L1280" s="157"/>
      <c r="M1280" s="158" t="s">
        <v>28</v>
      </c>
      <c r="N1280" s="159" t="s">
        <v>29</v>
      </c>
    </row>
    <row r="1281" spans="1:14">
      <c r="A1281" s="148"/>
      <c r="B1281" s="149"/>
      <c r="C1281" s="160"/>
      <c r="D1281" s="151"/>
      <c r="E1281" s="152"/>
      <c r="F1281" s="153"/>
      <c r="G1281" s="154"/>
      <c r="H1281" s="154"/>
      <c r="I1281" s="154"/>
      <c r="J1281" s="155"/>
      <c r="K1281" s="156"/>
      <c r="L1281" s="157"/>
      <c r="M1281" s="158" t="s">
        <v>28</v>
      </c>
      <c r="N1281" s="159" t="s">
        <v>29</v>
      </c>
    </row>
    <row r="1282" spans="1:14">
      <c r="A1282" s="148"/>
      <c r="B1282" s="149"/>
      <c r="C1282" s="160"/>
      <c r="D1282" s="151"/>
      <c r="E1282" s="152"/>
      <c r="F1282" s="153"/>
      <c r="G1282" s="154"/>
      <c r="H1282" s="154"/>
      <c r="I1282" s="154"/>
      <c r="J1282" s="155"/>
      <c r="K1282" s="156"/>
      <c r="L1282" s="157"/>
      <c r="M1282" s="158" t="s">
        <v>28</v>
      </c>
      <c r="N1282" s="159" t="s">
        <v>29</v>
      </c>
    </row>
    <row r="1283" spans="1:14">
      <c r="A1283" s="148"/>
      <c r="B1283" s="149"/>
      <c r="C1283" s="160"/>
      <c r="D1283" s="151"/>
      <c r="E1283" s="152"/>
      <c r="F1283" s="153"/>
      <c r="G1283" s="154"/>
      <c r="H1283" s="154"/>
      <c r="I1283" s="154"/>
      <c r="J1283" s="155"/>
      <c r="K1283" s="156"/>
      <c r="L1283" s="157"/>
      <c r="M1283" s="158" t="s">
        <v>28</v>
      </c>
      <c r="N1283" s="159" t="s">
        <v>29</v>
      </c>
    </row>
    <row r="1284" spans="1:14">
      <c r="A1284" s="148"/>
      <c r="B1284" s="149"/>
      <c r="C1284" s="160"/>
      <c r="D1284" s="151"/>
      <c r="E1284" s="152"/>
      <c r="F1284" s="153"/>
      <c r="G1284" s="154"/>
      <c r="H1284" s="154"/>
      <c r="I1284" s="154"/>
      <c r="J1284" s="155"/>
      <c r="K1284" s="156"/>
      <c r="L1284" s="157"/>
      <c r="M1284" s="158" t="s">
        <v>28</v>
      </c>
      <c r="N1284" s="159" t="s">
        <v>29</v>
      </c>
    </row>
    <row r="1285" spans="1:14">
      <c r="A1285" s="148"/>
      <c r="B1285" s="149"/>
      <c r="C1285" s="160"/>
      <c r="D1285" s="151"/>
      <c r="E1285" s="152"/>
      <c r="F1285" s="153"/>
      <c r="G1285" s="154"/>
      <c r="H1285" s="154"/>
      <c r="I1285" s="154"/>
      <c r="J1285" s="155"/>
      <c r="K1285" s="156"/>
      <c r="L1285" s="157"/>
      <c r="M1285" s="158" t="s">
        <v>28</v>
      </c>
      <c r="N1285" s="159" t="s">
        <v>29</v>
      </c>
    </row>
    <row r="1286" spans="1:14">
      <c r="A1286" s="148"/>
      <c r="B1286" s="149"/>
      <c r="C1286" s="160"/>
      <c r="D1286" s="151"/>
      <c r="E1286" s="152"/>
      <c r="F1286" s="153"/>
      <c r="G1286" s="154"/>
      <c r="H1286" s="154"/>
      <c r="I1286" s="154"/>
      <c r="J1286" s="155"/>
      <c r="K1286" s="156"/>
      <c r="L1286" s="157"/>
      <c r="M1286" s="158" t="s">
        <v>28</v>
      </c>
      <c r="N1286" s="159" t="s">
        <v>29</v>
      </c>
    </row>
    <row r="1287" spans="1:14">
      <c r="A1287" s="148"/>
      <c r="B1287" s="149"/>
      <c r="C1287" s="160"/>
      <c r="D1287" s="151"/>
      <c r="E1287" s="152"/>
      <c r="F1287" s="153"/>
      <c r="G1287" s="154"/>
      <c r="H1287" s="154"/>
      <c r="I1287" s="154"/>
      <c r="J1287" s="155"/>
      <c r="K1287" s="156"/>
      <c r="L1287" s="157"/>
      <c r="M1287" s="158" t="s">
        <v>28</v>
      </c>
      <c r="N1287" s="159" t="s">
        <v>29</v>
      </c>
    </row>
    <row r="1288" spans="1:14">
      <c r="A1288" s="148"/>
      <c r="B1288" s="149"/>
      <c r="C1288" s="160"/>
      <c r="D1288" s="151"/>
      <c r="E1288" s="152"/>
      <c r="F1288" s="153"/>
      <c r="G1288" s="154"/>
      <c r="H1288" s="154"/>
      <c r="I1288" s="154"/>
      <c r="J1288" s="155"/>
      <c r="K1288" s="156"/>
      <c r="L1288" s="157"/>
      <c r="M1288" s="158" t="s">
        <v>28</v>
      </c>
      <c r="N1288" s="159" t="s">
        <v>29</v>
      </c>
    </row>
    <row r="1289" spans="1:14">
      <c r="A1289" s="148"/>
      <c r="B1289" s="149"/>
      <c r="C1289" s="160"/>
      <c r="D1289" s="151"/>
      <c r="E1289" s="152"/>
      <c r="F1289" s="153"/>
      <c r="G1289" s="154"/>
      <c r="H1289" s="154"/>
      <c r="I1289" s="154"/>
      <c r="J1289" s="155"/>
      <c r="K1289" s="156"/>
      <c r="L1289" s="157"/>
      <c r="M1289" s="158" t="s">
        <v>28</v>
      </c>
      <c r="N1289" s="159" t="s">
        <v>29</v>
      </c>
    </row>
    <row r="1290" spans="1:14">
      <c r="A1290" s="148"/>
      <c r="B1290" s="149"/>
      <c r="C1290" s="160"/>
      <c r="D1290" s="151"/>
      <c r="E1290" s="152"/>
      <c r="F1290" s="153"/>
      <c r="G1290" s="154"/>
      <c r="H1290" s="154"/>
      <c r="I1290" s="154"/>
      <c r="J1290" s="155"/>
      <c r="K1290" s="156"/>
      <c r="L1290" s="157"/>
      <c r="M1290" s="158" t="s">
        <v>28</v>
      </c>
      <c r="N1290" s="159" t="s">
        <v>29</v>
      </c>
    </row>
    <row r="1291" spans="1:14">
      <c r="A1291" s="148"/>
      <c r="B1291" s="149"/>
      <c r="C1291" s="160"/>
      <c r="D1291" s="151"/>
      <c r="E1291" s="152"/>
      <c r="F1291" s="153"/>
      <c r="G1291" s="154"/>
      <c r="H1291" s="154"/>
      <c r="I1291" s="154"/>
      <c r="J1291" s="155"/>
      <c r="K1291" s="156"/>
      <c r="L1291" s="157"/>
      <c r="M1291" s="158" t="s">
        <v>28</v>
      </c>
      <c r="N1291" s="159" t="s">
        <v>29</v>
      </c>
    </row>
    <row r="1292" spans="1:14">
      <c r="A1292" s="148"/>
      <c r="B1292" s="149"/>
      <c r="C1292" s="160"/>
      <c r="D1292" s="151"/>
      <c r="E1292" s="152"/>
      <c r="F1292" s="153"/>
      <c r="G1292" s="154"/>
      <c r="H1292" s="154"/>
      <c r="I1292" s="154"/>
      <c r="J1292" s="155"/>
      <c r="K1292" s="156"/>
      <c r="L1292" s="157"/>
      <c r="M1292" s="158" t="s">
        <v>28</v>
      </c>
      <c r="N1292" s="159" t="s">
        <v>29</v>
      </c>
    </row>
    <row r="1293" spans="1:14">
      <c r="A1293" s="148"/>
      <c r="B1293" s="149"/>
      <c r="C1293" s="160"/>
      <c r="D1293" s="151"/>
      <c r="E1293" s="152"/>
      <c r="F1293" s="153"/>
      <c r="G1293" s="154"/>
      <c r="H1293" s="154"/>
      <c r="I1293" s="154"/>
      <c r="J1293" s="155"/>
      <c r="K1293" s="156"/>
      <c r="L1293" s="157"/>
      <c r="M1293" s="158" t="s">
        <v>28</v>
      </c>
      <c r="N1293" s="159" t="s">
        <v>29</v>
      </c>
    </row>
    <row r="1294" spans="1:14">
      <c r="A1294" s="148"/>
      <c r="B1294" s="149"/>
      <c r="C1294" s="160"/>
      <c r="D1294" s="151"/>
      <c r="E1294" s="152"/>
      <c r="F1294" s="153"/>
      <c r="G1294" s="154"/>
      <c r="H1294" s="154"/>
      <c r="I1294" s="154"/>
      <c r="J1294" s="155"/>
      <c r="K1294" s="156"/>
      <c r="L1294" s="157"/>
      <c r="M1294" s="158" t="s">
        <v>28</v>
      </c>
      <c r="N1294" s="159" t="s">
        <v>29</v>
      </c>
    </row>
    <row r="1295" spans="1:14">
      <c r="A1295" s="148"/>
      <c r="B1295" s="149"/>
      <c r="C1295" s="160"/>
      <c r="D1295" s="151"/>
      <c r="E1295" s="152"/>
      <c r="F1295" s="153"/>
      <c r="G1295" s="154"/>
      <c r="H1295" s="154"/>
      <c r="I1295" s="154"/>
      <c r="J1295" s="155"/>
      <c r="K1295" s="156"/>
      <c r="L1295" s="157"/>
      <c r="M1295" s="158" t="s">
        <v>28</v>
      </c>
      <c r="N1295" s="159" t="s">
        <v>29</v>
      </c>
    </row>
    <row r="1296" spans="1:14">
      <c r="A1296" s="148"/>
      <c r="B1296" s="149"/>
      <c r="C1296" s="160"/>
      <c r="D1296" s="151"/>
      <c r="E1296" s="152"/>
      <c r="F1296" s="153"/>
      <c r="G1296" s="154"/>
      <c r="H1296" s="154"/>
      <c r="I1296" s="154"/>
      <c r="J1296" s="155"/>
      <c r="K1296" s="156"/>
      <c r="L1296" s="157"/>
      <c r="M1296" s="158" t="s">
        <v>28</v>
      </c>
      <c r="N1296" s="159" t="s">
        <v>29</v>
      </c>
    </row>
    <row r="1297" spans="1:14">
      <c r="A1297" s="148"/>
      <c r="B1297" s="149"/>
      <c r="C1297" s="160"/>
      <c r="D1297" s="151"/>
      <c r="E1297" s="152"/>
      <c r="F1297" s="153"/>
      <c r="G1297" s="154"/>
      <c r="H1297" s="154"/>
      <c r="I1297" s="154"/>
      <c r="J1297" s="155"/>
      <c r="K1297" s="156"/>
      <c r="L1297" s="157"/>
      <c r="M1297" s="158" t="s">
        <v>28</v>
      </c>
      <c r="N1297" s="159" t="s">
        <v>29</v>
      </c>
    </row>
    <row r="1298" spans="1:14">
      <c r="A1298" s="148"/>
      <c r="B1298" s="149"/>
      <c r="C1298" s="160"/>
      <c r="D1298" s="151"/>
      <c r="E1298" s="152"/>
      <c r="F1298" s="153"/>
      <c r="G1298" s="154"/>
      <c r="H1298" s="154"/>
      <c r="I1298" s="154"/>
      <c r="J1298" s="155"/>
      <c r="K1298" s="156"/>
      <c r="L1298" s="157"/>
      <c r="M1298" s="158" t="s">
        <v>28</v>
      </c>
      <c r="N1298" s="159" t="s">
        <v>29</v>
      </c>
    </row>
    <row r="1299" spans="1:14">
      <c r="A1299" s="148"/>
      <c r="B1299" s="149"/>
      <c r="C1299" s="160"/>
      <c r="D1299" s="151"/>
      <c r="E1299" s="152"/>
      <c r="F1299" s="153"/>
      <c r="G1299" s="154"/>
      <c r="H1299" s="154"/>
      <c r="I1299" s="154"/>
      <c r="J1299" s="155"/>
      <c r="K1299" s="156"/>
      <c r="L1299" s="157"/>
      <c r="M1299" s="158" t="s">
        <v>28</v>
      </c>
      <c r="N1299" s="159" t="s">
        <v>29</v>
      </c>
    </row>
    <row r="1300" spans="1:14">
      <c r="A1300" s="148"/>
      <c r="B1300" s="149"/>
      <c r="C1300" s="160"/>
      <c r="D1300" s="151"/>
      <c r="E1300" s="152"/>
      <c r="F1300" s="153"/>
      <c r="G1300" s="154"/>
      <c r="H1300" s="154"/>
      <c r="I1300" s="154"/>
      <c r="J1300" s="155"/>
      <c r="K1300" s="156"/>
      <c r="L1300" s="157"/>
      <c r="M1300" s="158" t="s">
        <v>28</v>
      </c>
      <c r="N1300" s="159" t="s">
        <v>29</v>
      </c>
    </row>
    <row r="1301" spans="1:14">
      <c r="A1301" s="148"/>
      <c r="B1301" s="149"/>
      <c r="C1301" s="160"/>
      <c r="D1301" s="151"/>
      <c r="E1301" s="152"/>
      <c r="F1301" s="153"/>
      <c r="G1301" s="154"/>
      <c r="H1301" s="154"/>
      <c r="I1301" s="154"/>
      <c r="J1301" s="155"/>
      <c r="K1301" s="156"/>
      <c r="L1301" s="157"/>
      <c r="M1301" s="158" t="s">
        <v>28</v>
      </c>
      <c r="N1301" s="159" t="s">
        <v>29</v>
      </c>
    </row>
    <row r="1302" spans="1:14">
      <c r="A1302" s="148"/>
      <c r="B1302" s="149"/>
      <c r="C1302" s="160"/>
      <c r="D1302" s="151"/>
      <c r="E1302" s="152"/>
      <c r="F1302" s="153"/>
      <c r="G1302" s="154"/>
      <c r="H1302" s="154"/>
      <c r="I1302" s="154"/>
      <c r="J1302" s="155"/>
      <c r="K1302" s="156"/>
      <c r="L1302" s="157"/>
      <c r="M1302" s="158" t="s">
        <v>28</v>
      </c>
      <c r="N1302" s="159" t="s">
        <v>29</v>
      </c>
    </row>
    <row r="1303" spans="1:14">
      <c r="A1303" s="148"/>
      <c r="B1303" s="149"/>
      <c r="C1303" s="160"/>
      <c r="D1303" s="151"/>
      <c r="E1303" s="152"/>
      <c r="F1303" s="153"/>
      <c r="G1303" s="154"/>
      <c r="H1303" s="154"/>
      <c r="I1303" s="154"/>
      <c r="J1303" s="155"/>
      <c r="K1303" s="156"/>
      <c r="L1303" s="157"/>
      <c r="M1303" s="158" t="s">
        <v>28</v>
      </c>
      <c r="N1303" s="159" t="s">
        <v>29</v>
      </c>
    </row>
    <row r="1304" spans="1:14">
      <c r="A1304" s="148"/>
      <c r="B1304" s="149"/>
      <c r="C1304" s="160"/>
      <c r="D1304" s="151"/>
      <c r="E1304" s="152"/>
      <c r="F1304" s="153"/>
      <c r="G1304" s="154"/>
      <c r="H1304" s="154"/>
      <c r="I1304" s="154"/>
      <c r="J1304" s="155"/>
      <c r="K1304" s="156"/>
      <c r="L1304" s="157"/>
      <c r="M1304" s="158" t="s">
        <v>28</v>
      </c>
      <c r="N1304" s="159" t="s">
        <v>29</v>
      </c>
    </row>
    <row r="1305" spans="1:14">
      <c r="A1305" s="148"/>
      <c r="B1305" s="149"/>
      <c r="C1305" s="160"/>
      <c r="D1305" s="151"/>
      <c r="E1305" s="152"/>
      <c r="F1305" s="153"/>
      <c r="G1305" s="154"/>
      <c r="H1305" s="154"/>
      <c r="I1305" s="154"/>
      <c r="J1305" s="155"/>
      <c r="K1305" s="156"/>
      <c r="L1305" s="157"/>
      <c r="M1305" s="158" t="s">
        <v>28</v>
      </c>
      <c r="N1305" s="159" t="s">
        <v>29</v>
      </c>
    </row>
    <row r="1306" spans="1:14">
      <c r="A1306" s="148"/>
      <c r="B1306" s="149"/>
      <c r="C1306" s="160"/>
      <c r="D1306" s="151"/>
      <c r="E1306" s="152"/>
      <c r="F1306" s="153"/>
      <c r="G1306" s="154"/>
      <c r="H1306" s="154"/>
      <c r="I1306" s="154"/>
      <c r="J1306" s="155"/>
      <c r="K1306" s="156"/>
      <c r="L1306" s="157"/>
      <c r="M1306" s="158" t="s">
        <v>28</v>
      </c>
      <c r="N1306" s="159" t="s">
        <v>29</v>
      </c>
    </row>
    <row r="1307" spans="1:14">
      <c r="A1307" s="148"/>
      <c r="B1307" s="149"/>
      <c r="C1307" s="160"/>
      <c r="D1307" s="151"/>
      <c r="E1307" s="152"/>
      <c r="F1307" s="153"/>
      <c r="G1307" s="154"/>
      <c r="H1307" s="154"/>
      <c r="I1307" s="154"/>
      <c r="J1307" s="155"/>
      <c r="K1307" s="156"/>
      <c r="L1307" s="157"/>
      <c r="M1307" s="158" t="s">
        <v>28</v>
      </c>
      <c r="N1307" s="159" t="s">
        <v>29</v>
      </c>
    </row>
    <row r="1308" spans="1:14">
      <c r="A1308" s="148"/>
      <c r="B1308" s="149"/>
      <c r="C1308" s="160"/>
      <c r="D1308" s="151"/>
      <c r="E1308" s="152"/>
      <c r="F1308" s="153"/>
      <c r="G1308" s="154"/>
      <c r="H1308" s="154"/>
      <c r="I1308" s="154"/>
      <c r="J1308" s="155"/>
      <c r="K1308" s="156"/>
      <c r="L1308" s="157"/>
      <c r="M1308" s="158" t="s">
        <v>28</v>
      </c>
      <c r="N1308" s="159" t="s">
        <v>29</v>
      </c>
    </row>
    <row r="1309" spans="1:14">
      <c r="A1309" s="148"/>
      <c r="B1309" s="149"/>
      <c r="C1309" s="160"/>
      <c r="D1309" s="151"/>
      <c r="E1309" s="152"/>
      <c r="F1309" s="153"/>
      <c r="G1309" s="154"/>
      <c r="H1309" s="154"/>
      <c r="I1309" s="154"/>
      <c r="J1309" s="155"/>
      <c r="K1309" s="156"/>
      <c r="L1309" s="157"/>
      <c r="M1309" s="158" t="s">
        <v>28</v>
      </c>
      <c r="N1309" s="159" t="s">
        <v>29</v>
      </c>
    </row>
    <row r="1310" spans="1:14">
      <c r="A1310" s="148"/>
      <c r="B1310" s="149"/>
      <c r="C1310" s="160"/>
      <c r="D1310" s="151"/>
      <c r="E1310" s="152"/>
      <c r="F1310" s="153"/>
      <c r="G1310" s="154"/>
      <c r="H1310" s="154"/>
      <c r="I1310" s="154"/>
      <c r="J1310" s="155"/>
      <c r="K1310" s="156"/>
      <c r="L1310" s="157"/>
      <c r="M1310" s="158" t="s">
        <v>28</v>
      </c>
      <c r="N1310" s="159" t="s">
        <v>29</v>
      </c>
    </row>
    <row r="1311" spans="1:14">
      <c r="A1311" s="148"/>
      <c r="B1311" s="149"/>
      <c r="C1311" s="160"/>
      <c r="D1311" s="151"/>
      <c r="E1311" s="152"/>
      <c r="F1311" s="153"/>
      <c r="G1311" s="154"/>
      <c r="H1311" s="154"/>
      <c r="I1311" s="154"/>
      <c r="J1311" s="155"/>
      <c r="K1311" s="156"/>
      <c r="L1311" s="157"/>
      <c r="M1311" s="158" t="s">
        <v>28</v>
      </c>
      <c r="N1311" s="159" t="s">
        <v>29</v>
      </c>
    </row>
    <row r="1312" spans="1:14">
      <c r="A1312" s="148"/>
      <c r="B1312" s="149"/>
      <c r="C1312" s="160"/>
      <c r="D1312" s="151"/>
      <c r="E1312" s="152"/>
      <c r="F1312" s="153"/>
      <c r="G1312" s="154"/>
      <c r="H1312" s="154"/>
      <c r="I1312" s="154"/>
      <c r="J1312" s="155"/>
      <c r="K1312" s="156"/>
      <c r="L1312" s="157"/>
      <c r="M1312" s="158" t="s">
        <v>28</v>
      </c>
      <c r="N1312" s="159" t="s">
        <v>29</v>
      </c>
    </row>
    <row r="1313" spans="1:14">
      <c r="A1313" s="148"/>
      <c r="B1313" s="149"/>
      <c r="C1313" s="160"/>
      <c r="D1313" s="151"/>
      <c r="E1313" s="152"/>
      <c r="F1313" s="153"/>
      <c r="G1313" s="154"/>
      <c r="H1313" s="154"/>
      <c r="I1313" s="154"/>
      <c r="J1313" s="155"/>
      <c r="K1313" s="156"/>
      <c r="L1313" s="157"/>
      <c r="M1313" s="158" t="s">
        <v>28</v>
      </c>
      <c r="N1313" s="159" t="s">
        <v>29</v>
      </c>
    </row>
    <row r="1314" spans="1:14">
      <c r="A1314" s="148"/>
      <c r="B1314" s="149"/>
      <c r="C1314" s="160"/>
      <c r="D1314" s="151"/>
      <c r="E1314" s="152"/>
      <c r="F1314" s="153"/>
      <c r="G1314" s="154"/>
      <c r="H1314" s="154"/>
      <c r="I1314" s="154"/>
      <c r="J1314" s="155"/>
      <c r="K1314" s="156"/>
      <c r="L1314" s="157"/>
      <c r="M1314" s="158" t="s">
        <v>28</v>
      </c>
      <c r="N1314" s="159" t="s">
        <v>29</v>
      </c>
    </row>
    <row r="1315" spans="1:14">
      <c r="A1315" s="148"/>
      <c r="B1315" s="149"/>
      <c r="C1315" s="160"/>
      <c r="D1315" s="151"/>
      <c r="E1315" s="152"/>
      <c r="F1315" s="153"/>
      <c r="G1315" s="154"/>
      <c r="H1315" s="154"/>
      <c r="I1315" s="154"/>
      <c r="J1315" s="155"/>
      <c r="K1315" s="156"/>
      <c r="L1315" s="157"/>
      <c r="M1315" s="158" t="s">
        <v>28</v>
      </c>
      <c r="N1315" s="159" t="s">
        <v>29</v>
      </c>
    </row>
    <row r="1316" spans="1:14">
      <c r="A1316" s="148"/>
      <c r="B1316" s="149"/>
      <c r="C1316" s="160"/>
      <c r="D1316" s="151"/>
      <c r="E1316" s="152"/>
      <c r="F1316" s="153"/>
      <c r="G1316" s="154"/>
      <c r="H1316" s="154"/>
      <c r="I1316" s="154"/>
      <c r="J1316" s="155"/>
      <c r="K1316" s="156"/>
      <c r="L1316" s="157"/>
      <c r="M1316" s="158" t="s">
        <v>28</v>
      </c>
      <c r="N1316" s="159" t="s">
        <v>29</v>
      </c>
    </row>
    <row r="1317" spans="1:14">
      <c r="A1317" s="148"/>
      <c r="B1317" s="149"/>
      <c r="C1317" s="160"/>
      <c r="D1317" s="151"/>
      <c r="E1317" s="152"/>
      <c r="F1317" s="153"/>
      <c r="G1317" s="154"/>
      <c r="H1317" s="154"/>
      <c r="I1317" s="154"/>
      <c r="J1317" s="155"/>
      <c r="K1317" s="156"/>
      <c r="L1317" s="157"/>
      <c r="M1317" s="158" t="s">
        <v>28</v>
      </c>
      <c r="N1317" s="159" t="s">
        <v>29</v>
      </c>
    </row>
    <row r="1318" spans="1:14">
      <c r="A1318" s="148"/>
      <c r="B1318" s="149"/>
      <c r="C1318" s="160"/>
      <c r="D1318" s="151"/>
      <c r="E1318" s="152"/>
      <c r="F1318" s="153"/>
      <c r="G1318" s="154"/>
      <c r="H1318" s="154"/>
      <c r="I1318" s="154"/>
      <c r="J1318" s="155"/>
      <c r="K1318" s="156"/>
      <c r="L1318" s="157"/>
      <c r="M1318" s="158" t="s">
        <v>28</v>
      </c>
      <c r="N1318" s="159" t="s">
        <v>29</v>
      </c>
    </row>
    <row r="1319" spans="1:14">
      <c r="A1319" s="148"/>
      <c r="B1319" s="149"/>
      <c r="C1319" s="160"/>
      <c r="D1319" s="151"/>
      <c r="E1319" s="152"/>
      <c r="F1319" s="153"/>
      <c r="G1319" s="154"/>
      <c r="H1319" s="154"/>
      <c r="I1319" s="154"/>
      <c r="J1319" s="155"/>
      <c r="K1319" s="156"/>
      <c r="L1319" s="157"/>
      <c r="M1319" s="158" t="s">
        <v>28</v>
      </c>
      <c r="N1319" s="159" t="s">
        <v>29</v>
      </c>
    </row>
    <row r="1320" spans="1:14">
      <c r="A1320" s="148"/>
      <c r="B1320" s="149"/>
      <c r="C1320" s="160"/>
      <c r="D1320" s="151"/>
      <c r="E1320" s="152"/>
      <c r="F1320" s="153"/>
      <c r="G1320" s="154"/>
      <c r="H1320" s="154"/>
      <c r="I1320" s="154"/>
      <c r="J1320" s="155"/>
      <c r="K1320" s="156"/>
      <c r="L1320" s="157"/>
      <c r="M1320" s="158" t="s">
        <v>28</v>
      </c>
      <c r="N1320" s="159" t="s">
        <v>29</v>
      </c>
    </row>
    <row r="1321" spans="1:14">
      <c r="A1321" s="148"/>
      <c r="B1321" s="149"/>
      <c r="C1321" s="160"/>
      <c r="D1321" s="151"/>
      <c r="E1321" s="152"/>
      <c r="F1321" s="153"/>
      <c r="G1321" s="154"/>
      <c r="H1321" s="154"/>
      <c r="I1321" s="154"/>
      <c r="J1321" s="155"/>
      <c r="K1321" s="156"/>
      <c r="L1321" s="157"/>
      <c r="M1321" s="158" t="s">
        <v>28</v>
      </c>
      <c r="N1321" s="159" t="s">
        <v>29</v>
      </c>
    </row>
    <row r="1322" spans="1:14">
      <c r="A1322" s="148"/>
      <c r="B1322" s="149"/>
      <c r="C1322" s="160"/>
      <c r="D1322" s="151"/>
      <c r="E1322" s="152"/>
      <c r="F1322" s="153"/>
      <c r="G1322" s="154"/>
      <c r="H1322" s="154"/>
      <c r="I1322" s="154"/>
      <c r="J1322" s="155"/>
      <c r="K1322" s="156"/>
      <c r="L1322" s="157"/>
      <c r="M1322" s="158" t="s">
        <v>28</v>
      </c>
      <c r="N1322" s="159" t="s">
        <v>29</v>
      </c>
    </row>
    <row r="1323" spans="1:14">
      <c r="A1323" s="148"/>
      <c r="B1323" s="149"/>
      <c r="C1323" s="160"/>
      <c r="D1323" s="151"/>
      <c r="E1323" s="152"/>
      <c r="F1323" s="153"/>
      <c r="G1323" s="154"/>
      <c r="H1323" s="154"/>
      <c r="I1323" s="154"/>
      <c r="J1323" s="155"/>
      <c r="K1323" s="156"/>
      <c r="L1323" s="157"/>
      <c r="M1323" s="158" t="s">
        <v>28</v>
      </c>
      <c r="N1323" s="159" t="s">
        <v>29</v>
      </c>
    </row>
    <row r="1324" spans="1:14">
      <c r="A1324" s="148"/>
      <c r="B1324" s="149"/>
      <c r="C1324" s="160"/>
      <c r="D1324" s="151"/>
      <c r="E1324" s="152"/>
      <c r="F1324" s="153"/>
      <c r="G1324" s="154"/>
      <c r="H1324" s="154"/>
      <c r="I1324" s="154"/>
      <c r="J1324" s="155"/>
      <c r="K1324" s="156"/>
      <c r="L1324" s="157"/>
      <c r="M1324" s="158" t="s">
        <v>28</v>
      </c>
      <c r="N1324" s="159" t="s">
        <v>29</v>
      </c>
    </row>
    <row r="1325" spans="1:14">
      <c r="A1325" s="148"/>
      <c r="B1325" s="149"/>
      <c r="C1325" s="160"/>
      <c r="D1325" s="151"/>
      <c r="E1325" s="152"/>
      <c r="F1325" s="153"/>
      <c r="G1325" s="154"/>
      <c r="H1325" s="154"/>
      <c r="I1325" s="154"/>
      <c r="J1325" s="155"/>
      <c r="K1325" s="156"/>
      <c r="L1325" s="157"/>
      <c r="M1325" s="158" t="s">
        <v>28</v>
      </c>
      <c r="N1325" s="159" t="s">
        <v>29</v>
      </c>
    </row>
    <row r="1326" spans="1:14">
      <c r="A1326" s="148"/>
      <c r="B1326" s="149"/>
      <c r="C1326" s="160"/>
      <c r="D1326" s="151"/>
      <c r="E1326" s="152"/>
      <c r="F1326" s="153"/>
      <c r="G1326" s="154"/>
      <c r="H1326" s="154"/>
      <c r="I1326" s="154"/>
      <c r="J1326" s="155"/>
      <c r="K1326" s="156"/>
      <c r="L1326" s="157"/>
      <c r="M1326" s="158" t="s">
        <v>28</v>
      </c>
      <c r="N1326" s="159" t="s">
        <v>29</v>
      </c>
    </row>
    <row r="1327" spans="1:14">
      <c r="A1327" s="148"/>
      <c r="B1327" s="149"/>
      <c r="C1327" s="160"/>
      <c r="D1327" s="151"/>
      <c r="E1327" s="152"/>
      <c r="F1327" s="153"/>
      <c r="G1327" s="154"/>
      <c r="H1327" s="154"/>
      <c r="I1327" s="154"/>
      <c r="J1327" s="155"/>
      <c r="K1327" s="156"/>
      <c r="L1327" s="157"/>
      <c r="M1327" s="158" t="s">
        <v>28</v>
      </c>
      <c r="N1327" s="159" t="s">
        <v>29</v>
      </c>
    </row>
    <row r="1328" spans="1:14">
      <c r="A1328" s="148"/>
      <c r="B1328" s="149"/>
      <c r="C1328" s="160"/>
      <c r="D1328" s="151"/>
      <c r="E1328" s="152"/>
      <c r="F1328" s="153"/>
      <c r="G1328" s="154"/>
      <c r="H1328" s="154"/>
      <c r="I1328" s="154"/>
      <c r="J1328" s="155"/>
      <c r="K1328" s="156"/>
      <c r="L1328" s="157"/>
      <c r="M1328" s="158" t="s">
        <v>28</v>
      </c>
      <c r="N1328" s="159" t="s">
        <v>29</v>
      </c>
    </row>
    <row r="1329" spans="1:14">
      <c r="A1329" s="148"/>
      <c r="B1329" s="149"/>
      <c r="C1329" s="160"/>
      <c r="D1329" s="151"/>
      <c r="E1329" s="152"/>
      <c r="F1329" s="153"/>
      <c r="G1329" s="154"/>
      <c r="H1329" s="154"/>
      <c r="I1329" s="154"/>
      <c r="J1329" s="155"/>
      <c r="K1329" s="156"/>
      <c r="L1329" s="157"/>
      <c r="M1329" s="158" t="s">
        <v>28</v>
      </c>
      <c r="N1329" s="159" t="s">
        <v>29</v>
      </c>
    </row>
    <row r="1330" spans="1:14">
      <c r="A1330" s="148"/>
      <c r="B1330" s="149"/>
      <c r="C1330" s="160"/>
      <c r="D1330" s="151"/>
      <c r="E1330" s="152"/>
      <c r="F1330" s="153"/>
      <c r="G1330" s="154"/>
      <c r="H1330" s="154"/>
      <c r="I1330" s="154"/>
      <c r="J1330" s="155"/>
      <c r="K1330" s="156"/>
      <c r="L1330" s="157"/>
      <c r="M1330" s="158" t="s">
        <v>28</v>
      </c>
      <c r="N1330" s="159" t="s">
        <v>29</v>
      </c>
    </row>
    <row r="1331" spans="1:14">
      <c r="A1331" s="148"/>
      <c r="B1331" s="149"/>
      <c r="C1331" s="160"/>
      <c r="D1331" s="151"/>
      <c r="E1331" s="152"/>
      <c r="F1331" s="153"/>
      <c r="G1331" s="154"/>
      <c r="H1331" s="154"/>
      <c r="I1331" s="154"/>
      <c r="J1331" s="155"/>
      <c r="K1331" s="156"/>
      <c r="L1331" s="157"/>
      <c r="M1331" s="158" t="s">
        <v>28</v>
      </c>
      <c r="N1331" s="159" t="s">
        <v>29</v>
      </c>
    </row>
    <row r="1332" spans="1:14">
      <c r="A1332" s="148"/>
      <c r="B1332" s="149"/>
      <c r="C1332" s="160"/>
      <c r="D1332" s="151"/>
      <c r="E1332" s="152"/>
      <c r="F1332" s="153"/>
      <c r="G1332" s="154"/>
      <c r="H1332" s="154"/>
      <c r="I1332" s="154"/>
      <c r="J1332" s="155"/>
      <c r="K1332" s="156"/>
      <c r="L1332" s="157"/>
      <c r="M1332" s="158" t="s">
        <v>28</v>
      </c>
      <c r="N1332" s="159" t="s">
        <v>29</v>
      </c>
    </row>
    <row r="1333" spans="1:14">
      <c r="A1333" s="148"/>
      <c r="B1333" s="149"/>
      <c r="C1333" s="160"/>
      <c r="D1333" s="151"/>
      <c r="E1333" s="152"/>
      <c r="F1333" s="153"/>
      <c r="G1333" s="154"/>
      <c r="H1333" s="154"/>
      <c r="I1333" s="154"/>
      <c r="J1333" s="155"/>
      <c r="K1333" s="156"/>
      <c r="L1333" s="157"/>
      <c r="M1333" s="158" t="s">
        <v>28</v>
      </c>
      <c r="N1333" s="159" t="s">
        <v>29</v>
      </c>
    </row>
    <row r="1334" spans="1:14">
      <c r="A1334" s="148"/>
      <c r="B1334" s="149"/>
      <c r="C1334" s="160"/>
      <c r="D1334" s="151"/>
      <c r="E1334" s="152"/>
      <c r="F1334" s="153"/>
      <c r="G1334" s="154"/>
      <c r="H1334" s="154"/>
      <c r="I1334" s="154"/>
      <c r="J1334" s="155"/>
      <c r="K1334" s="156"/>
      <c r="L1334" s="157"/>
      <c r="M1334" s="158" t="s">
        <v>28</v>
      </c>
      <c r="N1334" s="159" t="s">
        <v>29</v>
      </c>
    </row>
    <row r="1335" spans="1:14">
      <c r="A1335" s="148"/>
      <c r="B1335" s="149"/>
      <c r="C1335" s="160"/>
      <c r="D1335" s="151"/>
      <c r="E1335" s="152"/>
      <c r="F1335" s="153"/>
      <c r="G1335" s="154"/>
      <c r="H1335" s="154"/>
      <c r="I1335" s="154"/>
      <c r="J1335" s="155"/>
      <c r="K1335" s="156"/>
      <c r="L1335" s="157"/>
      <c r="M1335" s="158" t="s">
        <v>28</v>
      </c>
      <c r="N1335" s="159" t="s">
        <v>29</v>
      </c>
    </row>
    <row r="1336" spans="1:14">
      <c r="A1336" s="148"/>
      <c r="B1336" s="149"/>
      <c r="C1336" s="160"/>
      <c r="D1336" s="151"/>
      <c r="E1336" s="152"/>
      <c r="F1336" s="153"/>
      <c r="G1336" s="154"/>
      <c r="H1336" s="154"/>
      <c r="I1336" s="154"/>
      <c r="J1336" s="155"/>
      <c r="K1336" s="156"/>
      <c r="L1336" s="157"/>
      <c r="M1336" s="158" t="s">
        <v>28</v>
      </c>
      <c r="N1336" s="159" t="s">
        <v>29</v>
      </c>
    </row>
    <row r="1337" spans="1:14">
      <c r="A1337" s="148"/>
      <c r="B1337" s="149"/>
      <c r="C1337" s="160"/>
      <c r="D1337" s="151"/>
      <c r="E1337" s="152"/>
      <c r="F1337" s="153"/>
      <c r="G1337" s="154"/>
      <c r="H1337" s="154"/>
      <c r="I1337" s="154"/>
      <c r="J1337" s="155"/>
      <c r="K1337" s="156"/>
      <c r="L1337" s="157"/>
      <c r="M1337" s="158" t="s">
        <v>28</v>
      </c>
      <c r="N1337" s="159" t="s">
        <v>29</v>
      </c>
    </row>
    <row r="1338" spans="1:14">
      <c r="A1338" s="148"/>
      <c r="B1338" s="149"/>
      <c r="C1338" s="160"/>
      <c r="D1338" s="151"/>
      <c r="E1338" s="152"/>
      <c r="F1338" s="153"/>
      <c r="G1338" s="154"/>
      <c r="H1338" s="154"/>
      <c r="I1338" s="154"/>
      <c r="J1338" s="155"/>
      <c r="K1338" s="156"/>
      <c r="L1338" s="157"/>
      <c r="M1338" s="158" t="s">
        <v>28</v>
      </c>
      <c r="N1338" s="159" t="s">
        <v>29</v>
      </c>
    </row>
    <row r="1339" spans="1:14">
      <c r="A1339" s="148"/>
      <c r="B1339" s="149"/>
      <c r="C1339" s="160"/>
      <c r="D1339" s="151"/>
      <c r="E1339" s="152"/>
      <c r="F1339" s="153"/>
      <c r="G1339" s="154"/>
      <c r="H1339" s="154"/>
      <c r="I1339" s="154"/>
      <c r="J1339" s="155"/>
      <c r="K1339" s="156"/>
      <c r="L1339" s="157"/>
      <c r="M1339" s="158" t="s">
        <v>28</v>
      </c>
      <c r="N1339" s="159" t="s">
        <v>29</v>
      </c>
    </row>
    <row r="1340" spans="1:14">
      <c r="A1340" s="148"/>
      <c r="B1340" s="149"/>
      <c r="C1340" s="160"/>
      <c r="D1340" s="151"/>
      <c r="E1340" s="152"/>
      <c r="F1340" s="153"/>
      <c r="G1340" s="154"/>
      <c r="H1340" s="154"/>
      <c r="I1340" s="154"/>
      <c r="J1340" s="155"/>
      <c r="K1340" s="156"/>
      <c r="L1340" s="157"/>
      <c r="M1340" s="158" t="s">
        <v>28</v>
      </c>
      <c r="N1340" s="159" t="s">
        <v>29</v>
      </c>
    </row>
    <row r="1341" spans="1:14">
      <c r="A1341" s="148"/>
      <c r="B1341" s="149"/>
      <c r="C1341" s="160"/>
      <c r="D1341" s="151"/>
      <c r="E1341" s="152"/>
      <c r="F1341" s="153"/>
      <c r="G1341" s="154"/>
      <c r="H1341" s="154"/>
      <c r="I1341" s="154"/>
      <c r="J1341" s="155"/>
      <c r="K1341" s="156"/>
      <c r="L1341" s="157"/>
      <c r="M1341" s="158" t="s">
        <v>28</v>
      </c>
      <c r="N1341" s="159" t="s">
        <v>29</v>
      </c>
    </row>
    <row r="1342" spans="1:14">
      <c r="A1342" s="148"/>
      <c r="B1342" s="149"/>
      <c r="C1342" s="160"/>
      <c r="D1342" s="151"/>
      <c r="E1342" s="152"/>
      <c r="F1342" s="153"/>
      <c r="G1342" s="154"/>
      <c r="H1342" s="154"/>
      <c r="I1342" s="154"/>
      <c r="J1342" s="155"/>
      <c r="K1342" s="156"/>
      <c r="L1342" s="157"/>
      <c r="M1342" s="158" t="s">
        <v>28</v>
      </c>
      <c r="N1342" s="159" t="s">
        <v>29</v>
      </c>
    </row>
    <row r="1343" spans="1:14">
      <c r="A1343" s="148"/>
      <c r="B1343" s="149"/>
      <c r="C1343" s="160"/>
      <c r="D1343" s="151"/>
      <c r="E1343" s="152"/>
      <c r="F1343" s="153"/>
      <c r="G1343" s="154"/>
      <c r="H1343" s="154"/>
      <c r="I1343" s="154"/>
      <c r="J1343" s="155"/>
      <c r="K1343" s="156"/>
      <c r="L1343" s="157"/>
      <c r="M1343" s="158" t="s">
        <v>28</v>
      </c>
      <c r="N1343" s="159" t="s">
        <v>29</v>
      </c>
    </row>
    <row r="1344" spans="1:14">
      <c r="A1344" s="148"/>
      <c r="B1344" s="149"/>
      <c r="C1344" s="160"/>
      <c r="D1344" s="151"/>
      <c r="E1344" s="152"/>
      <c r="F1344" s="153"/>
      <c r="G1344" s="154"/>
      <c r="H1344" s="154"/>
      <c r="I1344" s="154"/>
      <c r="J1344" s="155"/>
      <c r="K1344" s="156"/>
      <c r="L1344" s="157"/>
      <c r="M1344" s="158" t="s">
        <v>28</v>
      </c>
      <c r="N1344" s="159" t="s">
        <v>29</v>
      </c>
    </row>
    <row r="1345" spans="1:14">
      <c r="A1345" s="148"/>
      <c r="B1345" s="149"/>
      <c r="C1345" s="160"/>
      <c r="D1345" s="151"/>
      <c r="E1345" s="152"/>
      <c r="F1345" s="153"/>
      <c r="G1345" s="154"/>
      <c r="H1345" s="154"/>
      <c r="I1345" s="154"/>
      <c r="J1345" s="155"/>
      <c r="K1345" s="156"/>
      <c r="L1345" s="157"/>
      <c r="M1345" s="158" t="s">
        <v>28</v>
      </c>
      <c r="N1345" s="159" t="s">
        <v>29</v>
      </c>
    </row>
    <row r="1346" spans="1:14">
      <c r="A1346" s="148"/>
      <c r="B1346" s="149"/>
      <c r="C1346" s="160"/>
      <c r="D1346" s="151"/>
      <c r="E1346" s="152"/>
      <c r="F1346" s="153"/>
      <c r="G1346" s="154"/>
      <c r="H1346" s="154"/>
      <c r="I1346" s="154"/>
      <c r="J1346" s="155"/>
      <c r="K1346" s="156"/>
      <c r="L1346" s="157"/>
      <c r="M1346" s="158" t="s">
        <v>28</v>
      </c>
      <c r="N1346" s="159" t="s">
        <v>29</v>
      </c>
    </row>
    <row r="1347" spans="1:14">
      <c r="A1347" s="148"/>
      <c r="B1347" s="149"/>
      <c r="C1347" s="160"/>
      <c r="D1347" s="151"/>
      <c r="E1347" s="152"/>
      <c r="F1347" s="153"/>
      <c r="G1347" s="154"/>
      <c r="H1347" s="154"/>
      <c r="I1347" s="154"/>
      <c r="J1347" s="155"/>
      <c r="K1347" s="156"/>
      <c r="L1347" s="157"/>
      <c r="M1347" s="158" t="s">
        <v>28</v>
      </c>
      <c r="N1347" s="159" t="s">
        <v>29</v>
      </c>
    </row>
    <row r="1348" spans="1:14">
      <c r="A1348" s="148"/>
      <c r="B1348" s="149"/>
      <c r="C1348" s="160"/>
      <c r="D1348" s="151"/>
      <c r="E1348" s="152"/>
      <c r="F1348" s="153"/>
      <c r="G1348" s="154"/>
      <c r="H1348" s="154"/>
      <c r="I1348" s="154"/>
      <c r="J1348" s="155"/>
      <c r="K1348" s="156"/>
      <c r="L1348" s="157"/>
      <c r="M1348" s="158" t="s">
        <v>28</v>
      </c>
      <c r="N1348" s="159" t="s">
        <v>29</v>
      </c>
    </row>
    <row r="1349" spans="1:14">
      <c r="A1349" s="148"/>
      <c r="B1349" s="149"/>
      <c r="C1349" s="160"/>
      <c r="D1349" s="151"/>
      <c r="E1349" s="152"/>
      <c r="F1349" s="153"/>
      <c r="G1349" s="154"/>
      <c r="H1349" s="154"/>
      <c r="I1349" s="154"/>
      <c r="J1349" s="155"/>
      <c r="K1349" s="156"/>
      <c r="L1349" s="157"/>
      <c r="M1349" s="158" t="s">
        <v>28</v>
      </c>
      <c r="N1349" s="159" t="s">
        <v>29</v>
      </c>
    </row>
    <row r="1350" spans="1:14">
      <c r="A1350" s="148"/>
      <c r="B1350" s="149"/>
      <c r="C1350" s="160"/>
      <c r="D1350" s="151"/>
      <c r="E1350" s="152"/>
      <c r="F1350" s="153"/>
      <c r="G1350" s="154"/>
      <c r="H1350" s="154"/>
      <c r="I1350" s="154"/>
      <c r="J1350" s="155"/>
      <c r="K1350" s="156"/>
      <c r="L1350" s="157"/>
      <c r="M1350" s="158" t="s">
        <v>28</v>
      </c>
      <c r="N1350" s="159" t="s">
        <v>29</v>
      </c>
    </row>
    <row r="1351" spans="1:14">
      <c r="A1351" s="148"/>
      <c r="B1351" s="149"/>
      <c r="C1351" s="160"/>
      <c r="D1351" s="151"/>
      <c r="E1351" s="152"/>
      <c r="F1351" s="153"/>
      <c r="G1351" s="154"/>
      <c r="H1351" s="154"/>
      <c r="I1351" s="154"/>
      <c r="J1351" s="155"/>
      <c r="K1351" s="156"/>
      <c r="L1351" s="157"/>
      <c r="M1351" s="158" t="s">
        <v>28</v>
      </c>
      <c r="N1351" s="159" t="s">
        <v>29</v>
      </c>
    </row>
    <row r="1352" spans="1:14">
      <c r="A1352" s="148"/>
      <c r="B1352" s="149"/>
      <c r="C1352" s="160"/>
      <c r="D1352" s="151"/>
      <c r="E1352" s="152"/>
      <c r="F1352" s="153"/>
      <c r="G1352" s="154"/>
      <c r="H1352" s="154"/>
      <c r="I1352" s="154"/>
      <c r="J1352" s="155"/>
      <c r="K1352" s="156"/>
      <c r="L1352" s="157"/>
      <c r="M1352" s="158" t="s">
        <v>28</v>
      </c>
      <c r="N1352" s="159" t="s">
        <v>29</v>
      </c>
    </row>
    <row r="1353" spans="1:14">
      <c r="A1353" s="148"/>
      <c r="B1353" s="149"/>
      <c r="C1353" s="160"/>
      <c r="D1353" s="151"/>
      <c r="E1353" s="152"/>
      <c r="F1353" s="153"/>
      <c r="G1353" s="154"/>
      <c r="H1353" s="154"/>
      <c r="I1353" s="154"/>
      <c r="J1353" s="155"/>
      <c r="K1353" s="156"/>
      <c r="L1353" s="157"/>
      <c r="M1353" s="158" t="s">
        <v>28</v>
      </c>
      <c r="N1353" s="159" t="s">
        <v>29</v>
      </c>
    </row>
    <row r="1354" spans="1:14">
      <c r="A1354" s="148"/>
      <c r="B1354" s="149"/>
      <c r="C1354" s="160"/>
      <c r="D1354" s="151"/>
      <c r="E1354" s="152"/>
      <c r="F1354" s="153"/>
      <c r="G1354" s="154"/>
      <c r="H1354" s="154"/>
      <c r="I1354" s="154"/>
      <c r="J1354" s="155"/>
      <c r="K1354" s="156"/>
      <c r="L1354" s="157"/>
      <c r="M1354" s="158" t="s">
        <v>28</v>
      </c>
      <c r="N1354" s="159" t="s">
        <v>29</v>
      </c>
    </row>
    <row r="1355" spans="1:14">
      <c r="A1355" s="148"/>
      <c r="B1355" s="149"/>
      <c r="C1355" s="160"/>
      <c r="D1355" s="151"/>
      <c r="E1355" s="152"/>
      <c r="F1355" s="153"/>
      <c r="G1355" s="154"/>
      <c r="H1355" s="154"/>
      <c r="I1355" s="154"/>
      <c r="J1355" s="155"/>
      <c r="K1355" s="156"/>
      <c r="L1355" s="157"/>
      <c r="M1355" s="158" t="s">
        <v>28</v>
      </c>
      <c r="N1355" s="159" t="s">
        <v>29</v>
      </c>
    </row>
    <row r="1356" spans="1:14">
      <c r="A1356" s="148"/>
      <c r="B1356" s="149"/>
      <c r="C1356" s="160"/>
      <c r="D1356" s="151"/>
      <c r="E1356" s="152"/>
      <c r="F1356" s="153"/>
      <c r="G1356" s="154"/>
      <c r="H1356" s="154"/>
      <c r="I1356" s="154"/>
      <c r="J1356" s="155"/>
      <c r="K1356" s="156"/>
      <c r="L1356" s="157"/>
      <c r="M1356" s="158" t="s">
        <v>28</v>
      </c>
      <c r="N1356" s="159" t="s">
        <v>29</v>
      </c>
    </row>
    <row r="1357" spans="1:14">
      <c r="A1357" s="148"/>
      <c r="B1357" s="149"/>
      <c r="C1357" s="160"/>
      <c r="D1357" s="151"/>
      <c r="E1357" s="152"/>
      <c r="F1357" s="153"/>
      <c r="G1357" s="154"/>
      <c r="H1357" s="154"/>
      <c r="I1357" s="154"/>
      <c r="J1357" s="155"/>
      <c r="K1357" s="156"/>
      <c r="L1357" s="157"/>
      <c r="M1357" s="158" t="s">
        <v>28</v>
      </c>
      <c r="N1357" s="159" t="s">
        <v>29</v>
      </c>
    </row>
    <row r="1358" spans="1:14">
      <c r="A1358" s="148"/>
      <c r="B1358" s="149"/>
      <c r="C1358" s="160"/>
      <c r="D1358" s="151"/>
      <c r="E1358" s="152"/>
      <c r="F1358" s="153"/>
      <c r="G1358" s="154"/>
      <c r="H1358" s="154"/>
      <c r="I1358" s="154"/>
      <c r="J1358" s="155"/>
      <c r="K1358" s="156"/>
      <c r="L1358" s="157"/>
      <c r="M1358" s="158" t="s">
        <v>28</v>
      </c>
      <c r="N1358" s="159" t="s">
        <v>29</v>
      </c>
    </row>
    <row r="1359" spans="1:14">
      <c r="A1359" s="148"/>
      <c r="B1359" s="149"/>
      <c r="C1359" s="160"/>
      <c r="D1359" s="151"/>
      <c r="E1359" s="152"/>
      <c r="F1359" s="153"/>
      <c r="G1359" s="154"/>
      <c r="H1359" s="154"/>
      <c r="I1359" s="154"/>
      <c r="J1359" s="155"/>
      <c r="K1359" s="156"/>
      <c r="L1359" s="157"/>
      <c r="M1359" s="158" t="s">
        <v>28</v>
      </c>
      <c r="N1359" s="159" t="s">
        <v>29</v>
      </c>
    </row>
    <row r="1360" spans="1:14">
      <c r="A1360" s="148"/>
      <c r="B1360" s="149"/>
      <c r="C1360" s="160"/>
      <c r="D1360" s="151"/>
      <c r="E1360" s="152"/>
      <c r="F1360" s="153"/>
      <c r="G1360" s="154"/>
      <c r="H1360" s="154"/>
      <c r="I1360" s="154"/>
      <c r="J1360" s="155"/>
      <c r="K1360" s="156"/>
      <c r="L1360" s="157"/>
      <c r="M1360" s="158" t="s">
        <v>28</v>
      </c>
      <c r="N1360" s="159" t="s">
        <v>29</v>
      </c>
    </row>
    <row r="1361" spans="1:14">
      <c r="A1361" s="148"/>
      <c r="B1361" s="149"/>
      <c r="C1361" s="160"/>
      <c r="D1361" s="151"/>
      <c r="E1361" s="152"/>
      <c r="F1361" s="153"/>
      <c r="G1361" s="154"/>
      <c r="H1361" s="154"/>
      <c r="I1361" s="154"/>
      <c r="J1361" s="155"/>
      <c r="K1361" s="156"/>
      <c r="L1361" s="157"/>
      <c r="M1361" s="158" t="s">
        <v>28</v>
      </c>
      <c r="N1361" s="159" t="s">
        <v>29</v>
      </c>
    </row>
    <row r="1362" spans="1:14">
      <c r="A1362" s="148"/>
      <c r="B1362" s="149"/>
      <c r="C1362" s="160"/>
      <c r="D1362" s="151"/>
      <c r="E1362" s="152"/>
      <c r="F1362" s="153"/>
      <c r="G1362" s="154"/>
      <c r="H1362" s="154"/>
      <c r="I1362" s="154"/>
      <c r="J1362" s="155"/>
      <c r="K1362" s="156"/>
      <c r="L1362" s="157"/>
      <c r="M1362" s="158" t="s">
        <v>28</v>
      </c>
      <c r="N1362" s="159" t="s">
        <v>29</v>
      </c>
    </row>
    <row r="1363" spans="1:14">
      <c r="A1363" s="148"/>
      <c r="B1363" s="149"/>
      <c r="C1363" s="160"/>
      <c r="D1363" s="151"/>
      <c r="E1363" s="152"/>
      <c r="F1363" s="153"/>
      <c r="G1363" s="154"/>
      <c r="H1363" s="154"/>
      <c r="I1363" s="154"/>
      <c r="J1363" s="155"/>
      <c r="K1363" s="156"/>
      <c r="L1363" s="157"/>
      <c r="M1363" s="158" t="s">
        <v>28</v>
      </c>
      <c r="N1363" s="159" t="s">
        <v>29</v>
      </c>
    </row>
    <row r="1364" spans="1:14">
      <c r="A1364" s="148"/>
      <c r="B1364" s="149"/>
      <c r="C1364" s="160"/>
      <c r="D1364" s="151"/>
      <c r="E1364" s="152"/>
      <c r="F1364" s="153"/>
      <c r="G1364" s="154"/>
      <c r="H1364" s="154"/>
      <c r="I1364" s="154"/>
      <c r="J1364" s="155"/>
      <c r="K1364" s="156"/>
      <c r="L1364" s="157"/>
      <c r="M1364" s="158" t="s">
        <v>28</v>
      </c>
      <c r="N1364" s="159" t="s">
        <v>29</v>
      </c>
    </row>
    <row r="1365" spans="1:14">
      <c r="A1365" s="148"/>
      <c r="B1365" s="149"/>
      <c r="C1365" s="160"/>
      <c r="D1365" s="151"/>
      <c r="E1365" s="152"/>
      <c r="F1365" s="153"/>
      <c r="G1365" s="154"/>
      <c r="H1365" s="154"/>
      <c r="I1365" s="154"/>
      <c r="J1365" s="155"/>
      <c r="K1365" s="156"/>
      <c r="L1365" s="157"/>
      <c r="M1365" s="158" t="s">
        <v>28</v>
      </c>
      <c r="N1365" s="159" t="s">
        <v>29</v>
      </c>
    </row>
    <row r="1366" spans="1:14">
      <c r="A1366" s="148"/>
      <c r="B1366" s="149"/>
      <c r="C1366" s="160"/>
      <c r="D1366" s="151"/>
      <c r="E1366" s="152"/>
      <c r="F1366" s="153"/>
      <c r="G1366" s="154"/>
      <c r="H1366" s="154"/>
      <c r="I1366" s="154"/>
      <c r="J1366" s="155"/>
      <c r="K1366" s="156"/>
      <c r="L1366" s="157"/>
      <c r="M1366" s="158" t="s">
        <v>28</v>
      </c>
      <c r="N1366" s="159" t="s">
        <v>29</v>
      </c>
    </row>
    <row r="1367" spans="1:14">
      <c r="A1367" s="148"/>
      <c r="B1367" s="149"/>
      <c r="C1367" s="160"/>
      <c r="D1367" s="151"/>
      <c r="E1367" s="152"/>
      <c r="F1367" s="153"/>
      <c r="G1367" s="154"/>
      <c r="H1367" s="154"/>
      <c r="I1367" s="154"/>
      <c r="J1367" s="155"/>
      <c r="K1367" s="156"/>
      <c r="L1367" s="157"/>
      <c r="M1367" s="158" t="s">
        <v>28</v>
      </c>
      <c r="N1367" s="159" t="s">
        <v>29</v>
      </c>
    </row>
    <row r="1368" spans="1:14">
      <c r="A1368" s="148"/>
      <c r="B1368" s="149"/>
      <c r="C1368" s="160"/>
      <c r="D1368" s="151"/>
      <c r="E1368" s="152"/>
      <c r="F1368" s="153"/>
      <c r="G1368" s="154"/>
      <c r="H1368" s="154"/>
      <c r="I1368" s="154"/>
      <c r="J1368" s="155"/>
      <c r="K1368" s="156"/>
      <c r="L1368" s="157"/>
      <c r="M1368" s="158" t="s">
        <v>28</v>
      </c>
      <c r="N1368" s="159" t="s">
        <v>29</v>
      </c>
    </row>
    <row r="1369" spans="1:14">
      <c r="A1369" s="148"/>
      <c r="B1369" s="149"/>
      <c r="C1369" s="160"/>
      <c r="D1369" s="151"/>
      <c r="E1369" s="152"/>
      <c r="F1369" s="153"/>
      <c r="G1369" s="154"/>
      <c r="H1369" s="154"/>
      <c r="I1369" s="154"/>
      <c r="J1369" s="155"/>
      <c r="K1369" s="156"/>
      <c r="L1369" s="157"/>
      <c r="M1369" s="158" t="s">
        <v>28</v>
      </c>
      <c r="N1369" s="159" t="s">
        <v>29</v>
      </c>
    </row>
    <row r="1370" spans="1:14">
      <c r="A1370" s="148"/>
      <c r="B1370" s="149"/>
      <c r="C1370" s="160"/>
      <c r="D1370" s="151"/>
      <c r="E1370" s="152"/>
      <c r="F1370" s="153"/>
      <c r="G1370" s="154"/>
      <c r="H1370" s="154"/>
      <c r="I1370" s="154"/>
      <c r="J1370" s="155"/>
      <c r="K1370" s="156"/>
      <c r="L1370" s="157"/>
      <c r="M1370" s="158" t="s">
        <v>28</v>
      </c>
      <c r="N1370" s="159" t="s">
        <v>29</v>
      </c>
    </row>
    <row r="1371" spans="1:14">
      <c r="A1371" s="148"/>
      <c r="B1371" s="149"/>
      <c r="C1371" s="160"/>
      <c r="D1371" s="151"/>
      <c r="E1371" s="152"/>
      <c r="F1371" s="153"/>
      <c r="G1371" s="154"/>
      <c r="H1371" s="154"/>
      <c r="I1371" s="154"/>
      <c r="J1371" s="155"/>
      <c r="K1371" s="156"/>
      <c r="L1371" s="157"/>
      <c r="M1371" s="158" t="s">
        <v>28</v>
      </c>
      <c r="N1371" s="159" t="s">
        <v>29</v>
      </c>
    </row>
    <row r="1372" spans="1:14">
      <c r="A1372" s="148"/>
      <c r="B1372" s="149"/>
      <c r="C1372" s="160"/>
      <c r="D1372" s="151"/>
      <c r="E1372" s="152"/>
      <c r="F1372" s="153"/>
      <c r="G1372" s="154"/>
      <c r="H1372" s="154"/>
      <c r="I1372" s="154"/>
      <c r="J1372" s="155"/>
      <c r="K1372" s="156"/>
      <c r="L1372" s="157"/>
      <c r="M1372" s="158" t="s">
        <v>28</v>
      </c>
      <c r="N1372" s="159" t="s">
        <v>29</v>
      </c>
    </row>
    <row r="1373" spans="1:14">
      <c r="A1373" s="148"/>
      <c r="B1373" s="149"/>
      <c r="C1373" s="160"/>
      <c r="D1373" s="151"/>
      <c r="E1373" s="152"/>
      <c r="F1373" s="153"/>
      <c r="G1373" s="154"/>
      <c r="H1373" s="154"/>
      <c r="I1373" s="154"/>
      <c r="J1373" s="155"/>
      <c r="K1373" s="156"/>
      <c r="L1373" s="157"/>
      <c r="M1373" s="158" t="s">
        <v>28</v>
      </c>
      <c r="N1373" s="159" t="s">
        <v>29</v>
      </c>
    </row>
    <row r="1374" spans="1:14">
      <c r="A1374" s="148"/>
      <c r="B1374" s="149"/>
      <c r="C1374" s="160"/>
      <c r="D1374" s="151"/>
      <c r="E1374" s="152"/>
      <c r="F1374" s="153"/>
      <c r="G1374" s="154"/>
      <c r="H1374" s="154"/>
      <c r="I1374" s="154"/>
      <c r="J1374" s="155"/>
      <c r="K1374" s="156"/>
      <c r="L1374" s="157"/>
      <c r="M1374" s="158" t="s">
        <v>28</v>
      </c>
      <c r="N1374" s="159" t="s">
        <v>29</v>
      </c>
    </row>
    <row r="1375" spans="1:14">
      <c r="A1375" s="148"/>
      <c r="B1375" s="149"/>
      <c r="C1375" s="160"/>
      <c r="D1375" s="151"/>
      <c r="E1375" s="152"/>
      <c r="F1375" s="153"/>
      <c r="G1375" s="154"/>
      <c r="H1375" s="154"/>
      <c r="I1375" s="154"/>
      <c r="J1375" s="155"/>
      <c r="K1375" s="156"/>
      <c r="L1375" s="157"/>
      <c r="M1375" s="158" t="s">
        <v>28</v>
      </c>
      <c r="N1375" s="159" t="s">
        <v>29</v>
      </c>
    </row>
    <row r="1376" spans="1:14">
      <c r="A1376" s="148"/>
      <c r="B1376" s="149"/>
      <c r="C1376" s="160"/>
      <c r="D1376" s="151"/>
      <c r="E1376" s="152"/>
      <c r="F1376" s="153"/>
      <c r="G1376" s="154"/>
      <c r="H1376" s="154"/>
      <c r="I1376" s="154"/>
      <c r="J1376" s="155"/>
      <c r="K1376" s="156"/>
      <c r="L1376" s="157"/>
      <c r="M1376" s="158" t="s">
        <v>28</v>
      </c>
      <c r="N1376" s="159" t="s">
        <v>29</v>
      </c>
    </row>
    <row r="1377" spans="1:14">
      <c r="A1377" s="148"/>
      <c r="B1377" s="149"/>
      <c r="C1377" s="160"/>
      <c r="D1377" s="151"/>
      <c r="E1377" s="152"/>
      <c r="F1377" s="153"/>
      <c r="G1377" s="154"/>
      <c r="H1377" s="154"/>
      <c r="I1377" s="154"/>
      <c r="J1377" s="155"/>
      <c r="K1377" s="156"/>
      <c r="L1377" s="157"/>
      <c r="M1377" s="158" t="s">
        <v>28</v>
      </c>
      <c r="N1377" s="159" t="s">
        <v>29</v>
      </c>
    </row>
    <row r="1378" spans="1:14">
      <c r="A1378" s="148"/>
      <c r="B1378" s="149"/>
      <c r="C1378" s="160"/>
      <c r="D1378" s="151"/>
      <c r="E1378" s="152"/>
      <c r="F1378" s="153"/>
      <c r="G1378" s="154"/>
      <c r="H1378" s="154"/>
      <c r="I1378" s="154"/>
      <c r="J1378" s="155"/>
      <c r="K1378" s="156"/>
      <c r="L1378" s="157"/>
      <c r="M1378" s="158" t="s">
        <v>28</v>
      </c>
      <c r="N1378" s="159" t="s">
        <v>29</v>
      </c>
    </row>
    <row r="1379" spans="1:14">
      <c r="A1379" s="148"/>
      <c r="B1379" s="149"/>
      <c r="C1379" s="160"/>
      <c r="D1379" s="151"/>
      <c r="E1379" s="152"/>
      <c r="F1379" s="153"/>
      <c r="G1379" s="154"/>
      <c r="H1379" s="154"/>
      <c r="I1379" s="154"/>
      <c r="J1379" s="155"/>
      <c r="K1379" s="156"/>
      <c r="L1379" s="157"/>
      <c r="M1379" s="158" t="s">
        <v>28</v>
      </c>
      <c r="N1379" s="159" t="s">
        <v>29</v>
      </c>
    </row>
    <row r="1380" spans="1:14">
      <c r="A1380" s="148"/>
      <c r="B1380" s="149"/>
      <c r="C1380" s="160"/>
      <c r="D1380" s="151"/>
      <c r="E1380" s="152"/>
      <c r="F1380" s="153"/>
      <c r="G1380" s="154"/>
      <c r="H1380" s="154"/>
      <c r="I1380" s="154"/>
      <c r="J1380" s="155"/>
      <c r="K1380" s="156"/>
      <c r="L1380" s="157"/>
      <c r="M1380" s="158" t="s">
        <v>28</v>
      </c>
      <c r="N1380" s="159" t="s">
        <v>29</v>
      </c>
    </row>
    <row r="1381" spans="1:14">
      <c r="A1381" s="148"/>
      <c r="B1381" s="149"/>
      <c r="C1381" s="160"/>
      <c r="D1381" s="151"/>
      <c r="E1381" s="152"/>
      <c r="F1381" s="153"/>
      <c r="G1381" s="154"/>
      <c r="H1381" s="154"/>
      <c r="I1381" s="154"/>
      <c r="J1381" s="155"/>
      <c r="K1381" s="156"/>
      <c r="L1381" s="157"/>
      <c r="M1381" s="158" t="s">
        <v>28</v>
      </c>
      <c r="N1381" s="159" t="s">
        <v>29</v>
      </c>
    </row>
    <row r="1382" spans="1:14">
      <c r="A1382" s="148"/>
      <c r="B1382" s="149"/>
      <c r="C1382" s="160"/>
      <c r="D1382" s="151"/>
      <c r="E1382" s="152"/>
      <c r="F1382" s="153"/>
      <c r="G1382" s="154"/>
      <c r="H1382" s="154"/>
      <c r="I1382" s="154"/>
      <c r="J1382" s="155"/>
      <c r="K1382" s="156"/>
      <c r="L1382" s="157"/>
      <c r="M1382" s="158" t="s">
        <v>28</v>
      </c>
      <c r="N1382" s="159" t="s">
        <v>29</v>
      </c>
    </row>
    <row r="1383" spans="1:14">
      <c r="A1383" s="148"/>
      <c r="B1383" s="149"/>
      <c r="C1383" s="160"/>
      <c r="D1383" s="151"/>
      <c r="E1383" s="152"/>
      <c r="F1383" s="153"/>
      <c r="G1383" s="154"/>
      <c r="H1383" s="154"/>
      <c r="I1383" s="154"/>
      <c r="J1383" s="155"/>
      <c r="K1383" s="156"/>
      <c r="L1383" s="157"/>
      <c r="M1383" s="158" t="s">
        <v>28</v>
      </c>
      <c r="N1383" s="159" t="s">
        <v>29</v>
      </c>
    </row>
    <row r="1384" spans="1:14">
      <c r="A1384" s="148"/>
      <c r="B1384" s="149"/>
      <c r="C1384" s="160"/>
      <c r="D1384" s="151"/>
      <c r="E1384" s="152"/>
      <c r="F1384" s="153"/>
      <c r="G1384" s="154"/>
      <c r="H1384" s="154"/>
      <c r="I1384" s="154"/>
      <c r="J1384" s="155"/>
      <c r="K1384" s="156"/>
      <c r="L1384" s="157"/>
      <c r="M1384" s="158" t="s">
        <v>28</v>
      </c>
      <c r="N1384" s="159" t="s">
        <v>29</v>
      </c>
    </row>
    <row r="1385" spans="1:14">
      <c r="A1385" s="148"/>
      <c r="B1385" s="149"/>
      <c r="C1385" s="160"/>
      <c r="D1385" s="151"/>
      <c r="E1385" s="152"/>
      <c r="F1385" s="153"/>
      <c r="G1385" s="154"/>
      <c r="H1385" s="154"/>
      <c r="I1385" s="154"/>
      <c r="J1385" s="155"/>
      <c r="K1385" s="156"/>
      <c r="L1385" s="157"/>
      <c r="M1385" s="158" t="s">
        <v>28</v>
      </c>
      <c r="N1385" s="159" t="s">
        <v>29</v>
      </c>
    </row>
    <row r="1386" spans="1:14">
      <c r="A1386" s="148"/>
      <c r="B1386" s="149"/>
      <c r="C1386" s="160"/>
      <c r="D1386" s="151"/>
      <c r="E1386" s="152"/>
      <c r="F1386" s="153"/>
      <c r="G1386" s="154"/>
      <c r="H1386" s="154"/>
      <c r="I1386" s="154"/>
      <c r="J1386" s="155"/>
      <c r="K1386" s="156"/>
      <c r="L1386" s="157"/>
      <c r="M1386" s="158" t="s">
        <v>28</v>
      </c>
      <c r="N1386" s="159" t="s">
        <v>29</v>
      </c>
    </row>
    <row r="1387" spans="1:14">
      <c r="A1387" s="148"/>
      <c r="B1387" s="149"/>
      <c r="C1387" s="160"/>
      <c r="D1387" s="151"/>
      <c r="E1387" s="152"/>
      <c r="F1387" s="153"/>
      <c r="G1387" s="154"/>
      <c r="H1387" s="154"/>
      <c r="I1387" s="154"/>
      <c r="J1387" s="155"/>
      <c r="K1387" s="156"/>
      <c r="L1387" s="157"/>
      <c r="M1387" s="158" t="s">
        <v>28</v>
      </c>
      <c r="N1387" s="159" t="s">
        <v>29</v>
      </c>
    </row>
    <row r="1388" spans="1:14">
      <c r="A1388" s="148"/>
      <c r="B1388" s="149"/>
      <c r="C1388" s="160"/>
      <c r="D1388" s="151"/>
      <c r="E1388" s="152"/>
      <c r="F1388" s="153"/>
      <c r="G1388" s="154"/>
      <c r="H1388" s="154"/>
      <c r="I1388" s="154"/>
      <c r="J1388" s="155"/>
      <c r="K1388" s="156"/>
      <c r="L1388" s="157"/>
      <c r="M1388" s="158" t="s">
        <v>28</v>
      </c>
      <c r="N1388" s="159" t="s">
        <v>29</v>
      </c>
    </row>
    <row r="1389" spans="1:14">
      <c r="A1389" s="148"/>
      <c r="B1389" s="149"/>
      <c r="C1389" s="160"/>
      <c r="D1389" s="151"/>
      <c r="E1389" s="152"/>
      <c r="F1389" s="153"/>
      <c r="G1389" s="154"/>
      <c r="H1389" s="154"/>
      <c r="I1389" s="154"/>
      <c r="J1389" s="155"/>
      <c r="K1389" s="156"/>
      <c r="L1389" s="157"/>
      <c r="M1389" s="158" t="s">
        <v>28</v>
      </c>
      <c r="N1389" s="159" t="s">
        <v>29</v>
      </c>
    </row>
    <row r="1390" spans="1:14">
      <c r="A1390" s="148"/>
      <c r="B1390" s="149"/>
      <c r="C1390" s="160"/>
      <c r="D1390" s="151"/>
      <c r="E1390" s="152"/>
      <c r="F1390" s="153"/>
      <c r="G1390" s="154"/>
      <c r="H1390" s="154"/>
      <c r="I1390" s="154"/>
      <c r="J1390" s="155"/>
      <c r="K1390" s="156"/>
      <c r="L1390" s="157"/>
      <c r="M1390" s="158" t="s">
        <v>28</v>
      </c>
      <c r="N1390" s="159" t="s">
        <v>29</v>
      </c>
    </row>
    <row r="1391" spans="1:14">
      <c r="A1391" s="148"/>
      <c r="B1391" s="149"/>
      <c r="C1391" s="160"/>
      <c r="D1391" s="151"/>
      <c r="E1391" s="152"/>
      <c r="F1391" s="153"/>
      <c r="G1391" s="154"/>
      <c r="H1391" s="154"/>
      <c r="I1391" s="154"/>
      <c r="J1391" s="155"/>
      <c r="K1391" s="156"/>
      <c r="L1391" s="157"/>
      <c r="M1391" s="158" t="s">
        <v>28</v>
      </c>
      <c r="N1391" s="159" t="s">
        <v>29</v>
      </c>
    </row>
    <row r="1392" spans="1:14">
      <c r="A1392" s="148"/>
      <c r="B1392" s="149"/>
      <c r="C1392" s="160"/>
      <c r="D1392" s="151"/>
      <c r="E1392" s="152"/>
      <c r="F1392" s="153"/>
      <c r="G1392" s="154"/>
      <c r="H1392" s="154"/>
      <c r="I1392" s="154"/>
      <c r="J1392" s="155"/>
      <c r="K1392" s="156"/>
      <c r="L1392" s="157"/>
      <c r="M1392" s="158" t="s">
        <v>28</v>
      </c>
      <c r="N1392" s="159" t="s">
        <v>29</v>
      </c>
    </row>
    <row r="1393" spans="1:14">
      <c r="A1393" s="148"/>
      <c r="B1393" s="149"/>
      <c r="C1393" s="160"/>
      <c r="D1393" s="151"/>
      <c r="E1393" s="152"/>
      <c r="F1393" s="153"/>
      <c r="G1393" s="154"/>
      <c r="H1393" s="154"/>
      <c r="I1393" s="154"/>
      <c r="J1393" s="155"/>
      <c r="K1393" s="156"/>
      <c r="L1393" s="157"/>
      <c r="M1393" s="158" t="s">
        <v>28</v>
      </c>
      <c r="N1393" s="159" t="s">
        <v>29</v>
      </c>
    </row>
    <row r="1394" spans="1:14">
      <c r="A1394" s="148"/>
      <c r="B1394" s="149"/>
      <c r="C1394" s="160"/>
      <c r="D1394" s="151"/>
      <c r="E1394" s="152"/>
      <c r="F1394" s="153"/>
      <c r="G1394" s="154"/>
      <c r="H1394" s="154"/>
      <c r="I1394" s="154"/>
      <c r="J1394" s="155"/>
      <c r="K1394" s="156"/>
      <c r="L1394" s="157"/>
      <c r="M1394" s="158" t="s">
        <v>28</v>
      </c>
      <c r="N1394" s="159" t="s">
        <v>29</v>
      </c>
    </row>
    <row r="1395" spans="1:14">
      <c r="A1395" s="148"/>
      <c r="B1395" s="149"/>
      <c r="C1395" s="160"/>
      <c r="D1395" s="151"/>
      <c r="E1395" s="152"/>
      <c r="F1395" s="153"/>
      <c r="G1395" s="154"/>
      <c r="H1395" s="154"/>
      <c r="I1395" s="154"/>
      <c r="J1395" s="155"/>
      <c r="K1395" s="156"/>
      <c r="L1395" s="157"/>
      <c r="M1395" s="158" t="s">
        <v>28</v>
      </c>
      <c r="N1395" s="159" t="s">
        <v>29</v>
      </c>
    </row>
    <row r="1396" spans="1:14">
      <c r="A1396" s="148"/>
      <c r="B1396" s="149"/>
      <c r="C1396" s="160"/>
      <c r="D1396" s="151"/>
      <c r="E1396" s="152"/>
      <c r="F1396" s="153"/>
      <c r="G1396" s="154"/>
      <c r="H1396" s="154"/>
      <c r="I1396" s="154"/>
      <c r="J1396" s="155"/>
      <c r="K1396" s="156"/>
      <c r="L1396" s="157"/>
      <c r="M1396" s="158" t="s">
        <v>28</v>
      </c>
      <c r="N1396" s="159" t="s">
        <v>29</v>
      </c>
    </row>
    <row r="1397" spans="1:14">
      <c r="A1397" s="148"/>
      <c r="B1397" s="149"/>
      <c r="C1397" s="160"/>
      <c r="D1397" s="151"/>
      <c r="E1397" s="152"/>
      <c r="F1397" s="153"/>
      <c r="G1397" s="154"/>
      <c r="H1397" s="154"/>
      <c r="I1397" s="154"/>
      <c r="J1397" s="155"/>
      <c r="K1397" s="156"/>
      <c r="L1397" s="157"/>
      <c r="M1397" s="158" t="s">
        <v>28</v>
      </c>
      <c r="N1397" s="159" t="s">
        <v>29</v>
      </c>
    </row>
    <row r="1398" spans="1:14">
      <c r="A1398" s="148"/>
      <c r="B1398" s="149"/>
      <c r="C1398" s="160"/>
      <c r="D1398" s="151"/>
      <c r="E1398" s="152"/>
      <c r="F1398" s="153"/>
      <c r="G1398" s="154"/>
      <c r="H1398" s="154"/>
      <c r="I1398" s="154"/>
      <c r="J1398" s="155"/>
      <c r="K1398" s="156"/>
      <c r="L1398" s="157"/>
      <c r="M1398" s="158" t="s">
        <v>28</v>
      </c>
      <c r="N1398" s="159" t="s">
        <v>29</v>
      </c>
    </row>
    <row r="1399" spans="1:14">
      <c r="A1399" s="148"/>
      <c r="B1399" s="149"/>
      <c r="C1399" s="160"/>
      <c r="D1399" s="151"/>
      <c r="E1399" s="152"/>
      <c r="F1399" s="153"/>
      <c r="G1399" s="154"/>
      <c r="H1399" s="154"/>
      <c r="I1399" s="154"/>
      <c r="J1399" s="155"/>
      <c r="K1399" s="156"/>
      <c r="L1399" s="157"/>
      <c r="M1399" s="158" t="s">
        <v>28</v>
      </c>
      <c r="N1399" s="159" t="s">
        <v>29</v>
      </c>
    </row>
    <row r="1400" spans="1:14">
      <c r="A1400" s="148"/>
      <c r="B1400" s="149"/>
      <c r="C1400" s="160"/>
      <c r="D1400" s="151"/>
      <c r="E1400" s="152"/>
      <c r="F1400" s="153"/>
      <c r="G1400" s="154"/>
      <c r="H1400" s="154"/>
      <c r="I1400" s="154"/>
      <c r="J1400" s="155"/>
      <c r="K1400" s="156"/>
      <c r="L1400" s="157"/>
      <c r="M1400" s="158" t="s">
        <v>28</v>
      </c>
      <c r="N1400" s="159" t="s">
        <v>29</v>
      </c>
    </row>
    <row r="1401" spans="1:14">
      <c r="A1401" s="148"/>
      <c r="B1401" s="149"/>
      <c r="C1401" s="160"/>
      <c r="D1401" s="151"/>
      <c r="E1401" s="152"/>
      <c r="F1401" s="153"/>
      <c r="G1401" s="154"/>
      <c r="H1401" s="154"/>
      <c r="I1401" s="154"/>
      <c r="J1401" s="155"/>
      <c r="K1401" s="156"/>
      <c r="L1401" s="157"/>
      <c r="M1401" s="158" t="s">
        <v>28</v>
      </c>
      <c r="N1401" s="159" t="s">
        <v>29</v>
      </c>
    </row>
    <row r="1402" spans="1:14">
      <c r="A1402" s="148"/>
      <c r="B1402" s="149"/>
      <c r="C1402" s="160"/>
      <c r="D1402" s="151"/>
      <c r="E1402" s="152"/>
      <c r="F1402" s="153"/>
      <c r="G1402" s="154"/>
      <c r="H1402" s="154"/>
      <c r="I1402" s="154"/>
      <c r="J1402" s="155"/>
      <c r="K1402" s="156"/>
      <c r="L1402" s="157"/>
      <c r="M1402" s="158" t="s">
        <v>28</v>
      </c>
      <c r="N1402" s="159" t="s">
        <v>29</v>
      </c>
    </row>
    <row r="1403" spans="1:14">
      <c r="A1403" s="148"/>
      <c r="B1403" s="149"/>
      <c r="C1403" s="160"/>
      <c r="D1403" s="151"/>
      <c r="E1403" s="152"/>
      <c r="F1403" s="153"/>
      <c r="G1403" s="154"/>
      <c r="H1403" s="154"/>
      <c r="I1403" s="154"/>
      <c r="J1403" s="155"/>
      <c r="K1403" s="156"/>
      <c r="L1403" s="157"/>
      <c r="M1403" s="158" t="s">
        <v>28</v>
      </c>
      <c r="N1403" s="159" t="s">
        <v>29</v>
      </c>
    </row>
    <row r="1404" spans="1:14">
      <c r="A1404" s="148"/>
      <c r="B1404" s="149"/>
      <c r="C1404" s="160"/>
      <c r="D1404" s="151"/>
      <c r="E1404" s="152"/>
      <c r="F1404" s="153"/>
      <c r="G1404" s="154"/>
      <c r="H1404" s="154"/>
      <c r="I1404" s="154"/>
      <c r="J1404" s="155"/>
      <c r="K1404" s="156"/>
      <c r="L1404" s="157"/>
      <c r="M1404" s="158" t="s">
        <v>28</v>
      </c>
      <c r="N1404" s="159" t="s">
        <v>29</v>
      </c>
    </row>
    <row r="1405" spans="1:14">
      <c r="A1405" s="148"/>
      <c r="B1405" s="149"/>
      <c r="C1405" s="160"/>
      <c r="D1405" s="151"/>
      <c r="E1405" s="152"/>
      <c r="F1405" s="153"/>
      <c r="G1405" s="154"/>
      <c r="H1405" s="154"/>
      <c r="I1405" s="154"/>
      <c r="J1405" s="155"/>
      <c r="K1405" s="156"/>
      <c r="L1405" s="157"/>
      <c r="M1405" s="158" t="s">
        <v>28</v>
      </c>
      <c r="N1405" s="159" t="s">
        <v>29</v>
      </c>
    </row>
    <row r="1406" spans="1:14">
      <c r="A1406" s="148"/>
      <c r="B1406" s="149"/>
      <c r="C1406" s="160"/>
      <c r="D1406" s="151"/>
      <c r="E1406" s="152"/>
      <c r="F1406" s="153"/>
      <c r="G1406" s="154"/>
      <c r="H1406" s="154"/>
      <c r="I1406" s="154"/>
      <c r="J1406" s="155"/>
      <c r="K1406" s="156"/>
      <c r="L1406" s="157"/>
      <c r="M1406" s="158" t="s">
        <v>28</v>
      </c>
      <c r="N1406" s="159" t="s">
        <v>29</v>
      </c>
    </row>
    <row r="1407" spans="1:14">
      <c r="A1407" s="148"/>
      <c r="B1407" s="149"/>
      <c r="C1407" s="160"/>
      <c r="D1407" s="151"/>
      <c r="E1407" s="152"/>
      <c r="F1407" s="153"/>
      <c r="G1407" s="154"/>
      <c r="H1407" s="154"/>
      <c r="I1407" s="154"/>
      <c r="J1407" s="155"/>
      <c r="K1407" s="156"/>
      <c r="L1407" s="157"/>
      <c r="M1407" s="158" t="s">
        <v>28</v>
      </c>
      <c r="N1407" s="159" t="s">
        <v>29</v>
      </c>
    </row>
    <row r="1408" spans="1:14">
      <c r="A1408" s="148"/>
      <c r="B1408" s="149"/>
      <c r="C1408" s="160"/>
      <c r="D1408" s="151"/>
      <c r="E1408" s="152"/>
      <c r="F1408" s="153"/>
      <c r="G1408" s="154"/>
      <c r="H1408" s="154"/>
      <c r="I1408" s="154"/>
      <c r="J1408" s="155"/>
      <c r="K1408" s="156"/>
      <c r="L1408" s="157"/>
      <c r="M1408" s="158" t="s">
        <v>28</v>
      </c>
      <c r="N1408" s="159" t="s">
        <v>29</v>
      </c>
    </row>
    <row r="1409" spans="1:14">
      <c r="A1409" s="148"/>
      <c r="B1409" s="149"/>
      <c r="C1409" s="160"/>
      <c r="D1409" s="151"/>
      <c r="E1409" s="152"/>
      <c r="F1409" s="153"/>
      <c r="G1409" s="154"/>
      <c r="H1409" s="154"/>
      <c r="I1409" s="154"/>
      <c r="J1409" s="155"/>
      <c r="K1409" s="156"/>
      <c r="L1409" s="157"/>
      <c r="M1409" s="158" t="s">
        <v>28</v>
      </c>
      <c r="N1409" s="159" t="s">
        <v>29</v>
      </c>
    </row>
    <row r="1410" spans="1:14">
      <c r="A1410" s="148"/>
      <c r="B1410" s="149"/>
      <c r="C1410" s="160"/>
      <c r="D1410" s="151"/>
      <c r="E1410" s="152"/>
      <c r="F1410" s="153"/>
      <c r="G1410" s="154"/>
      <c r="H1410" s="154"/>
      <c r="I1410" s="154"/>
      <c r="J1410" s="155"/>
      <c r="K1410" s="156"/>
      <c r="L1410" s="157"/>
      <c r="M1410" s="158" t="s">
        <v>28</v>
      </c>
      <c r="N1410" s="159" t="s">
        <v>29</v>
      </c>
    </row>
    <row r="1411" spans="1:14">
      <c r="A1411" s="148"/>
      <c r="B1411" s="149"/>
      <c r="C1411" s="160"/>
      <c r="D1411" s="151"/>
      <c r="E1411" s="152"/>
      <c r="F1411" s="153"/>
      <c r="G1411" s="154"/>
      <c r="H1411" s="154"/>
      <c r="I1411" s="154"/>
      <c r="J1411" s="155"/>
      <c r="K1411" s="156"/>
      <c r="L1411" s="157"/>
      <c r="M1411" s="158" t="s">
        <v>28</v>
      </c>
      <c r="N1411" s="159" t="s">
        <v>29</v>
      </c>
    </row>
    <row r="1412" spans="1:14">
      <c r="A1412" s="148"/>
      <c r="B1412" s="149"/>
      <c r="C1412" s="160"/>
      <c r="D1412" s="151"/>
      <c r="E1412" s="152"/>
      <c r="F1412" s="153"/>
      <c r="G1412" s="154"/>
      <c r="H1412" s="154"/>
      <c r="I1412" s="154"/>
      <c r="J1412" s="155"/>
      <c r="K1412" s="156"/>
      <c r="L1412" s="157"/>
      <c r="M1412" s="158" t="s">
        <v>28</v>
      </c>
      <c r="N1412" s="159" t="s">
        <v>29</v>
      </c>
    </row>
    <row r="1413" spans="1:14">
      <c r="A1413" s="148"/>
      <c r="B1413" s="149"/>
      <c r="C1413" s="160"/>
      <c r="D1413" s="151"/>
      <c r="E1413" s="152"/>
      <c r="F1413" s="153"/>
      <c r="G1413" s="154"/>
      <c r="H1413" s="154"/>
      <c r="I1413" s="154"/>
      <c r="J1413" s="155"/>
      <c r="K1413" s="156"/>
      <c r="L1413" s="157"/>
      <c r="M1413" s="158" t="s">
        <v>28</v>
      </c>
      <c r="N1413" s="159" t="s">
        <v>29</v>
      </c>
    </row>
    <row r="1414" spans="1:14">
      <c r="A1414" s="148"/>
      <c r="B1414" s="149"/>
      <c r="C1414" s="160"/>
      <c r="D1414" s="151"/>
      <c r="E1414" s="152"/>
      <c r="F1414" s="153"/>
      <c r="G1414" s="154"/>
      <c r="H1414" s="154"/>
      <c r="I1414" s="154"/>
      <c r="J1414" s="155"/>
      <c r="K1414" s="156"/>
      <c r="L1414" s="157"/>
      <c r="M1414" s="158" t="s">
        <v>28</v>
      </c>
      <c r="N1414" s="159" t="s">
        <v>29</v>
      </c>
    </row>
    <row r="1415" spans="1:14">
      <c r="A1415" s="148"/>
      <c r="B1415" s="149"/>
      <c r="C1415" s="160"/>
      <c r="D1415" s="151"/>
      <c r="E1415" s="152"/>
      <c r="F1415" s="153"/>
      <c r="G1415" s="154"/>
      <c r="H1415" s="154"/>
      <c r="I1415" s="154"/>
      <c r="J1415" s="155"/>
      <c r="K1415" s="156"/>
      <c r="L1415" s="157"/>
      <c r="M1415" s="158" t="s">
        <v>28</v>
      </c>
      <c r="N1415" s="159" t="s">
        <v>29</v>
      </c>
    </row>
    <row r="1416" spans="1:14">
      <c r="A1416" s="148"/>
      <c r="B1416" s="149"/>
      <c r="C1416" s="150"/>
      <c r="D1416" s="151"/>
      <c r="E1416" s="152"/>
      <c r="F1416" s="153"/>
      <c r="G1416" s="154"/>
      <c r="H1416" s="154"/>
      <c r="I1416" s="154"/>
      <c r="J1416" s="155"/>
      <c r="K1416" s="156"/>
      <c r="L1416" s="157"/>
      <c r="M1416" s="158" t="s">
        <v>28</v>
      </c>
      <c r="N1416" s="159" t="s">
        <v>29</v>
      </c>
    </row>
    <row r="1417" spans="1:14">
      <c r="A1417" s="148"/>
      <c r="B1417" s="149"/>
      <c r="C1417" s="160"/>
      <c r="D1417" s="151"/>
      <c r="E1417" s="152"/>
      <c r="F1417" s="153"/>
      <c r="G1417" s="154"/>
      <c r="H1417" s="154"/>
      <c r="I1417" s="154"/>
      <c r="J1417" s="155"/>
      <c r="K1417" s="156"/>
      <c r="L1417" s="157"/>
      <c r="M1417" s="158" t="s">
        <v>28</v>
      </c>
      <c r="N1417" s="159" t="s">
        <v>29</v>
      </c>
    </row>
    <row r="1418" spans="1:14">
      <c r="A1418" s="148"/>
      <c r="B1418" s="149"/>
      <c r="C1418" s="160"/>
      <c r="D1418" s="151"/>
      <c r="E1418" s="152"/>
      <c r="F1418" s="153"/>
      <c r="G1418" s="154"/>
      <c r="H1418" s="154"/>
      <c r="I1418" s="154"/>
      <c r="J1418" s="155"/>
      <c r="K1418" s="156"/>
      <c r="L1418" s="157"/>
      <c r="M1418" s="158" t="s">
        <v>28</v>
      </c>
      <c r="N1418" s="159" t="s">
        <v>29</v>
      </c>
    </row>
    <row r="1419" spans="1:14">
      <c r="A1419" s="148"/>
      <c r="B1419" s="149"/>
      <c r="C1419" s="160"/>
      <c r="D1419" s="151"/>
      <c r="E1419" s="152"/>
      <c r="F1419" s="153"/>
      <c r="G1419" s="154"/>
      <c r="H1419" s="154"/>
      <c r="I1419" s="154"/>
      <c r="J1419" s="155"/>
      <c r="K1419" s="156"/>
      <c r="L1419" s="157"/>
      <c r="M1419" s="158" t="s">
        <v>28</v>
      </c>
      <c r="N1419" s="159" t="s">
        <v>29</v>
      </c>
    </row>
    <row r="1420" spans="1:14">
      <c r="A1420" s="148"/>
      <c r="B1420" s="149"/>
      <c r="C1420" s="160"/>
      <c r="D1420" s="151"/>
      <c r="E1420" s="152"/>
      <c r="F1420" s="153"/>
      <c r="G1420" s="154"/>
      <c r="H1420" s="154"/>
      <c r="I1420" s="154"/>
      <c r="J1420" s="155"/>
      <c r="K1420" s="156"/>
      <c r="L1420" s="157"/>
      <c r="M1420" s="158" t="s">
        <v>28</v>
      </c>
      <c r="N1420" s="159" t="s">
        <v>29</v>
      </c>
    </row>
    <row r="1421" spans="1:14">
      <c r="A1421" s="148"/>
      <c r="B1421" s="149"/>
      <c r="C1421" s="160"/>
      <c r="D1421" s="151"/>
      <c r="E1421" s="152"/>
      <c r="F1421" s="153"/>
      <c r="G1421" s="154"/>
      <c r="H1421" s="154"/>
      <c r="I1421" s="154"/>
      <c r="J1421" s="155"/>
      <c r="K1421" s="156"/>
      <c r="L1421" s="157"/>
      <c r="M1421" s="158" t="s">
        <v>28</v>
      </c>
      <c r="N1421" s="159" t="s">
        <v>29</v>
      </c>
    </row>
    <row r="1422" spans="1:14">
      <c r="A1422" s="148"/>
      <c r="B1422" s="149"/>
      <c r="C1422" s="160"/>
      <c r="D1422" s="151"/>
      <c r="E1422" s="152"/>
      <c r="F1422" s="153"/>
      <c r="G1422" s="154"/>
      <c r="H1422" s="154"/>
      <c r="I1422" s="154"/>
      <c r="J1422" s="155"/>
      <c r="K1422" s="156"/>
      <c r="L1422" s="157"/>
      <c r="M1422" s="158" t="s">
        <v>28</v>
      </c>
      <c r="N1422" s="159" t="s">
        <v>29</v>
      </c>
    </row>
    <row r="1423" spans="1:14">
      <c r="A1423" s="148"/>
      <c r="B1423" s="149"/>
      <c r="C1423" s="160"/>
      <c r="D1423" s="151"/>
      <c r="E1423" s="152"/>
      <c r="F1423" s="153"/>
      <c r="G1423" s="154"/>
      <c r="H1423" s="154"/>
      <c r="I1423" s="154"/>
      <c r="J1423" s="155"/>
      <c r="K1423" s="156"/>
      <c r="L1423" s="157"/>
      <c r="M1423" s="158" t="s">
        <v>28</v>
      </c>
      <c r="N1423" s="159" t="s">
        <v>29</v>
      </c>
    </row>
    <row r="1424" spans="1:14">
      <c r="A1424" s="148"/>
      <c r="B1424" s="149"/>
      <c r="C1424" s="160"/>
      <c r="D1424" s="151"/>
      <c r="E1424" s="152"/>
      <c r="F1424" s="153"/>
      <c r="G1424" s="154"/>
      <c r="H1424" s="154"/>
      <c r="I1424" s="154"/>
      <c r="J1424" s="155"/>
      <c r="K1424" s="156"/>
      <c r="L1424" s="157"/>
      <c r="M1424" s="158" t="s">
        <v>28</v>
      </c>
      <c r="N1424" s="159" t="s">
        <v>29</v>
      </c>
    </row>
    <row r="1425" spans="1:14">
      <c r="A1425" s="148"/>
      <c r="B1425" s="149"/>
      <c r="C1425" s="150"/>
      <c r="D1425" s="151"/>
      <c r="E1425" s="152"/>
      <c r="F1425" s="153"/>
      <c r="G1425" s="154"/>
      <c r="H1425" s="154"/>
      <c r="I1425" s="154"/>
      <c r="J1425" s="155"/>
      <c r="K1425" s="156"/>
      <c r="L1425" s="157"/>
      <c r="M1425" s="158" t="s">
        <v>28</v>
      </c>
      <c r="N1425" s="159" t="s">
        <v>29</v>
      </c>
    </row>
    <row r="1426" spans="1:14">
      <c r="A1426" s="148"/>
      <c r="B1426" s="149"/>
      <c r="C1426" s="150"/>
      <c r="D1426" s="151"/>
      <c r="E1426" s="152"/>
      <c r="F1426" s="153"/>
      <c r="G1426" s="154"/>
      <c r="H1426" s="154"/>
      <c r="I1426" s="154"/>
      <c r="J1426" s="155"/>
      <c r="K1426" s="156"/>
      <c r="L1426" s="157"/>
      <c r="M1426" s="158" t="s">
        <v>28</v>
      </c>
      <c r="N1426" s="159" t="s">
        <v>29</v>
      </c>
    </row>
    <row r="1427" spans="1:14">
      <c r="A1427" s="148"/>
      <c r="B1427" s="149"/>
      <c r="C1427" s="150"/>
      <c r="D1427" s="151"/>
      <c r="E1427" s="152"/>
      <c r="F1427" s="153"/>
      <c r="G1427" s="154"/>
      <c r="H1427" s="154"/>
      <c r="I1427" s="154"/>
      <c r="J1427" s="155"/>
      <c r="K1427" s="156"/>
      <c r="L1427" s="157"/>
      <c r="M1427" s="158" t="s">
        <v>28</v>
      </c>
      <c r="N1427" s="159" t="s">
        <v>29</v>
      </c>
    </row>
    <row r="1428" spans="1:14">
      <c r="A1428" s="148"/>
      <c r="B1428" s="149"/>
      <c r="C1428" s="150"/>
      <c r="D1428" s="151"/>
      <c r="E1428" s="152"/>
      <c r="F1428" s="153"/>
      <c r="G1428" s="154"/>
      <c r="H1428" s="154"/>
      <c r="I1428" s="154"/>
      <c r="J1428" s="155"/>
      <c r="K1428" s="156"/>
      <c r="L1428" s="157"/>
      <c r="M1428" s="158" t="s">
        <v>28</v>
      </c>
      <c r="N1428" s="159" t="s">
        <v>29</v>
      </c>
    </row>
    <row r="1429" spans="1:14">
      <c r="A1429" s="148"/>
      <c r="B1429" s="149"/>
      <c r="C1429" s="160"/>
      <c r="D1429" s="151"/>
      <c r="E1429" s="152"/>
      <c r="F1429" s="153"/>
      <c r="G1429" s="154"/>
      <c r="H1429" s="154"/>
      <c r="I1429" s="154"/>
      <c r="J1429" s="155"/>
      <c r="K1429" s="156"/>
      <c r="L1429" s="157"/>
      <c r="M1429" s="158" t="s">
        <v>28</v>
      </c>
      <c r="N1429" s="159" t="s">
        <v>29</v>
      </c>
    </row>
    <row r="1430" spans="1:14">
      <c r="A1430" s="148"/>
      <c r="B1430" s="149"/>
      <c r="C1430" s="160"/>
      <c r="D1430" s="151"/>
      <c r="E1430" s="152"/>
      <c r="F1430" s="153"/>
      <c r="G1430" s="154"/>
      <c r="H1430" s="154"/>
      <c r="I1430" s="154"/>
      <c r="J1430" s="155"/>
      <c r="K1430" s="156"/>
      <c r="L1430" s="157"/>
      <c r="M1430" s="158" t="s">
        <v>28</v>
      </c>
      <c r="N1430" s="159" t="s">
        <v>29</v>
      </c>
    </row>
    <row r="1431" spans="1:14">
      <c r="A1431" s="148"/>
      <c r="B1431" s="149"/>
      <c r="C1431" s="160"/>
      <c r="D1431" s="151"/>
      <c r="E1431" s="152"/>
      <c r="F1431" s="153"/>
      <c r="G1431" s="154"/>
      <c r="H1431" s="154"/>
      <c r="I1431" s="154"/>
      <c r="J1431" s="155"/>
      <c r="K1431" s="156"/>
      <c r="L1431" s="157"/>
      <c r="M1431" s="158" t="s">
        <v>28</v>
      </c>
      <c r="N1431" s="159" t="s">
        <v>29</v>
      </c>
    </row>
    <row r="1432" spans="1:14">
      <c r="A1432" s="148"/>
      <c r="B1432" s="149"/>
      <c r="C1432" s="160"/>
      <c r="D1432" s="151"/>
      <c r="E1432" s="152"/>
      <c r="F1432" s="153"/>
      <c r="G1432" s="154"/>
      <c r="H1432" s="154"/>
      <c r="I1432" s="154"/>
      <c r="J1432" s="155"/>
      <c r="K1432" s="156"/>
      <c r="L1432" s="157"/>
      <c r="M1432" s="158" t="s">
        <v>28</v>
      </c>
      <c r="N1432" s="159" t="s">
        <v>29</v>
      </c>
    </row>
    <row r="1433" spans="1:14">
      <c r="A1433" s="148"/>
      <c r="B1433" s="149"/>
      <c r="C1433" s="160"/>
      <c r="D1433" s="151"/>
      <c r="E1433" s="152"/>
      <c r="F1433" s="153"/>
      <c r="G1433" s="154"/>
      <c r="H1433" s="154"/>
      <c r="I1433" s="154"/>
      <c r="J1433" s="155"/>
      <c r="K1433" s="156"/>
      <c r="L1433" s="157"/>
      <c r="M1433" s="158" t="s">
        <v>28</v>
      </c>
      <c r="N1433" s="159" t="s">
        <v>29</v>
      </c>
    </row>
    <row r="1434" spans="1:14">
      <c r="A1434" s="148"/>
      <c r="B1434" s="149"/>
      <c r="C1434" s="160"/>
      <c r="D1434" s="151"/>
      <c r="E1434" s="152"/>
      <c r="F1434" s="153"/>
      <c r="G1434" s="154"/>
      <c r="H1434" s="154"/>
      <c r="I1434" s="154"/>
      <c r="J1434" s="155"/>
      <c r="K1434" s="156"/>
      <c r="L1434" s="157"/>
      <c r="M1434" s="158" t="s">
        <v>28</v>
      </c>
      <c r="N1434" s="159" t="s">
        <v>29</v>
      </c>
    </row>
    <row r="1435" spans="1:14">
      <c r="A1435" s="148"/>
      <c r="B1435" s="149"/>
      <c r="C1435" s="160"/>
      <c r="D1435" s="151"/>
      <c r="E1435" s="152"/>
      <c r="F1435" s="153"/>
      <c r="G1435" s="154"/>
      <c r="H1435" s="154"/>
      <c r="I1435" s="154"/>
      <c r="J1435" s="155"/>
      <c r="K1435" s="156"/>
      <c r="L1435" s="157"/>
      <c r="M1435" s="158" t="s">
        <v>28</v>
      </c>
      <c r="N1435" s="159" t="s">
        <v>29</v>
      </c>
    </row>
    <row r="1436" spans="1:14">
      <c r="A1436" s="148"/>
      <c r="B1436" s="149"/>
      <c r="C1436" s="160"/>
      <c r="D1436" s="151"/>
      <c r="E1436" s="152"/>
      <c r="F1436" s="153"/>
      <c r="G1436" s="154"/>
      <c r="H1436" s="154"/>
      <c r="I1436" s="154"/>
      <c r="J1436" s="155"/>
      <c r="K1436" s="156"/>
      <c r="L1436" s="157"/>
      <c r="M1436" s="158" t="s">
        <v>28</v>
      </c>
      <c r="N1436" s="159" t="s">
        <v>29</v>
      </c>
    </row>
    <row r="1437" spans="1:14">
      <c r="A1437" s="148"/>
      <c r="B1437" s="149"/>
      <c r="C1437" s="160"/>
      <c r="D1437" s="151"/>
      <c r="E1437" s="152"/>
      <c r="F1437" s="153"/>
      <c r="G1437" s="154"/>
      <c r="H1437" s="154"/>
      <c r="I1437" s="154"/>
      <c r="J1437" s="155"/>
      <c r="K1437" s="156"/>
      <c r="L1437" s="157"/>
      <c r="M1437" s="158" t="s">
        <v>28</v>
      </c>
      <c r="N1437" s="159" t="s">
        <v>29</v>
      </c>
    </row>
    <row r="1438" spans="1:14">
      <c r="A1438" s="148"/>
      <c r="B1438" s="149"/>
      <c r="C1438" s="160"/>
      <c r="D1438" s="151"/>
      <c r="E1438" s="152"/>
      <c r="F1438" s="153"/>
      <c r="G1438" s="154"/>
      <c r="H1438" s="154"/>
      <c r="I1438" s="154"/>
      <c r="J1438" s="155"/>
      <c r="K1438" s="156"/>
      <c r="L1438" s="157"/>
      <c r="M1438" s="158" t="s">
        <v>28</v>
      </c>
      <c r="N1438" s="159" t="s">
        <v>29</v>
      </c>
    </row>
    <row r="1439" spans="1:14">
      <c r="A1439" s="148"/>
      <c r="B1439" s="149"/>
      <c r="C1439" s="160"/>
      <c r="D1439" s="151"/>
      <c r="E1439" s="152"/>
      <c r="F1439" s="153"/>
      <c r="G1439" s="154"/>
      <c r="H1439" s="154"/>
      <c r="I1439" s="154"/>
      <c r="J1439" s="155"/>
      <c r="K1439" s="156"/>
      <c r="L1439" s="157"/>
      <c r="M1439" s="158" t="s">
        <v>28</v>
      </c>
      <c r="N1439" s="159" t="s">
        <v>29</v>
      </c>
    </row>
    <row r="1440" spans="1:14">
      <c r="A1440" s="148"/>
      <c r="B1440" s="149"/>
      <c r="C1440" s="160"/>
      <c r="D1440" s="151"/>
      <c r="E1440" s="152"/>
      <c r="F1440" s="153"/>
      <c r="G1440" s="154"/>
      <c r="H1440" s="154"/>
      <c r="I1440" s="154"/>
      <c r="J1440" s="155"/>
      <c r="K1440" s="156"/>
      <c r="L1440" s="157"/>
      <c r="M1440" s="158" t="s">
        <v>28</v>
      </c>
      <c r="N1440" s="159" t="s">
        <v>29</v>
      </c>
    </row>
    <row r="1441" spans="1:14">
      <c r="A1441" s="148"/>
      <c r="B1441" s="149"/>
      <c r="C1441" s="160"/>
      <c r="D1441" s="151"/>
      <c r="E1441" s="152"/>
      <c r="F1441" s="153"/>
      <c r="G1441" s="154"/>
      <c r="H1441" s="154"/>
      <c r="I1441" s="154"/>
      <c r="J1441" s="155"/>
      <c r="K1441" s="156"/>
      <c r="L1441" s="157"/>
      <c r="M1441" s="158" t="s">
        <v>28</v>
      </c>
      <c r="N1441" s="159" t="s">
        <v>29</v>
      </c>
    </row>
    <row r="1442" spans="1:14">
      <c r="A1442" s="148"/>
      <c r="B1442" s="149"/>
      <c r="C1442" s="160"/>
      <c r="D1442" s="151"/>
      <c r="E1442" s="152"/>
      <c r="F1442" s="153"/>
      <c r="G1442" s="154"/>
      <c r="H1442" s="154"/>
      <c r="I1442" s="154"/>
      <c r="J1442" s="155"/>
      <c r="K1442" s="156"/>
      <c r="L1442" s="157"/>
      <c r="M1442" s="158" t="s">
        <v>28</v>
      </c>
      <c r="N1442" s="159" t="s">
        <v>29</v>
      </c>
    </row>
    <row r="1443" spans="1:14">
      <c r="A1443" s="148"/>
      <c r="B1443" s="149"/>
      <c r="C1443" s="160"/>
      <c r="D1443" s="151"/>
      <c r="E1443" s="152"/>
      <c r="F1443" s="153"/>
      <c r="G1443" s="154"/>
      <c r="H1443" s="154"/>
      <c r="I1443" s="154"/>
      <c r="J1443" s="155"/>
      <c r="K1443" s="156"/>
      <c r="L1443" s="157"/>
      <c r="M1443" s="158" t="s">
        <v>28</v>
      </c>
      <c r="N1443" s="159" t="s">
        <v>29</v>
      </c>
    </row>
    <row r="1444" spans="1:14">
      <c r="A1444" s="148"/>
      <c r="B1444" s="149"/>
      <c r="C1444" s="160"/>
      <c r="D1444" s="151"/>
      <c r="E1444" s="152"/>
      <c r="F1444" s="153"/>
      <c r="G1444" s="154"/>
      <c r="H1444" s="154"/>
      <c r="I1444" s="154"/>
      <c r="J1444" s="155"/>
      <c r="K1444" s="156"/>
      <c r="L1444" s="157"/>
      <c r="M1444" s="158" t="s">
        <v>28</v>
      </c>
      <c r="N1444" s="159" t="s">
        <v>29</v>
      </c>
    </row>
    <row r="1445" spans="1:14">
      <c r="A1445" s="148"/>
      <c r="B1445" s="149"/>
      <c r="C1445" s="160"/>
      <c r="D1445" s="151"/>
      <c r="E1445" s="152"/>
      <c r="F1445" s="153"/>
      <c r="G1445" s="154"/>
      <c r="H1445" s="154"/>
      <c r="I1445" s="154"/>
      <c r="J1445" s="155"/>
      <c r="K1445" s="156"/>
      <c r="L1445" s="157"/>
      <c r="M1445" s="158" t="s">
        <v>28</v>
      </c>
      <c r="N1445" s="159" t="s">
        <v>29</v>
      </c>
    </row>
    <row r="1446" spans="1:14">
      <c r="A1446" s="148"/>
      <c r="B1446" s="149"/>
      <c r="C1446" s="160"/>
      <c r="D1446" s="151"/>
      <c r="E1446" s="152"/>
      <c r="F1446" s="153"/>
      <c r="G1446" s="154"/>
      <c r="H1446" s="154"/>
      <c r="I1446" s="154"/>
      <c r="J1446" s="155"/>
      <c r="K1446" s="156"/>
      <c r="L1446" s="157"/>
      <c r="M1446" s="158" t="s">
        <v>28</v>
      </c>
      <c r="N1446" s="159" t="s">
        <v>29</v>
      </c>
    </row>
    <row r="1447" spans="1:14">
      <c r="A1447" s="148"/>
      <c r="B1447" s="149"/>
      <c r="C1447" s="160"/>
      <c r="D1447" s="151"/>
      <c r="E1447" s="152"/>
      <c r="F1447" s="153"/>
      <c r="G1447" s="154"/>
      <c r="H1447" s="154"/>
      <c r="I1447" s="154"/>
      <c r="J1447" s="155"/>
      <c r="K1447" s="156"/>
      <c r="L1447" s="157"/>
      <c r="M1447" s="158" t="s">
        <v>28</v>
      </c>
      <c r="N1447" s="159" t="s">
        <v>29</v>
      </c>
    </row>
    <row r="1448" spans="1:14">
      <c r="A1448" s="148"/>
      <c r="B1448" s="149"/>
      <c r="C1448" s="160"/>
      <c r="D1448" s="151"/>
      <c r="E1448" s="152"/>
      <c r="F1448" s="153"/>
      <c r="G1448" s="154"/>
      <c r="H1448" s="154"/>
      <c r="I1448" s="154"/>
      <c r="J1448" s="155"/>
      <c r="K1448" s="156"/>
      <c r="L1448" s="157"/>
      <c r="M1448" s="158" t="s">
        <v>28</v>
      </c>
      <c r="N1448" s="159" t="s">
        <v>29</v>
      </c>
    </row>
    <row r="1449" spans="1:14">
      <c r="A1449" s="148"/>
      <c r="B1449" s="149"/>
      <c r="C1449" s="160"/>
      <c r="D1449" s="151"/>
      <c r="E1449" s="152"/>
      <c r="F1449" s="153"/>
      <c r="G1449" s="154"/>
      <c r="H1449" s="154"/>
      <c r="I1449" s="154"/>
      <c r="J1449" s="155"/>
      <c r="K1449" s="156"/>
      <c r="L1449" s="157"/>
      <c r="M1449" s="158" t="s">
        <v>28</v>
      </c>
      <c r="N1449" s="159" t="s">
        <v>29</v>
      </c>
    </row>
    <row r="1450" spans="1:14">
      <c r="A1450" s="148"/>
      <c r="B1450" s="149"/>
      <c r="C1450" s="160"/>
      <c r="D1450" s="151"/>
      <c r="E1450" s="152"/>
      <c r="F1450" s="153"/>
      <c r="G1450" s="154"/>
      <c r="H1450" s="154"/>
      <c r="I1450" s="154"/>
      <c r="J1450" s="155"/>
      <c r="K1450" s="156"/>
      <c r="L1450" s="157"/>
      <c r="M1450" s="158" t="s">
        <v>28</v>
      </c>
      <c r="N1450" s="159" t="s">
        <v>29</v>
      </c>
    </row>
    <row r="1451" spans="1:14">
      <c r="A1451" s="148"/>
      <c r="B1451" s="149"/>
      <c r="C1451" s="160"/>
      <c r="D1451" s="151"/>
      <c r="E1451" s="152"/>
      <c r="F1451" s="153"/>
      <c r="G1451" s="154"/>
      <c r="H1451" s="154"/>
      <c r="I1451" s="154"/>
      <c r="J1451" s="155"/>
      <c r="K1451" s="156"/>
      <c r="L1451" s="157"/>
      <c r="M1451" s="158" t="s">
        <v>28</v>
      </c>
      <c r="N1451" s="159" t="s">
        <v>29</v>
      </c>
    </row>
    <row r="1452" spans="1:14">
      <c r="A1452" s="148"/>
      <c r="B1452" s="149"/>
      <c r="C1452" s="160"/>
      <c r="D1452" s="151"/>
      <c r="E1452" s="152"/>
      <c r="F1452" s="153"/>
      <c r="G1452" s="154"/>
      <c r="H1452" s="154"/>
      <c r="I1452" s="154"/>
      <c r="J1452" s="155"/>
      <c r="K1452" s="156"/>
      <c r="L1452" s="157"/>
      <c r="M1452" s="158" t="s">
        <v>28</v>
      </c>
      <c r="N1452" s="159" t="s">
        <v>29</v>
      </c>
    </row>
    <row r="1453" spans="1:14">
      <c r="A1453" s="148"/>
      <c r="B1453" s="149"/>
      <c r="C1453" s="160"/>
      <c r="D1453" s="151"/>
      <c r="E1453" s="152"/>
      <c r="F1453" s="153"/>
      <c r="G1453" s="154"/>
      <c r="H1453" s="154"/>
      <c r="I1453" s="154"/>
      <c r="J1453" s="155"/>
      <c r="K1453" s="156"/>
      <c r="L1453" s="157"/>
      <c r="M1453" s="158" t="s">
        <v>28</v>
      </c>
      <c r="N1453" s="159" t="s">
        <v>29</v>
      </c>
    </row>
    <row r="1454" spans="1:14">
      <c r="A1454" s="148"/>
      <c r="B1454" s="149"/>
      <c r="C1454" s="160"/>
      <c r="D1454" s="151"/>
      <c r="E1454" s="152"/>
      <c r="F1454" s="153"/>
      <c r="G1454" s="154"/>
      <c r="H1454" s="154"/>
      <c r="I1454" s="154"/>
      <c r="J1454" s="155"/>
      <c r="K1454" s="156"/>
      <c r="L1454" s="157"/>
      <c r="M1454" s="158" t="s">
        <v>28</v>
      </c>
      <c r="N1454" s="159" t="s">
        <v>29</v>
      </c>
    </row>
    <row r="1455" spans="1:14">
      <c r="A1455" s="148"/>
      <c r="B1455" s="149"/>
      <c r="C1455" s="160"/>
      <c r="D1455" s="151"/>
      <c r="E1455" s="152"/>
      <c r="F1455" s="153"/>
      <c r="G1455" s="154"/>
      <c r="H1455" s="154"/>
      <c r="I1455" s="154"/>
      <c r="J1455" s="155"/>
      <c r="K1455" s="156"/>
      <c r="L1455" s="157"/>
      <c r="M1455" s="158" t="s">
        <v>28</v>
      </c>
      <c r="N1455" s="159" t="s">
        <v>29</v>
      </c>
    </row>
    <row r="1456" spans="1:14">
      <c r="A1456" s="148"/>
      <c r="B1456" s="149"/>
      <c r="C1456" s="160"/>
      <c r="D1456" s="151"/>
      <c r="E1456" s="152"/>
      <c r="F1456" s="153"/>
      <c r="G1456" s="154"/>
      <c r="H1456" s="154"/>
      <c r="I1456" s="154"/>
      <c r="J1456" s="155"/>
      <c r="K1456" s="156"/>
      <c r="L1456" s="157"/>
      <c r="M1456" s="158" t="s">
        <v>28</v>
      </c>
      <c r="N1456" s="159" t="s">
        <v>29</v>
      </c>
    </row>
    <row r="1457" spans="1:14">
      <c r="A1457" s="148"/>
      <c r="B1457" s="149"/>
      <c r="C1457" s="160"/>
      <c r="D1457" s="151"/>
      <c r="E1457" s="152"/>
      <c r="F1457" s="153"/>
      <c r="G1457" s="154"/>
      <c r="H1457" s="154"/>
      <c r="I1457" s="154"/>
      <c r="J1457" s="155"/>
      <c r="K1457" s="156"/>
      <c r="L1457" s="157"/>
      <c r="M1457" s="158" t="s">
        <v>28</v>
      </c>
      <c r="N1457" s="159" t="s">
        <v>29</v>
      </c>
    </row>
    <row r="1458" spans="1:14">
      <c r="A1458" s="148"/>
      <c r="B1458" s="149"/>
      <c r="C1458" s="160"/>
      <c r="D1458" s="151"/>
      <c r="E1458" s="152"/>
      <c r="F1458" s="153"/>
      <c r="G1458" s="154"/>
      <c r="H1458" s="154"/>
      <c r="I1458" s="154"/>
      <c r="J1458" s="155"/>
      <c r="K1458" s="156"/>
      <c r="L1458" s="157"/>
      <c r="M1458" s="158" t="s">
        <v>28</v>
      </c>
      <c r="N1458" s="159" t="s">
        <v>29</v>
      </c>
    </row>
    <row r="1459" spans="1:14">
      <c r="A1459" s="148"/>
      <c r="B1459" s="149"/>
      <c r="C1459" s="160"/>
      <c r="D1459" s="151"/>
      <c r="E1459" s="152"/>
      <c r="F1459" s="153"/>
      <c r="G1459" s="154"/>
      <c r="H1459" s="154"/>
      <c r="I1459" s="154"/>
      <c r="J1459" s="155"/>
      <c r="K1459" s="156"/>
      <c r="L1459" s="157"/>
      <c r="M1459" s="158" t="s">
        <v>28</v>
      </c>
      <c r="N1459" s="159" t="s">
        <v>29</v>
      </c>
    </row>
    <row r="1460" spans="1:14">
      <c r="A1460" s="148"/>
      <c r="B1460" s="149"/>
      <c r="C1460" s="160"/>
      <c r="D1460" s="151"/>
      <c r="E1460" s="152"/>
      <c r="F1460" s="153"/>
      <c r="G1460" s="154"/>
      <c r="H1460" s="154"/>
      <c r="I1460" s="154"/>
      <c r="J1460" s="155"/>
      <c r="K1460" s="156"/>
      <c r="L1460" s="157"/>
      <c r="M1460" s="158" t="s">
        <v>28</v>
      </c>
      <c r="N1460" s="159" t="s">
        <v>29</v>
      </c>
    </row>
    <row r="1461" spans="1:14">
      <c r="A1461" s="148"/>
      <c r="B1461" s="149"/>
      <c r="C1461" s="160"/>
      <c r="D1461" s="151"/>
      <c r="E1461" s="152"/>
      <c r="F1461" s="153"/>
      <c r="G1461" s="154"/>
      <c r="H1461" s="154"/>
      <c r="I1461" s="154"/>
      <c r="J1461" s="155"/>
      <c r="K1461" s="156"/>
      <c r="L1461" s="157"/>
      <c r="M1461" s="158" t="s">
        <v>28</v>
      </c>
      <c r="N1461" s="159" t="s">
        <v>29</v>
      </c>
    </row>
    <row r="1462" spans="1:14">
      <c r="A1462" s="148"/>
      <c r="B1462" s="149"/>
      <c r="C1462" s="160"/>
      <c r="D1462" s="151"/>
      <c r="E1462" s="152"/>
      <c r="F1462" s="153"/>
      <c r="G1462" s="154"/>
      <c r="H1462" s="154"/>
      <c r="I1462" s="154"/>
      <c r="J1462" s="155"/>
      <c r="K1462" s="156"/>
      <c r="L1462" s="157"/>
      <c r="M1462" s="158" t="s">
        <v>28</v>
      </c>
      <c r="N1462" s="159" t="s">
        <v>29</v>
      </c>
    </row>
    <row r="1463" spans="1:14">
      <c r="A1463" s="148"/>
      <c r="B1463" s="149"/>
      <c r="C1463" s="160"/>
      <c r="D1463" s="151"/>
      <c r="E1463" s="152"/>
      <c r="F1463" s="153"/>
      <c r="G1463" s="154"/>
      <c r="H1463" s="154"/>
      <c r="I1463" s="154"/>
      <c r="J1463" s="155"/>
      <c r="K1463" s="156"/>
      <c r="L1463" s="157"/>
      <c r="M1463" s="158" t="s">
        <v>28</v>
      </c>
      <c r="N1463" s="159" t="s">
        <v>29</v>
      </c>
    </row>
    <row r="1464" spans="1:14">
      <c r="A1464" s="148"/>
      <c r="B1464" s="149"/>
      <c r="C1464" s="160"/>
      <c r="D1464" s="151"/>
      <c r="E1464" s="152"/>
      <c r="F1464" s="153"/>
      <c r="G1464" s="154"/>
      <c r="H1464" s="154"/>
      <c r="I1464" s="154"/>
      <c r="J1464" s="155"/>
      <c r="K1464" s="156"/>
      <c r="L1464" s="157"/>
      <c r="M1464" s="158" t="s">
        <v>28</v>
      </c>
      <c r="N1464" s="159" t="s">
        <v>29</v>
      </c>
    </row>
    <row r="1465" spans="1:14">
      <c r="A1465" s="148"/>
      <c r="B1465" s="149"/>
      <c r="C1465" s="160"/>
      <c r="D1465" s="151"/>
      <c r="E1465" s="152"/>
      <c r="F1465" s="153"/>
      <c r="G1465" s="154"/>
      <c r="H1465" s="154"/>
      <c r="I1465" s="154"/>
      <c r="J1465" s="155"/>
      <c r="K1465" s="156"/>
      <c r="L1465" s="157"/>
      <c r="M1465" s="158" t="s">
        <v>28</v>
      </c>
      <c r="N1465" s="159" t="s">
        <v>29</v>
      </c>
    </row>
    <row r="1466" spans="1:14">
      <c r="A1466" s="148"/>
      <c r="B1466" s="149"/>
      <c r="C1466" s="160"/>
      <c r="D1466" s="151"/>
      <c r="E1466" s="152"/>
      <c r="F1466" s="153"/>
      <c r="G1466" s="154"/>
      <c r="H1466" s="154"/>
      <c r="I1466" s="154"/>
      <c r="J1466" s="155"/>
      <c r="K1466" s="156"/>
      <c r="L1466" s="157"/>
      <c r="M1466" s="158" t="s">
        <v>28</v>
      </c>
      <c r="N1466" s="159" t="s">
        <v>29</v>
      </c>
    </row>
    <row r="1467" spans="1:14">
      <c r="A1467" s="148"/>
      <c r="B1467" s="149"/>
      <c r="C1467" s="160"/>
      <c r="D1467" s="151"/>
      <c r="E1467" s="152"/>
      <c r="F1467" s="153"/>
      <c r="G1467" s="154"/>
      <c r="H1467" s="154"/>
      <c r="I1467" s="154"/>
      <c r="J1467" s="155"/>
      <c r="K1467" s="156"/>
      <c r="L1467" s="157"/>
      <c r="M1467" s="158" t="s">
        <v>28</v>
      </c>
      <c r="N1467" s="159" t="s">
        <v>29</v>
      </c>
    </row>
    <row r="1468" spans="1:14">
      <c r="A1468" s="148"/>
      <c r="B1468" s="149"/>
      <c r="C1468" s="160"/>
      <c r="D1468" s="151"/>
      <c r="E1468" s="152"/>
      <c r="F1468" s="153"/>
      <c r="G1468" s="154"/>
      <c r="H1468" s="154"/>
      <c r="I1468" s="154"/>
      <c r="J1468" s="155"/>
      <c r="K1468" s="156"/>
      <c r="L1468" s="157"/>
      <c r="M1468" s="158" t="s">
        <v>28</v>
      </c>
      <c r="N1468" s="159" t="s">
        <v>29</v>
      </c>
    </row>
    <row r="1469" spans="1:14">
      <c r="A1469" s="148"/>
      <c r="B1469" s="149"/>
      <c r="C1469" s="160"/>
      <c r="D1469" s="151"/>
      <c r="E1469" s="152"/>
      <c r="F1469" s="153"/>
      <c r="G1469" s="154"/>
      <c r="H1469" s="154"/>
      <c r="I1469" s="154"/>
      <c r="J1469" s="155"/>
      <c r="K1469" s="156"/>
      <c r="L1469" s="157"/>
      <c r="M1469" s="158" t="s">
        <v>28</v>
      </c>
      <c r="N1469" s="159" t="s">
        <v>29</v>
      </c>
    </row>
    <row r="1470" spans="1:14">
      <c r="A1470" s="148"/>
      <c r="B1470" s="149"/>
      <c r="C1470" s="160"/>
      <c r="D1470" s="151"/>
      <c r="E1470" s="152"/>
      <c r="F1470" s="153"/>
      <c r="G1470" s="154"/>
      <c r="H1470" s="154"/>
      <c r="I1470" s="154"/>
      <c r="J1470" s="155"/>
      <c r="K1470" s="156"/>
      <c r="L1470" s="157"/>
      <c r="M1470" s="158" t="s">
        <v>28</v>
      </c>
      <c r="N1470" s="159" t="s">
        <v>29</v>
      </c>
    </row>
    <row r="1471" spans="1:14">
      <c r="A1471" s="148"/>
      <c r="B1471" s="149"/>
      <c r="C1471" s="160"/>
      <c r="D1471" s="151"/>
      <c r="E1471" s="152"/>
      <c r="F1471" s="153"/>
      <c r="G1471" s="154"/>
      <c r="H1471" s="154"/>
      <c r="I1471" s="154"/>
      <c r="J1471" s="155"/>
      <c r="K1471" s="156"/>
      <c r="L1471" s="157"/>
      <c r="M1471" s="158" t="s">
        <v>28</v>
      </c>
      <c r="N1471" s="159" t="s">
        <v>29</v>
      </c>
    </row>
    <row r="1472" spans="1:14">
      <c r="A1472" s="148"/>
      <c r="B1472" s="149"/>
      <c r="C1472" s="160"/>
      <c r="D1472" s="151"/>
      <c r="E1472" s="152"/>
      <c r="F1472" s="153"/>
      <c r="G1472" s="154"/>
      <c r="H1472" s="154"/>
      <c r="I1472" s="154"/>
      <c r="J1472" s="155"/>
      <c r="K1472" s="156"/>
      <c r="L1472" s="157"/>
      <c r="M1472" s="158" t="s">
        <v>28</v>
      </c>
      <c r="N1472" s="159" t="s">
        <v>29</v>
      </c>
    </row>
    <row r="1473" spans="1:14">
      <c r="A1473" s="148"/>
      <c r="B1473" s="149"/>
      <c r="C1473" s="160"/>
      <c r="D1473" s="151"/>
      <c r="E1473" s="152"/>
      <c r="F1473" s="153"/>
      <c r="G1473" s="154"/>
      <c r="H1473" s="154"/>
      <c r="I1473" s="154"/>
      <c r="J1473" s="155"/>
      <c r="K1473" s="156"/>
      <c r="L1473" s="157"/>
      <c r="M1473" s="158" t="s">
        <v>28</v>
      </c>
      <c r="N1473" s="159" t="s">
        <v>29</v>
      </c>
    </row>
    <row r="1474" spans="1:14">
      <c r="A1474" s="148"/>
      <c r="B1474" s="149"/>
      <c r="C1474" s="160"/>
      <c r="D1474" s="151"/>
      <c r="E1474" s="152"/>
      <c r="F1474" s="153"/>
      <c r="G1474" s="154"/>
      <c r="H1474" s="154"/>
      <c r="I1474" s="154"/>
      <c r="J1474" s="155"/>
      <c r="K1474" s="156"/>
      <c r="L1474" s="157"/>
      <c r="M1474" s="158" t="s">
        <v>28</v>
      </c>
      <c r="N1474" s="159" t="s">
        <v>29</v>
      </c>
    </row>
    <row r="1475" spans="1:14">
      <c r="A1475" s="148"/>
      <c r="B1475" s="149"/>
      <c r="C1475" s="160"/>
      <c r="D1475" s="151"/>
      <c r="E1475" s="152"/>
      <c r="F1475" s="153"/>
      <c r="G1475" s="154"/>
      <c r="H1475" s="154"/>
      <c r="I1475" s="154"/>
      <c r="J1475" s="155"/>
      <c r="K1475" s="156"/>
      <c r="L1475" s="157"/>
      <c r="M1475" s="158" t="s">
        <v>28</v>
      </c>
      <c r="N1475" s="159" t="s">
        <v>29</v>
      </c>
    </row>
    <row r="1476" spans="1:14">
      <c r="A1476" s="148"/>
      <c r="B1476" s="149"/>
      <c r="C1476" s="160"/>
      <c r="D1476" s="151"/>
      <c r="E1476" s="152"/>
      <c r="F1476" s="153"/>
      <c r="G1476" s="154"/>
      <c r="H1476" s="154"/>
      <c r="I1476" s="154"/>
      <c r="J1476" s="155"/>
      <c r="K1476" s="156"/>
      <c r="L1476" s="157"/>
      <c r="M1476" s="158" t="s">
        <v>28</v>
      </c>
      <c r="N1476" s="159" t="s">
        <v>29</v>
      </c>
    </row>
    <row r="1477" spans="1:14">
      <c r="A1477" s="148"/>
      <c r="B1477" s="149"/>
      <c r="C1477" s="160"/>
      <c r="D1477" s="151"/>
      <c r="E1477" s="152"/>
      <c r="F1477" s="153"/>
      <c r="G1477" s="154"/>
      <c r="H1477" s="154"/>
      <c r="I1477" s="154"/>
      <c r="J1477" s="155"/>
      <c r="K1477" s="156"/>
      <c r="L1477" s="157"/>
      <c r="M1477" s="158" t="s">
        <v>28</v>
      </c>
      <c r="N1477" s="159" t="s">
        <v>29</v>
      </c>
    </row>
    <row r="1478" spans="1:14">
      <c r="A1478" s="148"/>
      <c r="B1478" s="149"/>
      <c r="C1478" s="160"/>
      <c r="D1478" s="151"/>
      <c r="E1478" s="152"/>
      <c r="F1478" s="153"/>
      <c r="G1478" s="154"/>
      <c r="H1478" s="154"/>
      <c r="I1478" s="154"/>
      <c r="J1478" s="155"/>
      <c r="K1478" s="156"/>
      <c r="L1478" s="157"/>
      <c r="M1478" s="158" t="s">
        <v>28</v>
      </c>
      <c r="N1478" s="159" t="s">
        <v>29</v>
      </c>
    </row>
    <row r="1479" spans="1:14">
      <c r="A1479" s="148"/>
      <c r="B1479" s="149"/>
      <c r="C1479" s="160"/>
      <c r="D1479" s="151"/>
      <c r="E1479" s="152"/>
      <c r="F1479" s="153"/>
      <c r="G1479" s="154"/>
      <c r="H1479" s="154"/>
      <c r="I1479" s="154"/>
      <c r="J1479" s="155"/>
      <c r="K1479" s="156"/>
      <c r="L1479" s="157"/>
      <c r="M1479" s="158" t="s">
        <v>28</v>
      </c>
      <c r="N1479" s="159" t="s">
        <v>29</v>
      </c>
    </row>
    <row r="1480" spans="1:14">
      <c r="A1480" s="148"/>
      <c r="B1480" s="149"/>
      <c r="C1480" s="160"/>
      <c r="D1480" s="151"/>
      <c r="E1480" s="152"/>
      <c r="F1480" s="153"/>
      <c r="G1480" s="154"/>
      <c r="H1480" s="154"/>
      <c r="I1480" s="154"/>
      <c r="J1480" s="155"/>
      <c r="K1480" s="156"/>
      <c r="L1480" s="157"/>
      <c r="M1480" s="158" t="s">
        <v>28</v>
      </c>
      <c r="N1480" s="159" t="s">
        <v>29</v>
      </c>
    </row>
    <row r="1481" spans="1:14">
      <c r="A1481" s="148"/>
      <c r="B1481" s="149"/>
      <c r="C1481" s="160"/>
      <c r="D1481" s="151"/>
      <c r="E1481" s="152"/>
      <c r="F1481" s="153"/>
      <c r="G1481" s="154"/>
      <c r="H1481" s="154"/>
      <c r="I1481" s="154"/>
      <c r="J1481" s="155"/>
      <c r="K1481" s="156"/>
      <c r="L1481" s="157"/>
      <c r="M1481" s="158" t="s">
        <v>28</v>
      </c>
      <c r="N1481" s="159" t="s">
        <v>29</v>
      </c>
    </row>
    <row r="1482" spans="1:14">
      <c r="A1482" s="148"/>
      <c r="B1482" s="149"/>
      <c r="C1482" s="160"/>
      <c r="D1482" s="151"/>
      <c r="E1482" s="152"/>
      <c r="F1482" s="153"/>
      <c r="G1482" s="154"/>
      <c r="H1482" s="154"/>
      <c r="I1482" s="154"/>
      <c r="J1482" s="155"/>
      <c r="K1482" s="156"/>
      <c r="L1482" s="157"/>
      <c r="M1482" s="158" t="s">
        <v>28</v>
      </c>
      <c r="N1482" s="159" t="s">
        <v>29</v>
      </c>
    </row>
    <row r="1483" spans="1:14">
      <c r="A1483" s="148"/>
      <c r="B1483" s="149"/>
      <c r="C1483" s="160"/>
      <c r="D1483" s="151"/>
      <c r="E1483" s="152"/>
      <c r="F1483" s="153"/>
      <c r="G1483" s="154"/>
      <c r="H1483" s="154"/>
      <c r="I1483" s="154"/>
      <c r="J1483" s="155"/>
      <c r="K1483" s="156"/>
      <c r="L1483" s="157"/>
      <c r="M1483" s="158" t="s">
        <v>28</v>
      </c>
      <c r="N1483" s="159" t="s">
        <v>29</v>
      </c>
    </row>
    <row r="1484" spans="1:14">
      <c r="A1484" s="148"/>
      <c r="B1484" s="149"/>
      <c r="C1484" s="160"/>
      <c r="D1484" s="151"/>
      <c r="E1484" s="152"/>
      <c r="F1484" s="153"/>
      <c r="G1484" s="154"/>
      <c r="H1484" s="154"/>
      <c r="I1484" s="154"/>
      <c r="J1484" s="155"/>
      <c r="K1484" s="156"/>
      <c r="L1484" s="157"/>
      <c r="M1484" s="158" t="s">
        <v>28</v>
      </c>
      <c r="N1484" s="159" t="s">
        <v>29</v>
      </c>
    </row>
    <row r="1485" spans="1:14">
      <c r="A1485" s="148"/>
      <c r="B1485" s="149"/>
      <c r="C1485" s="160"/>
      <c r="D1485" s="151"/>
      <c r="E1485" s="152"/>
      <c r="F1485" s="153"/>
      <c r="G1485" s="154"/>
      <c r="H1485" s="154"/>
      <c r="I1485" s="154"/>
      <c r="J1485" s="155"/>
      <c r="K1485" s="156"/>
      <c r="L1485" s="157"/>
      <c r="M1485" s="158" t="s">
        <v>28</v>
      </c>
      <c r="N1485" s="159" t="s">
        <v>29</v>
      </c>
    </row>
    <row r="1486" spans="1:14">
      <c r="A1486" s="148"/>
      <c r="B1486" s="149"/>
      <c r="C1486" s="160"/>
      <c r="D1486" s="151"/>
      <c r="E1486" s="152"/>
      <c r="F1486" s="153"/>
      <c r="G1486" s="154"/>
      <c r="H1486" s="154"/>
      <c r="I1486" s="154"/>
      <c r="J1486" s="155"/>
      <c r="K1486" s="156"/>
      <c r="L1486" s="157"/>
      <c r="M1486" s="158" t="s">
        <v>28</v>
      </c>
      <c r="N1486" s="159" t="s">
        <v>29</v>
      </c>
    </row>
    <row r="1487" spans="1:14">
      <c r="A1487" s="148"/>
      <c r="B1487" s="149"/>
      <c r="C1487" s="160"/>
      <c r="D1487" s="151"/>
      <c r="E1487" s="152"/>
      <c r="F1487" s="153"/>
      <c r="G1487" s="154"/>
      <c r="H1487" s="154"/>
      <c r="I1487" s="154"/>
      <c r="J1487" s="155"/>
      <c r="K1487" s="156"/>
      <c r="L1487" s="157"/>
      <c r="M1487" s="158" t="s">
        <v>28</v>
      </c>
      <c r="N1487" s="159" t="s">
        <v>29</v>
      </c>
    </row>
    <row r="1488" spans="1:14">
      <c r="A1488" s="148"/>
      <c r="B1488" s="149"/>
      <c r="C1488" s="160"/>
      <c r="D1488" s="151"/>
      <c r="E1488" s="152"/>
      <c r="F1488" s="153"/>
      <c r="G1488" s="154"/>
      <c r="H1488" s="154"/>
      <c r="I1488" s="154"/>
      <c r="J1488" s="155"/>
      <c r="K1488" s="156"/>
      <c r="L1488" s="157"/>
      <c r="M1488" s="158" t="s">
        <v>28</v>
      </c>
      <c r="N1488" s="159" t="s">
        <v>29</v>
      </c>
    </row>
    <row r="1489" spans="1:14">
      <c r="A1489" s="148"/>
      <c r="B1489" s="149"/>
      <c r="C1489" s="160"/>
      <c r="D1489" s="151"/>
      <c r="E1489" s="152"/>
      <c r="F1489" s="153"/>
      <c r="G1489" s="154"/>
      <c r="H1489" s="154"/>
      <c r="I1489" s="154"/>
      <c r="J1489" s="155"/>
      <c r="K1489" s="156"/>
      <c r="L1489" s="157"/>
      <c r="M1489" s="158" t="s">
        <v>28</v>
      </c>
      <c r="N1489" s="159" t="s">
        <v>29</v>
      </c>
    </row>
    <row r="1490" spans="1:14">
      <c r="A1490" s="148"/>
      <c r="B1490" s="149"/>
      <c r="C1490" s="160"/>
      <c r="D1490" s="151"/>
      <c r="E1490" s="152"/>
      <c r="F1490" s="153"/>
      <c r="G1490" s="154"/>
      <c r="H1490" s="154"/>
      <c r="I1490" s="154"/>
      <c r="J1490" s="155"/>
      <c r="K1490" s="156"/>
      <c r="L1490" s="157"/>
      <c r="M1490" s="158" t="s">
        <v>28</v>
      </c>
      <c r="N1490" s="159" t="s">
        <v>29</v>
      </c>
    </row>
    <row r="1491" spans="1:14">
      <c r="A1491" s="148"/>
      <c r="B1491" s="149"/>
      <c r="C1491" s="160"/>
      <c r="D1491" s="151"/>
      <c r="E1491" s="152"/>
      <c r="F1491" s="153"/>
      <c r="G1491" s="154"/>
      <c r="H1491" s="154"/>
      <c r="I1491" s="154"/>
      <c r="J1491" s="155"/>
      <c r="K1491" s="156"/>
      <c r="L1491" s="157"/>
      <c r="M1491" s="158" t="s">
        <v>28</v>
      </c>
      <c r="N1491" s="159" t="s">
        <v>29</v>
      </c>
    </row>
    <row r="1492" spans="1:14">
      <c r="A1492" s="148"/>
      <c r="B1492" s="149"/>
      <c r="C1492" s="160"/>
      <c r="D1492" s="151"/>
      <c r="E1492" s="152"/>
      <c r="F1492" s="153"/>
      <c r="G1492" s="154"/>
      <c r="H1492" s="154"/>
      <c r="I1492" s="154"/>
      <c r="J1492" s="155"/>
      <c r="K1492" s="156"/>
      <c r="L1492" s="157"/>
      <c r="M1492" s="158" t="s">
        <v>28</v>
      </c>
      <c r="N1492" s="159" t="s">
        <v>29</v>
      </c>
    </row>
    <row r="1493" spans="1:14">
      <c r="A1493" s="148"/>
      <c r="B1493" s="149"/>
      <c r="C1493" s="160"/>
      <c r="D1493" s="151"/>
      <c r="E1493" s="152"/>
      <c r="F1493" s="153"/>
      <c r="G1493" s="154"/>
      <c r="H1493" s="154"/>
      <c r="I1493" s="154"/>
      <c r="J1493" s="155"/>
      <c r="K1493" s="156"/>
      <c r="L1493" s="157"/>
      <c r="M1493" s="158" t="s">
        <v>28</v>
      </c>
      <c r="N1493" s="159" t="s">
        <v>29</v>
      </c>
    </row>
    <row r="1494" spans="1:14">
      <c r="A1494" s="148"/>
      <c r="B1494" s="149"/>
      <c r="C1494" s="160"/>
      <c r="D1494" s="151"/>
      <c r="E1494" s="152"/>
      <c r="F1494" s="153"/>
      <c r="G1494" s="154"/>
      <c r="H1494" s="154"/>
      <c r="I1494" s="154"/>
      <c r="J1494" s="155"/>
      <c r="K1494" s="156"/>
      <c r="L1494" s="157"/>
      <c r="M1494" s="158" t="s">
        <v>28</v>
      </c>
      <c r="N1494" s="159" t="s">
        <v>29</v>
      </c>
    </row>
    <row r="1495" spans="1:14">
      <c r="A1495" s="148"/>
      <c r="B1495" s="149"/>
      <c r="C1495" s="160"/>
      <c r="D1495" s="151"/>
      <c r="E1495" s="152"/>
      <c r="F1495" s="153"/>
      <c r="G1495" s="154"/>
      <c r="H1495" s="154"/>
      <c r="I1495" s="154"/>
      <c r="J1495" s="155"/>
      <c r="K1495" s="156"/>
      <c r="L1495" s="157"/>
      <c r="M1495" s="158" t="s">
        <v>28</v>
      </c>
      <c r="N1495" s="159" t="s">
        <v>29</v>
      </c>
    </row>
    <row r="1496" spans="1:14">
      <c r="A1496" s="148"/>
      <c r="B1496" s="149"/>
      <c r="C1496" s="160"/>
      <c r="D1496" s="151"/>
      <c r="E1496" s="152"/>
      <c r="F1496" s="153"/>
      <c r="G1496" s="154"/>
      <c r="H1496" s="154"/>
      <c r="I1496" s="154"/>
      <c r="J1496" s="155"/>
      <c r="K1496" s="156"/>
      <c r="L1496" s="157"/>
      <c r="M1496" s="158" t="s">
        <v>28</v>
      </c>
      <c r="N1496" s="159" t="s">
        <v>29</v>
      </c>
    </row>
    <row r="1497" spans="1:14">
      <c r="A1497" s="148"/>
      <c r="B1497" s="149"/>
      <c r="C1497" s="160"/>
      <c r="D1497" s="151"/>
      <c r="E1497" s="152"/>
      <c r="F1497" s="153"/>
      <c r="G1497" s="154"/>
      <c r="H1497" s="154"/>
      <c r="I1497" s="154"/>
      <c r="J1497" s="155"/>
      <c r="K1497" s="156"/>
      <c r="L1497" s="157"/>
      <c r="M1497" s="158" t="s">
        <v>28</v>
      </c>
      <c r="N1497" s="159" t="s">
        <v>29</v>
      </c>
    </row>
    <row r="1498" spans="1:14">
      <c r="A1498" s="148"/>
      <c r="B1498" s="149"/>
      <c r="C1498" s="160"/>
      <c r="D1498" s="151"/>
      <c r="E1498" s="152"/>
      <c r="F1498" s="153"/>
      <c r="G1498" s="154"/>
      <c r="H1498" s="154"/>
      <c r="I1498" s="154"/>
      <c r="J1498" s="155"/>
      <c r="K1498" s="156"/>
      <c r="L1498" s="157"/>
      <c r="M1498" s="158" t="s">
        <v>28</v>
      </c>
      <c r="N1498" s="159" t="s">
        <v>29</v>
      </c>
    </row>
    <row r="1499" spans="1:14">
      <c r="A1499" s="148"/>
      <c r="B1499" s="149"/>
      <c r="C1499" s="160"/>
      <c r="D1499" s="151"/>
      <c r="E1499" s="152"/>
      <c r="F1499" s="153"/>
      <c r="G1499" s="154"/>
      <c r="H1499" s="154"/>
      <c r="I1499" s="154"/>
      <c r="J1499" s="155"/>
      <c r="K1499" s="156"/>
      <c r="L1499" s="157"/>
      <c r="M1499" s="158" t="s">
        <v>28</v>
      </c>
      <c r="N1499" s="159" t="s">
        <v>29</v>
      </c>
    </row>
    <row r="1500" spans="1:14">
      <c r="A1500" s="148"/>
      <c r="B1500" s="149"/>
      <c r="C1500" s="160"/>
      <c r="D1500" s="151"/>
      <c r="E1500" s="152"/>
      <c r="F1500" s="153"/>
      <c r="G1500" s="154"/>
      <c r="H1500" s="154"/>
      <c r="I1500" s="154"/>
      <c r="J1500" s="155"/>
      <c r="K1500" s="156"/>
      <c r="L1500" s="157"/>
      <c r="M1500" s="158" t="s">
        <v>28</v>
      </c>
      <c r="N1500" s="159" t="s">
        <v>29</v>
      </c>
    </row>
    <row r="1501" spans="1:14">
      <c r="A1501" s="148"/>
      <c r="B1501" s="149"/>
      <c r="C1501" s="160"/>
      <c r="D1501" s="151"/>
      <c r="E1501" s="152"/>
      <c r="F1501" s="153"/>
      <c r="G1501" s="154"/>
      <c r="H1501" s="154"/>
      <c r="I1501" s="154"/>
      <c r="J1501" s="155"/>
      <c r="K1501" s="156"/>
      <c r="L1501" s="157"/>
      <c r="M1501" s="158" t="s">
        <v>28</v>
      </c>
      <c r="N1501" s="159" t="s">
        <v>29</v>
      </c>
    </row>
    <row r="1502" spans="1:14">
      <c r="A1502" s="148"/>
      <c r="B1502" s="149"/>
      <c r="C1502" s="160"/>
      <c r="D1502" s="151"/>
      <c r="E1502" s="152"/>
      <c r="F1502" s="153"/>
      <c r="G1502" s="154"/>
      <c r="H1502" s="154"/>
      <c r="I1502" s="154"/>
      <c r="J1502" s="155"/>
      <c r="K1502" s="156"/>
      <c r="L1502" s="157"/>
      <c r="M1502" s="158" t="s">
        <v>28</v>
      </c>
      <c r="N1502" s="159" t="s">
        <v>29</v>
      </c>
    </row>
    <row r="1503" spans="1:14">
      <c r="A1503" s="148"/>
      <c r="B1503" s="149"/>
      <c r="C1503" s="160"/>
      <c r="D1503" s="151"/>
      <c r="E1503" s="152"/>
      <c r="F1503" s="153"/>
      <c r="G1503" s="154"/>
      <c r="H1503" s="154"/>
      <c r="I1503" s="154"/>
      <c r="J1503" s="155"/>
      <c r="K1503" s="156"/>
      <c r="L1503" s="157"/>
      <c r="M1503" s="158" t="s">
        <v>28</v>
      </c>
      <c r="N1503" s="159" t="s">
        <v>29</v>
      </c>
    </row>
    <row r="1504" spans="1:14">
      <c r="A1504" s="148"/>
      <c r="B1504" s="149"/>
      <c r="C1504" s="160"/>
      <c r="D1504" s="151"/>
      <c r="E1504" s="152"/>
      <c r="F1504" s="153"/>
      <c r="G1504" s="154"/>
      <c r="H1504" s="154"/>
      <c r="I1504" s="154"/>
      <c r="J1504" s="155"/>
      <c r="K1504" s="156"/>
      <c r="L1504" s="157"/>
      <c r="M1504" s="158" t="s">
        <v>28</v>
      </c>
      <c r="N1504" s="159" t="s">
        <v>29</v>
      </c>
    </row>
    <row r="1505" spans="1:14">
      <c r="A1505" s="148"/>
      <c r="B1505" s="149"/>
      <c r="C1505" s="160"/>
      <c r="D1505" s="151"/>
      <c r="E1505" s="152"/>
      <c r="F1505" s="153"/>
      <c r="G1505" s="154"/>
      <c r="H1505" s="154"/>
      <c r="I1505" s="154"/>
      <c r="J1505" s="155"/>
      <c r="K1505" s="156"/>
      <c r="L1505" s="157"/>
      <c r="M1505" s="158" t="s">
        <v>28</v>
      </c>
      <c r="N1505" s="159" t="s">
        <v>29</v>
      </c>
    </row>
    <row r="1506" spans="1:14">
      <c r="A1506" s="148"/>
      <c r="B1506" s="149"/>
      <c r="C1506" s="160"/>
      <c r="D1506" s="151"/>
      <c r="E1506" s="152"/>
      <c r="F1506" s="153"/>
      <c r="G1506" s="154"/>
      <c r="H1506" s="154"/>
      <c r="I1506" s="154"/>
      <c r="J1506" s="155"/>
      <c r="K1506" s="156"/>
      <c r="L1506" s="157"/>
      <c r="M1506" s="158" t="s">
        <v>28</v>
      </c>
      <c r="N1506" s="159" t="s">
        <v>29</v>
      </c>
    </row>
    <row r="1507" spans="1:14">
      <c r="A1507" s="148"/>
      <c r="B1507" s="149"/>
      <c r="C1507" s="160"/>
      <c r="D1507" s="151"/>
      <c r="E1507" s="152"/>
      <c r="F1507" s="153"/>
      <c r="G1507" s="154"/>
      <c r="H1507" s="154"/>
      <c r="I1507" s="154"/>
      <c r="J1507" s="155"/>
      <c r="K1507" s="156"/>
      <c r="L1507" s="157"/>
      <c r="M1507" s="158" t="s">
        <v>28</v>
      </c>
      <c r="N1507" s="159" t="s">
        <v>29</v>
      </c>
    </row>
    <row r="1508" spans="1:14">
      <c r="A1508" s="148"/>
      <c r="B1508" s="149"/>
      <c r="C1508" s="160"/>
      <c r="D1508" s="151"/>
      <c r="E1508" s="152"/>
      <c r="F1508" s="153"/>
      <c r="G1508" s="154"/>
      <c r="H1508" s="154"/>
      <c r="I1508" s="154"/>
      <c r="J1508" s="155"/>
      <c r="K1508" s="156"/>
      <c r="L1508" s="157"/>
      <c r="M1508" s="158" t="s">
        <v>28</v>
      </c>
      <c r="N1508" s="159" t="s">
        <v>29</v>
      </c>
    </row>
    <row r="1509" spans="1:14">
      <c r="A1509" s="148"/>
      <c r="B1509" s="149"/>
      <c r="C1509" s="160"/>
      <c r="D1509" s="151"/>
      <c r="E1509" s="152"/>
      <c r="F1509" s="153"/>
      <c r="G1509" s="154"/>
      <c r="H1509" s="154"/>
      <c r="I1509" s="154"/>
      <c r="J1509" s="155"/>
      <c r="K1509" s="156"/>
      <c r="L1509" s="157"/>
      <c r="M1509" s="158" t="s">
        <v>28</v>
      </c>
      <c r="N1509" s="159" t="s">
        <v>29</v>
      </c>
    </row>
    <row r="1510" spans="1:14">
      <c r="A1510" s="148"/>
      <c r="B1510" s="149"/>
      <c r="C1510" s="160"/>
      <c r="D1510" s="151"/>
      <c r="E1510" s="152"/>
      <c r="F1510" s="153"/>
      <c r="G1510" s="154"/>
      <c r="H1510" s="154"/>
      <c r="I1510" s="154"/>
      <c r="J1510" s="155"/>
      <c r="K1510" s="156"/>
      <c r="L1510" s="157"/>
      <c r="M1510" s="158" t="s">
        <v>28</v>
      </c>
      <c r="N1510" s="159" t="s">
        <v>29</v>
      </c>
    </row>
    <row r="1511" spans="1:14">
      <c r="A1511" s="148"/>
      <c r="B1511" s="149"/>
      <c r="C1511" s="160"/>
      <c r="D1511" s="151"/>
      <c r="E1511" s="152"/>
      <c r="F1511" s="153"/>
      <c r="G1511" s="154"/>
      <c r="H1511" s="154"/>
      <c r="I1511" s="154"/>
      <c r="J1511" s="155"/>
      <c r="K1511" s="156"/>
      <c r="L1511" s="157"/>
      <c r="M1511" s="158" t="s">
        <v>28</v>
      </c>
      <c r="N1511" s="159" t="s">
        <v>29</v>
      </c>
    </row>
    <row r="1512" spans="1:14">
      <c r="A1512" s="148"/>
      <c r="B1512" s="149"/>
      <c r="C1512" s="160"/>
      <c r="D1512" s="151"/>
      <c r="E1512" s="152"/>
      <c r="F1512" s="153"/>
      <c r="G1512" s="154"/>
      <c r="H1512" s="154"/>
      <c r="I1512" s="154"/>
      <c r="J1512" s="155"/>
      <c r="K1512" s="156"/>
      <c r="L1512" s="157"/>
      <c r="M1512" s="158" t="s">
        <v>28</v>
      </c>
      <c r="N1512" s="159" t="s">
        <v>29</v>
      </c>
    </row>
    <row r="1513" spans="1:14">
      <c r="A1513" s="148"/>
      <c r="B1513" s="149"/>
      <c r="C1513" s="160"/>
      <c r="D1513" s="151"/>
      <c r="E1513" s="152"/>
      <c r="F1513" s="153"/>
      <c r="G1513" s="154"/>
      <c r="H1513" s="154"/>
      <c r="I1513" s="154"/>
      <c r="J1513" s="155"/>
      <c r="K1513" s="156"/>
      <c r="L1513" s="157"/>
      <c r="M1513" s="158" t="s">
        <v>28</v>
      </c>
      <c r="N1513" s="159" t="s">
        <v>29</v>
      </c>
    </row>
    <row r="1514" spans="1:14">
      <c r="A1514" s="148"/>
      <c r="B1514" s="149"/>
      <c r="C1514" s="160"/>
      <c r="D1514" s="151"/>
      <c r="E1514" s="152"/>
      <c r="F1514" s="153"/>
      <c r="G1514" s="154"/>
      <c r="H1514" s="154"/>
      <c r="I1514" s="154"/>
      <c r="J1514" s="155"/>
      <c r="K1514" s="156"/>
      <c r="L1514" s="157"/>
      <c r="M1514" s="158" t="s">
        <v>28</v>
      </c>
      <c r="N1514" s="159" t="s">
        <v>29</v>
      </c>
    </row>
    <row r="1515" spans="1:14">
      <c r="A1515" s="148"/>
      <c r="B1515" s="149"/>
      <c r="C1515" s="160"/>
      <c r="D1515" s="151"/>
      <c r="E1515" s="152"/>
      <c r="F1515" s="153"/>
      <c r="G1515" s="154"/>
      <c r="H1515" s="154"/>
      <c r="I1515" s="154"/>
      <c r="J1515" s="155"/>
      <c r="K1515" s="156"/>
      <c r="L1515" s="157"/>
      <c r="M1515" s="158" t="s">
        <v>28</v>
      </c>
      <c r="N1515" s="159" t="s">
        <v>29</v>
      </c>
    </row>
    <row r="1516" spans="1:14">
      <c r="A1516" s="148"/>
      <c r="B1516" s="149"/>
      <c r="C1516" s="160"/>
      <c r="D1516" s="151"/>
      <c r="E1516" s="152"/>
      <c r="F1516" s="153"/>
      <c r="G1516" s="154"/>
      <c r="H1516" s="154"/>
      <c r="I1516" s="154"/>
      <c r="J1516" s="155"/>
      <c r="K1516" s="156"/>
      <c r="L1516" s="157"/>
      <c r="M1516" s="158" t="s">
        <v>28</v>
      </c>
      <c r="N1516" s="159" t="s">
        <v>29</v>
      </c>
    </row>
    <row r="1517" spans="1:14">
      <c r="A1517" s="148"/>
      <c r="B1517" s="149"/>
      <c r="C1517" s="160"/>
      <c r="D1517" s="151"/>
      <c r="E1517" s="152"/>
      <c r="F1517" s="153"/>
      <c r="G1517" s="154"/>
      <c r="H1517" s="154"/>
      <c r="I1517" s="154"/>
      <c r="J1517" s="155"/>
      <c r="K1517" s="156"/>
      <c r="L1517" s="157"/>
      <c r="M1517" s="158" t="s">
        <v>28</v>
      </c>
      <c r="N1517" s="159" t="s">
        <v>29</v>
      </c>
    </row>
    <row r="1518" spans="1:14">
      <c r="A1518" s="148"/>
      <c r="B1518" s="149"/>
      <c r="C1518" s="160"/>
      <c r="D1518" s="151"/>
      <c r="E1518" s="152"/>
      <c r="F1518" s="153"/>
      <c r="G1518" s="154"/>
      <c r="H1518" s="154"/>
      <c r="I1518" s="154"/>
      <c r="J1518" s="155"/>
      <c r="K1518" s="156"/>
      <c r="L1518" s="157"/>
      <c r="M1518" s="158" t="s">
        <v>28</v>
      </c>
      <c r="N1518" s="159" t="s">
        <v>29</v>
      </c>
    </row>
    <row r="1519" spans="1:14">
      <c r="A1519" s="148"/>
      <c r="B1519" s="149"/>
      <c r="C1519" s="160"/>
      <c r="D1519" s="151"/>
      <c r="E1519" s="152"/>
      <c r="F1519" s="153"/>
      <c r="G1519" s="154"/>
      <c r="H1519" s="154"/>
      <c r="I1519" s="154"/>
      <c r="J1519" s="155"/>
      <c r="K1519" s="156"/>
      <c r="L1519" s="157"/>
      <c r="M1519" s="158" t="s">
        <v>28</v>
      </c>
      <c r="N1519" s="159" t="s">
        <v>29</v>
      </c>
    </row>
    <row r="1520" spans="1:14">
      <c r="A1520" s="148"/>
      <c r="B1520" s="149"/>
      <c r="C1520" s="160"/>
      <c r="D1520" s="151"/>
      <c r="E1520" s="152"/>
      <c r="F1520" s="153"/>
      <c r="G1520" s="154"/>
      <c r="H1520" s="154"/>
      <c r="I1520" s="154"/>
      <c r="J1520" s="155"/>
      <c r="K1520" s="156"/>
      <c r="L1520" s="157"/>
      <c r="M1520" s="158" t="s">
        <v>28</v>
      </c>
      <c r="N1520" s="159" t="s">
        <v>29</v>
      </c>
    </row>
    <row r="1521" spans="1:14">
      <c r="A1521" s="148"/>
      <c r="B1521" s="149"/>
      <c r="C1521" s="160"/>
      <c r="D1521" s="151"/>
      <c r="E1521" s="152"/>
      <c r="F1521" s="153"/>
      <c r="G1521" s="154"/>
      <c r="H1521" s="154"/>
      <c r="I1521" s="154"/>
      <c r="J1521" s="155"/>
      <c r="K1521" s="156"/>
      <c r="L1521" s="157"/>
      <c r="M1521" s="158" t="s">
        <v>28</v>
      </c>
      <c r="N1521" s="159" t="s">
        <v>29</v>
      </c>
    </row>
    <row r="1522" spans="1:14">
      <c r="A1522" s="148"/>
      <c r="B1522" s="149"/>
      <c r="C1522" s="160"/>
      <c r="D1522" s="151"/>
      <c r="E1522" s="152"/>
      <c r="F1522" s="153"/>
      <c r="G1522" s="154"/>
      <c r="H1522" s="154"/>
      <c r="I1522" s="154"/>
      <c r="J1522" s="155"/>
      <c r="K1522" s="156"/>
      <c r="L1522" s="157"/>
      <c r="M1522" s="158" t="s">
        <v>28</v>
      </c>
      <c r="N1522" s="159" t="s">
        <v>29</v>
      </c>
    </row>
    <row r="1523" spans="1:14">
      <c r="A1523" s="148"/>
      <c r="B1523" s="149"/>
      <c r="C1523" s="160"/>
      <c r="D1523" s="151"/>
      <c r="E1523" s="152"/>
      <c r="F1523" s="153"/>
      <c r="G1523" s="154"/>
      <c r="H1523" s="154"/>
      <c r="I1523" s="154"/>
      <c r="J1523" s="155"/>
      <c r="K1523" s="156"/>
      <c r="L1523" s="157"/>
      <c r="M1523" s="158" t="s">
        <v>28</v>
      </c>
      <c r="N1523" s="159" t="s">
        <v>29</v>
      </c>
    </row>
    <row r="1524" spans="1:14">
      <c r="A1524" s="148"/>
      <c r="B1524" s="149"/>
      <c r="C1524" s="160"/>
      <c r="D1524" s="151"/>
      <c r="E1524" s="152"/>
      <c r="F1524" s="153"/>
      <c r="G1524" s="154"/>
      <c r="H1524" s="154"/>
      <c r="I1524" s="154"/>
      <c r="J1524" s="155"/>
      <c r="K1524" s="156"/>
      <c r="L1524" s="157"/>
      <c r="M1524" s="158" t="s">
        <v>28</v>
      </c>
      <c r="N1524" s="159" t="s">
        <v>29</v>
      </c>
    </row>
    <row r="1525" spans="1:14">
      <c r="A1525" s="148"/>
      <c r="B1525" s="149"/>
      <c r="C1525" s="160"/>
      <c r="D1525" s="151"/>
      <c r="E1525" s="152"/>
      <c r="F1525" s="153"/>
      <c r="G1525" s="154"/>
      <c r="H1525" s="154"/>
      <c r="I1525" s="154"/>
      <c r="J1525" s="155"/>
      <c r="K1525" s="156"/>
      <c r="L1525" s="157"/>
      <c r="M1525" s="158" t="s">
        <v>28</v>
      </c>
      <c r="N1525" s="159" t="s">
        <v>29</v>
      </c>
    </row>
    <row r="1526" spans="1:14">
      <c r="A1526" s="148"/>
      <c r="B1526" s="149"/>
      <c r="C1526" s="160"/>
      <c r="D1526" s="151"/>
      <c r="E1526" s="152"/>
      <c r="F1526" s="153"/>
      <c r="G1526" s="154"/>
      <c r="H1526" s="154"/>
      <c r="I1526" s="154"/>
      <c r="J1526" s="155"/>
      <c r="K1526" s="156"/>
      <c r="L1526" s="157"/>
      <c r="M1526" s="158" t="s">
        <v>28</v>
      </c>
      <c r="N1526" s="159" t="s">
        <v>29</v>
      </c>
    </row>
    <row r="1527" spans="1:14">
      <c r="A1527" s="148"/>
      <c r="B1527" s="149"/>
      <c r="C1527" s="160"/>
      <c r="D1527" s="151"/>
      <c r="E1527" s="152"/>
      <c r="F1527" s="153"/>
      <c r="G1527" s="154"/>
      <c r="H1527" s="154"/>
      <c r="I1527" s="154"/>
      <c r="J1527" s="155"/>
      <c r="K1527" s="156"/>
      <c r="L1527" s="157"/>
      <c r="M1527" s="158" t="s">
        <v>28</v>
      </c>
      <c r="N1527" s="159" t="s">
        <v>29</v>
      </c>
    </row>
    <row r="1528" spans="1:14">
      <c r="A1528" s="148"/>
      <c r="B1528" s="149"/>
      <c r="C1528" s="160"/>
      <c r="D1528" s="151"/>
      <c r="E1528" s="152"/>
      <c r="F1528" s="153"/>
      <c r="G1528" s="154"/>
      <c r="H1528" s="154"/>
      <c r="I1528" s="154"/>
      <c r="J1528" s="155"/>
      <c r="K1528" s="156"/>
      <c r="L1528" s="157"/>
      <c r="M1528" s="158" t="s">
        <v>28</v>
      </c>
      <c r="N1528" s="159" t="s">
        <v>29</v>
      </c>
    </row>
    <row r="1529" spans="1:14">
      <c r="A1529" s="148"/>
      <c r="B1529" s="149"/>
      <c r="C1529" s="160"/>
      <c r="D1529" s="151"/>
      <c r="E1529" s="152"/>
      <c r="F1529" s="153"/>
      <c r="G1529" s="154"/>
      <c r="H1529" s="154"/>
      <c r="I1529" s="154"/>
      <c r="J1529" s="155"/>
      <c r="K1529" s="156"/>
      <c r="L1529" s="157"/>
      <c r="M1529" s="158" t="s">
        <v>28</v>
      </c>
      <c r="N1529" s="159" t="s">
        <v>29</v>
      </c>
    </row>
    <row r="1530" spans="1:14">
      <c r="A1530" s="148"/>
      <c r="B1530" s="149"/>
      <c r="C1530" s="160"/>
      <c r="D1530" s="151"/>
      <c r="E1530" s="152"/>
      <c r="F1530" s="153"/>
      <c r="G1530" s="154"/>
      <c r="H1530" s="154"/>
      <c r="I1530" s="154"/>
      <c r="J1530" s="155"/>
      <c r="K1530" s="156"/>
      <c r="L1530" s="157"/>
      <c r="M1530" s="158" t="s">
        <v>28</v>
      </c>
      <c r="N1530" s="159" t="s">
        <v>29</v>
      </c>
    </row>
    <row r="1531" spans="1:14">
      <c r="A1531" s="148"/>
      <c r="B1531" s="149"/>
      <c r="C1531" s="160"/>
      <c r="D1531" s="151"/>
      <c r="E1531" s="152"/>
      <c r="F1531" s="153"/>
      <c r="G1531" s="154"/>
      <c r="H1531" s="154"/>
      <c r="I1531" s="154"/>
      <c r="J1531" s="155"/>
      <c r="K1531" s="156"/>
      <c r="L1531" s="157"/>
      <c r="M1531" s="158" t="s">
        <v>28</v>
      </c>
      <c r="N1531" s="159" t="s">
        <v>29</v>
      </c>
    </row>
    <row r="1532" spans="1:14">
      <c r="A1532" s="148"/>
      <c r="B1532" s="149"/>
      <c r="C1532" s="160"/>
      <c r="D1532" s="151"/>
      <c r="E1532" s="152"/>
      <c r="F1532" s="153"/>
      <c r="G1532" s="154"/>
      <c r="H1532" s="154"/>
      <c r="I1532" s="154"/>
      <c r="J1532" s="155"/>
      <c r="K1532" s="156"/>
      <c r="L1532" s="157"/>
      <c r="M1532" s="158" t="s">
        <v>28</v>
      </c>
      <c r="N1532" s="159" t="s">
        <v>29</v>
      </c>
    </row>
    <row r="1533" spans="1:14">
      <c r="A1533" s="148"/>
      <c r="B1533" s="149"/>
      <c r="C1533" s="160"/>
      <c r="D1533" s="151"/>
      <c r="E1533" s="152"/>
      <c r="F1533" s="153"/>
      <c r="G1533" s="154"/>
      <c r="H1533" s="154"/>
      <c r="I1533" s="154"/>
      <c r="J1533" s="155"/>
      <c r="K1533" s="156"/>
      <c r="L1533" s="157"/>
      <c r="M1533" s="158" t="s">
        <v>28</v>
      </c>
      <c r="N1533" s="159" t="s">
        <v>29</v>
      </c>
    </row>
    <row r="1534" spans="1:14">
      <c r="A1534" s="148"/>
      <c r="B1534" s="149"/>
      <c r="C1534" s="160"/>
      <c r="D1534" s="151"/>
      <c r="E1534" s="152"/>
      <c r="F1534" s="153"/>
      <c r="G1534" s="154"/>
      <c r="H1534" s="154"/>
      <c r="I1534" s="154"/>
      <c r="J1534" s="155"/>
      <c r="K1534" s="156"/>
      <c r="L1534" s="157"/>
      <c r="M1534" s="158" t="s">
        <v>28</v>
      </c>
      <c r="N1534" s="159" t="s">
        <v>29</v>
      </c>
    </row>
    <row r="1535" spans="1:14">
      <c r="A1535" s="148"/>
      <c r="B1535" s="149"/>
      <c r="C1535" s="160"/>
      <c r="D1535" s="151"/>
      <c r="E1535" s="152"/>
      <c r="F1535" s="153"/>
      <c r="G1535" s="154"/>
      <c r="H1535" s="154"/>
      <c r="I1535" s="154"/>
      <c r="J1535" s="155"/>
      <c r="K1535" s="156"/>
      <c r="L1535" s="157"/>
      <c r="M1535" s="158" t="s">
        <v>28</v>
      </c>
      <c r="N1535" s="159" t="s">
        <v>29</v>
      </c>
    </row>
    <row r="1536" spans="1:14">
      <c r="A1536" s="148"/>
      <c r="B1536" s="149"/>
      <c r="C1536" s="160"/>
      <c r="D1536" s="151"/>
      <c r="E1536" s="152"/>
      <c r="F1536" s="153"/>
      <c r="G1536" s="154"/>
      <c r="H1536" s="154"/>
      <c r="I1536" s="154"/>
      <c r="J1536" s="155"/>
      <c r="K1536" s="156"/>
      <c r="L1536" s="157"/>
      <c r="M1536" s="158" t="s">
        <v>28</v>
      </c>
      <c r="N1536" s="159" t="s">
        <v>29</v>
      </c>
    </row>
    <row r="1537" spans="1:14">
      <c r="A1537" s="148"/>
      <c r="B1537" s="149"/>
      <c r="C1537" s="160"/>
      <c r="D1537" s="151"/>
      <c r="E1537" s="152"/>
      <c r="F1537" s="153"/>
      <c r="G1537" s="154"/>
      <c r="H1537" s="154"/>
      <c r="I1537" s="154"/>
      <c r="J1537" s="155"/>
      <c r="K1537" s="156"/>
      <c r="L1537" s="157"/>
      <c r="M1537" s="158" t="s">
        <v>28</v>
      </c>
      <c r="N1537" s="159" t="s">
        <v>29</v>
      </c>
    </row>
    <row r="1538" spans="1:14">
      <c r="A1538" s="148"/>
      <c r="B1538" s="149"/>
      <c r="C1538" s="160"/>
      <c r="D1538" s="151"/>
      <c r="E1538" s="152"/>
      <c r="F1538" s="153"/>
      <c r="G1538" s="154"/>
      <c r="H1538" s="154"/>
      <c r="I1538" s="154"/>
      <c r="J1538" s="155"/>
      <c r="K1538" s="156"/>
      <c r="L1538" s="157"/>
      <c r="M1538" s="158" t="s">
        <v>28</v>
      </c>
      <c r="N1538" s="159" t="s">
        <v>29</v>
      </c>
    </row>
    <row r="1539" spans="1:14">
      <c r="A1539" s="148"/>
      <c r="B1539" s="149"/>
      <c r="C1539" s="160"/>
      <c r="D1539" s="151"/>
      <c r="E1539" s="152"/>
      <c r="F1539" s="153"/>
      <c r="G1539" s="154"/>
      <c r="H1539" s="154"/>
      <c r="I1539" s="154"/>
      <c r="J1539" s="155"/>
      <c r="K1539" s="156"/>
      <c r="L1539" s="157"/>
      <c r="M1539" s="158" t="s">
        <v>28</v>
      </c>
      <c r="N1539" s="159" t="s">
        <v>29</v>
      </c>
    </row>
    <row r="1540" spans="1:14">
      <c r="A1540" s="148"/>
      <c r="B1540" s="149"/>
      <c r="C1540" s="160"/>
      <c r="D1540" s="151"/>
      <c r="E1540" s="152"/>
      <c r="F1540" s="153"/>
      <c r="G1540" s="154"/>
      <c r="H1540" s="154"/>
      <c r="I1540" s="154"/>
      <c r="J1540" s="155"/>
      <c r="K1540" s="156"/>
      <c r="L1540" s="157"/>
      <c r="M1540" s="158" t="s">
        <v>28</v>
      </c>
      <c r="N1540" s="159" t="s">
        <v>29</v>
      </c>
    </row>
    <row r="1541" spans="1:14">
      <c r="A1541" s="148"/>
      <c r="B1541" s="149"/>
      <c r="C1541" s="160"/>
      <c r="D1541" s="151"/>
      <c r="E1541" s="152"/>
      <c r="F1541" s="153"/>
      <c r="G1541" s="154"/>
      <c r="H1541" s="154"/>
      <c r="I1541" s="154"/>
      <c r="J1541" s="155"/>
      <c r="K1541" s="156"/>
      <c r="L1541" s="157"/>
      <c r="M1541" s="158" t="s">
        <v>28</v>
      </c>
      <c r="N1541" s="159" t="s">
        <v>29</v>
      </c>
    </row>
    <row r="1542" spans="1:14">
      <c r="A1542" s="148"/>
      <c r="B1542" s="149"/>
      <c r="C1542" s="160"/>
      <c r="D1542" s="151"/>
      <c r="E1542" s="152"/>
      <c r="F1542" s="153"/>
      <c r="G1542" s="154"/>
      <c r="H1542" s="154"/>
      <c r="I1542" s="154"/>
      <c r="J1542" s="155"/>
      <c r="K1542" s="156"/>
      <c r="L1542" s="157"/>
      <c r="M1542" s="158" t="s">
        <v>28</v>
      </c>
      <c r="N1542" s="159" t="s">
        <v>29</v>
      </c>
    </row>
    <row r="1543" spans="1:14">
      <c r="A1543" s="148"/>
      <c r="B1543" s="149"/>
      <c r="C1543" s="160"/>
      <c r="D1543" s="151"/>
      <c r="E1543" s="152"/>
      <c r="F1543" s="153"/>
      <c r="G1543" s="154"/>
      <c r="H1543" s="154"/>
      <c r="I1543" s="154"/>
      <c r="J1543" s="155"/>
      <c r="K1543" s="156"/>
      <c r="L1543" s="157"/>
      <c r="M1543" s="158" t="s">
        <v>28</v>
      </c>
      <c r="N1543" s="159" t="s">
        <v>29</v>
      </c>
    </row>
    <row r="1544" spans="1:14">
      <c r="A1544" s="148"/>
      <c r="B1544" s="149"/>
      <c r="C1544" s="160"/>
      <c r="D1544" s="151"/>
      <c r="E1544" s="152"/>
      <c r="F1544" s="153"/>
      <c r="G1544" s="154"/>
      <c r="H1544" s="154"/>
      <c r="I1544" s="154"/>
      <c r="J1544" s="155"/>
      <c r="K1544" s="156"/>
      <c r="L1544" s="157"/>
      <c r="M1544" s="158" t="s">
        <v>28</v>
      </c>
      <c r="N1544" s="159" t="s">
        <v>29</v>
      </c>
    </row>
    <row r="1545" spans="1:14">
      <c r="A1545" s="148"/>
      <c r="B1545" s="149"/>
      <c r="C1545" s="160"/>
      <c r="D1545" s="151"/>
      <c r="E1545" s="152"/>
      <c r="F1545" s="153"/>
      <c r="G1545" s="154"/>
      <c r="H1545" s="154"/>
      <c r="I1545" s="154"/>
      <c r="J1545" s="155"/>
      <c r="K1545" s="156"/>
      <c r="L1545" s="157"/>
      <c r="M1545" s="158" t="s">
        <v>28</v>
      </c>
      <c r="N1545" s="159" t="s">
        <v>29</v>
      </c>
    </row>
    <row r="1546" spans="1:14">
      <c r="A1546" s="148"/>
      <c r="B1546" s="149"/>
      <c r="C1546" s="160"/>
      <c r="D1546" s="151"/>
      <c r="E1546" s="152"/>
      <c r="F1546" s="153"/>
      <c r="G1546" s="154"/>
      <c r="H1546" s="154"/>
      <c r="I1546" s="154"/>
      <c r="J1546" s="155"/>
      <c r="K1546" s="156"/>
      <c r="L1546" s="157"/>
      <c r="M1546" s="158" t="s">
        <v>28</v>
      </c>
      <c r="N1546" s="159" t="s">
        <v>29</v>
      </c>
    </row>
    <row r="1547" spans="1:14">
      <c r="A1547" s="148"/>
      <c r="B1547" s="149"/>
      <c r="C1547" s="160"/>
      <c r="D1547" s="151"/>
      <c r="E1547" s="152"/>
      <c r="F1547" s="153"/>
      <c r="G1547" s="154"/>
      <c r="H1547" s="154"/>
      <c r="I1547" s="154"/>
      <c r="J1547" s="155"/>
      <c r="K1547" s="156"/>
      <c r="L1547" s="157"/>
      <c r="M1547" s="158" t="s">
        <v>28</v>
      </c>
      <c r="N1547" s="159" t="s">
        <v>29</v>
      </c>
    </row>
    <row r="1548" spans="1:14">
      <c r="A1548" s="148"/>
      <c r="B1548" s="149"/>
      <c r="C1548" s="160"/>
      <c r="D1548" s="151"/>
      <c r="E1548" s="152"/>
      <c r="F1548" s="153"/>
      <c r="G1548" s="154"/>
      <c r="H1548" s="154"/>
      <c r="I1548" s="154"/>
      <c r="J1548" s="155"/>
      <c r="K1548" s="156"/>
      <c r="L1548" s="157"/>
      <c r="M1548" s="158" t="s">
        <v>28</v>
      </c>
      <c r="N1548" s="159" t="s">
        <v>29</v>
      </c>
    </row>
    <row r="1549" spans="1:14">
      <c r="A1549" s="148"/>
      <c r="B1549" s="149"/>
      <c r="C1549" s="160"/>
      <c r="D1549" s="151"/>
      <c r="E1549" s="152"/>
      <c r="F1549" s="153"/>
      <c r="G1549" s="154"/>
      <c r="H1549" s="154"/>
      <c r="I1549" s="154"/>
      <c r="J1549" s="155"/>
      <c r="K1549" s="156"/>
      <c r="L1549" s="157"/>
      <c r="M1549" s="158" t="s">
        <v>28</v>
      </c>
      <c r="N1549" s="159" t="s">
        <v>29</v>
      </c>
    </row>
    <row r="1550" spans="1:14">
      <c r="A1550" s="148"/>
      <c r="B1550" s="149"/>
      <c r="C1550" s="160"/>
      <c r="D1550" s="151"/>
      <c r="E1550" s="152"/>
      <c r="F1550" s="153"/>
      <c r="G1550" s="154"/>
      <c r="H1550" s="154"/>
      <c r="I1550" s="154"/>
      <c r="J1550" s="155"/>
      <c r="K1550" s="156"/>
      <c r="L1550" s="157"/>
      <c r="M1550" s="158" t="s">
        <v>28</v>
      </c>
      <c r="N1550" s="159" t="s">
        <v>29</v>
      </c>
    </row>
    <row r="1551" spans="1:14">
      <c r="A1551" s="148"/>
      <c r="B1551" s="149"/>
      <c r="C1551" s="160"/>
      <c r="D1551" s="151"/>
      <c r="E1551" s="152"/>
      <c r="F1551" s="153"/>
      <c r="G1551" s="154"/>
      <c r="H1551" s="154"/>
      <c r="I1551" s="154"/>
      <c r="J1551" s="155"/>
      <c r="K1551" s="156"/>
      <c r="L1551" s="157"/>
      <c r="M1551" s="158" t="s">
        <v>28</v>
      </c>
      <c r="N1551" s="159" t="s">
        <v>29</v>
      </c>
    </row>
    <row r="1552" spans="1:14">
      <c r="A1552" s="148"/>
      <c r="B1552" s="149"/>
      <c r="C1552" s="160"/>
      <c r="D1552" s="151"/>
      <c r="E1552" s="152"/>
      <c r="F1552" s="153"/>
      <c r="G1552" s="154"/>
      <c r="H1552" s="154"/>
      <c r="I1552" s="154"/>
      <c r="J1552" s="155"/>
      <c r="K1552" s="156"/>
      <c r="L1552" s="157"/>
      <c r="M1552" s="158" t="s">
        <v>28</v>
      </c>
      <c r="N1552" s="159" t="s">
        <v>29</v>
      </c>
    </row>
    <row r="1553" spans="1:14">
      <c r="A1553" s="148"/>
      <c r="B1553" s="149"/>
      <c r="C1553" s="160"/>
      <c r="D1553" s="151"/>
      <c r="E1553" s="152"/>
      <c r="F1553" s="153"/>
      <c r="G1553" s="154"/>
      <c r="H1553" s="154"/>
      <c r="I1553" s="154"/>
      <c r="J1553" s="155"/>
      <c r="K1553" s="156"/>
      <c r="L1553" s="157"/>
      <c r="M1553" s="158" t="s">
        <v>28</v>
      </c>
      <c r="N1553" s="159" t="s">
        <v>29</v>
      </c>
    </row>
    <row r="1554" spans="1:14">
      <c r="A1554" s="148"/>
      <c r="B1554" s="149"/>
      <c r="C1554" s="160"/>
      <c r="D1554" s="151"/>
      <c r="E1554" s="152"/>
      <c r="F1554" s="153"/>
      <c r="G1554" s="154"/>
      <c r="H1554" s="154"/>
      <c r="I1554" s="154"/>
      <c r="J1554" s="155"/>
      <c r="K1554" s="156"/>
      <c r="L1554" s="157"/>
      <c r="M1554" s="158" t="s">
        <v>28</v>
      </c>
      <c r="N1554" s="159" t="s">
        <v>29</v>
      </c>
    </row>
    <row r="1555" spans="1:14">
      <c r="A1555" s="148"/>
      <c r="B1555" s="149"/>
      <c r="C1555" s="160"/>
      <c r="D1555" s="151"/>
      <c r="E1555" s="152"/>
      <c r="F1555" s="153"/>
      <c r="G1555" s="154"/>
      <c r="H1555" s="154"/>
      <c r="I1555" s="154"/>
      <c r="J1555" s="155"/>
      <c r="K1555" s="156"/>
      <c r="L1555" s="157"/>
      <c r="M1555" s="158" t="s">
        <v>28</v>
      </c>
      <c r="N1555" s="159" t="s">
        <v>29</v>
      </c>
    </row>
    <row r="1556" spans="1:14">
      <c r="A1556" s="148"/>
      <c r="B1556" s="149"/>
      <c r="C1556" s="160"/>
      <c r="D1556" s="151"/>
      <c r="E1556" s="152"/>
      <c r="F1556" s="153"/>
      <c r="G1556" s="154"/>
      <c r="H1556" s="154"/>
      <c r="I1556" s="154"/>
      <c r="J1556" s="155"/>
      <c r="K1556" s="156"/>
      <c r="L1556" s="157"/>
      <c r="M1556" s="158" t="s">
        <v>28</v>
      </c>
      <c r="N1556" s="159" t="s">
        <v>29</v>
      </c>
    </row>
    <row r="1557" spans="1:14">
      <c r="A1557" s="148"/>
      <c r="B1557" s="149"/>
      <c r="C1557" s="160"/>
      <c r="D1557" s="151"/>
      <c r="E1557" s="152"/>
      <c r="F1557" s="153"/>
      <c r="G1557" s="154"/>
      <c r="H1557" s="154"/>
      <c r="I1557" s="154"/>
      <c r="J1557" s="155"/>
      <c r="K1557" s="156"/>
      <c r="L1557" s="157"/>
      <c r="M1557" s="158" t="s">
        <v>28</v>
      </c>
      <c r="N1557" s="159" t="s">
        <v>29</v>
      </c>
    </row>
    <row r="1558" spans="1:14">
      <c r="A1558" s="148"/>
      <c r="B1558" s="149"/>
      <c r="C1558" s="160"/>
      <c r="D1558" s="151"/>
      <c r="E1558" s="152"/>
      <c r="F1558" s="153"/>
      <c r="G1558" s="154"/>
      <c r="H1558" s="154"/>
      <c r="I1558" s="154"/>
      <c r="J1558" s="155"/>
      <c r="K1558" s="156"/>
      <c r="L1558" s="157"/>
      <c r="M1558" s="158" t="s">
        <v>28</v>
      </c>
      <c r="N1558" s="159" t="s">
        <v>29</v>
      </c>
    </row>
    <row r="1559" spans="1:14">
      <c r="A1559" s="148"/>
      <c r="B1559" s="149"/>
      <c r="C1559" s="160"/>
      <c r="D1559" s="151"/>
      <c r="E1559" s="152"/>
      <c r="F1559" s="153"/>
      <c r="G1559" s="154"/>
      <c r="H1559" s="154"/>
      <c r="I1559" s="154"/>
      <c r="J1559" s="155"/>
      <c r="K1559" s="156"/>
      <c r="L1559" s="157"/>
      <c r="M1559" s="158" t="s">
        <v>28</v>
      </c>
      <c r="N1559" s="159" t="s">
        <v>29</v>
      </c>
    </row>
    <row r="1560" spans="1:14">
      <c r="A1560" s="148"/>
      <c r="B1560" s="149"/>
      <c r="C1560" s="160"/>
      <c r="D1560" s="151"/>
      <c r="E1560" s="152"/>
      <c r="F1560" s="153"/>
      <c r="G1560" s="154"/>
      <c r="H1560" s="154"/>
      <c r="I1560" s="154"/>
      <c r="J1560" s="155"/>
      <c r="K1560" s="156"/>
      <c r="L1560" s="157"/>
      <c r="M1560" s="158" t="s">
        <v>28</v>
      </c>
      <c r="N1560" s="159" t="s">
        <v>29</v>
      </c>
    </row>
    <row r="1561" spans="1:14">
      <c r="A1561" s="148"/>
      <c r="B1561" s="149"/>
      <c r="C1561" s="160"/>
      <c r="D1561" s="151"/>
      <c r="E1561" s="152"/>
      <c r="F1561" s="153"/>
      <c r="G1561" s="154"/>
      <c r="H1561" s="154"/>
      <c r="I1561" s="154"/>
      <c r="J1561" s="155"/>
      <c r="K1561" s="156"/>
      <c r="L1561" s="157"/>
      <c r="M1561" s="158" t="s">
        <v>28</v>
      </c>
      <c r="N1561" s="159" t="s">
        <v>29</v>
      </c>
    </row>
    <row r="1562" spans="1:14">
      <c r="A1562" s="148"/>
      <c r="B1562" s="149"/>
      <c r="C1562" s="160"/>
      <c r="D1562" s="151"/>
      <c r="E1562" s="152"/>
      <c r="F1562" s="153"/>
      <c r="G1562" s="154"/>
      <c r="H1562" s="154"/>
      <c r="I1562" s="154"/>
      <c r="J1562" s="155"/>
      <c r="K1562" s="156"/>
      <c r="L1562" s="157"/>
      <c r="M1562" s="158" t="s">
        <v>28</v>
      </c>
      <c r="N1562" s="159" t="s">
        <v>29</v>
      </c>
    </row>
    <row r="1563" spans="1:14">
      <c r="A1563" s="148"/>
      <c r="B1563" s="149"/>
      <c r="C1563" s="160"/>
      <c r="D1563" s="151"/>
      <c r="E1563" s="152"/>
      <c r="F1563" s="153"/>
      <c r="G1563" s="154"/>
      <c r="H1563" s="154"/>
      <c r="I1563" s="154"/>
      <c r="J1563" s="155"/>
      <c r="K1563" s="156"/>
      <c r="L1563" s="157"/>
      <c r="M1563" s="158" t="s">
        <v>28</v>
      </c>
      <c r="N1563" s="159" t="s">
        <v>29</v>
      </c>
    </row>
    <row r="1564" spans="1:14">
      <c r="A1564" s="148"/>
      <c r="B1564" s="149"/>
      <c r="C1564" s="160"/>
      <c r="D1564" s="151"/>
      <c r="E1564" s="152"/>
      <c r="F1564" s="153"/>
      <c r="G1564" s="154"/>
      <c r="H1564" s="154"/>
      <c r="I1564" s="154"/>
      <c r="J1564" s="155"/>
      <c r="K1564" s="156"/>
      <c r="L1564" s="157"/>
      <c r="M1564" s="158" t="s">
        <v>28</v>
      </c>
      <c r="N1564" s="159" t="s">
        <v>29</v>
      </c>
    </row>
    <row r="1565" spans="1:14">
      <c r="A1565" s="148"/>
      <c r="B1565" s="149"/>
      <c r="C1565" s="160"/>
      <c r="D1565" s="151"/>
      <c r="E1565" s="152"/>
      <c r="F1565" s="153"/>
      <c r="G1565" s="154"/>
      <c r="H1565" s="154"/>
      <c r="I1565" s="154"/>
      <c r="J1565" s="155"/>
      <c r="K1565" s="156"/>
      <c r="L1565" s="157"/>
      <c r="M1565" s="158" t="s">
        <v>28</v>
      </c>
      <c r="N1565" s="159" t="s">
        <v>29</v>
      </c>
    </row>
    <row r="1566" spans="1:14">
      <c r="A1566" s="148"/>
      <c r="B1566" s="149"/>
      <c r="C1566" s="160"/>
      <c r="D1566" s="151"/>
      <c r="E1566" s="152"/>
      <c r="F1566" s="153"/>
      <c r="G1566" s="154"/>
      <c r="H1566" s="154"/>
      <c r="I1566" s="154"/>
      <c r="J1566" s="155"/>
      <c r="K1566" s="156"/>
      <c r="L1566" s="157"/>
      <c r="M1566" s="158" t="s">
        <v>28</v>
      </c>
      <c r="N1566" s="159" t="s">
        <v>29</v>
      </c>
    </row>
    <row r="1567" spans="1:14">
      <c r="A1567" s="148"/>
      <c r="B1567" s="149"/>
      <c r="C1567" s="160"/>
      <c r="D1567" s="151"/>
      <c r="E1567" s="152"/>
      <c r="F1567" s="153"/>
      <c r="G1567" s="154"/>
      <c r="H1567" s="154"/>
      <c r="I1567" s="154"/>
      <c r="J1567" s="155"/>
      <c r="K1567" s="156"/>
      <c r="L1567" s="157"/>
      <c r="M1567" s="158" t="s">
        <v>28</v>
      </c>
      <c r="N1567" s="159" t="s">
        <v>29</v>
      </c>
    </row>
    <row r="1568" spans="1:14">
      <c r="A1568" s="148"/>
      <c r="B1568" s="149"/>
      <c r="C1568" s="160"/>
      <c r="D1568" s="151"/>
      <c r="E1568" s="152"/>
      <c r="F1568" s="153"/>
      <c r="G1568" s="154"/>
      <c r="H1568" s="154"/>
      <c r="I1568" s="154"/>
      <c r="J1568" s="155"/>
      <c r="K1568" s="156"/>
      <c r="L1568" s="157"/>
      <c r="M1568" s="158" t="s">
        <v>28</v>
      </c>
      <c r="N1568" s="159" t="s">
        <v>29</v>
      </c>
    </row>
    <row r="1569" spans="1:14">
      <c r="A1569" s="148"/>
      <c r="B1569" s="149"/>
      <c r="C1569" s="160"/>
      <c r="D1569" s="151"/>
      <c r="E1569" s="152"/>
      <c r="F1569" s="153"/>
      <c r="G1569" s="154"/>
      <c r="H1569" s="154"/>
      <c r="I1569" s="154"/>
      <c r="J1569" s="155"/>
      <c r="K1569" s="156"/>
      <c r="L1569" s="157"/>
      <c r="M1569" s="158" t="s">
        <v>28</v>
      </c>
      <c r="N1569" s="159" t="s">
        <v>29</v>
      </c>
    </row>
    <row r="1570" spans="1:14">
      <c r="A1570" s="148"/>
      <c r="B1570" s="149"/>
      <c r="C1570" s="160"/>
      <c r="D1570" s="151"/>
      <c r="E1570" s="152"/>
      <c r="F1570" s="153"/>
      <c r="G1570" s="154"/>
      <c r="H1570" s="154"/>
      <c r="I1570" s="154"/>
      <c r="J1570" s="155"/>
      <c r="K1570" s="156"/>
      <c r="L1570" s="157"/>
      <c r="M1570" s="158" t="s">
        <v>28</v>
      </c>
      <c r="N1570" s="159" t="s">
        <v>29</v>
      </c>
    </row>
    <row r="1571" spans="1:14">
      <c r="A1571" s="148"/>
      <c r="B1571" s="149"/>
      <c r="C1571" s="160"/>
      <c r="D1571" s="151"/>
      <c r="E1571" s="152"/>
      <c r="F1571" s="153"/>
      <c r="G1571" s="154"/>
      <c r="H1571" s="154"/>
      <c r="I1571" s="154"/>
      <c r="J1571" s="155"/>
      <c r="K1571" s="156"/>
      <c r="L1571" s="157"/>
      <c r="M1571" s="158" t="s">
        <v>28</v>
      </c>
      <c r="N1571" s="159" t="s">
        <v>29</v>
      </c>
    </row>
    <row r="1572" spans="1:14">
      <c r="A1572" s="148"/>
      <c r="B1572" s="149"/>
      <c r="C1572" s="150"/>
      <c r="D1572" s="151"/>
      <c r="E1572" s="152"/>
      <c r="F1572" s="153"/>
      <c r="G1572" s="154"/>
      <c r="H1572" s="154"/>
      <c r="I1572" s="154"/>
      <c r="J1572" s="155"/>
      <c r="K1572" s="156"/>
      <c r="L1572" s="157"/>
      <c r="M1572" s="158" t="s">
        <v>28</v>
      </c>
      <c r="N1572" s="159" t="s">
        <v>29</v>
      </c>
    </row>
    <row r="1573" spans="1:14">
      <c r="A1573" s="148"/>
      <c r="B1573" s="149"/>
      <c r="C1573" s="150"/>
      <c r="D1573" s="151"/>
      <c r="E1573" s="152"/>
      <c r="F1573" s="153"/>
      <c r="G1573" s="154"/>
      <c r="H1573" s="154"/>
      <c r="I1573" s="154"/>
      <c r="J1573" s="155"/>
      <c r="K1573" s="156"/>
      <c r="L1573" s="157"/>
      <c r="M1573" s="158" t="s">
        <v>28</v>
      </c>
      <c r="N1573" s="159" t="s">
        <v>29</v>
      </c>
    </row>
    <row r="1574" spans="1:14">
      <c r="A1574" s="148"/>
      <c r="B1574" s="149"/>
      <c r="C1574" s="150"/>
      <c r="D1574" s="151"/>
      <c r="E1574" s="152"/>
      <c r="F1574" s="153"/>
      <c r="G1574" s="154"/>
      <c r="H1574" s="154"/>
      <c r="I1574" s="154"/>
      <c r="J1574" s="155"/>
      <c r="K1574" s="156"/>
      <c r="L1574" s="157"/>
      <c r="M1574" s="158" t="s">
        <v>28</v>
      </c>
      <c r="N1574" s="159" t="s">
        <v>29</v>
      </c>
    </row>
    <row r="1575" spans="1:14">
      <c r="A1575" s="148"/>
      <c r="B1575" s="149"/>
      <c r="C1575" s="150"/>
      <c r="D1575" s="151"/>
      <c r="E1575" s="152"/>
      <c r="F1575" s="153"/>
      <c r="G1575" s="154"/>
      <c r="H1575" s="154"/>
      <c r="I1575" s="154"/>
      <c r="J1575" s="155"/>
      <c r="K1575" s="156"/>
      <c r="L1575" s="157"/>
      <c r="M1575" s="158" t="s">
        <v>28</v>
      </c>
      <c r="N1575" s="159" t="s">
        <v>29</v>
      </c>
    </row>
    <row r="1576" spans="1:14">
      <c r="A1576" s="148"/>
      <c r="B1576" s="149"/>
      <c r="C1576" s="150"/>
      <c r="D1576" s="151"/>
      <c r="E1576" s="152"/>
      <c r="F1576" s="153"/>
      <c r="G1576" s="154"/>
      <c r="H1576" s="154"/>
      <c r="I1576" s="154"/>
      <c r="J1576" s="155"/>
      <c r="K1576" s="156"/>
      <c r="L1576" s="157"/>
      <c r="M1576" s="158" t="s">
        <v>28</v>
      </c>
      <c r="N1576" s="159" t="s">
        <v>29</v>
      </c>
    </row>
    <row r="1577" spans="1:14">
      <c r="A1577" s="148"/>
      <c r="B1577" s="149"/>
      <c r="C1577" s="160"/>
      <c r="D1577" s="151"/>
      <c r="E1577" s="152"/>
      <c r="F1577" s="153"/>
      <c r="G1577" s="154"/>
      <c r="H1577" s="154"/>
      <c r="I1577" s="154"/>
      <c r="J1577" s="155"/>
      <c r="K1577" s="156"/>
      <c r="L1577" s="157"/>
      <c r="M1577" s="158" t="s">
        <v>28</v>
      </c>
      <c r="N1577" s="159" t="s">
        <v>29</v>
      </c>
    </row>
    <row r="1578" spans="1:14">
      <c r="A1578" s="148"/>
      <c r="B1578" s="149"/>
      <c r="C1578" s="160"/>
      <c r="D1578" s="151"/>
      <c r="E1578" s="152"/>
      <c r="F1578" s="153"/>
      <c r="G1578" s="154"/>
      <c r="H1578" s="154"/>
      <c r="I1578" s="154"/>
      <c r="J1578" s="155"/>
      <c r="K1578" s="156"/>
      <c r="L1578" s="157"/>
      <c r="M1578" s="158" t="s">
        <v>28</v>
      </c>
      <c r="N1578" s="159" t="s">
        <v>29</v>
      </c>
    </row>
    <row r="1579" spans="1:14">
      <c r="A1579" s="148"/>
      <c r="B1579" s="149"/>
      <c r="C1579" s="150"/>
      <c r="D1579" s="151"/>
      <c r="E1579" s="152"/>
      <c r="F1579" s="153"/>
      <c r="G1579" s="154"/>
      <c r="H1579" s="154"/>
      <c r="I1579" s="154"/>
      <c r="J1579" s="155"/>
      <c r="K1579" s="156"/>
      <c r="L1579" s="157"/>
      <c r="M1579" s="158" t="s">
        <v>28</v>
      </c>
      <c r="N1579" s="159" t="s">
        <v>29</v>
      </c>
    </row>
    <row r="1580" spans="1:14">
      <c r="A1580" s="148"/>
      <c r="B1580" s="149"/>
      <c r="C1580" s="160"/>
      <c r="D1580" s="151"/>
      <c r="E1580" s="152"/>
      <c r="F1580" s="153"/>
      <c r="G1580" s="154"/>
      <c r="H1580" s="154"/>
      <c r="I1580" s="154"/>
      <c r="J1580" s="155"/>
      <c r="K1580" s="156"/>
      <c r="L1580" s="157"/>
      <c r="M1580" s="158" t="s">
        <v>28</v>
      </c>
      <c r="N1580" s="159" t="s">
        <v>29</v>
      </c>
    </row>
    <row r="1581" spans="1:14">
      <c r="A1581" s="148"/>
      <c r="B1581" s="149"/>
      <c r="C1581" s="160"/>
      <c r="D1581" s="151"/>
      <c r="E1581" s="152"/>
      <c r="F1581" s="153"/>
      <c r="G1581" s="154"/>
      <c r="H1581" s="154"/>
      <c r="I1581" s="154"/>
      <c r="J1581" s="155"/>
      <c r="K1581" s="156"/>
      <c r="L1581" s="157"/>
      <c r="M1581" s="158" t="s">
        <v>28</v>
      </c>
      <c r="N1581" s="159" t="s">
        <v>29</v>
      </c>
    </row>
    <row r="1582" spans="1:14">
      <c r="A1582" s="148"/>
      <c r="B1582" s="149"/>
      <c r="C1582" s="160"/>
      <c r="D1582" s="151"/>
      <c r="E1582" s="152"/>
      <c r="F1582" s="153"/>
      <c r="G1582" s="154"/>
      <c r="H1582" s="154"/>
      <c r="I1582" s="154"/>
      <c r="J1582" s="155"/>
      <c r="K1582" s="156"/>
      <c r="L1582" s="157"/>
      <c r="M1582" s="158" t="s">
        <v>28</v>
      </c>
      <c r="N1582" s="159" t="s">
        <v>29</v>
      </c>
    </row>
    <row r="1583" spans="1:14">
      <c r="A1583" s="148"/>
      <c r="B1583" s="149"/>
      <c r="C1583" s="160"/>
      <c r="D1583" s="151"/>
      <c r="E1583" s="152"/>
      <c r="F1583" s="153"/>
      <c r="G1583" s="154"/>
      <c r="H1583" s="154"/>
      <c r="I1583" s="154"/>
      <c r="J1583" s="155"/>
      <c r="K1583" s="156"/>
      <c r="L1583" s="157"/>
      <c r="M1583" s="158" t="s">
        <v>28</v>
      </c>
      <c r="N1583" s="159" t="s">
        <v>29</v>
      </c>
    </row>
    <row r="1584" spans="1:14">
      <c r="A1584" s="148"/>
      <c r="B1584" s="149"/>
      <c r="C1584" s="160"/>
      <c r="D1584" s="151"/>
      <c r="E1584" s="152"/>
      <c r="F1584" s="153"/>
      <c r="G1584" s="154"/>
      <c r="H1584" s="154"/>
      <c r="I1584" s="154"/>
      <c r="J1584" s="155"/>
      <c r="K1584" s="156"/>
      <c r="L1584" s="157"/>
      <c r="M1584" s="158" t="s">
        <v>28</v>
      </c>
      <c r="N1584" s="159" t="s">
        <v>29</v>
      </c>
    </row>
    <row r="1585" spans="1:14">
      <c r="A1585" s="148"/>
      <c r="B1585" s="149"/>
      <c r="C1585" s="160"/>
      <c r="D1585" s="151"/>
      <c r="E1585" s="152"/>
      <c r="F1585" s="153"/>
      <c r="G1585" s="154"/>
      <c r="H1585" s="154"/>
      <c r="I1585" s="154"/>
      <c r="J1585" s="155"/>
      <c r="K1585" s="156"/>
      <c r="L1585" s="157"/>
      <c r="M1585" s="158" t="s">
        <v>28</v>
      </c>
      <c r="N1585" s="159" t="s">
        <v>29</v>
      </c>
    </row>
    <row r="1586" spans="1:14">
      <c r="A1586" s="148"/>
      <c r="B1586" s="149"/>
      <c r="C1586" s="160"/>
      <c r="D1586" s="151"/>
      <c r="E1586" s="152"/>
      <c r="F1586" s="153"/>
      <c r="G1586" s="154"/>
      <c r="H1586" s="154"/>
      <c r="I1586" s="154"/>
      <c r="J1586" s="155"/>
      <c r="K1586" s="156"/>
      <c r="L1586" s="157"/>
      <c r="M1586" s="158" t="s">
        <v>28</v>
      </c>
      <c r="N1586" s="159" t="s">
        <v>29</v>
      </c>
    </row>
    <row r="1587" spans="1:14">
      <c r="A1587" s="148"/>
      <c r="B1587" s="149"/>
      <c r="C1587" s="160"/>
      <c r="D1587" s="151"/>
      <c r="E1587" s="152"/>
      <c r="F1587" s="153"/>
      <c r="G1587" s="154"/>
      <c r="H1587" s="154"/>
      <c r="I1587" s="154"/>
      <c r="J1587" s="155"/>
      <c r="K1587" s="156"/>
      <c r="L1587" s="157"/>
      <c r="M1587" s="158" t="s">
        <v>28</v>
      </c>
      <c r="N1587" s="159" t="s">
        <v>29</v>
      </c>
    </row>
    <row r="1588" spans="1:14">
      <c r="A1588" s="148"/>
      <c r="B1588" s="149"/>
      <c r="C1588" s="160"/>
      <c r="D1588" s="151"/>
      <c r="E1588" s="152"/>
      <c r="F1588" s="153"/>
      <c r="G1588" s="154"/>
      <c r="H1588" s="154"/>
      <c r="I1588" s="154"/>
      <c r="J1588" s="155"/>
      <c r="K1588" s="156"/>
      <c r="L1588" s="157"/>
      <c r="M1588" s="158" t="s">
        <v>28</v>
      </c>
      <c r="N1588" s="159" t="s">
        <v>29</v>
      </c>
    </row>
    <row r="1589" spans="1:14">
      <c r="A1589" s="148"/>
      <c r="B1589" s="149"/>
      <c r="C1589" s="160"/>
      <c r="D1589" s="151"/>
      <c r="E1589" s="152"/>
      <c r="F1589" s="153"/>
      <c r="G1589" s="154"/>
      <c r="H1589" s="154"/>
      <c r="I1589" s="154"/>
      <c r="J1589" s="155"/>
      <c r="K1589" s="156"/>
      <c r="L1589" s="157"/>
      <c r="M1589" s="158" t="s">
        <v>28</v>
      </c>
      <c r="N1589" s="159" t="s">
        <v>29</v>
      </c>
    </row>
    <row r="1590" spans="1:14">
      <c r="A1590" s="148"/>
      <c r="B1590" s="149"/>
      <c r="C1590" s="160"/>
      <c r="D1590" s="151"/>
      <c r="E1590" s="152"/>
      <c r="F1590" s="153"/>
      <c r="G1590" s="154"/>
      <c r="H1590" s="154"/>
      <c r="I1590" s="154"/>
      <c r="J1590" s="155"/>
      <c r="K1590" s="156"/>
      <c r="L1590" s="157"/>
      <c r="M1590" s="158" t="s">
        <v>28</v>
      </c>
      <c r="N1590" s="159" t="s">
        <v>29</v>
      </c>
    </row>
    <row r="1591" spans="1:14">
      <c r="A1591" s="148"/>
      <c r="B1591" s="149"/>
      <c r="C1591" s="160"/>
      <c r="D1591" s="151"/>
      <c r="E1591" s="152"/>
      <c r="F1591" s="153"/>
      <c r="G1591" s="154"/>
      <c r="H1591" s="154"/>
      <c r="I1591" s="154"/>
      <c r="J1591" s="155"/>
      <c r="K1591" s="156"/>
      <c r="L1591" s="157"/>
      <c r="M1591" s="158" t="s">
        <v>28</v>
      </c>
      <c r="N1591" s="159" t="s">
        <v>29</v>
      </c>
    </row>
    <row r="1592" spans="1:14">
      <c r="A1592" s="148"/>
      <c r="B1592" s="149"/>
      <c r="C1592" s="160"/>
      <c r="D1592" s="151"/>
      <c r="E1592" s="152"/>
      <c r="F1592" s="153"/>
      <c r="G1592" s="154"/>
      <c r="H1592" s="154"/>
      <c r="I1592" s="154"/>
      <c r="J1592" s="155"/>
      <c r="K1592" s="156"/>
      <c r="L1592" s="157"/>
      <c r="M1592" s="158" t="s">
        <v>28</v>
      </c>
      <c r="N1592" s="159" t="s">
        <v>29</v>
      </c>
    </row>
    <row r="1593" spans="1:14">
      <c r="A1593" s="148"/>
      <c r="B1593" s="149"/>
      <c r="C1593" s="160"/>
      <c r="D1593" s="151"/>
      <c r="E1593" s="152"/>
      <c r="F1593" s="153"/>
      <c r="G1593" s="154"/>
      <c r="H1593" s="154"/>
      <c r="I1593" s="154"/>
      <c r="J1593" s="155"/>
      <c r="K1593" s="156"/>
      <c r="L1593" s="157"/>
      <c r="M1593" s="158" t="s">
        <v>28</v>
      </c>
      <c r="N1593" s="159" t="s">
        <v>29</v>
      </c>
    </row>
    <row r="1594" spans="1:14">
      <c r="A1594" s="148"/>
      <c r="B1594" s="149"/>
      <c r="C1594" s="160"/>
      <c r="D1594" s="151"/>
      <c r="E1594" s="152"/>
      <c r="F1594" s="153"/>
      <c r="G1594" s="154"/>
      <c r="H1594" s="154"/>
      <c r="I1594" s="154"/>
      <c r="J1594" s="155"/>
      <c r="K1594" s="156"/>
      <c r="L1594" s="157"/>
      <c r="M1594" s="158" t="s">
        <v>28</v>
      </c>
      <c r="N1594" s="159" t="s">
        <v>29</v>
      </c>
    </row>
    <row r="1595" spans="1:14">
      <c r="A1595" s="148"/>
      <c r="B1595" s="149"/>
      <c r="C1595" s="160"/>
      <c r="D1595" s="151"/>
      <c r="E1595" s="152"/>
      <c r="F1595" s="153"/>
      <c r="G1595" s="154"/>
      <c r="H1595" s="154"/>
      <c r="I1595" s="154"/>
      <c r="J1595" s="155"/>
      <c r="K1595" s="156"/>
      <c r="L1595" s="157"/>
      <c r="M1595" s="158" t="s">
        <v>28</v>
      </c>
      <c r="N1595" s="159" t="s">
        <v>29</v>
      </c>
    </row>
    <row r="1596" spans="1:14">
      <c r="A1596" s="148"/>
      <c r="B1596" s="149"/>
      <c r="C1596" s="160"/>
      <c r="D1596" s="151"/>
      <c r="E1596" s="152"/>
      <c r="F1596" s="153"/>
      <c r="G1596" s="154"/>
      <c r="H1596" s="154"/>
      <c r="I1596" s="154"/>
      <c r="J1596" s="155"/>
      <c r="K1596" s="156"/>
      <c r="L1596" s="157"/>
      <c r="M1596" s="158" t="s">
        <v>28</v>
      </c>
      <c r="N1596" s="159" t="s">
        <v>29</v>
      </c>
    </row>
    <row r="1597" spans="1:14">
      <c r="A1597" s="148"/>
      <c r="B1597" s="149"/>
      <c r="C1597" s="160"/>
      <c r="D1597" s="151"/>
      <c r="E1597" s="152"/>
      <c r="F1597" s="153"/>
      <c r="G1597" s="154"/>
      <c r="H1597" s="154"/>
      <c r="I1597" s="154"/>
      <c r="J1597" s="155"/>
      <c r="K1597" s="156"/>
      <c r="L1597" s="157"/>
      <c r="M1597" s="158" t="s">
        <v>28</v>
      </c>
      <c r="N1597" s="159" t="s">
        <v>29</v>
      </c>
    </row>
    <row r="1598" spans="1:14">
      <c r="A1598" s="148"/>
      <c r="B1598" s="149"/>
      <c r="C1598" s="160"/>
      <c r="D1598" s="151"/>
      <c r="E1598" s="152"/>
      <c r="F1598" s="153"/>
      <c r="G1598" s="154"/>
      <c r="H1598" s="154"/>
      <c r="I1598" s="154"/>
      <c r="J1598" s="155"/>
      <c r="K1598" s="156"/>
      <c r="L1598" s="157"/>
      <c r="M1598" s="158" t="s">
        <v>28</v>
      </c>
      <c r="N1598" s="159" t="s">
        <v>29</v>
      </c>
    </row>
    <row r="1599" spans="1:14">
      <c r="A1599" s="148"/>
      <c r="B1599" s="149"/>
      <c r="C1599" s="160"/>
      <c r="D1599" s="151"/>
      <c r="E1599" s="152"/>
      <c r="F1599" s="153"/>
      <c r="G1599" s="154"/>
      <c r="H1599" s="154"/>
      <c r="I1599" s="154"/>
      <c r="J1599" s="155"/>
      <c r="K1599" s="156"/>
      <c r="L1599" s="157"/>
      <c r="M1599" s="158" t="s">
        <v>28</v>
      </c>
      <c r="N1599" s="159" t="s">
        <v>29</v>
      </c>
    </row>
    <row r="1600" spans="1:14">
      <c r="A1600" s="148"/>
      <c r="B1600" s="149"/>
      <c r="C1600" s="160"/>
      <c r="D1600" s="151"/>
      <c r="E1600" s="152"/>
      <c r="F1600" s="153"/>
      <c r="G1600" s="154"/>
      <c r="H1600" s="154"/>
      <c r="I1600" s="154"/>
      <c r="J1600" s="155"/>
      <c r="K1600" s="156"/>
      <c r="L1600" s="157"/>
      <c r="M1600" s="158" t="s">
        <v>28</v>
      </c>
      <c r="N1600" s="159" t="s">
        <v>29</v>
      </c>
    </row>
    <row r="1601" spans="1:14">
      <c r="A1601" s="148"/>
      <c r="B1601" s="149"/>
      <c r="C1601" s="160"/>
      <c r="D1601" s="151"/>
      <c r="E1601" s="152"/>
      <c r="F1601" s="153"/>
      <c r="G1601" s="154"/>
      <c r="H1601" s="154"/>
      <c r="I1601" s="154"/>
      <c r="J1601" s="155"/>
      <c r="K1601" s="156"/>
      <c r="L1601" s="157"/>
      <c r="M1601" s="158" t="s">
        <v>28</v>
      </c>
      <c r="N1601" s="159" t="s">
        <v>29</v>
      </c>
    </row>
    <row r="1602" spans="1:14">
      <c r="A1602" s="148"/>
      <c r="B1602" s="149"/>
      <c r="C1602" s="160"/>
      <c r="D1602" s="151"/>
      <c r="E1602" s="152"/>
      <c r="F1602" s="153"/>
      <c r="G1602" s="154"/>
      <c r="H1602" s="154"/>
      <c r="I1602" s="154"/>
      <c r="J1602" s="155"/>
      <c r="K1602" s="156"/>
      <c r="L1602" s="157"/>
      <c r="M1602" s="158" t="s">
        <v>28</v>
      </c>
      <c r="N1602" s="159" t="s">
        <v>29</v>
      </c>
    </row>
    <row r="1603" spans="1:14">
      <c r="A1603" s="148"/>
      <c r="B1603" s="149"/>
      <c r="C1603" s="160"/>
      <c r="D1603" s="151"/>
      <c r="E1603" s="152"/>
      <c r="F1603" s="153"/>
      <c r="G1603" s="154"/>
      <c r="H1603" s="154"/>
      <c r="I1603" s="154"/>
      <c r="J1603" s="155"/>
      <c r="K1603" s="156"/>
      <c r="L1603" s="157"/>
      <c r="M1603" s="158" t="s">
        <v>28</v>
      </c>
      <c r="N1603" s="159" t="s">
        <v>29</v>
      </c>
    </row>
    <row r="1604" spans="1:14">
      <c r="A1604" s="148"/>
      <c r="B1604" s="149"/>
      <c r="C1604" s="160"/>
      <c r="D1604" s="151"/>
      <c r="E1604" s="152"/>
      <c r="F1604" s="153"/>
      <c r="G1604" s="154"/>
      <c r="H1604" s="154"/>
      <c r="I1604" s="154"/>
      <c r="J1604" s="155"/>
      <c r="K1604" s="156"/>
      <c r="L1604" s="157"/>
      <c r="M1604" s="158" t="s">
        <v>28</v>
      </c>
      <c r="N1604" s="159" t="s">
        <v>29</v>
      </c>
    </row>
    <row r="1605" spans="1:14">
      <c r="A1605" s="148"/>
      <c r="B1605" s="149"/>
      <c r="C1605" s="160"/>
      <c r="D1605" s="151"/>
      <c r="E1605" s="152"/>
      <c r="F1605" s="153"/>
      <c r="G1605" s="154"/>
      <c r="H1605" s="154"/>
      <c r="I1605" s="154"/>
      <c r="J1605" s="155"/>
      <c r="K1605" s="156"/>
      <c r="L1605" s="157"/>
      <c r="M1605" s="158" t="s">
        <v>28</v>
      </c>
      <c r="N1605" s="159" t="s">
        <v>29</v>
      </c>
    </row>
    <row r="1606" spans="1:14">
      <c r="A1606" s="148"/>
      <c r="B1606" s="149"/>
      <c r="C1606" s="160"/>
      <c r="D1606" s="151"/>
      <c r="E1606" s="152"/>
      <c r="F1606" s="153"/>
      <c r="G1606" s="154"/>
      <c r="H1606" s="154"/>
      <c r="I1606" s="154"/>
      <c r="J1606" s="155"/>
      <c r="K1606" s="156"/>
      <c r="L1606" s="157"/>
      <c r="M1606" s="158" t="s">
        <v>28</v>
      </c>
      <c r="N1606" s="159" t="s">
        <v>29</v>
      </c>
    </row>
    <row r="1607" spans="1:14">
      <c r="A1607" s="148"/>
      <c r="B1607" s="149"/>
      <c r="C1607" s="160"/>
      <c r="D1607" s="151"/>
      <c r="E1607" s="152"/>
      <c r="F1607" s="153"/>
      <c r="G1607" s="154"/>
      <c r="H1607" s="154"/>
      <c r="I1607" s="154"/>
      <c r="J1607" s="155"/>
      <c r="K1607" s="156"/>
      <c r="L1607" s="157"/>
      <c r="M1607" s="158" t="s">
        <v>28</v>
      </c>
      <c r="N1607" s="159" t="s">
        <v>29</v>
      </c>
    </row>
    <row r="1608" spans="1:14">
      <c r="A1608" s="148"/>
      <c r="B1608" s="149"/>
      <c r="C1608" s="160"/>
      <c r="D1608" s="151"/>
      <c r="E1608" s="152"/>
      <c r="F1608" s="153"/>
      <c r="G1608" s="154"/>
      <c r="H1608" s="154"/>
      <c r="I1608" s="154"/>
      <c r="J1608" s="155"/>
      <c r="K1608" s="156"/>
      <c r="L1608" s="157"/>
      <c r="M1608" s="158" t="s">
        <v>28</v>
      </c>
      <c r="N1608" s="159" t="s">
        <v>29</v>
      </c>
    </row>
    <row r="1609" spans="1:14">
      <c r="A1609" s="148"/>
      <c r="B1609" s="149"/>
      <c r="C1609" s="160"/>
      <c r="D1609" s="151"/>
      <c r="E1609" s="152"/>
      <c r="F1609" s="153"/>
      <c r="G1609" s="154"/>
      <c r="H1609" s="154"/>
      <c r="I1609" s="154"/>
      <c r="J1609" s="155"/>
      <c r="K1609" s="156"/>
      <c r="L1609" s="157"/>
      <c r="M1609" s="158" t="s">
        <v>28</v>
      </c>
      <c r="N1609" s="159" t="s">
        <v>29</v>
      </c>
    </row>
    <row r="1610" spans="1:14">
      <c r="A1610" s="148"/>
      <c r="B1610" s="149"/>
      <c r="C1610" s="160"/>
      <c r="D1610" s="151"/>
      <c r="E1610" s="152"/>
      <c r="F1610" s="153"/>
      <c r="G1610" s="154"/>
      <c r="H1610" s="154"/>
      <c r="I1610" s="154"/>
      <c r="J1610" s="155"/>
      <c r="K1610" s="156"/>
      <c r="L1610" s="157"/>
      <c r="M1610" s="158" t="s">
        <v>28</v>
      </c>
      <c r="N1610" s="159" t="s">
        <v>29</v>
      </c>
    </row>
    <row r="1611" spans="1:14">
      <c r="A1611" s="148"/>
      <c r="B1611" s="149"/>
      <c r="C1611" s="160"/>
      <c r="D1611" s="151"/>
      <c r="E1611" s="152"/>
      <c r="F1611" s="153"/>
      <c r="G1611" s="154"/>
      <c r="H1611" s="154"/>
      <c r="I1611" s="154"/>
      <c r="J1611" s="155"/>
      <c r="K1611" s="156"/>
      <c r="L1611" s="157"/>
      <c r="M1611" s="158" t="s">
        <v>28</v>
      </c>
      <c r="N1611" s="159" t="s">
        <v>29</v>
      </c>
    </row>
    <row r="1612" spans="1:14">
      <c r="A1612" s="148"/>
      <c r="B1612" s="149"/>
      <c r="C1612" s="160"/>
      <c r="D1612" s="151"/>
      <c r="E1612" s="152"/>
      <c r="F1612" s="153"/>
      <c r="G1612" s="154"/>
      <c r="H1612" s="154"/>
      <c r="I1612" s="154"/>
      <c r="J1612" s="155"/>
      <c r="K1612" s="156"/>
      <c r="L1612" s="157"/>
      <c r="M1612" s="158" t="s">
        <v>28</v>
      </c>
      <c r="N1612" s="159" t="s">
        <v>29</v>
      </c>
    </row>
    <row r="1613" spans="1:14">
      <c r="A1613" s="148"/>
      <c r="B1613" s="149"/>
      <c r="C1613" s="160"/>
      <c r="D1613" s="151"/>
      <c r="E1613" s="152"/>
      <c r="F1613" s="153"/>
      <c r="G1613" s="154"/>
      <c r="H1613" s="154"/>
      <c r="I1613" s="154"/>
      <c r="J1613" s="155"/>
      <c r="K1613" s="156"/>
      <c r="L1613" s="157"/>
      <c r="M1613" s="158" t="s">
        <v>28</v>
      </c>
      <c r="N1613" s="159" t="s">
        <v>29</v>
      </c>
    </row>
    <row r="1614" spans="1:14">
      <c r="A1614" s="148"/>
      <c r="B1614" s="149"/>
      <c r="C1614" s="160"/>
      <c r="D1614" s="151"/>
      <c r="E1614" s="152"/>
      <c r="F1614" s="153"/>
      <c r="G1614" s="154"/>
      <c r="H1614" s="154"/>
      <c r="I1614" s="154"/>
      <c r="J1614" s="155"/>
      <c r="K1614" s="156"/>
      <c r="L1614" s="157"/>
      <c r="M1614" s="158" t="s">
        <v>28</v>
      </c>
      <c r="N1614" s="159" t="s">
        <v>29</v>
      </c>
    </row>
    <row r="1615" spans="1:14">
      <c r="A1615" s="148"/>
      <c r="B1615" s="149"/>
      <c r="C1615" s="160"/>
      <c r="D1615" s="151"/>
      <c r="E1615" s="152"/>
      <c r="F1615" s="153"/>
      <c r="G1615" s="154"/>
      <c r="H1615" s="154"/>
      <c r="I1615" s="154"/>
      <c r="J1615" s="155"/>
      <c r="K1615" s="156"/>
      <c r="L1615" s="157"/>
      <c r="M1615" s="158" t="s">
        <v>28</v>
      </c>
      <c r="N1615" s="159" t="s">
        <v>29</v>
      </c>
    </row>
    <row r="1616" spans="1:14">
      <c r="A1616" s="148"/>
      <c r="B1616" s="149"/>
      <c r="C1616" s="160"/>
      <c r="D1616" s="151"/>
      <c r="E1616" s="152"/>
      <c r="F1616" s="153"/>
      <c r="G1616" s="154"/>
      <c r="H1616" s="154"/>
      <c r="I1616" s="154"/>
      <c r="J1616" s="155"/>
      <c r="K1616" s="156"/>
      <c r="L1616" s="157"/>
      <c r="M1616" s="158" t="s">
        <v>28</v>
      </c>
      <c r="N1616" s="159" t="s">
        <v>29</v>
      </c>
    </row>
    <row r="1617" spans="1:14">
      <c r="A1617" s="148"/>
      <c r="B1617" s="149"/>
      <c r="C1617" s="160"/>
      <c r="D1617" s="151"/>
      <c r="E1617" s="152"/>
      <c r="F1617" s="153"/>
      <c r="G1617" s="154"/>
      <c r="H1617" s="154"/>
      <c r="I1617" s="154"/>
      <c r="J1617" s="155"/>
      <c r="K1617" s="156"/>
      <c r="L1617" s="157"/>
      <c r="M1617" s="158" t="s">
        <v>28</v>
      </c>
      <c r="N1617" s="159" t="s">
        <v>29</v>
      </c>
    </row>
    <row r="1618" spans="1:14">
      <c r="A1618" s="148"/>
      <c r="B1618" s="149"/>
      <c r="C1618" s="160"/>
      <c r="D1618" s="151"/>
      <c r="E1618" s="152"/>
      <c r="F1618" s="153"/>
      <c r="G1618" s="154"/>
      <c r="H1618" s="154"/>
      <c r="I1618" s="154"/>
      <c r="J1618" s="155"/>
      <c r="K1618" s="156"/>
      <c r="L1618" s="157"/>
      <c r="M1618" s="158" t="s">
        <v>28</v>
      </c>
      <c r="N1618" s="159" t="s">
        <v>29</v>
      </c>
    </row>
    <row r="1619" spans="1:14">
      <c r="A1619" s="148"/>
      <c r="B1619" s="149"/>
      <c r="C1619" s="160"/>
      <c r="D1619" s="151"/>
      <c r="E1619" s="152"/>
      <c r="F1619" s="153"/>
      <c r="G1619" s="154"/>
      <c r="H1619" s="154"/>
      <c r="I1619" s="154"/>
      <c r="J1619" s="155"/>
      <c r="K1619" s="156"/>
      <c r="L1619" s="157"/>
      <c r="M1619" s="158" t="s">
        <v>28</v>
      </c>
      <c r="N1619" s="159" t="s">
        <v>29</v>
      </c>
    </row>
    <row r="1620" spans="1:14">
      <c r="A1620" s="148"/>
      <c r="B1620" s="149"/>
      <c r="C1620" s="160"/>
      <c r="D1620" s="151"/>
      <c r="E1620" s="152"/>
      <c r="F1620" s="153"/>
      <c r="G1620" s="154"/>
      <c r="H1620" s="154"/>
      <c r="I1620" s="154"/>
      <c r="J1620" s="155"/>
      <c r="K1620" s="156"/>
      <c r="L1620" s="157"/>
      <c r="M1620" s="158" t="s">
        <v>28</v>
      </c>
      <c r="N1620" s="159" t="s">
        <v>29</v>
      </c>
    </row>
    <row r="1621" spans="1:14">
      <c r="A1621" s="148"/>
      <c r="B1621" s="149"/>
      <c r="C1621" s="160"/>
      <c r="D1621" s="151"/>
      <c r="E1621" s="152"/>
      <c r="F1621" s="153"/>
      <c r="G1621" s="154"/>
      <c r="H1621" s="154"/>
      <c r="I1621" s="154"/>
      <c r="J1621" s="155"/>
      <c r="K1621" s="156"/>
      <c r="L1621" s="157"/>
      <c r="M1621" s="158" t="s">
        <v>28</v>
      </c>
      <c r="N1621" s="159" t="s">
        <v>29</v>
      </c>
    </row>
    <row r="1622" spans="1:14">
      <c r="A1622" s="148"/>
      <c r="B1622" s="149"/>
      <c r="C1622" s="160"/>
      <c r="D1622" s="151"/>
      <c r="E1622" s="152"/>
      <c r="F1622" s="153"/>
      <c r="G1622" s="154"/>
      <c r="H1622" s="154"/>
      <c r="I1622" s="154"/>
      <c r="J1622" s="155"/>
      <c r="K1622" s="156"/>
      <c r="L1622" s="157"/>
      <c r="M1622" s="158" t="s">
        <v>28</v>
      </c>
      <c r="N1622" s="159" t="s">
        <v>29</v>
      </c>
    </row>
    <row r="1623" spans="1:14">
      <c r="A1623" s="148"/>
      <c r="B1623" s="149"/>
      <c r="C1623" s="160"/>
      <c r="D1623" s="151"/>
      <c r="E1623" s="152"/>
      <c r="F1623" s="153"/>
      <c r="G1623" s="154"/>
      <c r="H1623" s="154"/>
      <c r="I1623" s="154"/>
      <c r="J1623" s="155"/>
      <c r="K1623" s="156"/>
      <c r="L1623" s="157"/>
      <c r="M1623" s="158" t="s">
        <v>28</v>
      </c>
      <c r="N1623" s="159" t="s">
        <v>29</v>
      </c>
    </row>
    <row r="1624" spans="1:14">
      <c r="A1624" s="148"/>
      <c r="B1624" s="149"/>
      <c r="C1624" s="160"/>
      <c r="D1624" s="151"/>
      <c r="E1624" s="152"/>
      <c r="F1624" s="153"/>
      <c r="G1624" s="154"/>
      <c r="H1624" s="154"/>
      <c r="I1624" s="154"/>
      <c r="J1624" s="155"/>
      <c r="K1624" s="156"/>
      <c r="L1624" s="157"/>
      <c r="M1624" s="158" t="s">
        <v>28</v>
      </c>
      <c r="N1624" s="159" t="s">
        <v>29</v>
      </c>
    </row>
    <row r="1625" spans="1:14">
      <c r="A1625" s="148"/>
      <c r="B1625" s="149"/>
      <c r="C1625" s="160"/>
      <c r="D1625" s="151"/>
      <c r="E1625" s="152"/>
      <c r="F1625" s="153"/>
      <c r="G1625" s="154"/>
      <c r="H1625" s="154"/>
      <c r="I1625" s="154"/>
      <c r="J1625" s="155"/>
      <c r="K1625" s="156"/>
      <c r="L1625" s="157"/>
      <c r="M1625" s="158" t="s">
        <v>28</v>
      </c>
      <c r="N1625" s="159" t="s">
        <v>29</v>
      </c>
    </row>
    <row r="1626" spans="1:14">
      <c r="A1626" s="148"/>
      <c r="B1626" s="149"/>
      <c r="C1626" s="160"/>
      <c r="D1626" s="151"/>
      <c r="E1626" s="152"/>
      <c r="F1626" s="153"/>
      <c r="G1626" s="154"/>
      <c r="H1626" s="154"/>
      <c r="I1626" s="154"/>
      <c r="J1626" s="155"/>
      <c r="K1626" s="156"/>
      <c r="L1626" s="157"/>
      <c r="M1626" s="158" t="s">
        <v>28</v>
      </c>
      <c r="N1626" s="159" t="s">
        <v>29</v>
      </c>
    </row>
    <row r="1627" spans="1:14">
      <c r="A1627" s="148"/>
      <c r="B1627" s="149"/>
      <c r="C1627" s="160"/>
      <c r="D1627" s="151"/>
      <c r="E1627" s="152"/>
      <c r="F1627" s="153"/>
      <c r="G1627" s="154"/>
      <c r="H1627" s="154"/>
      <c r="I1627" s="154"/>
      <c r="J1627" s="155"/>
      <c r="K1627" s="156"/>
      <c r="L1627" s="157"/>
      <c r="M1627" s="158" t="s">
        <v>28</v>
      </c>
      <c r="N1627" s="159" t="s">
        <v>29</v>
      </c>
    </row>
    <row r="1628" spans="1:14">
      <c r="A1628" s="148"/>
      <c r="B1628" s="149"/>
      <c r="C1628" s="160"/>
      <c r="D1628" s="151"/>
      <c r="E1628" s="152"/>
      <c r="F1628" s="153"/>
      <c r="G1628" s="154"/>
      <c r="H1628" s="154"/>
      <c r="I1628" s="154"/>
      <c r="J1628" s="155"/>
      <c r="K1628" s="156"/>
      <c r="L1628" s="157"/>
      <c r="M1628" s="158" t="s">
        <v>28</v>
      </c>
      <c r="N1628" s="159" t="s">
        <v>29</v>
      </c>
    </row>
    <row r="1629" spans="1:14">
      <c r="A1629" s="148"/>
      <c r="B1629" s="149"/>
      <c r="C1629" s="160"/>
      <c r="D1629" s="151"/>
      <c r="E1629" s="152"/>
      <c r="F1629" s="153"/>
      <c r="G1629" s="154"/>
      <c r="H1629" s="154"/>
      <c r="I1629" s="154"/>
      <c r="J1629" s="155"/>
      <c r="K1629" s="156"/>
      <c r="L1629" s="157"/>
      <c r="M1629" s="158" t="s">
        <v>28</v>
      </c>
      <c r="N1629" s="159" t="s">
        <v>29</v>
      </c>
    </row>
    <row r="1630" spans="1:14">
      <c r="A1630" s="148"/>
      <c r="B1630" s="149"/>
      <c r="C1630" s="160"/>
      <c r="D1630" s="151"/>
      <c r="E1630" s="152"/>
      <c r="F1630" s="153"/>
      <c r="G1630" s="154"/>
      <c r="H1630" s="154"/>
      <c r="I1630" s="154"/>
      <c r="J1630" s="155"/>
      <c r="K1630" s="156"/>
      <c r="L1630" s="157"/>
      <c r="M1630" s="158" t="s">
        <v>28</v>
      </c>
      <c r="N1630" s="159" t="s">
        <v>29</v>
      </c>
    </row>
    <row r="1631" spans="1:14">
      <c r="A1631" s="148"/>
      <c r="B1631" s="149"/>
      <c r="C1631" s="160"/>
      <c r="D1631" s="151"/>
      <c r="E1631" s="152"/>
      <c r="F1631" s="153"/>
      <c r="G1631" s="154"/>
      <c r="H1631" s="154"/>
      <c r="I1631" s="154"/>
      <c r="J1631" s="155"/>
      <c r="K1631" s="156"/>
      <c r="L1631" s="157"/>
      <c r="M1631" s="158" t="s">
        <v>28</v>
      </c>
      <c r="N1631" s="159" t="s">
        <v>29</v>
      </c>
    </row>
    <row r="1632" spans="1:14">
      <c r="A1632" s="148"/>
      <c r="B1632" s="149"/>
      <c r="C1632" s="160"/>
      <c r="D1632" s="151"/>
      <c r="E1632" s="152"/>
      <c r="F1632" s="153"/>
      <c r="G1632" s="154"/>
      <c r="H1632" s="154"/>
      <c r="I1632" s="154"/>
      <c r="J1632" s="155"/>
      <c r="K1632" s="156"/>
      <c r="L1632" s="157"/>
      <c r="M1632" s="158" t="s">
        <v>28</v>
      </c>
      <c r="N1632" s="159" t="s">
        <v>29</v>
      </c>
    </row>
    <row r="1633" spans="1:14">
      <c r="A1633" s="148"/>
      <c r="B1633" s="149"/>
      <c r="C1633" s="160"/>
      <c r="D1633" s="151"/>
      <c r="E1633" s="152"/>
      <c r="F1633" s="153"/>
      <c r="G1633" s="154"/>
      <c r="H1633" s="154"/>
      <c r="I1633" s="154"/>
      <c r="J1633" s="155"/>
      <c r="K1633" s="156"/>
      <c r="L1633" s="157"/>
      <c r="M1633" s="158" t="s">
        <v>28</v>
      </c>
      <c r="N1633" s="159" t="s">
        <v>29</v>
      </c>
    </row>
    <row r="1634" spans="1:14">
      <c r="A1634" s="148"/>
      <c r="B1634" s="149"/>
      <c r="C1634" s="160"/>
      <c r="D1634" s="151"/>
      <c r="E1634" s="152"/>
      <c r="F1634" s="153"/>
      <c r="G1634" s="154"/>
      <c r="H1634" s="154"/>
      <c r="I1634" s="154"/>
      <c r="J1634" s="155"/>
      <c r="K1634" s="156"/>
      <c r="L1634" s="157"/>
      <c r="M1634" s="158" t="s">
        <v>28</v>
      </c>
      <c r="N1634" s="159" t="s">
        <v>29</v>
      </c>
    </row>
    <row r="1635" spans="1:14">
      <c r="A1635" s="148"/>
      <c r="B1635" s="149"/>
      <c r="C1635" s="160"/>
      <c r="D1635" s="151"/>
      <c r="E1635" s="152"/>
      <c r="F1635" s="153"/>
      <c r="G1635" s="154"/>
      <c r="H1635" s="154"/>
      <c r="I1635" s="154"/>
      <c r="J1635" s="155"/>
      <c r="K1635" s="156"/>
      <c r="L1635" s="157"/>
      <c r="M1635" s="158" t="s">
        <v>28</v>
      </c>
      <c r="N1635" s="159" t="s">
        <v>29</v>
      </c>
    </row>
    <row r="1636" spans="1:14">
      <c r="A1636" s="148"/>
      <c r="B1636" s="149"/>
      <c r="C1636" s="160"/>
      <c r="D1636" s="151"/>
      <c r="E1636" s="152"/>
      <c r="F1636" s="153"/>
      <c r="G1636" s="154"/>
      <c r="H1636" s="154"/>
      <c r="I1636" s="154"/>
      <c r="J1636" s="155"/>
      <c r="K1636" s="156"/>
      <c r="L1636" s="157"/>
      <c r="M1636" s="158" t="s">
        <v>28</v>
      </c>
      <c r="N1636" s="159" t="s">
        <v>29</v>
      </c>
    </row>
    <row r="1637" spans="1:14">
      <c r="A1637" s="148"/>
      <c r="B1637" s="149"/>
      <c r="C1637" s="160"/>
      <c r="D1637" s="151"/>
      <c r="E1637" s="152"/>
      <c r="F1637" s="153"/>
      <c r="G1637" s="154"/>
      <c r="H1637" s="154"/>
      <c r="I1637" s="154"/>
      <c r="J1637" s="155"/>
      <c r="K1637" s="156"/>
      <c r="L1637" s="157"/>
      <c r="M1637" s="158" t="s">
        <v>28</v>
      </c>
      <c r="N1637" s="159" t="s">
        <v>29</v>
      </c>
    </row>
    <row r="1638" spans="1:14">
      <c r="A1638" s="148"/>
      <c r="B1638" s="149"/>
      <c r="C1638" s="160"/>
      <c r="D1638" s="151"/>
      <c r="E1638" s="152"/>
      <c r="F1638" s="153"/>
      <c r="G1638" s="154"/>
      <c r="H1638" s="154"/>
      <c r="I1638" s="154"/>
      <c r="J1638" s="155"/>
      <c r="K1638" s="156"/>
      <c r="L1638" s="157"/>
      <c r="M1638" s="158" t="s">
        <v>28</v>
      </c>
      <c r="N1638" s="159" t="s">
        <v>29</v>
      </c>
    </row>
    <row r="1639" spans="1:14">
      <c r="A1639" s="148"/>
      <c r="B1639" s="149"/>
      <c r="C1639" s="160"/>
      <c r="D1639" s="151"/>
      <c r="E1639" s="152"/>
      <c r="F1639" s="153"/>
      <c r="G1639" s="154"/>
      <c r="H1639" s="154"/>
      <c r="I1639" s="154"/>
      <c r="J1639" s="155"/>
      <c r="K1639" s="156"/>
      <c r="L1639" s="157"/>
      <c r="M1639" s="158" t="s">
        <v>28</v>
      </c>
      <c r="N1639" s="159" t="s">
        <v>29</v>
      </c>
    </row>
    <row r="1640" spans="1:14">
      <c r="A1640" s="148"/>
      <c r="B1640" s="149"/>
      <c r="C1640" s="160"/>
      <c r="D1640" s="151"/>
      <c r="E1640" s="152"/>
      <c r="F1640" s="153"/>
      <c r="G1640" s="154"/>
      <c r="H1640" s="154"/>
      <c r="I1640" s="154"/>
      <c r="J1640" s="155"/>
      <c r="K1640" s="156"/>
      <c r="L1640" s="157"/>
      <c r="M1640" s="158" t="s">
        <v>28</v>
      </c>
      <c r="N1640" s="159" t="s">
        <v>29</v>
      </c>
    </row>
    <row r="1641" spans="1:14">
      <c r="A1641" s="148"/>
      <c r="B1641" s="149"/>
      <c r="C1641" s="160"/>
      <c r="D1641" s="151"/>
      <c r="E1641" s="152"/>
      <c r="F1641" s="153"/>
      <c r="G1641" s="154"/>
      <c r="H1641" s="154"/>
      <c r="I1641" s="154"/>
      <c r="J1641" s="155"/>
      <c r="K1641" s="156"/>
      <c r="L1641" s="157"/>
      <c r="M1641" s="158" t="s">
        <v>28</v>
      </c>
      <c r="N1641" s="159" t="s">
        <v>29</v>
      </c>
    </row>
    <row r="1642" spans="1:14">
      <c r="A1642" s="148"/>
      <c r="B1642" s="149"/>
      <c r="C1642" s="160"/>
      <c r="D1642" s="151"/>
      <c r="E1642" s="152"/>
      <c r="F1642" s="153"/>
      <c r="G1642" s="154"/>
      <c r="H1642" s="154"/>
      <c r="I1642" s="154"/>
      <c r="J1642" s="155"/>
      <c r="K1642" s="156"/>
      <c r="L1642" s="157"/>
      <c r="M1642" s="158" t="s">
        <v>28</v>
      </c>
      <c r="N1642" s="159" t="s">
        <v>29</v>
      </c>
    </row>
    <row r="1643" spans="1:14">
      <c r="A1643" s="148"/>
      <c r="B1643" s="149"/>
      <c r="C1643" s="160"/>
      <c r="D1643" s="151"/>
      <c r="E1643" s="152"/>
      <c r="F1643" s="153"/>
      <c r="G1643" s="154"/>
      <c r="H1643" s="154"/>
      <c r="I1643" s="154"/>
      <c r="J1643" s="155"/>
      <c r="K1643" s="156"/>
      <c r="L1643" s="157"/>
      <c r="M1643" s="158" t="s">
        <v>28</v>
      </c>
      <c r="N1643" s="159" t="s">
        <v>29</v>
      </c>
    </row>
    <row r="1644" spans="1:14">
      <c r="A1644" s="148"/>
      <c r="B1644" s="149"/>
      <c r="C1644" s="160"/>
      <c r="D1644" s="151"/>
      <c r="E1644" s="152"/>
      <c r="F1644" s="153"/>
      <c r="G1644" s="154"/>
      <c r="H1644" s="154"/>
      <c r="I1644" s="154"/>
      <c r="J1644" s="155"/>
      <c r="K1644" s="156"/>
      <c r="L1644" s="157"/>
      <c r="M1644" s="158" t="s">
        <v>28</v>
      </c>
      <c r="N1644" s="159" t="s">
        <v>29</v>
      </c>
    </row>
    <row r="1645" spans="1:14">
      <c r="A1645" s="148"/>
      <c r="B1645" s="149"/>
      <c r="C1645" s="160"/>
      <c r="D1645" s="151"/>
      <c r="E1645" s="152"/>
      <c r="F1645" s="153"/>
      <c r="G1645" s="154"/>
      <c r="H1645" s="154"/>
      <c r="I1645" s="154"/>
      <c r="J1645" s="155"/>
      <c r="K1645" s="156"/>
      <c r="L1645" s="157"/>
      <c r="M1645" s="158" t="s">
        <v>28</v>
      </c>
      <c r="N1645" s="159" t="s">
        <v>29</v>
      </c>
    </row>
    <row r="1646" spans="1:14">
      <c r="A1646" s="148"/>
      <c r="B1646" s="149"/>
      <c r="C1646" s="160"/>
      <c r="D1646" s="151"/>
      <c r="E1646" s="152"/>
      <c r="F1646" s="153"/>
      <c r="G1646" s="154"/>
      <c r="H1646" s="154"/>
      <c r="I1646" s="154"/>
      <c r="J1646" s="155"/>
      <c r="K1646" s="156"/>
      <c r="L1646" s="157"/>
      <c r="M1646" s="158" t="s">
        <v>28</v>
      </c>
      <c r="N1646" s="159" t="s">
        <v>29</v>
      </c>
    </row>
    <row r="1647" spans="1:14">
      <c r="A1647" s="148"/>
      <c r="B1647" s="149"/>
      <c r="C1647" s="160"/>
      <c r="D1647" s="151"/>
      <c r="E1647" s="152"/>
      <c r="F1647" s="153"/>
      <c r="G1647" s="154"/>
      <c r="H1647" s="154"/>
      <c r="I1647" s="154"/>
      <c r="J1647" s="155"/>
      <c r="K1647" s="156"/>
      <c r="L1647" s="157"/>
      <c r="M1647" s="158" t="s">
        <v>28</v>
      </c>
      <c r="N1647" s="159" t="s">
        <v>29</v>
      </c>
    </row>
    <row r="1648" spans="1:14">
      <c r="A1648" s="148"/>
      <c r="B1648" s="149"/>
      <c r="C1648" s="160"/>
      <c r="D1648" s="151"/>
      <c r="E1648" s="152"/>
      <c r="F1648" s="153"/>
      <c r="G1648" s="154"/>
      <c r="H1648" s="154"/>
      <c r="I1648" s="154"/>
      <c r="J1648" s="155"/>
      <c r="K1648" s="156"/>
      <c r="L1648" s="157"/>
      <c r="M1648" s="158" t="s">
        <v>28</v>
      </c>
      <c r="N1648" s="159" t="s">
        <v>29</v>
      </c>
    </row>
    <row r="1649" spans="1:14">
      <c r="A1649" s="148"/>
      <c r="B1649" s="149"/>
      <c r="C1649" s="160"/>
      <c r="D1649" s="151"/>
      <c r="E1649" s="152"/>
      <c r="F1649" s="153"/>
      <c r="G1649" s="154"/>
      <c r="H1649" s="154"/>
      <c r="I1649" s="154"/>
      <c r="J1649" s="155"/>
      <c r="K1649" s="156"/>
      <c r="L1649" s="157"/>
      <c r="M1649" s="158" t="s">
        <v>28</v>
      </c>
      <c r="N1649" s="159" t="s">
        <v>29</v>
      </c>
    </row>
    <row r="1650" spans="1:14">
      <c r="A1650" s="148"/>
      <c r="B1650" s="149"/>
      <c r="C1650" s="160"/>
      <c r="D1650" s="151"/>
      <c r="E1650" s="152"/>
      <c r="F1650" s="153"/>
      <c r="G1650" s="154"/>
      <c r="H1650" s="154"/>
      <c r="I1650" s="154"/>
      <c r="J1650" s="155"/>
      <c r="K1650" s="156"/>
      <c r="L1650" s="157"/>
      <c r="M1650" s="158" t="s">
        <v>28</v>
      </c>
      <c r="N1650" s="159" t="s">
        <v>29</v>
      </c>
    </row>
    <row r="1651" spans="1:14">
      <c r="A1651" s="148"/>
      <c r="B1651" s="149"/>
      <c r="C1651" s="160"/>
      <c r="D1651" s="151"/>
      <c r="E1651" s="152"/>
      <c r="F1651" s="153"/>
      <c r="G1651" s="154"/>
      <c r="H1651" s="154"/>
      <c r="I1651" s="154"/>
      <c r="J1651" s="155"/>
      <c r="K1651" s="156"/>
      <c r="L1651" s="157"/>
      <c r="M1651" s="158" t="s">
        <v>28</v>
      </c>
      <c r="N1651" s="159" t="s">
        <v>29</v>
      </c>
    </row>
    <row r="1652" spans="1:14">
      <c r="A1652" s="148"/>
      <c r="B1652" s="149"/>
      <c r="C1652" s="160"/>
      <c r="D1652" s="151"/>
      <c r="E1652" s="152"/>
      <c r="F1652" s="153"/>
      <c r="G1652" s="154"/>
      <c r="H1652" s="154"/>
      <c r="I1652" s="154"/>
      <c r="J1652" s="155"/>
      <c r="K1652" s="156"/>
      <c r="L1652" s="157"/>
      <c r="M1652" s="158" t="s">
        <v>28</v>
      </c>
      <c r="N1652" s="159" t="s">
        <v>29</v>
      </c>
    </row>
    <row r="1653" spans="1:14">
      <c r="A1653" s="148"/>
      <c r="B1653" s="149"/>
      <c r="C1653" s="160"/>
      <c r="D1653" s="151"/>
      <c r="E1653" s="152"/>
      <c r="F1653" s="153"/>
      <c r="G1653" s="154"/>
      <c r="H1653" s="154"/>
      <c r="I1653" s="154"/>
      <c r="J1653" s="155"/>
      <c r="K1653" s="156"/>
      <c r="L1653" s="157"/>
      <c r="M1653" s="158" t="s">
        <v>28</v>
      </c>
      <c r="N1653" s="159" t="s">
        <v>29</v>
      </c>
    </row>
    <row r="1654" spans="1:14">
      <c r="A1654" s="148"/>
      <c r="B1654" s="149"/>
      <c r="C1654" s="160"/>
      <c r="D1654" s="151"/>
      <c r="E1654" s="152"/>
      <c r="F1654" s="153"/>
      <c r="G1654" s="154"/>
      <c r="H1654" s="154"/>
      <c r="I1654" s="154"/>
      <c r="J1654" s="155"/>
      <c r="K1654" s="156"/>
      <c r="L1654" s="157"/>
      <c r="M1654" s="158" t="s">
        <v>28</v>
      </c>
      <c r="N1654" s="159" t="s">
        <v>29</v>
      </c>
    </row>
    <row r="1655" spans="1:14">
      <c r="A1655" s="148"/>
      <c r="B1655" s="149"/>
      <c r="C1655" s="160"/>
      <c r="D1655" s="151"/>
      <c r="E1655" s="152"/>
      <c r="F1655" s="153"/>
      <c r="G1655" s="154"/>
      <c r="H1655" s="154"/>
      <c r="I1655" s="154"/>
      <c r="J1655" s="155"/>
      <c r="K1655" s="156"/>
      <c r="L1655" s="157"/>
      <c r="M1655" s="158" t="s">
        <v>28</v>
      </c>
      <c r="N1655" s="159" t="s">
        <v>29</v>
      </c>
    </row>
    <row r="1656" spans="1:14">
      <c r="A1656" s="148"/>
      <c r="B1656" s="149"/>
      <c r="C1656" s="160"/>
      <c r="D1656" s="151"/>
      <c r="E1656" s="152"/>
      <c r="F1656" s="153"/>
      <c r="G1656" s="154"/>
      <c r="H1656" s="154"/>
      <c r="I1656" s="154"/>
      <c r="J1656" s="155"/>
      <c r="K1656" s="156"/>
      <c r="L1656" s="157"/>
      <c r="M1656" s="158" t="s">
        <v>28</v>
      </c>
      <c r="N1656" s="159" t="s">
        <v>29</v>
      </c>
    </row>
    <row r="1657" spans="1:14">
      <c r="A1657" s="148"/>
      <c r="B1657" s="149"/>
      <c r="C1657" s="160"/>
      <c r="D1657" s="151"/>
      <c r="E1657" s="152"/>
      <c r="F1657" s="153"/>
      <c r="G1657" s="154"/>
      <c r="H1657" s="154"/>
      <c r="I1657" s="154"/>
      <c r="J1657" s="155"/>
      <c r="K1657" s="156"/>
      <c r="L1657" s="157"/>
      <c r="M1657" s="158" t="s">
        <v>28</v>
      </c>
      <c r="N1657" s="159" t="s">
        <v>29</v>
      </c>
    </row>
    <row r="1658" spans="1:14">
      <c r="A1658" s="148"/>
      <c r="B1658" s="149"/>
      <c r="C1658" s="160"/>
      <c r="D1658" s="151"/>
      <c r="E1658" s="152"/>
      <c r="F1658" s="153"/>
      <c r="G1658" s="154"/>
      <c r="H1658" s="154"/>
      <c r="I1658" s="154"/>
      <c r="J1658" s="155"/>
      <c r="K1658" s="156"/>
      <c r="L1658" s="157"/>
      <c r="M1658" s="158" t="s">
        <v>28</v>
      </c>
      <c r="N1658" s="159" t="s">
        <v>29</v>
      </c>
    </row>
    <row r="1659" spans="1:14">
      <c r="A1659" s="148"/>
      <c r="B1659" s="149"/>
      <c r="C1659" s="160"/>
      <c r="D1659" s="151"/>
      <c r="E1659" s="152"/>
      <c r="F1659" s="153"/>
      <c r="G1659" s="154"/>
      <c r="H1659" s="154"/>
      <c r="I1659" s="154"/>
      <c r="J1659" s="155"/>
      <c r="K1659" s="156"/>
      <c r="L1659" s="157"/>
      <c r="M1659" s="158" t="s">
        <v>28</v>
      </c>
      <c r="N1659" s="159" t="s">
        <v>29</v>
      </c>
    </row>
    <row r="1660" spans="1:14">
      <c r="A1660" s="148"/>
      <c r="B1660" s="149"/>
      <c r="C1660" s="160"/>
      <c r="D1660" s="151"/>
      <c r="E1660" s="152"/>
      <c r="F1660" s="153"/>
      <c r="G1660" s="154"/>
      <c r="H1660" s="154"/>
      <c r="I1660" s="154"/>
      <c r="J1660" s="155"/>
      <c r="K1660" s="156"/>
      <c r="L1660" s="157"/>
      <c r="M1660" s="158" t="s">
        <v>28</v>
      </c>
      <c r="N1660" s="159" t="s">
        <v>29</v>
      </c>
    </row>
    <row r="1661" spans="1:14">
      <c r="A1661" s="148"/>
      <c r="B1661" s="149"/>
      <c r="C1661" s="160"/>
      <c r="D1661" s="151"/>
      <c r="E1661" s="152"/>
      <c r="F1661" s="153"/>
      <c r="G1661" s="154"/>
      <c r="H1661" s="154"/>
      <c r="I1661" s="154"/>
      <c r="J1661" s="155"/>
      <c r="K1661" s="156"/>
      <c r="L1661" s="157"/>
      <c r="M1661" s="158" t="s">
        <v>28</v>
      </c>
      <c r="N1661" s="159" t="s">
        <v>29</v>
      </c>
    </row>
    <row r="1662" spans="1:14">
      <c r="A1662" s="148"/>
      <c r="B1662" s="149"/>
      <c r="C1662" s="160"/>
      <c r="D1662" s="151"/>
      <c r="E1662" s="152"/>
      <c r="F1662" s="153"/>
      <c r="G1662" s="154"/>
      <c r="H1662" s="154"/>
      <c r="I1662" s="154"/>
      <c r="J1662" s="155"/>
      <c r="K1662" s="156"/>
      <c r="L1662" s="157"/>
      <c r="M1662" s="158" t="s">
        <v>28</v>
      </c>
      <c r="N1662" s="159" t="s">
        <v>29</v>
      </c>
    </row>
    <row r="1663" spans="1:14">
      <c r="A1663" s="148"/>
      <c r="B1663" s="149"/>
      <c r="C1663" s="160"/>
      <c r="D1663" s="151"/>
      <c r="E1663" s="152"/>
      <c r="F1663" s="153"/>
      <c r="G1663" s="154"/>
      <c r="H1663" s="154"/>
      <c r="I1663" s="154"/>
      <c r="J1663" s="155"/>
      <c r="K1663" s="156"/>
      <c r="L1663" s="157"/>
      <c r="M1663" s="158" t="s">
        <v>28</v>
      </c>
      <c r="N1663" s="159" t="s">
        <v>29</v>
      </c>
    </row>
    <row r="1664" spans="1:14">
      <c r="A1664" s="148"/>
      <c r="B1664" s="149"/>
      <c r="C1664" s="160"/>
      <c r="D1664" s="151"/>
      <c r="E1664" s="152"/>
      <c r="F1664" s="153"/>
      <c r="G1664" s="154"/>
      <c r="H1664" s="154"/>
      <c r="I1664" s="154"/>
      <c r="J1664" s="155"/>
      <c r="K1664" s="156"/>
      <c r="L1664" s="157"/>
      <c r="M1664" s="158" t="s">
        <v>28</v>
      </c>
      <c r="N1664" s="159" t="s">
        <v>29</v>
      </c>
    </row>
    <row r="1665" spans="1:14">
      <c r="A1665" s="148"/>
      <c r="B1665" s="149"/>
      <c r="C1665" s="160"/>
      <c r="D1665" s="151"/>
      <c r="E1665" s="152"/>
      <c r="F1665" s="153"/>
      <c r="G1665" s="154"/>
      <c r="H1665" s="154"/>
      <c r="I1665" s="154"/>
      <c r="J1665" s="155"/>
      <c r="K1665" s="156"/>
      <c r="L1665" s="157"/>
      <c r="M1665" s="158" t="s">
        <v>28</v>
      </c>
      <c r="N1665" s="159" t="s">
        <v>29</v>
      </c>
    </row>
    <row r="1666" spans="1:14">
      <c r="A1666" s="148"/>
      <c r="B1666" s="149"/>
      <c r="C1666" s="160"/>
      <c r="D1666" s="151"/>
      <c r="E1666" s="152"/>
      <c r="F1666" s="153"/>
      <c r="G1666" s="154"/>
      <c r="H1666" s="154"/>
      <c r="I1666" s="154"/>
      <c r="J1666" s="155"/>
      <c r="K1666" s="156"/>
      <c r="L1666" s="157"/>
      <c r="M1666" s="158" t="s">
        <v>28</v>
      </c>
      <c r="N1666" s="159" t="s">
        <v>29</v>
      </c>
    </row>
    <row r="1667" spans="1:14">
      <c r="A1667" s="148"/>
      <c r="B1667" s="149"/>
      <c r="C1667" s="160"/>
      <c r="D1667" s="151"/>
      <c r="E1667" s="152"/>
      <c r="F1667" s="153"/>
      <c r="G1667" s="154"/>
      <c r="H1667" s="154"/>
      <c r="I1667" s="154"/>
      <c r="J1667" s="155"/>
      <c r="K1667" s="156"/>
      <c r="L1667" s="157"/>
      <c r="M1667" s="158" t="s">
        <v>28</v>
      </c>
      <c r="N1667" s="159" t="s">
        <v>29</v>
      </c>
    </row>
    <row r="1668" spans="1:14">
      <c r="A1668" s="148"/>
      <c r="B1668" s="149"/>
      <c r="C1668" s="160"/>
      <c r="D1668" s="151"/>
      <c r="E1668" s="152"/>
      <c r="F1668" s="153"/>
      <c r="G1668" s="154"/>
      <c r="H1668" s="154"/>
      <c r="I1668" s="154"/>
      <c r="J1668" s="155"/>
      <c r="K1668" s="156"/>
      <c r="L1668" s="157"/>
      <c r="M1668" s="158" t="s">
        <v>28</v>
      </c>
      <c r="N1668" s="159" t="s">
        <v>29</v>
      </c>
    </row>
    <row r="1669" spans="1:14">
      <c r="A1669" s="148"/>
      <c r="B1669" s="149"/>
      <c r="C1669" s="160"/>
      <c r="D1669" s="151"/>
      <c r="E1669" s="152"/>
      <c r="F1669" s="153"/>
      <c r="G1669" s="154"/>
      <c r="H1669" s="154"/>
      <c r="I1669" s="154"/>
      <c r="J1669" s="155"/>
      <c r="K1669" s="156"/>
      <c r="L1669" s="157"/>
      <c r="M1669" s="158" t="s">
        <v>28</v>
      </c>
      <c r="N1669" s="159" t="s">
        <v>29</v>
      </c>
    </row>
    <row r="1670" spans="1:14">
      <c r="A1670" s="148"/>
      <c r="B1670" s="149"/>
      <c r="C1670" s="160"/>
      <c r="D1670" s="151"/>
      <c r="E1670" s="152"/>
      <c r="F1670" s="153"/>
      <c r="G1670" s="154"/>
      <c r="H1670" s="154"/>
      <c r="I1670" s="154"/>
      <c r="J1670" s="155"/>
      <c r="K1670" s="156"/>
      <c r="L1670" s="157"/>
      <c r="M1670" s="158" t="s">
        <v>28</v>
      </c>
      <c r="N1670" s="159" t="s">
        <v>29</v>
      </c>
    </row>
    <row r="1671" spans="1:14">
      <c r="A1671" s="148"/>
      <c r="B1671" s="149"/>
      <c r="C1671" s="160"/>
      <c r="D1671" s="151"/>
      <c r="E1671" s="152"/>
      <c r="F1671" s="153"/>
      <c r="G1671" s="154"/>
      <c r="H1671" s="154"/>
      <c r="I1671" s="154"/>
      <c r="J1671" s="155"/>
      <c r="K1671" s="156"/>
      <c r="L1671" s="157"/>
      <c r="M1671" s="158" t="s">
        <v>28</v>
      </c>
      <c r="N1671" s="159" t="s">
        <v>29</v>
      </c>
    </row>
    <row r="1672" spans="1:14">
      <c r="A1672" s="148"/>
      <c r="B1672" s="149"/>
      <c r="C1672" s="160"/>
      <c r="D1672" s="151"/>
      <c r="E1672" s="152"/>
      <c r="F1672" s="153"/>
      <c r="G1672" s="154"/>
      <c r="H1672" s="154"/>
      <c r="I1672" s="154"/>
      <c r="J1672" s="155"/>
      <c r="K1672" s="156"/>
      <c r="L1672" s="157"/>
      <c r="M1672" s="158" t="s">
        <v>28</v>
      </c>
      <c r="N1672" s="159" t="s">
        <v>29</v>
      </c>
    </row>
    <row r="1673" spans="1:14">
      <c r="A1673" s="148"/>
      <c r="B1673" s="149"/>
      <c r="C1673" s="160"/>
      <c r="D1673" s="151"/>
      <c r="E1673" s="152"/>
      <c r="F1673" s="153"/>
      <c r="G1673" s="154"/>
      <c r="H1673" s="154"/>
      <c r="I1673" s="154"/>
      <c r="J1673" s="155"/>
      <c r="K1673" s="156"/>
      <c r="L1673" s="157"/>
      <c r="M1673" s="158" t="s">
        <v>28</v>
      </c>
      <c r="N1673" s="159" t="s">
        <v>29</v>
      </c>
    </row>
    <row r="1674" spans="1:14">
      <c r="A1674" s="148"/>
      <c r="B1674" s="149"/>
      <c r="C1674" s="160"/>
      <c r="D1674" s="151"/>
      <c r="E1674" s="152"/>
      <c r="F1674" s="153"/>
      <c r="G1674" s="154"/>
      <c r="H1674" s="154"/>
      <c r="I1674" s="154"/>
      <c r="J1674" s="155"/>
      <c r="K1674" s="156"/>
      <c r="L1674" s="157"/>
      <c r="M1674" s="158" t="s">
        <v>28</v>
      </c>
      <c r="N1674" s="159" t="s">
        <v>29</v>
      </c>
    </row>
    <row r="1675" spans="1:14">
      <c r="A1675" s="148"/>
      <c r="B1675" s="149"/>
      <c r="C1675" s="160"/>
      <c r="D1675" s="151"/>
      <c r="E1675" s="152"/>
      <c r="F1675" s="153"/>
      <c r="G1675" s="154"/>
      <c r="H1675" s="154"/>
      <c r="I1675" s="154"/>
      <c r="J1675" s="155"/>
      <c r="K1675" s="156"/>
      <c r="L1675" s="157"/>
      <c r="M1675" s="158" t="s">
        <v>28</v>
      </c>
      <c r="N1675" s="159" t="s">
        <v>29</v>
      </c>
    </row>
    <row r="1676" spans="1:14">
      <c r="A1676" s="148"/>
      <c r="B1676" s="149"/>
      <c r="C1676" s="160"/>
      <c r="D1676" s="151"/>
      <c r="E1676" s="152"/>
      <c r="F1676" s="153"/>
      <c r="G1676" s="154"/>
      <c r="H1676" s="154"/>
      <c r="I1676" s="154"/>
      <c r="J1676" s="155"/>
      <c r="K1676" s="156"/>
      <c r="L1676" s="157"/>
      <c r="M1676" s="158" t="s">
        <v>28</v>
      </c>
      <c r="N1676" s="159" t="s">
        <v>29</v>
      </c>
    </row>
    <row r="1677" spans="1:14">
      <c r="A1677" s="148"/>
      <c r="B1677" s="149"/>
      <c r="C1677" s="160"/>
      <c r="D1677" s="151"/>
      <c r="E1677" s="152"/>
      <c r="F1677" s="153"/>
      <c r="G1677" s="154"/>
      <c r="H1677" s="154"/>
      <c r="I1677" s="154"/>
      <c r="J1677" s="155"/>
      <c r="K1677" s="156"/>
      <c r="L1677" s="157"/>
      <c r="M1677" s="158" t="s">
        <v>28</v>
      </c>
      <c r="N1677" s="159" t="s">
        <v>29</v>
      </c>
    </row>
    <row r="1678" spans="1:14">
      <c r="A1678" s="148"/>
      <c r="B1678" s="149"/>
      <c r="C1678" s="160"/>
      <c r="D1678" s="151"/>
      <c r="E1678" s="152"/>
      <c r="F1678" s="153"/>
      <c r="G1678" s="154"/>
      <c r="H1678" s="154"/>
      <c r="I1678" s="154"/>
      <c r="J1678" s="155"/>
      <c r="K1678" s="156"/>
      <c r="L1678" s="157"/>
      <c r="M1678" s="158" t="s">
        <v>28</v>
      </c>
      <c r="N1678" s="159" t="s">
        <v>29</v>
      </c>
    </row>
    <row r="1679" spans="1:14">
      <c r="A1679" s="148"/>
      <c r="B1679" s="149"/>
      <c r="C1679" s="160"/>
      <c r="D1679" s="151"/>
      <c r="E1679" s="152"/>
      <c r="F1679" s="153"/>
      <c r="G1679" s="154"/>
      <c r="H1679" s="154"/>
      <c r="I1679" s="154"/>
      <c r="J1679" s="155"/>
      <c r="K1679" s="156"/>
      <c r="L1679" s="157"/>
      <c r="M1679" s="158" t="s">
        <v>28</v>
      </c>
      <c r="N1679" s="159" t="s">
        <v>29</v>
      </c>
    </row>
    <row r="1680" spans="1:14">
      <c r="A1680" s="148"/>
      <c r="B1680" s="149"/>
      <c r="C1680" s="160"/>
      <c r="D1680" s="151"/>
      <c r="E1680" s="152"/>
      <c r="F1680" s="153"/>
      <c r="G1680" s="154"/>
      <c r="H1680" s="154"/>
      <c r="I1680" s="154"/>
      <c r="J1680" s="155"/>
      <c r="K1680" s="156"/>
      <c r="L1680" s="157"/>
      <c r="M1680" s="158" t="s">
        <v>28</v>
      </c>
      <c r="N1680" s="159" t="s">
        <v>29</v>
      </c>
    </row>
    <row r="1681" spans="1:14">
      <c r="A1681" s="148"/>
      <c r="B1681" s="149"/>
      <c r="C1681" s="160"/>
      <c r="D1681" s="151"/>
      <c r="E1681" s="152"/>
      <c r="F1681" s="153"/>
      <c r="G1681" s="154"/>
      <c r="H1681" s="154"/>
      <c r="I1681" s="154"/>
      <c r="J1681" s="155"/>
      <c r="K1681" s="156"/>
      <c r="L1681" s="157"/>
      <c r="M1681" s="158" t="s">
        <v>28</v>
      </c>
      <c r="N1681" s="159" t="s">
        <v>29</v>
      </c>
    </row>
    <row r="1682" spans="1:14">
      <c r="A1682" s="148"/>
      <c r="B1682" s="149"/>
      <c r="C1682" s="160"/>
      <c r="D1682" s="151"/>
      <c r="E1682" s="152"/>
      <c r="F1682" s="153"/>
      <c r="G1682" s="154"/>
      <c r="H1682" s="154"/>
      <c r="I1682" s="154"/>
      <c r="J1682" s="155"/>
      <c r="K1682" s="156"/>
      <c r="L1682" s="157"/>
      <c r="M1682" s="158" t="s">
        <v>28</v>
      </c>
      <c r="N1682" s="159" t="s">
        <v>29</v>
      </c>
    </row>
    <row r="1683" spans="1:14">
      <c r="A1683" s="148"/>
      <c r="B1683" s="149"/>
      <c r="C1683" s="160"/>
      <c r="D1683" s="151"/>
      <c r="E1683" s="152"/>
      <c r="F1683" s="153"/>
      <c r="G1683" s="154"/>
      <c r="H1683" s="154"/>
      <c r="I1683" s="154"/>
      <c r="J1683" s="155"/>
      <c r="K1683" s="156"/>
      <c r="L1683" s="157"/>
      <c r="M1683" s="158" t="s">
        <v>28</v>
      </c>
      <c r="N1683" s="159" t="s">
        <v>29</v>
      </c>
    </row>
    <row r="1684" spans="1:14">
      <c r="A1684" s="148"/>
      <c r="B1684" s="149"/>
      <c r="C1684" s="160"/>
      <c r="D1684" s="151"/>
      <c r="E1684" s="152"/>
      <c r="F1684" s="153"/>
      <c r="G1684" s="154"/>
      <c r="H1684" s="154"/>
      <c r="I1684" s="154"/>
      <c r="J1684" s="155"/>
      <c r="K1684" s="156"/>
      <c r="L1684" s="157"/>
      <c r="M1684" s="158" t="s">
        <v>28</v>
      </c>
      <c r="N1684" s="159" t="s">
        <v>29</v>
      </c>
    </row>
    <row r="1685" spans="1:14">
      <c r="A1685" s="148"/>
      <c r="B1685" s="149"/>
      <c r="C1685" s="160"/>
      <c r="D1685" s="151"/>
      <c r="E1685" s="152"/>
      <c r="F1685" s="153"/>
      <c r="G1685" s="154"/>
      <c r="H1685" s="154"/>
      <c r="I1685" s="154"/>
      <c r="J1685" s="155"/>
      <c r="K1685" s="156"/>
      <c r="L1685" s="157"/>
      <c r="M1685" s="158" t="s">
        <v>28</v>
      </c>
      <c r="N1685" s="159" t="s">
        <v>29</v>
      </c>
    </row>
    <row r="1686" spans="1:14">
      <c r="A1686" s="148"/>
      <c r="B1686" s="149"/>
      <c r="C1686" s="160"/>
      <c r="D1686" s="151"/>
      <c r="E1686" s="152"/>
      <c r="F1686" s="153"/>
      <c r="G1686" s="154"/>
      <c r="H1686" s="154"/>
      <c r="I1686" s="154"/>
      <c r="J1686" s="155"/>
      <c r="K1686" s="156"/>
      <c r="L1686" s="157"/>
      <c r="M1686" s="158" t="s">
        <v>28</v>
      </c>
      <c r="N1686" s="159" t="s">
        <v>29</v>
      </c>
    </row>
    <row r="1687" spans="1:14">
      <c r="A1687" s="148"/>
      <c r="B1687" s="149"/>
      <c r="C1687" s="160"/>
      <c r="D1687" s="151"/>
      <c r="E1687" s="152"/>
      <c r="F1687" s="153"/>
      <c r="G1687" s="154"/>
      <c r="H1687" s="154"/>
      <c r="I1687" s="154"/>
      <c r="J1687" s="155"/>
      <c r="K1687" s="156"/>
      <c r="L1687" s="157"/>
      <c r="M1687" s="158" t="s">
        <v>28</v>
      </c>
      <c r="N1687" s="159" t="s">
        <v>29</v>
      </c>
    </row>
    <row r="1688" spans="1:14">
      <c r="A1688" s="148"/>
      <c r="B1688" s="149"/>
      <c r="C1688" s="160"/>
      <c r="D1688" s="151"/>
      <c r="E1688" s="152"/>
      <c r="F1688" s="153"/>
      <c r="G1688" s="154"/>
      <c r="H1688" s="154"/>
      <c r="I1688" s="154"/>
      <c r="J1688" s="155"/>
      <c r="K1688" s="156"/>
      <c r="L1688" s="157"/>
      <c r="M1688" s="158" t="s">
        <v>28</v>
      </c>
      <c r="N1688" s="159" t="s">
        <v>29</v>
      </c>
    </row>
    <row r="1689" spans="1:14">
      <c r="A1689" s="148"/>
      <c r="B1689" s="149"/>
      <c r="C1689" s="160"/>
      <c r="D1689" s="151"/>
      <c r="E1689" s="152"/>
      <c r="F1689" s="153"/>
      <c r="G1689" s="154"/>
      <c r="H1689" s="154"/>
      <c r="I1689" s="154"/>
      <c r="J1689" s="155"/>
      <c r="K1689" s="156"/>
      <c r="L1689" s="157"/>
      <c r="M1689" s="158" t="s">
        <v>28</v>
      </c>
      <c r="N1689" s="159" t="s">
        <v>29</v>
      </c>
    </row>
    <row r="1690" spans="1:14">
      <c r="A1690" s="148"/>
      <c r="B1690" s="149"/>
      <c r="C1690" s="160"/>
      <c r="D1690" s="151"/>
      <c r="E1690" s="152"/>
      <c r="F1690" s="153"/>
      <c r="G1690" s="154"/>
      <c r="H1690" s="154"/>
      <c r="I1690" s="154"/>
      <c r="J1690" s="155"/>
      <c r="K1690" s="156"/>
      <c r="L1690" s="157"/>
      <c r="M1690" s="158" t="s">
        <v>28</v>
      </c>
      <c r="N1690" s="159" t="s">
        <v>29</v>
      </c>
    </row>
    <row r="1691" spans="1:14">
      <c r="A1691" s="148"/>
      <c r="B1691" s="149"/>
      <c r="C1691" s="160"/>
      <c r="D1691" s="151"/>
      <c r="E1691" s="152"/>
      <c r="F1691" s="153"/>
      <c r="G1691" s="154"/>
      <c r="H1691" s="154"/>
      <c r="I1691" s="154"/>
      <c r="J1691" s="155"/>
      <c r="K1691" s="156"/>
      <c r="L1691" s="157"/>
      <c r="M1691" s="158" t="s">
        <v>28</v>
      </c>
      <c r="N1691" s="159" t="s">
        <v>29</v>
      </c>
    </row>
    <row r="1692" spans="1:14">
      <c r="A1692" s="148"/>
      <c r="B1692" s="149"/>
      <c r="C1692" s="160"/>
      <c r="D1692" s="151"/>
      <c r="E1692" s="152"/>
      <c r="F1692" s="153"/>
      <c r="G1692" s="154"/>
      <c r="H1692" s="154"/>
      <c r="I1692" s="154"/>
      <c r="J1692" s="155"/>
      <c r="K1692" s="156"/>
      <c r="L1692" s="157"/>
      <c r="M1692" s="158" t="s">
        <v>28</v>
      </c>
      <c r="N1692" s="159" t="s">
        <v>29</v>
      </c>
    </row>
    <row r="1693" spans="1:14">
      <c r="A1693" s="148"/>
      <c r="B1693" s="149"/>
      <c r="C1693" s="160"/>
      <c r="D1693" s="151"/>
      <c r="E1693" s="152"/>
      <c r="F1693" s="153"/>
      <c r="G1693" s="154"/>
      <c r="H1693" s="154"/>
      <c r="I1693" s="154"/>
      <c r="J1693" s="155"/>
      <c r="K1693" s="156"/>
      <c r="L1693" s="157"/>
      <c r="M1693" s="158" t="s">
        <v>28</v>
      </c>
      <c r="N1693" s="159" t="s">
        <v>29</v>
      </c>
    </row>
    <row r="1694" spans="1:14">
      <c r="A1694" s="148"/>
      <c r="B1694" s="149"/>
      <c r="C1694" s="160"/>
      <c r="D1694" s="151"/>
      <c r="E1694" s="152"/>
      <c r="F1694" s="153"/>
      <c r="G1694" s="154"/>
      <c r="H1694" s="154"/>
      <c r="I1694" s="154"/>
      <c r="J1694" s="155"/>
      <c r="K1694" s="156"/>
      <c r="L1694" s="157"/>
      <c r="M1694" s="158" t="s">
        <v>28</v>
      </c>
      <c r="N1694" s="159" t="s">
        <v>29</v>
      </c>
    </row>
    <row r="1695" spans="1:14">
      <c r="A1695" s="148"/>
      <c r="B1695" s="149"/>
      <c r="C1695" s="160"/>
      <c r="D1695" s="151"/>
      <c r="E1695" s="152"/>
      <c r="F1695" s="153"/>
      <c r="G1695" s="154"/>
      <c r="H1695" s="154"/>
      <c r="I1695" s="154"/>
      <c r="J1695" s="155"/>
      <c r="K1695" s="156"/>
      <c r="L1695" s="157"/>
      <c r="M1695" s="158" t="s">
        <v>28</v>
      </c>
      <c r="N1695" s="159" t="s">
        <v>29</v>
      </c>
    </row>
    <row r="1696" spans="1:14">
      <c r="A1696" s="148"/>
      <c r="B1696" s="149"/>
      <c r="C1696" s="160"/>
      <c r="D1696" s="151"/>
      <c r="E1696" s="152"/>
      <c r="F1696" s="153"/>
      <c r="G1696" s="154"/>
      <c r="H1696" s="154"/>
      <c r="I1696" s="154"/>
      <c r="J1696" s="155"/>
      <c r="K1696" s="156"/>
      <c r="L1696" s="157"/>
      <c r="M1696" s="158" t="s">
        <v>28</v>
      </c>
      <c r="N1696" s="159" t="s">
        <v>29</v>
      </c>
    </row>
    <row r="1697" spans="1:14">
      <c r="A1697" s="148"/>
      <c r="B1697" s="149"/>
      <c r="C1697" s="160"/>
      <c r="D1697" s="151"/>
      <c r="E1697" s="152"/>
      <c r="F1697" s="153"/>
      <c r="G1697" s="154"/>
      <c r="H1697" s="154"/>
      <c r="I1697" s="154"/>
      <c r="J1697" s="155"/>
      <c r="K1697" s="156"/>
      <c r="L1697" s="157"/>
      <c r="M1697" s="158" t="s">
        <v>28</v>
      </c>
      <c r="N1697" s="159" t="s">
        <v>29</v>
      </c>
    </row>
    <row r="1698" spans="1:14">
      <c r="A1698" s="148"/>
      <c r="B1698" s="149"/>
      <c r="C1698" s="160"/>
      <c r="D1698" s="151"/>
      <c r="E1698" s="152"/>
      <c r="F1698" s="153"/>
      <c r="G1698" s="154"/>
      <c r="H1698" s="154"/>
      <c r="I1698" s="154"/>
      <c r="J1698" s="155"/>
      <c r="K1698" s="156"/>
      <c r="L1698" s="157"/>
      <c r="M1698" s="158" t="s">
        <v>28</v>
      </c>
      <c r="N1698" s="159" t="s">
        <v>29</v>
      </c>
    </row>
    <row r="1699" spans="1:14">
      <c r="A1699" s="148"/>
      <c r="B1699" s="149"/>
      <c r="C1699" s="160"/>
      <c r="D1699" s="151"/>
      <c r="E1699" s="152"/>
      <c r="F1699" s="153"/>
      <c r="G1699" s="154"/>
      <c r="H1699" s="154"/>
      <c r="I1699" s="154"/>
      <c r="J1699" s="155"/>
      <c r="K1699" s="156"/>
      <c r="L1699" s="157"/>
      <c r="M1699" s="158" t="s">
        <v>28</v>
      </c>
      <c r="N1699" s="159" t="s">
        <v>29</v>
      </c>
    </row>
    <row r="1700" spans="1:14">
      <c r="A1700" s="148"/>
      <c r="B1700" s="149"/>
      <c r="C1700" s="160"/>
      <c r="D1700" s="151"/>
      <c r="E1700" s="152"/>
      <c r="F1700" s="153"/>
      <c r="G1700" s="154"/>
      <c r="H1700" s="154"/>
      <c r="I1700" s="154"/>
      <c r="J1700" s="155"/>
      <c r="K1700" s="156"/>
      <c r="L1700" s="157"/>
      <c r="M1700" s="158" t="s">
        <v>28</v>
      </c>
      <c r="N1700" s="159" t="s">
        <v>29</v>
      </c>
    </row>
    <row r="1701" spans="1:14">
      <c r="A1701" s="148"/>
      <c r="B1701" s="149"/>
      <c r="C1701" s="160"/>
      <c r="D1701" s="151"/>
      <c r="E1701" s="152"/>
      <c r="F1701" s="153"/>
      <c r="G1701" s="154"/>
      <c r="H1701" s="154"/>
      <c r="I1701" s="154"/>
      <c r="J1701" s="155"/>
      <c r="K1701" s="156"/>
      <c r="L1701" s="157"/>
      <c r="M1701" s="158" t="s">
        <v>28</v>
      </c>
      <c r="N1701" s="159" t="s">
        <v>29</v>
      </c>
    </row>
    <row r="1702" spans="1:14">
      <c r="A1702" s="148"/>
      <c r="B1702" s="149"/>
      <c r="C1702" s="160"/>
      <c r="D1702" s="151"/>
      <c r="E1702" s="152"/>
      <c r="F1702" s="153"/>
      <c r="G1702" s="154"/>
      <c r="H1702" s="154"/>
      <c r="I1702" s="154"/>
      <c r="J1702" s="155"/>
      <c r="K1702" s="156"/>
      <c r="L1702" s="157"/>
      <c r="M1702" s="158" t="s">
        <v>28</v>
      </c>
      <c r="N1702" s="159" t="s">
        <v>29</v>
      </c>
    </row>
    <row r="1703" spans="1:14">
      <c r="A1703" s="148"/>
      <c r="B1703" s="149"/>
      <c r="C1703" s="160"/>
      <c r="D1703" s="151"/>
      <c r="E1703" s="152"/>
      <c r="F1703" s="153"/>
      <c r="G1703" s="154"/>
      <c r="H1703" s="154"/>
      <c r="I1703" s="154"/>
      <c r="J1703" s="155"/>
      <c r="K1703" s="156"/>
      <c r="L1703" s="157"/>
      <c r="M1703" s="158" t="s">
        <v>28</v>
      </c>
      <c r="N1703" s="159" t="s">
        <v>29</v>
      </c>
    </row>
    <row r="1704" spans="1:14">
      <c r="A1704" s="148"/>
      <c r="B1704" s="149"/>
      <c r="C1704" s="160"/>
      <c r="D1704" s="151"/>
      <c r="E1704" s="152"/>
      <c r="F1704" s="153"/>
      <c r="G1704" s="154"/>
      <c r="H1704" s="154"/>
      <c r="I1704" s="154"/>
      <c r="J1704" s="155"/>
      <c r="K1704" s="156"/>
      <c r="L1704" s="157"/>
      <c r="M1704" s="158" t="s">
        <v>28</v>
      </c>
      <c r="N1704" s="159" t="s">
        <v>29</v>
      </c>
    </row>
    <row r="1705" spans="1:14">
      <c r="A1705" s="148"/>
      <c r="B1705" s="149"/>
      <c r="C1705" s="160"/>
      <c r="D1705" s="151"/>
      <c r="E1705" s="152"/>
      <c r="F1705" s="153"/>
      <c r="G1705" s="154"/>
      <c r="H1705" s="154"/>
      <c r="I1705" s="154"/>
      <c r="J1705" s="155"/>
      <c r="K1705" s="156"/>
      <c r="L1705" s="157"/>
      <c r="M1705" s="158" t="s">
        <v>28</v>
      </c>
      <c r="N1705" s="159" t="s">
        <v>29</v>
      </c>
    </row>
    <row r="1706" spans="1:14">
      <c r="A1706" s="148"/>
      <c r="B1706" s="149"/>
      <c r="C1706" s="160"/>
      <c r="D1706" s="151"/>
      <c r="E1706" s="152"/>
      <c r="F1706" s="153"/>
      <c r="G1706" s="154"/>
      <c r="H1706" s="154"/>
      <c r="I1706" s="154"/>
      <c r="J1706" s="155"/>
      <c r="K1706" s="156"/>
      <c r="L1706" s="157"/>
      <c r="M1706" s="158" t="s">
        <v>28</v>
      </c>
      <c r="N1706" s="159" t="s">
        <v>29</v>
      </c>
    </row>
    <row r="1707" spans="1:14">
      <c r="A1707" s="148"/>
      <c r="B1707" s="149"/>
      <c r="C1707" s="160"/>
      <c r="D1707" s="151"/>
      <c r="E1707" s="152"/>
      <c r="F1707" s="153"/>
      <c r="G1707" s="154"/>
      <c r="H1707" s="154"/>
      <c r="I1707" s="154"/>
      <c r="J1707" s="155"/>
      <c r="K1707" s="156"/>
      <c r="L1707" s="157"/>
      <c r="M1707" s="158" t="s">
        <v>28</v>
      </c>
      <c r="N1707" s="159" t="s">
        <v>29</v>
      </c>
    </row>
    <row r="1708" spans="1:14">
      <c r="A1708" s="148"/>
      <c r="B1708" s="149"/>
      <c r="C1708" s="160"/>
      <c r="D1708" s="151"/>
      <c r="E1708" s="152"/>
      <c r="F1708" s="153"/>
      <c r="G1708" s="154"/>
      <c r="H1708" s="154"/>
      <c r="I1708" s="154"/>
      <c r="J1708" s="155"/>
      <c r="K1708" s="156"/>
      <c r="L1708" s="157"/>
      <c r="M1708" s="158" t="s">
        <v>28</v>
      </c>
      <c r="N1708" s="159" t="s">
        <v>29</v>
      </c>
    </row>
    <row r="1709" spans="1:14">
      <c r="A1709" s="148"/>
      <c r="B1709" s="149"/>
      <c r="C1709" s="160"/>
      <c r="D1709" s="151"/>
      <c r="E1709" s="152"/>
      <c r="F1709" s="153"/>
      <c r="G1709" s="154"/>
      <c r="H1709" s="154"/>
      <c r="I1709" s="154"/>
      <c r="J1709" s="155"/>
      <c r="K1709" s="156"/>
      <c r="L1709" s="157"/>
      <c r="M1709" s="158" t="s">
        <v>28</v>
      </c>
      <c r="N1709" s="159" t="s">
        <v>29</v>
      </c>
    </row>
    <row r="1710" spans="1:14">
      <c r="A1710" s="148"/>
      <c r="B1710" s="149"/>
      <c r="C1710" s="160"/>
      <c r="D1710" s="151"/>
      <c r="E1710" s="152"/>
      <c r="F1710" s="153"/>
      <c r="G1710" s="154"/>
      <c r="H1710" s="154"/>
      <c r="I1710" s="154"/>
      <c r="J1710" s="155"/>
      <c r="K1710" s="156"/>
      <c r="L1710" s="157"/>
      <c r="M1710" s="158" t="s">
        <v>28</v>
      </c>
      <c r="N1710" s="159" t="s">
        <v>29</v>
      </c>
    </row>
    <row r="1711" spans="1:14">
      <c r="A1711" s="148"/>
      <c r="B1711" s="149"/>
      <c r="C1711" s="160"/>
      <c r="D1711" s="151"/>
      <c r="E1711" s="152"/>
      <c r="F1711" s="153"/>
      <c r="G1711" s="154"/>
      <c r="H1711" s="154"/>
      <c r="I1711" s="154"/>
      <c r="J1711" s="155"/>
      <c r="K1711" s="156"/>
      <c r="L1711" s="157"/>
      <c r="M1711" s="158" t="s">
        <v>28</v>
      </c>
      <c r="N1711" s="159" t="s">
        <v>29</v>
      </c>
    </row>
    <row r="1712" spans="1:14">
      <c r="A1712" s="148"/>
      <c r="B1712" s="149"/>
      <c r="C1712" s="160"/>
      <c r="D1712" s="151"/>
      <c r="E1712" s="152"/>
      <c r="F1712" s="153"/>
      <c r="G1712" s="154"/>
      <c r="H1712" s="154"/>
      <c r="I1712" s="154"/>
      <c r="J1712" s="155"/>
      <c r="K1712" s="156"/>
      <c r="L1712" s="157"/>
      <c r="M1712" s="158" t="s">
        <v>28</v>
      </c>
      <c r="N1712" s="159" t="s">
        <v>29</v>
      </c>
    </row>
    <row r="1713" spans="1:14">
      <c r="A1713" s="148"/>
      <c r="B1713" s="149"/>
      <c r="C1713" s="160"/>
      <c r="D1713" s="151"/>
      <c r="E1713" s="152"/>
      <c r="F1713" s="153"/>
      <c r="G1713" s="154"/>
      <c r="H1713" s="154"/>
      <c r="I1713" s="154"/>
      <c r="J1713" s="155"/>
      <c r="K1713" s="156"/>
      <c r="L1713" s="157"/>
      <c r="M1713" s="158" t="s">
        <v>28</v>
      </c>
      <c r="N1713" s="159" t="s">
        <v>29</v>
      </c>
    </row>
    <row r="1714" spans="1:14">
      <c r="A1714" s="148"/>
      <c r="B1714" s="149"/>
      <c r="C1714" s="160"/>
      <c r="D1714" s="151"/>
      <c r="E1714" s="152"/>
      <c r="F1714" s="153"/>
      <c r="G1714" s="154"/>
      <c r="H1714" s="154"/>
      <c r="I1714" s="154"/>
      <c r="J1714" s="155"/>
      <c r="K1714" s="156"/>
      <c r="L1714" s="157"/>
      <c r="M1714" s="158" t="s">
        <v>28</v>
      </c>
      <c r="N1714" s="159" t="s">
        <v>29</v>
      </c>
    </row>
    <row r="1715" spans="1:14">
      <c r="A1715" s="148"/>
      <c r="B1715" s="149"/>
      <c r="C1715" s="160"/>
      <c r="D1715" s="151"/>
      <c r="E1715" s="152"/>
      <c r="F1715" s="153"/>
      <c r="G1715" s="154"/>
      <c r="H1715" s="154"/>
      <c r="I1715" s="154"/>
      <c r="J1715" s="155"/>
      <c r="K1715" s="156"/>
      <c r="L1715" s="157"/>
      <c r="M1715" s="158" t="s">
        <v>28</v>
      </c>
      <c r="N1715" s="159" t="s">
        <v>29</v>
      </c>
    </row>
    <row r="1716" spans="1:14">
      <c r="A1716" s="148"/>
      <c r="B1716" s="149"/>
      <c r="C1716" s="160"/>
      <c r="D1716" s="151"/>
      <c r="E1716" s="152"/>
      <c r="F1716" s="153"/>
      <c r="G1716" s="154"/>
      <c r="H1716" s="154"/>
      <c r="I1716" s="154"/>
      <c r="J1716" s="155"/>
      <c r="K1716" s="156"/>
      <c r="L1716" s="157"/>
      <c r="M1716" s="158" t="s">
        <v>28</v>
      </c>
      <c r="N1716" s="159" t="s">
        <v>29</v>
      </c>
    </row>
    <row r="1717" spans="1:14">
      <c r="A1717" s="148"/>
      <c r="B1717" s="149"/>
      <c r="C1717" s="160"/>
      <c r="D1717" s="151"/>
      <c r="E1717" s="152"/>
      <c r="F1717" s="153"/>
      <c r="G1717" s="154"/>
      <c r="H1717" s="154"/>
      <c r="I1717" s="154"/>
      <c r="J1717" s="155"/>
      <c r="K1717" s="156"/>
      <c r="L1717" s="157"/>
      <c r="M1717" s="158" t="s">
        <v>28</v>
      </c>
      <c r="N1717" s="159" t="s">
        <v>29</v>
      </c>
    </row>
    <row r="1718" spans="1:14">
      <c r="A1718" s="148"/>
      <c r="B1718" s="149"/>
      <c r="C1718" s="160"/>
      <c r="D1718" s="151"/>
      <c r="E1718" s="152"/>
      <c r="F1718" s="153"/>
      <c r="G1718" s="154"/>
      <c r="H1718" s="154"/>
      <c r="I1718" s="154"/>
      <c r="J1718" s="155"/>
      <c r="K1718" s="156"/>
      <c r="L1718" s="157"/>
      <c r="M1718" s="158" t="s">
        <v>28</v>
      </c>
      <c r="N1718" s="159" t="s">
        <v>29</v>
      </c>
    </row>
    <row r="1719" spans="1:14">
      <c r="A1719" s="148"/>
      <c r="B1719" s="149"/>
      <c r="C1719" s="160"/>
      <c r="D1719" s="151"/>
      <c r="E1719" s="152"/>
      <c r="F1719" s="153"/>
      <c r="G1719" s="154"/>
      <c r="H1719" s="154"/>
      <c r="I1719" s="154"/>
      <c r="J1719" s="155"/>
      <c r="K1719" s="156"/>
      <c r="L1719" s="157"/>
      <c r="M1719" s="158" t="s">
        <v>28</v>
      </c>
      <c r="N1719" s="159" t="s">
        <v>29</v>
      </c>
    </row>
    <row r="1720" spans="1:14">
      <c r="A1720" s="148"/>
      <c r="B1720" s="149"/>
      <c r="C1720" s="160"/>
      <c r="D1720" s="151"/>
      <c r="E1720" s="152"/>
      <c r="F1720" s="153"/>
      <c r="G1720" s="154"/>
      <c r="H1720" s="154"/>
      <c r="I1720" s="154"/>
      <c r="J1720" s="155"/>
      <c r="K1720" s="156"/>
      <c r="L1720" s="157"/>
      <c r="M1720" s="158" t="s">
        <v>28</v>
      </c>
      <c r="N1720" s="159" t="s">
        <v>29</v>
      </c>
    </row>
    <row r="1721" spans="1:14">
      <c r="A1721" s="148"/>
      <c r="B1721" s="149"/>
      <c r="C1721" s="160"/>
      <c r="D1721" s="151"/>
      <c r="E1721" s="152"/>
      <c r="F1721" s="153"/>
      <c r="G1721" s="154"/>
      <c r="H1721" s="154"/>
      <c r="I1721" s="154"/>
      <c r="J1721" s="155"/>
      <c r="K1721" s="156"/>
      <c r="L1721" s="157"/>
      <c r="M1721" s="158" t="s">
        <v>28</v>
      </c>
      <c r="N1721" s="159" t="s">
        <v>29</v>
      </c>
    </row>
    <row r="1722" spans="1:14">
      <c r="A1722" s="148"/>
      <c r="B1722" s="149"/>
      <c r="C1722" s="160"/>
      <c r="D1722" s="151"/>
      <c r="E1722" s="152"/>
      <c r="F1722" s="153"/>
      <c r="G1722" s="154"/>
      <c r="H1722" s="154"/>
      <c r="I1722" s="154"/>
      <c r="J1722" s="155"/>
      <c r="K1722" s="156"/>
      <c r="L1722" s="157"/>
      <c r="M1722" s="158" t="s">
        <v>28</v>
      </c>
      <c r="N1722" s="159" t="s">
        <v>29</v>
      </c>
    </row>
    <row r="1723" spans="1:14">
      <c r="A1723" s="148"/>
      <c r="B1723" s="149"/>
      <c r="C1723" s="160"/>
      <c r="D1723" s="151"/>
      <c r="E1723" s="152"/>
      <c r="F1723" s="153"/>
      <c r="G1723" s="154"/>
      <c r="H1723" s="154"/>
      <c r="I1723" s="154"/>
      <c r="J1723" s="155"/>
      <c r="K1723" s="156"/>
      <c r="L1723" s="157"/>
      <c r="M1723" s="158" t="s">
        <v>28</v>
      </c>
      <c r="N1723" s="159" t="s">
        <v>29</v>
      </c>
    </row>
    <row r="1724" spans="1:14">
      <c r="A1724" s="148"/>
      <c r="B1724" s="149"/>
      <c r="C1724" s="160"/>
      <c r="D1724" s="151"/>
      <c r="E1724" s="152"/>
      <c r="F1724" s="153"/>
      <c r="G1724" s="154"/>
      <c r="H1724" s="154"/>
      <c r="I1724" s="154"/>
      <c r="J1724" s="155"/>
      <c r="K1724" s="156"/>
      <c r="L1724" s="157"/>
      <c r="M1724" s="158" t="s">
        <v>28</v>
      </c>
      <c r="N1724" s="159" t="s">
        <v>29</v>
      </c>
    </row>
    <row r="1725" spans="1:14">
      <c r="A1725" s="148"/>
      <c r="B1725" s="149"/>
      <c r="C1725" s="160"/>
      <c r="D1725" s="151"/>
      <c r="E1725" s="152"/>
      <c r="F1725" s="153"/>
      <c r="G1725" s="154"/>
      <c r="H1725" s="154"/>
      <c r="I1725" s="154"/>
      <c r="J1725" s="155"/>
      <c r="K1725" s="156"/>
      <c r="L1725" s="157"/>
      <c r="M1725" s="158" t="s">
        <v>28</v>
      </c>
      <c r="N1725" s="159" t="s">
        <v>29</v>
      </c>
    </row>
    <row r="1726" spans="1:14">
      <c r="A1726" s="148"/>
      <c r="B1726" s="149"/>
      <c r="C1726" s="160"/>
      <c r="D1726" s="151"/>
      <c r="E1726" s="152"/>
      <c r="F1726" s="153"/>
      <c r="G1726" s="154"/>
      <c r="H1726" s="154"/>
      <c r="I1726" s="154"/>
      <c r="J1726" s="155"/>
      <c r="K1726" s="156"/>
      <c r="L1726" s="157"/>
      <c r="M1726" s="158" t="s">
        <v>28</v>
      </c>
      <c r="N1726" s="159" t="s">
        <v>29</v>
      </c>
    </row>
    <row r="1727" spans="1:14">
      <c r="A1727" s="148"/>
      <c r="B1727" s="149"/>
      <c r="C1727" s="160"/>
      <c r="D1727" s="151"/>
      <c r="E1727" s="152"/>
      <c r="F1727" s="153"/>
      <c r="G1727" s="154"/>
      <c r="H1727" s="154"/>
      <c r="I1727" s="154"/>
      <c r="J1727" s="155"/>
      <c r="K1727" s="156"/>
      <c r="L1727" s="157"/>
      <c r="M1727" s="158" t="s">
        <v>28</v>
      </c>
      <c r="N1727" s="159" t="s">
        <v>29</v>
      </c>
    </row>
    <row r="1728" spans="1:14">
      <c r="A1728" s="148"/>
      <c r="B1728" s="149"/>
      <c r="C1728" s="160"/>
      <c r="D1728" s="151"/>
      <c r="E1728" s="152"/>
      <c r="F1728" s="153"/>
      <c r="G1728" s="154"/>
      <c r="H1728" s="154"/>
      <c r="I1728" s="154"/>
      <c r="J1728" s="155"/>
      <c r="K1728" s="156"/>
      <c r="L1728" s="157"/>
      <c r="M1728" s="158" t="s">
        <v>28</v>
      </c>
      <c r="N1728" s="159" t="s">
        <v>29</v>
      </c>
    </row>
    <row r="1729" spans="1:14">
      <c r="A1729" s="148"/>
      <c r="B1729" s="149"/>
      <c r="C1729" s="160"/>
      <c r="D1729" s="151"/>
      <c r="E1729" s="152"/>
      <c r="F1729" s="153"/>
      <c r="G1729" s="154"/>
      <c r="H1729" s="154"/>
      <c r="I1729" s="154"/>
      <c r="J1729" s="155"/>
      <c r="K1729" s="156"/>
      <c r="L1729" s="157"/>
      <c r="M1729" s="158" t="s">
        <v>28</v>
      </c>
      <c r="N1729" s="159" t="s">
        <v>29</v>
      </c>
    </row>
    <row r="1730" spans="1:14">
      <c r="A1730" s="148"/>
      <c r="B1730" s="149"/>
      <c r="C1730" s="160"/>
      <c r="D1730" s="151"/>
      <c r="E1730" s="152"/>
      <c r="F1730" s="153"/>
      <c r="G1730" s="154"/>
      <c r="H1730" s="154"/>
      <c r="I1730" s="154"/>
      <c r="J1730" s="155"/>
      <c r="K1730" s="156"/>
      <c r="L1730" s="157"/>
      <c r="M1730" s="158" t="s">
        <v>28</v>
      </c>
      <c r="N1730" s="159" t="s">
        <v>29</v>
      </c>
    </row>
    <row r="1731" spans="1:14">
      <c r="A1731" s="148"/>
      <c r="B1731" s="149"/>
      <c r="C1731" s="160"/>
      <c r="D1731" s="151"/>
      <c r="E1731" s="152"/>
      <c r="F1731" s="153"/>
      <c r="G1731" s="154"/>
      <c r="H1731" s="154"/>
      <c r="I1731" s="154"/>
      <c r="J1731" s="155"/>
      <c r="K1731" s="156"/>
      <c r="L1731" s="157"/>
      <c r="M1731" s="158" t="s">
        <v>28</v>
      </c>
      <c r="N1731" s="159" t="s">
        <v>29</v>
      </c>
    </row>
    <row r="1732" spans="1:14">
      <c r="A1732" s="148"/>
      <c r="B1732" s="149"/>
      <c r="C1732" s="160"/>
      <c r="D1732" s="151"/>
      <c r="E1732" s="152"/>
      <c r="F1732" s="153"/>
      <c r="G1732" s="154"/>
      <c r="H1732" s="154"/>
      <c r="I1732" s="154"/>
      <c r="J1732" s="155"/>
      <c r="K1732" s="156"/>
      <c r="L1732" s="157"/>
      <c r="M1732" s="158" t="s">
        <v>28</v>
      </c>
      <c r="N1732" s="159" t="s">
        <v>29</v>
      </c>
    </row>
    <row r="1733" spans="1:14">
      <c r="A1733" s="148"/>
      <c r="B1733" s="149"/>
      <c r="C1733" s="160"/>
      <c r="D1733" s="151"/>
      <c r="E1733" s="152"/>
      <c r="F1733" s="153"/>
      <c r="G1733" s="154"/>
      <c r="H1733" s="154"/>
      <c r="I1733" s="154"/>
      <c r="J1733" s="155"/>
      <c r="K1733" s="156"/>
      <c r="L1733" s="157"/>
      <c r="M1733" s="158" t="s">
        <v>28</v>
      </c>
      <c r="N1733" s="159" t="s">
        <v>29</v>
      </c>
    </row>
    <row r="1734" spans="1:14">
      <c r="A1734" s="148"/>
      <c r="B1734" s="149"/>
      <c r="C1734" s="160"/>
      <c r="D1734" s="151"/>
      <c r="E1734" s="152"/>
      <c r="F1734" s="153"/>
      <c r="G1734" s="154"/>
      <c r="H1734" s="154"/>
      <c r="I1734" s="154"/>
      <c r="J1734" s="155"/>
      <c r="K1734" s="156"/>
      <c r="L1734" s="157"/>
      <c r="M1734" s="158" t="s">
        <v>28</v>
      </c>
      <c r="N1734" s="159" t="s">
        <v>29</v>
      </c>
    </row>
    <row r="1735" spans="1:14">
      <c r="A1735" s="148"/>
      <c r="B1735" s="149"/>
      <c r="C1735" s="160"/>
      <c r="D1735" s="151"/>
      <c r="E1735" s="152"/>
      <c r="F1735" s="153"/>
      <c r="G1735" s="154"/>
      <c r="H1735" s="154"/>
      <c r="I1735" s="154"/>
      <c r="J1735" s="155"/>
      <c r="K1735" s="156"/>
      <c r="L1735" s="157"/>
      <c r="M1735" s="158" t="s">
        <v>28</v>
      </c>
      <c r="N1735" s="159" t="s">
        <v>29</v>
      </c>
    </row>
    <row r="1736" spans="1:14">
      <c r="A1736" s="148"/>
      <c r="B1736" s="149"/>
      <c r="C1736" s="160"/>
      <c r="D1736" s="151"/>
      <c r="E1736" s="152"/>
      <c r="F1736" s="153"/>
      <c r="G1736" s="154"/>
      <c r="H1736" s="154"/>
      <c r="I1736" s="154"/>
      <c r="J1736" s="155"/>
      <c r="K1736" s="156"/>
      <c r="L1736" s="157"/>
      <c r="M1736" s="158" t="s">
        <v>28</v>
      </c>
      <c r="N1736" s="159" t="s">
        <v>29</v>
      </c>
    </row>
    <row r="1737" spans="1:14">
      <c r="A1737" s="148"/>
      <c r="B1737" s="149"/>
      <c r="C1737" s="160"/>
      <c r="D1737" s="151"/>
      <c r="E1737" s="152"/>
      <c r="F1737" s="153"/>
      <c r="G1737" s="154"/>
      <c r="H1737" s="154"/>
      <c r="I1737" s="154"/>
      <c r="J1737" s="155"/>
      <c r="K1737" s="156"/>
      <c r="L1737" s="157"/>
      <c r="M1737" s="158" t="s">
        <v>28</v>
      </c>
      <c r="N1737" s="159" t="s">
        <v>29</v>
      </c>
    </row>
    <row r="1738" spans="1:14">
      <c r="A1738" s="148"/>
      <c r="B1738" s="149"/>
      <c r="C1738" s="160"/>
      <c r="D1738" s="151"/>
      <c r="E1738" s="152"/>
      <c r="F1738" s="153"/>
      <c r="G1738" s="154"/>
      <c r="H1738" s="154"/>
      <c r="I1738" s="154"/>
      <c r="J1738" s="155"/>
      <c r="K1738" s="156"/>
      <c r="L1738" s="157"/>
      <c r="M1738" s="158" t="s">
        <v>28</v>
      </c>
      <c r="N1738" s="159" t="s">
        <v>29</v>
      </c>
    </row>
    <row r="1739" spans="1:14">
      <c r="A1739" s="148"/>
      <c r="B1739" s="149"/>
      <c r="C1739" s="160"/>
      <c r="D1739" s="151"/>
      <c r="E1739" s="152"/>
      <c r="F1739" s="153"/>
      <c r="G1739" s="154"/>
      <c r="H1739" s="154"/>
      <c r="I1739" s="154"/>
      <c r="J1739" s="155"/>
      <c r="K1739" s="156"/>
      <c r="L1739" s="157"/>
      <c r="M1739" s="158" t="s">
        <v>28</v>
      </c>
      <c r="N1739" s="159" t="s">
        <v>29</v>
      </c>
    </row>
    <row r="1740" spans="1:14">
      <c r="A1740" s="148"/>
      <c r="B1740" s="149"/>
      <c r="C1740" s="160"/>
      <c r="D1740" s="151"/>
      <c r="E1740" s="152"/>
      <c r="F1740" s="153"/>
      <c r="G1740" s="154"/>
      <c r="H1740" s="154"/>
      <c r="I1740" s="154"/>
      <c r="J1740" s="155"/>
      <c r="K1740" s="156"/>
      <c r="L1740" s="157"/>
      <c r="M1740" s="158" t="s">
        <v>28</v>
      </c>
      <c r="N1740" s="159" t="s">
        <v>29</v>
      </c>
    </row>
    <row r="1741" spans="1:14">
      <c r="A1741" s="148"/>
      <c r="B1741" s="149"/>
      <c r="C1741" s="160"/>
      <c r="D1741" s="151"/>
      <c r="E1741" s="152"/>
      <c r="F1741" s="153"/>
      <c r="G1741" s="154"/>
      <c r="H1741" s="154"/>
      <c r="I1741" s="154"/>
      <c r="J1741" s="155"/>
      <c r="K1741" s="156"/>
      <c r="L1741" s="157"/>
      <c r="M1741" s="158" t="s">
        <v>28</v>
      </c>
      <c r="N1741" s="159" t="s">
        <v>29</v>
      </c>
    </row>
    <row r="1742" spans="1:14">
      <c r="A1742" s="148"/>
      <c r="B1742" s="149"/>
      <c r="C1742" s="160"/>
      <c r="D1742" s="151"/>
      <c r="E1742" s="152"/>
      <c r="F1742" s="153"/>
      <c r="G1742" s="154"/>
      <c r="H1742" s="154"/>
      <c r="I1742" s="154"/>
      <c r="J1742" s="155"/>
      <c r="K1742" s="156"/>
      <c r="L1742" s="157"/>
      <c r="M1742" s="158" t="s">
        <v>28</v>
      </c>
      <c r="N1742" s="159" t="s">
        <v>29</v>
      </c>
    </row>
    <row r="1743" spans="1:14">
      <c r="A1743" s="148"/>
      <c r="B1743" s="149"/>
      <c r="C1743" s="160"/>
      <c r="D1743" s="151"/>
      <c r="E1743" s="152"/>
      <c r="F1743" s="153"/>
      <c r="G1743" s="154"/>
      <c r="H1743" s="154"/>
      <c r="I1743" s="154"/>
      <c r="J1743" s="155"/>
      <c r="K1743" s="156"/>
      <c r="L1743" s="157"/>
      <c r="M1743" s="158" t="s">
        <v>28</v>
      </c>
      <c r="N1743" s="159" t="s">
        <v>29</v>
      </c>
    </row>
    <row r="1744" spans="1:14">
      <c r="A1744" s="148"/>
      <c r="B1744" s="149"/>
      <c r="C1744" s="160"/>
      <c r="D1744" s="151"/>
      <c r="E1744" s="152"/>
      <c r="F1744" s="153"/>
      <c r="G1744" s="154"/>
      <c r="H1744" s="154"/>
      <c r="I1744" s="154"/>
      <c r="J1744" s="155"/>
      <c r="K1744" s="156"/>
      <c r="L1744" s="157"/>
      <c r="M1744" s="158" t="s">
        <v>28</v>
      </c>
      <c r="N1744" s="159" t="s">
        <v>29</v>
      </c>
    </row>
    <row r="1745" spans="1:14">
      <c r="A1745" s="148"/>
      <c r="B1745" s="149"/>
      <c r="C1745" s="160"/>
      <c r="D1745" s="151"/>
      <c r="E1745" s="152"/>
      <c r="F1745" s="153"/>
      <c r="G1745" s="154"/>
      <c r="H1745" s="154"/>
      <c r="I1745" s="154"/>
      <c r="J1745" s="155"/>
      <c r="K1745" s="156"/>
      <c r="L1745" s="157"/>
      <c r="M1745" s="158" t="s">
        <v>28</v>
      </c>
      <c r="N1745" s="159" t="s">
        <v>29</v>
      </c>
    </row>
    <row r="1746" spans="1:14">
      <c r="A1746" s="148"/>
      <c r="B1746" s="149"/>
      <c r="C1746" s="160"/>
      <c r="D1746" s="151"/>
      <c r="E1746" s="152"/>
      <c r="F1746" s="153"/>
      <c r="G1746" s="154"/>
      <c r="H1746" s="154"/>
      <c r="I1746" s="154"/>
      <c r="J1746" s="155"/>
      <c r="K1746" s="156"/>
      <c r="L1746" s="157"/>
      <c r="M1746" s="158" t="s">
        <v>28</v>
      </c>
      <c r="N1746" s="159" t="s">
        <v>29</v>
      </c>
    </row>
    <row r="1747" spans="1:14">
      <c r="A1747" s="148"/>
      <c r="B1747" s="149"/>
      <c r="C1747" s="160"/>
      <c r="D1747" s="151"/>
      <c r="E1747" s="152"/>
      <c r="F1747" s="153"/>
      <c r="G1747" s="154"/>
      <c r="H1747" s="154"/>
      <c r="I1747" s="154"/>
      <c r="J1747" s="155"/>
      <c r="K1747" s="156"/>
      <c r="L1747" s="157"/>
      <c r="M1747" s="158" t="s">
        <v>28</v>
      </c>
      <c r="N1747" s="159" t="s">
        <v>29</v>
      </c>
    </row>
    <row r="1748" spans="1:14">
      <c r="A1748" s="148"/>
      <c r="B1748" s="149"/>
      <c r="C1748" s="160"/>
      <c r="D1748" s="151"/>
      <c r="E1748" s="152"/>
      <c r="F1748" s="153"/>
      <c r="G1748" s="154"/>
      <c r="H1748" s="154"/>
      <c r="I1748" s="154"/>
      <c r="J1748" s="155"/>
      <c r="K1748" s="156"/>
      <c r="L1748" s="157"/>
      <c r="M1748" s="158" t="s">
        <v>28</v>
      </c>
      <c r="N1748" s="159" t="s">
        <v>29</v>
      </c>
    </row>
    <row r="1749" spans="1:14">
      <c r="A1749" s="148"/>
      <c r="B1749" s="149"/>
      <c r="C1749" s="160"/>
      <c r="D1749" s="151"/>
      <c r="E1749" s="152"/>
      <c r="F1749" s="153"/>
      <c r="G1749" s="154"/>
      <c r="H1749" s="154"/>
      <c r="I1749" s="154"/>
      <c r="J1749" s="155"/>
      <c r="K1749" s="156"/>
      <c r="L1749" s="157"/>
      <c r="M1749" s="158" t="s">
        <v>28</v>
      </c>
      <c r="N1749" s="159" t="s">
        <v>29</v>
      </c>
    </row>
    <row r="1750" spans="1:14">
      <c r="A1750" s="148"/>
      <c r="B1750" s="149"/>
      <c r="C1750" s="160"/>
      <c r="D1750" s="151"/>
      <c r="E1750" s="152"/>
      <c r="F1750" s="153"/>
      <c r="G1750" s="154"/>
      <c r="H1750" s="154"/>
      <c r="I1750" s="154"/>
      <c r="J1750" s="155"/>
      <c r="K1750" s="156"/>
      <c r="L1750" s="157"/>
      <c r="M1750" s="158" t="s">
        <v>28</v>
      </c>
      <c r="N1750" s="159" t="s">
        <v>29</v>
      </c>
    </row>
    <row r="1751" spans="1:14">
      <c r="A1751" s="148"/>
      <c r="B1751" s="149"/>
      <c r="C1751" s="160"/>
      <c r="D1751" s="151"/>
      <c r="E1751" s="152"/>
      <c r="F1751" s="153"/>
      <c r="G1751" s="154"/>
      <c r="H1751" s="154"/>
      <c r="I1751" s="154"/>
      <c r="J1751" s="155"/>
      <c r="K1751" s="156"/>
      <c r="L1751" s="157"/>
      <c r="M1751" s="158" t="s">
        <v>28</v>
      </c>
      <c r="N1751" s="159" t="s">
        <v>29</v>
      </c>
    </row>
    <row r="1752" spans="1:14">
      <c r="A1752" s="148"/>
      <c r="B1752" s="149"/>
      <c r="C1752" s="160"/>
      <c r="D1752" s="151"/>
      <c r="E1752" s="152"/>
      <c r="F1752" s="153"/>
      <c r="G1752" s="154"/>
      <c r="H1752" s="154"/>
      <c r="I1752" s="154"/>
      <c r="J1752" s="155"/>
      <c r="K1752" s="156"/>
      <c r="L1752" s="157"/>
      <c r="M1752" s="158" t="s">
        <v>28</v>
      </c>
      <c r="N1752" s="159" t="s">
        <v>29</v>
      </c>
    </row>
    <row r="1753" spans="1:14">
      <c r="A1753" s="148"/>
      <c r="B1753" s="149"/>
      <c r="C1753" s="160"/>
      <c r="D1753" s="151"/>
      <c r="E1753" s="152"/>
      <c r="F1753" s="153"/>
      <c r="G1753" s="154"/>
      <c r="H1753" s="154"/>
      <c r="I1753" s="154"/>
      <c r="J1753" s="155"/>
      <c r="K1753" s="156"/>
      <c r="L1753" s="157"/>
      <c r="M1753" s="158" t="s">
        <v>28</v>
      </c>
      <c r="N1753" s="159" t="s">
        <v>29</v>
      </c>
    </row>
    <row r="1754" spans="1:14">
      <c r="A1754" s="148"/>
      <c r="B1754" s="149"/>
      <c r="C1754" s="160"/>
      <c r="D1754" s="151"/>
      <c r="E1754" s="152"/>
      <c r="F1754" s="153"/>
      <c r="G1754" s="154"/>
      <c r="H1754" s="154"/>
      <c r="I1754" s="154"/>
      <c r="J1754" s="155"/>
      <c r="K1754" s="156"/>
      <c r="L1754" s="157"/>
      <c r="M1754" s="158" t="s">
        <v>28</v>
      </c>
      <c r="N1754" s="159" t="s">
        <v>29</v>
      </c>
    </row>
    <row r="1755" spans="1:14">
      <c r="A1755" s="148"/>
      <c r="B1755" s="149"/>
      <c r="C1755" s="160"/>
      <c r="D1755" s="151"/>
      <c r="E1755" s="152"/>
      <c r="F1755" s="153"/>
      <c r="G1755" s="154"/>
      <c r="H1755" s="154"/>
      <c r="I1755" s="154"/>
      <c r="J1755" s="155"/>
      <c r="K1755" s="156"/>
      <c r="L1755" s="157"/>
      <c r="M1755" s="158" t="s">
        <v>28</v>
      </c>
      <c r="N1755" s="159" t="s">
        <v>29</v>
      </c>
    </row>
    <row r="1756" spans="1:14">
      <c r="A1756" s="148"/>
      <c r="B1756" s="149"/>
      <c r="C1756" s="160"/>
      <c r="D1756" s="151"/>
      <c r="E1756" s="152"/>
      <c r="F1756" s="153"/>
      <c r="G1756" s="154"/>
      <c r="H1756" s="154"/>
      <c r="I1756" s="154"/>
      <c r="J1756" s="155"/>
      <c r="K1756" s="156"/>
      <c r="L1756" s="157"/>
      <c r="M1756" s="158" t="s">
        <v>28</v>
      </c>
      <c r="N1756" s="159" t="s">
        <v>29</v>
      </c>
    </row>
    <row r="1757" spans="1:14">
      <c r="A1757" s="148"/>
      <c r="B1757" s="149"/>
      <c r="C1757" s="160"/>
      <c r="D1757" s="151"/>
      <c r="E1757" s="152"/>
      <c r="F1757" s="153"/>
      <c r="G1757" s="154"/>
      <c r="H1757" s="154"/>
      <c r="I1757" s="154"/>
      <c r="J1757" s="155"/>
      <c r="K1757" s="156"/>
      <c r="L1757" s="157"/>
      <c r="M1757" s="158" t="s">
        <v>28</v>
      </c>
      <c r="N1757" s="159" t="s">
        <v>29</v>
      </c>
    </row>
    <row r="1758" spans="1:14">
      <c r="A1758" s="148"/>
      <c r="B1758" s="149"/>
      <c r="C1758" s="160"/>
      <c r="D1758" s="151"/>
      <c r="E1758" s="152"/>
      <c r="F1758" s="153"/>
      <c r="G1758" s="154"/>
      <c r="H1758" s="154"/>
      <c r="I1758" s="154"/>
      <c r="J1758" s="155"/>
      <c r="K1758" s="156"/>
      <c r="L1758" s="157"/>
      <c r="M1758" s="158" t="s">
        <v>28</v>
      </c>
      <c r="N1758" s="159" t="s">
        <v>29</v>
      </c>
    </row>
    <row r="1759" spans="1:14">
      <c r="A1759" s="148"/>
      <c r="B1759" s="149"/>
      <c r="C1759" s="160"/>
      <c r="D1759" s="151"/>
      <c r="E1759" s="152"/>
      <c r="F1759" s="153"/>
      <c r="G1759" s="154"/>
      <c r="H1759" s="154"/>
      <c r="I1759" s="154"/>
      <c r="J1759" s="155"/>
      <c r="K1759" s="156"/>
      <c r="L1759" s="157"/>
      <c r="M1759" s="158" t="s">
        <v>28</v>
      </c>
      <c r="N1759" s="159" t="s">
        <v>29</v>
      </c>
    </row>
    <row r="1760" spans="1:14">
      <c r="A1760" s="148"/>
      <c r="B1760" s="149"/>
      <c r="C1760" s="160"/>
      <c r="D1760" s="151"/>
      <c r="E1760" s="152"/>
      <c r="F1760" s="153"/>
      <c r="G1760" s="154"/>
      <c r="H1760" s="154"/>
      <c r="I1760" s="154"/>
      <c r="J1760" s="155"/>
      <c r="K1760" s="156"/>
      <c r="L1760" s="157"/>
      <c r="M1760" s="158" t="s">
        <v>28</v>
      </c>
      <c r="N1760" s="159" t="s">
        <v>29</v>
      </c>
    </row>
    <row r="1761" spans="1:14">
      <c r="A1761" s="148"/>
      <c r="B1761" s="149"/>
      <c r="C1761" s="160"/>
      <c r="D1761" s="151"/>
      <c r="E1761" s="152"/>
      <c r="F1761" s="153"/>
      <c r="G1761" s="154"/>
      <c r="H1761" s="154"/>
      <c r="I1761" s="154"/>
      <c r="J1761" s="155"/>
      <c r="K1761" s="156"/>
      <c r="L1761" s="157"/>
      <c r="M1761" s="158" t="s">
        <v>28</v>
      </c>
      <c r="N1761" s="159" t="s">
        <v>29</v>
      </c>
    </row>
    <row r="1762" spans="1:14">
      <c r="A1762" s="148"/>
      <c r="B1762" s="149"/>
      <c r="C1762" s="160"/>
      <c r="D1762" s="151"/>
      <c r="E1762" s="152"/>
      <c r="F1762" s="153"/>
      <c r="G1762" s="154"/>
      <c r="H1762" s="154"/>
      <c r="I1762" s="154"/>
      <c r="J1762" s="155"/>
      <c r="K1762" s="156"/>
      <c r="L1762" s="157"/>
      <c r="M1762" s="158" t="s">
        <v>28</v>
      </c>
      <c r="N1762" s="159" t="s">
        <v>29</v>
      </c>
    </row>
    <row r="1763" spans="1:14">
      <c r="A1763" s="148"/>
      <c r="B1763" s="149"/>
      <c r="C1763" s="160"/>
      <c r="D1763" s="151"/>
      <c r="E1763" s="152"/>
      <c r="F1763" s="153"/>
      <c r="G1763" s="154"/>
      <c r="H1763" s="154"/>
      <c r="I1763" s="154"/>
      <c r="J1763" s="155"/>
      <c r="K1763" s="156"/>
      <c r="L1763" s="157"/>
      <c r="M1763" s="158" t="s">
        <v>28</v>
      </c>
      <c r="N1763" s="159" t="s">
        <v>29</v>
      </c>
    </row>
    <row r="1764" spans="1:14">
      <c r="A1764" s="148"/>
      <c r="B1764" s="149"/>
      <c r="C1764" s="160"/>
      <c r="D1764" s="151"/>
      <c r="E1764" s="152"/>
      <c r="F1764" s="153"/>
      <c r="G1764" s="154"/>
      <c r="H1764" s="154"/>
      <c r="I1764" s="154"/>
      <c r="J1764" s="155"/>
      <c r="K1764" s="156"/>
      <c r="L1764" s="157"/>
      <c r="M1764" s="158" t="s">
        <v>28</v>
      </c>
      <c r="N1764" s="159" t="s">
        <v>29</v>
      </c>
    </row>
    <row r="1765" spans="1:14">
      <c r="A1765" s="148"/>
      <c r="B1765" s="149"/>
      <c r="C1765" s="160"/>
      <c r="D1765" s="151"/>
      <c r="E1765" s="152"/>
      <c r="F1765" s="153"/>
      <c r="G1765" s="154"/>
      <c r="H1765" s="154"/>
      <c r="I1765" s="154"/>
      <c r="J1765" s="155"/>
      <c r="K1765" s="156"/>
      <c r="L1765" s="157"/>
      <c r="M1765" s="158" t="s">
        <v>28</v>
      </c>
      <c r="N1765" s="159" t="s">
        <v>29</v>
      </c>
    </row>
    <row r="1766" spans="1:14">
      <c r="A1766" s="148"/>
      <c r="B1766" s="149"/>
      <c r="C1766" s="160"/>
      <c r="D1766" s="151"/>
      <c r="E1766" s="152"/>
      <c r="F1766" s="153"/>
      <c r="G1766" s="154"/>
      <c r="H1766" s="154"/>
      <c r="I1766" s="154"/>
      <c r="J1766" s="155"/>
      <c r="K1766" s="156"/>
      <c r="L1766" s="157"/>
      <c r="M1766" s="158" t="s">
        <v>28</v>
      </c>
      <c r="N1766" s="159" t="s">
        <v>29</v>
      </c>
    </row>
    <row r="1767" spans="1:14">
      <c r="A1767" s="148"/>
      <c r="B1767" s="149"/>
      <c r="C1767" s="160"/>
      <c r="D1767" s="151"/>
      <c r="E1767" s="152"/>
      <c r="F1767" s="153"/>
      <c r="G1767" s="154"/>
      <c r="H1767" s="154"/>
      <c r="I1767" s="154"/>
      <c r="J1767" s="155"/>
      <c r="K1767" s="156"/>
      <c r="L1767" s="157"/>
      <c r="M1767" s="158" t="s">
        <v>28</v>
      </c>
      <c r="N1767" s="159" t="s">
        <v>29</v>
      </c>
    </row>
    <row r="1768" spans="1:14">
      <c r="A1768" s="148"/>
      <c r="B1768" s="149"/>
      <c r="C1768" s="160"/>
      <c r="D1768" s="151"/>
      <c r="E1768" s="152"/>
      <c r="F1768" s="153"/>
      <c r="G1768" s="154"/>
      <c r="H1768" s="154"/>
      <c r="I1768" s="154"/>
      <c r="J1768" s="155"/>
      <c r="K1768" s="156"/>
      <c r="L1768" s="157"/>
      <c r="M1768" s="158" t="s">
        <v>28</v>
      </c>
      <c r="N1768" s="159" t="s">
        <v>29</v>
      </c>
    </row>
    <row r="1769" spans="1:14">
      <c r="A1769" s="148"/>
      <c r="B1769" s="149"/>
      <c r="C1769" s="160"/>
      <c r="D1769" s="151"/>
      <c r="E1769" s="152"/>
      <c r="F1769" s="153"/>
      <c r="G1769" s="154"/>
      <c r="H1769" s="154"/>
      <c r="I1769" s="154"/>
      <c r="J1769" s="155"/>
      <c r="K1769" s="156"/>
      <c r="L1769" s="157"/>
      <c r="M1769" s="158" t="s">
        <v>28</v>
      </c>
      <c r="N1769" s="159" t="s">
        <v>29</v>
      </c>
    </row>
    <row r="1770" spans="1:14">
      <c r="A1770" s="148"/>
      <c r="B1770" s="149"/>
      <c r="C1770" s="160"/>
      <c r="D1770" s="151"/>
      <c r="E1770" s="152"/>
      <c r="F1770" s="153"/>
      <c r="G1770" s="154"/>
      <c r="H1770" s="154"/>
      <c r="I1770" s="154"/>
      <c r="J1770" s="155"/>
      <c r="K1770" s="156"/>
      <c r="L1770" s="157"/>
      <c r="M1770" s="158" t="s">
        <v>28</v>
      </c>
      <c r="N1770" s="159" t="s">
        <v>29</v>
      </c>
    </row>
    <row r="1771" spans="1:14">
      <c r="A1771" s="148"/>
      <c r="B1771" s="149"/>
      <c r="C1771" s="160"/>
      <c r="D1771" s="151"/>
      <c r="E1771" s="152"/>
      <c r="F1771" s="153"/>
      <c r="G1771" s="154"/>
      <c r="H1771" s="154"/>
      <c r="I1771" s="154"/>
      <c r="J1771" s="155"/>
      <c r="K1771" s="156"/>
      <c r="L1771" s="157"/>
      <c r="M1771" s="158" t="s">
        <v>28</v>
      </c>
      <c r="N1771" s="159" t="s">
        <v>29</v>
      </c>
    </row>
    <row r="1772" spans="1:14">
      <c r="A1772" s="148"/>
      <c r="B1772" s="149"/>
      <c r="C1772" s="160"/>
      <c r="D1772" s="151"/>
      <c r="E1772" s="152"/>
      <c r="F1772" s="153"/>
      <c r="G1772" s="154"/>
      <c r="H1772" s="154"/>
      <c r="I1772" s="154"/>
      <c r="J1772" s="155"/>
      <c r="K1772" s="156"/>
      <c r="L1772" s="157"/>
      <c r="M1772" s="158" t="s">
        <v>28</v>
      </c>
      <c r="N1772" s="159" t="s">
        <v>29</v>
      </c>
    </row>
    <row r="1773" spans="1:14">
      <c r="A1773" s="148"/>
      <c r="B1773" s="149"/>
      <c r="C1773" s="160"/>
      <c r="D1773" s="151"/>
      <c r="E1773" s="152"/>
      <c r="F1773" s="153"/>
      <c r="G1773" s="154"/>
      <c r="H1773" s="154"/>
      <c r="I1773" s="154"/>
      <c r="J1773" s="155"/>
      <c r="K1773" s="156"/>
      <c r="L1773" s="157"/>
      <c r="M1773" s="158" t="s">
        <v>28</v>
      </c>
      <c r="N1773" s="159" t="s">
        <v>29</v>
      </c>
    </row>
    <row r="1774" spans="1:14">
      <c r="A1774" s="148"/>
      <c r="B1774" s="149"/>
      <c r="C1774" s="160"/>
      <c r="D1774" s="151"/>
      <c r="E1774" s="152"/>
      <c r="F1774" s="153"/>
      <c r="G1774" s="154"/>
      <c r="H1774" s="154"/>
      <c r="I1774" s="154"/>
      <c r="J1774" s="155"/>
      <c r="K1774" s="156"/>
      <c r="L1774" s="157"/>
      <c r="M1774" s="158" t="s">
        <v>28</v>
      </c>
      <c r="N1774" s="159" t="s">
        <v>29</v>
      </c>
    </row>
    <row r="1775" spans="1:14">
      <c r="A1775" s="148"/>
      <c r="B1775" s="149"/>
      <c r="C1775" s="160"/>
      <c r="D1775" s="151"/>
      <c r="E1775" s="152"/>
      <c r="F1775" s="153"/>
      <c r="G1775" s="154"/>
      <c r="H1775" s="154"/>
      <c r="I1775" s="154"/>
      <c r="J1775" s="155"/>
      <c r="K1775" s="156"/>
      <c r="L1775" s="157"/>
      <c r="M1775" s="158" t="s">
        <v>28</v>
      </c>
      <c r="N1775" s="159" t="s">
        <v>29</v>
      </c>
    </row>
    <row r="1776" spans="1:14">
      <c r="A1776" s="148"/>
      <c r="B1776" s="149"/>
      <c r="C1776" s="160"/>
      <c r="D1776" s="151"/>
      <c r="E1776" s="152"/>
      <c r="F1776" s="153"/>
      <c r="G1776" s="154"/>
      <c r="H1776" s="154"/>
      <c r="I1776" s="154"/>
      <c r="J1776" s="155"/>
      <c r="K1776" s="156"/>
      <c r="L1776" s="157"/>
      <c r="M1776" s="158" t="s">
        <v>28</v>
      </c>
      <c r="N1776" s="159" t="s">
        <v>29</v>
      </c>
    </row>
    <row r="1777" spans="1:14">
      <c r="A1777" s="148"/>
      <c r="B1777" s="149"/>
      <c r="C1777" s="160"/>
      <c r="D1777" s="151"/>
      <c r="E1777" s="152"/>
      <c r="F1777" s="153"/>
      <c r="G1777" s="154"/>
      <c r="H1777" s="154"/>
      <c r="I1777" s="154"/>
      <c r="J1777" s="155"/>
      <c r="K1777" s="156"/>
      <c r="L1777" s="157"/>
      <c r="M1777" s="158" t="s">
        <v>28</v>
      </c>
      <c r="N1777" s="159" t="s">
        <v>29</v>
      </c>
    </row>
    <row r="1778" spans="1:14">
      <c r="A1778" s="148"/>
      <c r="B1778" s="149"/>
      <c r="C1778" s="160"/>
      <c r="D1778" s="151"/>
      <c r="E1778" s="152"/>
      <c r="F1778" s="153"/>
      <c r="G1778" s="154"/>
      <c r="H1778" s="154"/>
      <c r="I1778" s="154"/>
      <c r="J1778" s="155"/>
      <c r="K1778" s="156"/>
      <c r="L1778" s="157"/>
      <c r="M1778" s="158" t="s">
        <v>28</v>
      </c>
      <c r="N1778" s="159" t="s">
        <v>29</v>
      </c>
    </row>
    <row r="1779" spans="1:14">
      <c r="A1779" s="148"/>
      <c r="B1779" s="149"/>
      <c r="C1779" s="160"/>
      <c r="D1779" s="151"/>
      <c r="E1779" s="152"/>
      <c r="F1779" s="153"/>
      <c r="G1779" s="154"/>
      <c r="H1779" s="154"/>
      <c r="I1779" s="154"/>
      <c r="J1779" s="155"/>
      <c r="K1779" s="156"/>
      <c r="L1779" s="157"/>
      <c r="M1779" s="158" t="s">
        <v>28</v>
      </c>
      <c r="N1779" s="159" t="s">
        <v>29</v>
      </c>
    </row>
    <row r="1780" spans="1:14">
      <c r="A1780" s="148"/>
      <c r="B1780" s="149"/>
      <c r="C1780" s="160"/>
      <c r="D1780" s="151"/>
      <c r="E1780" s="152"/>
      <c r="F1780" s="153"/>
      <c r="G1780" s="154"/>
      <c r="H1780" s="154"/>
      <c r="I1780" s="154"/>
      <c r="J1780" s="155"/>
      <c r="K1780" s="156"/>
      <c r="L1780" s="157"/>
      <c r="M1780" s="158" t="s">
        <v>28</v>
      </c>
      <c r="N1780" s="159" t="s">
        <v>29</v>
      </c>
    </row>
    <row r="1781" spans="1:14">
      <c r="A1781" s="148"/>
      <c r="B1781" s="149"/>
      <c r="C1781" s="160"/>
      <c r="D1781" s="151"/>
      <c r="E1781" s="152"/>
      <c r="F1781" s="153"/>
      <c r="G1781" s="154"/>
      <c r="H1781" s="154"/>
      <c r="I1781" s="154"/>
      <c r="J1781" s="155"/>
      <c r="K1781" s="156"/>
      <c r="L1781" s="157"/>
      <c r="M1781" s="158" t="s">
        <v>28</v>
      </c>
      <c r="N1781" s="159" t="s">
        <v>29</v>
      </c>
    </row>
    <row r="1782" spans="1:14">
      <c r="A1782" s="148"/>
      <c r="B1782" s="149"/>
      <c r="C1782" s="160"/>
      <c r="D1782" s="151"/>
      <c r="E1782" s="152"/>
      <c r="F1782" s="153"/>
      <c r="G1782" s="154"/>
      <c r="H1782" s="154"/>
      <c r="I1782" s="154"/>
      <c r="J1782" s="155"/>
      <c r="K1782" s="156"/>
      <c r="L1782" s="157"/>
      <c r="M1782" s="158" t="s">
        <v>28</v>
      </c>
      <c r="N1782" s="159" t="s">
        <v>29</v>
      </c>
    </row>
    <row r="1783" spans="1:14">
      <c r="A1783" s="148"/>
      <c r="B1783" s="149"/>
      <c r="C1783" s="160"/>
      <c r="D1783" s="151"/>
      <c r="E1783" s="152"/>
      <c r="F1783" s="153"/>
      <c r="G1783" s="154"/>
      <c r="H1783" s="154"/>
      <c r="I1783" s="154"/>
      <c r="J1783" s="155"/>
      <c r="K1783" s="156"/>
      <c r="L1783" s="157"/>
      <c r="M1783" s="158" t="s">
        <v>28</v>
      </c>
      <c r="N1783" s="159" t="s">
        <v>29</v>
      </c>
    </row>
    <row r="1784" spans="1:14">
      <c r="A1784" s="148"/>
      <c r="B1784" s="149"/>
      <c r="C1784" s="160"/>
      <c r="D1784" s="151"/>
      <c r="E1784" s="152"/>
      <c r="F1784" s="153"/>
      <c r="G1784" s="154"/>
      <c r="H1784" s="154"/>
      <c r="I1784" s="154"/>
      <c r="J1784" s="155"/>
      <c r="K1784" s="156"/>
      <c r="L1784" s="157"/>
      <c r="M1784" s="158" t="s">
        <v>28</v>
      </c>
      <c r="N1784" s="159" t="s">
        <v>29</v>
      </c>
    </row>
    <row r="1785" spans="1:14">
      <c r="A1785" s="148"/>
      <c r="B1785" s="149"/>
      <c r="C1785" s="160"/>
      <c r="D1785" s="151"/>
      <c r="E1785" s="152"/>
      <c r="F1785" s="153"/>
      <c r="G1785" s="154"/>
      <c r="H1785" s="154"/>
      <c r="I1785" s="154"/>
      <c r="J1785" s="155"/>
      <c r="K1785" s="156"/>
      <c r="L1785" s="157"/>
      <c r="M1785" s="158" t="s">
        <v>28</v>
      </c>
      <c r="N1785" s="159" t="s">
        <v>29</v>
      </c>
    </row>
    <row r="1786" spans="1:14">
      <c r="A1786" s="148"/>
      <c r="B1786" s="149"/>
      <c r="C1786" s="160"/>
      <c r="D1786" s="151"/>
      <c r="E1786" s="152"/>
      <c r="F1786" s="153"/>
      <c r="G1786" s="154"/>
      <c r="H1786" s="154"/>
      <c r="I1786" s="154"/>
      <c r="J1786" s="155"/>
      <c r="K1786" s="156"/>
      <c r="L1786" s="157"/>
      <c r="M1786" s="158" t="s">
        <v>28</v>
      </c>
      <c r="N1786" s="159" t="s">
        <v>29</v>
      </c>
    </row>
    <row r="1787" spans="1:14">
      <c r="A1787" s="148"/>
      <c r="B1787" s="149"/>
      <c r="C1787" s="160"/>
      <c r="D1787" s="151"/>
      <c r="E1787" s="152"/>
      <c r="F1787" s="153"/>
      <c r="G1787" s="154"/>
      <c r="H1787" s="154"/>
      <c r="I1787" s="154"/>
      <c r="J1787" s="155"/>
      <c r="K1787" s="156"/>
      <c r="L1787" s="157"/>
      <c r="M1787" s="158" t="s">
        <v>28</v>
      </c>
      <c r="N1787" s="159" t="s">
        <v>29</v>
      </c>
    </row>
    <row r="1788" spans="1:14">
      <c r="A1788" s="148"/>
      <c r="B1788" s="149"/>
      <c r="C1788" s="160"/>
      <c r="D1788" s="151"/>
      <c r="E1788" s="152"/>
      <c r="F1788" s="153"/>
      <c r="G1788" s="154"/>
      <c r="H1788" s="154"/>
      <c r="I1788" s="154"/>
      <c r="J1788" s="155"/>
      <c r="K1788" s="156"/>
      <c r="L1788" s="157"/>
      <c r="M1788" s="158" t="s">
        <v>28</v>
      </c>
      <c r="N1788" s="159" t="s">
        <v>29</v>
      </c>
    </row>
    <row r="1789" spans="1:14">
      <c r="A1789" s="148"/>
      <c r="B1789" s="149"/>
      <c r="C1789" s="160"/>
      <c r="D1789" s="151"/>
      <c r="E1789" s="152"/>
      <c r="F1789" s="153"/>
      <c r="G1789" s="154"/>
      <c r="H1789" s="154"/>
      <c r="I1789" s="154"/>
      <c r="J1789" s="155"/>
      <c r="K1789" s="156"/>
      <c r="L1789" s="157"/>
      <c r="M1789" s="158" t="s">
        <v>28</v>
      </c>
      <c r="N1789" s="159" t="s">
        <v>29</v>
      </c>
    </row>
    <row r="1790" spans="1:14">
      <c r="A1790" s="148"/>
      <c r="B1790" s="149"/>
      <c r="C1790" s="160"/>
      <c r="D1790" s="151"/>
      <c r="E1790" s="152"/>
      <c r="F1790" s="153"/>
      <c r="G1790" s="154"/>
      <c r="H1790" s="154"/>
      <c r="I1790" s="154"/>
      <c r="J1790" s="155"/>
      <c r="K1790" s="156"/>
      <c r="L1790" s="157"/>
      <c r="M1790" s="158" t="s">
        <v>28</v>
      </c>
      <c r="N1790" s="159" t="s">
        <v>29</v>
      </c>
    </row>
    <row r="1791" spans="1:14">
      <c r="A1791" s="148"/>
      <c r="B1791" s="149"/>
      <c r="C1791" s="160"/>
      <c r="D1791" s="151"/>
      <c r="E1791" s="152"/>
      <c r="F1791" s="153"/>
      <c r="G1791" s="154"/>
      <c r="H1791" s="154"/>
      <c r="I1791" s="154"/>
      <c r="J1791" s="155"/>
      <c r="K1791" s="156"/>
      <c r="L1791" s="157"/>
      <c r="M1791" s="158" t="s">
        <v>28</v>
      </c>
      <c r="N1791" s="159" t="s">
        <v>29</v>
      </c>
    </row>
    <row r="1792" spans="1:14">
      <c r="A1792" s="148"/>
      <c r="B1792" s="149"/>
      <c r="C1792" s="160"/>
      <c r="D1792" s="151"/>
      <c r="E1792" s="152"/>
      <c r="F1792" s="153"/>
      <c r="G1792" s="154"/>
      <c r="H1792" s="154"/>
      <c r="I1792" s="154"/>
      <c r="J1792" s="155"/>
      <c r="K1792" s="156"/>
      <c r="L1792" s="157"/>
      <c r="M1792" s="158" t="s">
        <v>28</v>
      </c>
      <c r="N1792" s="159" t="s">
        <v>29</v>
      </c>
    </row>
    <row r="1793" spans="1:14">
      <c r="A1793" s="148"/>
      <c r="B1793" s="149"/>
      <c r="C1793" s="160"/>
      <c r="D1793" s="151"/>
      <c r="E1793" s="152"/>
      <c r="F1793" s="153"/>
      <c r="G1793" s="154"/>
      <c r="H1793" s="154"/>
      <c r="I1793" s="154"/>
      <c r="J1793" s="155"/>
      <c r="K1793" s="156"/>
      <c r="L1793" s="157"/>
      <c r="M1793" s="158" t="s">
        <v>28</v>
      </c>
      <c r="N1793" s="159" t="s">
        <v>29</v>
      </c>
    </row>
    <row r="1794" spans="1:14">
      <c r="A1794" s="148"/>
      <c r="B1794" s="149"/>
      <c r="C1794" s="160"/>
      <c r="D1794" s="151"/>
      <c r="E1794" s="152"/>
      <c r="F1794" s="153"/>
      <c r="G1794" s="154"/>
      <c r="H1794" s="154"/>
      <c r="I1794" s="154"/>
      <c r="J1794" s="155"/>
      <c r="K1794" s="156"/>
      <c r="L1794" s="157"/>
      <c r="M1794" s="158" t="s">
        <v>28</v>
      </c>
      <c r="N1794" s="159" t="s">
        <v>29</v>
      </c>
    </row>
    <row r="1795" spans="1:14">
      <c r="A1795" s="148"/>
      <c r="B1795" s="149"/>
      <c r="C1795" s="160"/>
      <c r="D1795" s="151"/>
      <c r="E1795" s="152"/>
      <c r="F1795" s="153"/>
      <c r="G1795" s="154"/>
      <c r="H1795" s="154"/>
      <c r="I1795" s="154"/>
      <c r="J1795" s="155"/>
      <c r="K1795" s="156"/>
      <c r="L1795" s="157"/>
      <c r="M1795" s="158" t="s">
        <v>28</v>
      </c>
      <c r="N1795" s="159" t="s">
        <v>29</v>
      </c>
    </row>
    <row r="1796" spans="1:14">
      <c r="A1796" s="148"/>
      <c r="B1796" s="149"/>
      <c r="C1796" s="160"/>
      <c r="D1796" s="151"/>
      <c r="E1796" s="152"/>
      <c r="F1796" s="153"/>
      <c r="G1796" s="154"/>
      <c r="H1796" s="154"/>
      <c r="I1796" s="154"/>
      <c r="J1796" s="155"/>
      <c r="K1796" s="156"/>
      <c r="L1796" s="157"/>
      <c r="M1796" s="158" t="s">
        <v>28</v>
      </c>
      <c r="N1796" s="159" t="s">
        <v>29</v>
      </c>
    </row>
    <row r="1797" spans="1:14">
      <c r="A1797" s="148"/>
      <c r="B1797" s="149"/>
      <c r="C1797" s="160"/>
      <c r="D1797" s="151"/>
      <c r="E1797" s="152"/>
      <c r="F1797" s="153"/>
      <c r="G1797" s="154"/>
      <c r="H1797" s="154"/>
      <c r="I1797" s="154"/>
      <c r="J1797" s="155"/>
      <c r="K1797" s="156"/>
      <c r="L1797" s="157"/>
      <c r="M1797" s="158" t="s">
        <v>28</v>
      </c>
      <c r="N1797" s="159" t="s">
        <v>29</v>
      </c>
    </row>
    <row r="1798" spans="1:14">
      <c r="A1798" s="148"/>
      <c r="B1798" s="149"/>
      <c r="C1798" s="160"/>
      <c r="D1798" s="151"/>
      <c r="E1798" s="152"/>
      <c r="F1798" s="153"/>
      <c r="G1798" s="154"/>
      <c r="H1798" s="154"/>
      <c r="I1798" s="154"/>
      <c r="J1798" s="155"/>
      <c r="K1798" s="156"/>
      <c r="L1798" s="157"/>
      <c r="M1798" s="158" t="s">
        <v>28</v>
      </c>
      <c r="N1798" s="159" t="s">
        <v>29</v>
      </c>
    </row>
    <row r="1799" spans="1:14">
      <c r="A1799" s="148"/>
      <c r="B1799" s="149"/>
      <c r="C1799" s="160"/>
      <c r="D1799" s="151"/>
      <c r="E1799" s="152"/>
      <c r="F1799" s="153"/>
      <c r="G1799" s="154"/>
      <c r="H1799" s="154"/>
      <c r="I1799" s="154"/>
      <c r="J1799" s="155"/>
      <c r="K1799" s="156"/>
      <c r="L1799" s="157"/>
      <c r="M1799" s="158" t="s">
        <v>28</v>
      </c>
      <c r="N1799" s="159" t="s">
        <v>29</v>
      </c>
    </row>
    <row r="1800" spans="1:14">
      <c r="A1800" s="148"/>
      <c r="B1800" s="149"/>
      <c r="C1800" s="160"/>
      <c r="D1800" s="151"/>
      <c r="E1800" s="152"/>
      <c r="F1800" s="153"/>
      <c r="G1800" s="154"/>
      <c r="H1800" s="154"/>
      <c r="I1800" s="154"/>
      <c r="J1800" s="155"/>
      <c r="K1800" s="156"/>
      <c r="L1800" s="157"/>
      <c r="M1800" s="158" t="s">
        <v>28</v>
      </c>
      <c r="N1800" s="159" t="s">
        <v>29</v>
      </c>
    </row>
    <row r="1801" spans="1:14">
      <c r="A1801" s="148"/>
      <c r="B1801" s="149"/>
      <c r="C1801" s="160"/>
      <c r="D1801" s="151"/>
      <c r="E1801" s="152"/>
      <c r="F1801" s="153"/>
      <c r="G1801" s="154"/>
      <c r="H1801" s="154"/>
      <c r="I1801" s="154"/>
      <c r="J1801" s="155"/>
      <c r="K1801" s="156"/>
      <c r="L1801" s="157"/>
      <c r="M1801" s="158" t="s">
        <v>28</v>
      </c>
      <c r="N1801" s="159" t="s">
        <v>29</v>
      </c>
    </row>
    <row r="1802" spans="1:14">
      <c r="A1802" s="148"/>
      <c r="B1802" s="149"/>
      <c r="C1802" s="160"/>
      <c r="D1802" s="151"/>
      <c r="E1802" s="152"/>
      <c r="F1802" s="153"/>
      <c r="G1802" s="154"/>
      <c r="H1802" s="154"/>
      <c r="I1802" s="154"/>
      <c r="J1802" s="155"/>
      <c r="K1802" s="156"/>
      <c r="L1802" s="157"/>
      <c r="M1802" s="158" t="s">
        <v>28</v>
      </c>
      <c r="N1802" s="159" t="s">
        <v>29</v>
      </c>
    </row>
    <row r="1803" spans="1:14">
      <c r="A1803" s="148"/>
      <c r="B1803" s="149"/>
      <c r="C1803" s="160"/>
      <c r="D1803" s="151"/>
      <c r="E1803" s="152"/>
      <c r="F1803" s="153"/>
      <c r="G1803" s="154"/>
      <c r="H1803" s="154"/>
      <c r="I1803" s="154"/>
      <c r="J1803" s="155"/>
      <c r="K1803" s="156"/>
      <c r="L1803" s="157"/>
      <c r="M1803" s="158" t="s">
        <v>28</v>
      </c>
      <c r="N1803" s="159" t="s">
        <v>29</v>
      </c>
    </row>
    <row r="1804" spans="1:14">
      <c r="A1804" s="148"/>
      <c r="B1804" s="149"/>
      <c r="C1804" s="160"/>
      <c r="D1804" s="151"/>
      <c r="E1804" s="152"/>
      <c r="F1804" s="153"/>
      <c r="G1804" s="154"/>
      <c r="H1804" s="154"/>
      <c r="I1804" s="154"/>
      <c r="J1804" s="155"/>
      <c r="K1804" s="156"/>
      <c r="L1804" s="157"/>
      <c r="M1804" s="158" t="s">
        <v>28</v>
      </c>
      <c r="N1804" s="159" t="s">
        <v>29</v>
      </c>
    </row>
    <row r="1805" spans="1:14">
      <c r="A1805" s="148"/>
      <c r="B1805" s="149"/>
      <c r="C1805" s="160"/>
      <c r="D1805" s="151"/>
      <c r="E1805" s="152"/>
      <c r="F1805" s="153"/>
      <c r="G1805" s="154"/>
      <c r="H1805" s="154"/>
      <c r="I1805" s="154"/>
      <c r="J1805" s="155"/>
      <c r="K1805" s="156"/>
      <c r="L1805" s="157"/>
      <c r="M1805" s="158" t="s">
        <v>28</v>
      </c>
      <c r="N1805" s="159" t="s">
        <v>29</v>
      </c>
    </row>
    <row r="1806" spans="1:14">
      <c r="A1806" s="148"/>
      <c r="B1806" s="149"/>
      <c r="C1806" s="160"/>
      <c r="D1806" s="151"/>
      <c r="E1806" s="152"/>
      <c r="F1806" s="153"/>
      <c r="G1806" s="154"/>
      <c r="H1806" s="154"/>
      <c r="I1806" s="154"/>
      <c r="J1806" s="155"/>
      <c r="K1806" s="156"/>
      <c r="L1806" s="157"/>
      <c r="M1806" s="158" t="s">
        <v>28</v>
      </c>
      <c r="N1806" s="159" t="s">
        <v>29</v>
      </c>
    </row>
    <row r="1807" spans="1:14">
      <c r="A1807" s="148"/>
      <c r="B1807" s="149"/>
      <c r="C1807" s="160"/>
      <c r="D1807" s="151"/>
      <c r="E1807" s="152"/>
      <c r="F1807" s="153"/>
      <c r="G1807" s="154"/>
      <c r="H1807" s="154"/>
      <c r="I1807" s="154"/>
      <c r="J1807" s="155"/>
      <c r="K1807" s="156"/>
      <c r="L1807" s="157"/>
      <c r="M1807" s="158" t="s">
        <v>28</v>
      </c>
      <c r="N1807" s="159" t="s">
        <v>29</v>
      </c>
    </row>
    <row r="1808" spans="1:14">
      <c r="A1808" s="148"/>
      <c r="B1808" s="149"/>
      <c r="C1808" s="160"/>
      <c r="D1808" s="151"/>
      <c r="E1808" s="152"/>
      <c r="F1808" s="153"/>
      <c r="G1808" s="154"/>
      <c r="H1808" s="154"/>
      <c r="I1808" s="154"/>
      <c r="J1808" s="155"/>
      <c r="K1808" s="156"/>
      <c r="L1808" s="157"/>
      <c r="M1808" s="158" t="s">
        <v>28</v>
      </c>
      <c r="N1808" s="159" t="s">
        <v>29</v>
      </c>
    </row>
    <row r="1809" spans="1:14">
      <c r="A1809" s="148"/>
      <c r="B1809" s="149"/>
      <c r="C1809" s="160"/>
      <c r="D1809" s="151"/>
      <c r="E1809" s="152"/>
      <c r="F1809" s="153"/>
      <c r="G1809" s="154"/>
      <c r="H1809" s="154"/>
      <c r="I1809" s="154"/>
      <c r="J1809" s="155"/>
      <c r="K1809" s="156"/>
      <c r="L1809" s="157"/>
      <c r="M1809" s="158" t="s">
        <v>28</v>
      </c>
      <c r="N1809" s="159" t="s">
        <v>29</v>
      </c>
    </row>
    <row r="1810" spans="1:14">
      <c r="A1810" s="148"/>
      <c r="B1810" s="149"/>
      <c r="C1810" s="160"/>
      <c r="D1810" s="151"/>
      <c r="E1810" s="152"/>
      <c r="F1810" s="153"/>
      <c r="G1810" s="154"/>
      <c r="H1810" s="154"/>
      <c r="I1810" s="154"/>
      <c r="J1810" s="155"/>
      <c r="K1810" s="156"/>
      <c r="L1810" s="157"/>
      <c r="M1810" s="158" t="s">
        <v>28</v>
      </c>
      <c r="N1810" s="159" t="s">
        <v>29</v>
      </c>
    </row>
    <row r="1811" spans="1:14">
      <c r="A1811" s="148"/>
      <c r="B1811" s="149"/>
      <c r="C1811" s="160"/>
      <c r="D1811" s="151"/>
      <c r="E1811" s="152"/>
      <c r="F1811" s="153"/>
      <c r="G1811" s="154"/>
      <c r="H1811" s="154"/>
      <c r="I1811" s="154"/>
      <c r="J1811" s="155"/>
      <c r="K1811" s="156"/>
      <c r="L1811" s="157"/>
      <c r="M1811" s="158" t="s">
        <v>28</v>
      </c>
      <c r="N1811" s="159" t="s">
        <v>29</v>
      </c>
    </row>
    <row r="1812" spans="1:14">
      <c r="A1812" s="148"/>
      <c r="B1812" s="149"/>
      <c r="C1812" s="160"/>
      <c r="D1812" s="151"/>
      <c r="E1812" s="152"/>
      <c r="F1812" s="153"/>
      <c r="G1812" s="154"/>
      <c r="H1812" s="154"/>
      <c r="I1812" s="154"/>
      <c r="J1812" s="155"/>
      <c r="K1812" s="156"/>
      <c r="L1812" s="157"/>
      <c r="M1812" s="158" t="s">
        <v>28</v>
      </c>
      <c r="N1812" s="159" t="s">
        <v>29</v>
      </c>
    </row>
    <row r="1813" spans="1:14">
      <c r="A1813" s="148"/>
      <c r="B1813" s="149"/>
      <c r="C1813" s="160"/>
      <c r="D1813" s="151"/>
      <c r="E1813" s="152"/>
      <c r="F1813" s="153"/>
      <c r="G1813" s="154"/>
      <c r="H1813" s="154"/>
      <c r="I1813" s="154"/>
      <c r="J1813" s="155"/>
      <c r="K1813" s="156"/>
      <c r="L1813" s="157"/>
      <c r="M1813" s="158" t="s">
        <v>28</v>
      </c>
      <c r="N1813" s="159" t="s">
        <v>29</v>
      </c>
    </row>
    <row r="1814" spans="1:14">
      <c r="A1814" s="148"/>
      <c r="B1814" s="149"/>
      <c r="C1814" s="160"/>
      <c r="D1814" s="151"/>
      <c r="E1814" s="152"/>
      <c r="F1814" s="153"/>
      <c r="G1814" s="154"/>
      <c r="H1814" s="154"/>
      <c r="I1814" s="154"/>
      <c r="J1814" s="155"/>
      <c r="K1814" s="156"/>
      <c r="L1814" s="157"/>
      <c r="M1814" s="158" t="s">
        <v>28</v>
      </c>
      <c r="N1814" s="159" t="s">
        <v>29</v>
      </c>
    </row>
    <row r="1815" spans="1:14">
      <c r="A1815" s="148"/>
      <c r="B1815" s="149"/>
      <c r="C1815" s="160"/>
      <c r="D1815" s="151"/>
      <c r="E1815" s="152"/>
      <c r="F1815" s="153"/>
      <c r="G1815" s="154"/>
      <c r="H1815" s="154"/>
      <c r="I1815" s="154"/>
      <c r="J1815" s="155"/>
      <c r="K1815" s="156"/>
      <c r="L1815" s="157"/>
      <c r="M1815" s="158" t="s">
        <v>28</v>
      </c>
      <c r="N1815" s="159" t="s">
        <v>29</v>
      </c>
    </row>
    <row r="1816" spans="1:14">
      <c r="A1816" s="148"/>
      <c r="B1816" s="149"/>
      <c r="C1816" s="160"/>
      <c r="D1816" s="151"/>
      <c r="E1816" s="152"/>
      <c r="F1816" s="153"/>
      <c r="G1816" s="154"/>
      <c r="H1816" s="154"/>
      <c r="I1816" s="154"/>
      <c r="J1816" s="155"/>
      <c r="K1816" s="156"/>
      <c r="L1816" s="157"/>
      <c r="M1816" s="158" t="s">
        <v>28</v>
      </c>
      <c r="N1816" s="159" t="s">
        <v>29</v>
      </c>
    </row>
    <row r="1817" spans="1:14">
      <c r="A1817" s="148"/>
      <c r="B1817" s="149"/>
      <c r="C1817" s="160"/>
      <c r="D1817" s="151"/>
      <c r="E1817" s="152"/>
      <c r="F1817" s="153"/>
      <c r="G1817" s="154"/>
      <c r="H1817" s="154"/>
      <c r="I1817" s="154"/>
      <c r="J1817" s="155"/>
      <c r="K1817" s="156"/>
      <c r="L1817" s="157"/>
      <c r="M1817" s="158" t="s">
        <v>28</v>
      </c>
      <c r="N1817" s="159" t="s">
        <v>29</v>
      </c>
    </row>
    <row r="1818" spans="1:14">
      <c r="A1818" s="148"/>
      <c r="B1818" s="149"/>
      <c r="C1818" s="160"/>
      <c r="D1818" s="151"/>
      <c r="E1818" s="152"/>
      <c r="F1818" s="153"/>
      <c r="G1818" s="154"/>
      <c r="H1818" s="154"/>
      <c r="I1818" s="154"/>
      <c r="J1818" s="155"/>
      <c r="K1818" s="156"/>
      <c r="L1818" s="157"/>
      <c r="M1818" s="158" t="s">
        <v>28</v>
      </c>
      <c r="N1818" s="159" t="s">
        <v>29</v>
      </c>
    </row>
    <row r="1819" spans="1:14">
      <c r="A1819" s="148"/>
      <c r="B1819" s="149"/>
      <c r="C1819" s="160"/>
      <c r="D1819" s="151"/>
      <c r="E1819" s="152"/>
      <c r="F1819" s="153"/>
      <c r="G1819" s="154"/>
      <c r="H1819" s="154"/>
      <c r="I1819" s="154"/>
      <c r="J1819" s="155"/>
      <c r="K1819" s="156"/>
      <c r="L1819" s="157"/>
      <c r="M1819" s="158" t="s">
        <v>28</v>
      </c>
      <c r="N1819" s="159" t="s">
        <v>29</v>
      </c>
    </row>
    <row r="1820" spans="1:14">
      <c r="A1820" s="148"/>
      <c r="B1820" s="149"/>
      <c r="C1820" s="160"/>
      <c r="D1820" s="151"/>
      <c r="E1820" s="152"/>
      <c r="F1820" s="153"/>
      <c r="G1820" s="154"/>
      <c r="H1820" s="154"/>
      <c r="I1820" s="154"/>
      <c r="J1820" s="155"/>
      <c r="K1820" s="156"/>
      <c r="L1820" s="157"/>
      <c r="M1820" s="158" t="s">
        <v>28</v>
      </c>
      <c r="N1820" s="159" t="s">
        <v>29</v>
      </c>
    </row>
    <row r="1821" spans="1:14">
      <c r="A1821" s="148"/>
      <c r="B1821" s="149"/>
      <c r="C1821" s="160"/>
      <c r="D1821" s="151"/>
      <c r="E1821" s="152"/>
      <c r="F1821" s="153"/>
      <c r="G1821" s="154"/>
      <c r="H1821" s="154"/>
      <c r="I1821" s="154"/>
      <c r="J1821" s="155"/>
      <c r="K1821" s="156"/>
      <c r="L1821" s="157"/>
      <c r="M1821" s="158" t="s">
        <v>28</v>
      </c>
      <c r="N1821" s="159" t="s">
        <v>29</v>
      </c>
    </row>
    <row r="1822" spans="1:14">
      <c r="A1822" s="148"/>
      <c r="B1822" s="149"/>
      <c r="C1822" s="160"/>
      <c r="D1822" s="151"/>
      <c r="E1822" s="152"/>
      <c r="F1822" s="153"/>
      <c r="G1822" s="154"/>
      <c r="H1822" s="154"/>
      <c r="I1822" s="154"/>
      <c r="J1822" s="155"/>
      <c r="K1822" s="156"/>
      <c r="L1822" s="157"/>
      <c r="M1822" s="158" t="s">
        <v>28</v>
      </c>
      <c r="N1822" s="159" t="s">
        <v>29</v>
      </c>
    </row>
    <row r="1823" spans="1:14">
      <c r="A1823" s="148"/>
      <c r="B1823" s="149"/>
      <c r="C1823" s="160"/>
      <c r="D1823" s="151"/>
      <c r="E1823" s="152"/>
      <c r="F1823" s="153"/>
      <c r="G1823" s="154"/>
      <c r="H1823" s="154"/>
      <c r="I1823" s="154"/>
      <c r="J1823" s="155"/>
      <c r="K1823" s="156"/>
      <c r="L1823" s="157"/>
      <c r="M1823" s="158" t="s">
        <v>28</v>
      </c>
      <c r="N1823" s="159" t="s">
        <v>29</v>
      </c>
    </row>
    <row r="1824" spans="1:14">
      <c r="A1824" s="148"/>
      <c r="B1824" s="149"/>
      <c r="C1824" s="160"/>
      <c r="D1824" s="151"/>
      <c r="E1824" s="152"/>
      <c r="F1824" s="153"/>
      <c r="G1824" s="154"/>
      <c r="H1824" s="154"/>
      <c r="I1824" s="154"/>
      <c r="J1824" s="155"/>
      <c r="K1824" s="156"/>
      <c r="L1824" s="157"/>
      <c r="M1824" s="158" t="s">
        <v>28</v>
      </c>
      <c r="N1824" s="159" t="s">
        <v>29</v>
      </c>
    </row>
    <row r="1825" spans="1:14">
      <c r="A1825" s="148"/>
      <c r="B1825" s="149"/>
      <c r="C1825" s="160"/>
      <c r="D1825" s="151"/>
      <c r="E1825" s="152"/>
      <c r="F1825" s="153"/>
      <c r="G1825" s="154"/>
      <c r="H1825" s="154"/>
      <c r="I1825" s="154"/>
      <c r="J1825" s="155"/>
      <c r="K1825" s="156"/>
      <c r="L1825" s="157"/>
      <c r="M1825" s="158" t="s">
        <v>28</v>
      </c>
      <c r="N1825" s="159" t="s">
        <v>29</v>
      </c>
    </row>
    <row r="1826" spans="1:14">
      <c r="A1826" s="148"/>
      <c r="B1826" s="149"/>
      <c r="C1826" s="160"/>
      <c r="D1826" s="151"/>
      <c r="E1826" s="152"/>
      <c r="F1826" s="153"/>
      <c r="G1826" s="154"/>
      <c r="H1826" s="154"/>
      <c r="I1826" s="154"/>
      <c r="J1826" s="155"/>
      <c r="K1826" s="156"/>
      <c r="L1826" s="157"/>
      <c r="M1826" s="158" t="s">
        <v>28</v>
      </c>
      <c r="N1826" s="159" t="s">
        <v>29</v>
      </c>
    </row>
    <row r="1827" spans="1:14">
      <c r="A1827" s="148"/>
      <c r="B1827" s="149"/>
      <c r="C1827" s="160"/>
      <c r="D1827" s="151"/>
      <c r="E1827" s="152"/>
      <c r="F1827" s="153"/>
      <c r="G1827" s="154"/>
      <c r="H1827" s="154"/>
      <c r="I1827" s="154"/>
      <c r="J1827" s="155"/>
      <c r="K1827" s="156"/>
      <c r="L1827" s="157"/>
      <c r="M1827" s="158" t="s">
        <v>28</v>
      </c>
      <c r="N1827" s="159" t="s">
        <v>29</v>
      </c>
    </row>
    <row r="1828" spans="1:14">
      <c r="A1828" s="148"/>
      <c r="B1828" s="149"/>
      <c r="C1828" s="160"/>
      <c r="D1828" s="151"/>
      <c r="E1828" s="152"/>
      <c r="F1828" s="153"/>
      <c r="G1828" s="154"/>
      <c r="H1828" s="154"/>
      <c r="I1828" s="154"/>
      <c r="J1828" s="155"/>
      <c r="K1828" s="156"/>
      <c r="L1828" s="157"/>
      <c r="M1828" s="158" t="s">
        <v>28</v>
      </c>
      <c r="N1828" s="159" t="s">
        <v>29</v>
      </c>
    </row>
    <row r="1829" spans="1:14">
      <c r="A1829" s="148"/>
      <c r="B1829" s="149"/>
      <c r="C1829" s="160"/>
      <c r="D1829" s="151"/>
      <c r="E1829" s="152"/>
      <c r="F1829" s="153"/>
      <c r="G1829" s="154"/>
      <c r="H1829" s="154"/>
      <c r="I1829" s="154"/>
      <c r="J1829" s="155"/>
      <c r="K1829" s="156"/>
      <c r="L1829" s="157"/>
      <c r="M1829" s="158" t="s">
        <v>28</v>
      </c>
      <c r="N1829" s="159" t="s">
        <v>29</v>
      </c>
    </row>
    <row r="1830" spans="1:14">
      <c r="A1830" s="148"/>
      <c r="B1830" s="149"/>
      <c r="C1830" s="160"/>
      <c r="D1830" s="151"/>
      <c r="E1830" s="152"/>
      <c r="F1830" s="153"/>
      <c r="G1830" s="154"/>
      <c r="H1830" s="154"/>
      <c r="I1830" s="154"/>
      <c r="J1830" s="155"/>
      <c r="K1830" s="156"/>
      <c r="L1830" s="157"/>
      <c r="M1830" s="158" t="s">
        <v>28</v>
      </c>
      <c r="N1830" s="159" t="s">
        <v>29</v>
      </c>
    </row>
    <row r="1831" spans="1:14">
      <c r="A1831" s="148"/>
      <c r="B1831" s="149"/>
      <c r="C1831" s="160"/>
      <c r="D1831" s="151"/>
      <c r="E1831" s="152"/>
      <c r="F1831" s="153"/>
      <c r="G1831" s="154"/>
      <c r="H1831" s="154"/>
      <c r="I1831" s="154"/>
      <c r="J1831" s="155"/>
      <c r="K1831" s="156"/>
      <c r="L1831" s="157"/>
      <c r="M1831" s="158" t="s">
        <v>28</v>
      </c>
      <c r="N1831" s="159" t="s">
        <v>29</v>
      </c>
    </row>
    <row r="1832" spans="1:14">
      <c r="A1832" s="148"/>
      <c r="B1832" s="149"/>
      <c r="C1832" s="160"/>
      <c r="D1832" s="151"/>
      <c r="E1832" s="152"/>
      <c r="F1832" s="153"/>
      <c r="G1832" s="154"/>
      <c r="H1832" s="154"/>
      <c r="I1832" s="154"/>
      <c r="J1832" s="155"/>
      <c r="K1832" s="156"/>
      <c r="L1832" s="157"/>
      <c r="M1832" s="158" t="s">
        <v>28</v>
      </c>
      <c r="N1832" s="159" t="s">
        <v>29</v>
      </c>
    </row>
    <row r="1833" spans="1:14">
      <c r="A1833" s="148"/>
      <c r="B1833" s="149"/>
      <c r="C1833" s="160"/>
      <c r="D1833" s="151"/>
      <c r="E1833" s="152"/>
      <c r="F1833" s="153"/>
      <c r="G1833" s="154"/>
      <c r="H1833" s="154"/>
      <c r="I1833" s="154"/>
      <c r="J1833" s="155"/>
      <c r="K1833" s="156"/>
      <c r="L1833" s="157"/>
      <c r="M1833" s="158" t="s">
        <v>28</v>
      </c>
      <c r="N1833" s="159" t="s">
        <v>29</v>
      </c>
    </row>
    <row r="1834" spans="1:14">
      <c r="A1834" s="148"/>
      <c r="B1834" s="149"/>
      <c r="C1834" s="160"/>
      <c r="D1834" s="151"/>
      <c r="E1834" s="152"/>
      <c r="F1834" s="153"/>
      <c r="G1834" s="154"/>
      <c r="H1834" s="154"/>
      <c r="I1834" s="154"/>
      <c r="J1834" s="155"/>
      <c r="K1834" s="156"/>
      <c r="L1834" s="157"/>
      <c r="M1834" s="158" t="s">
        <v>28</v>
      </c>
      <c r="N1834" s="159" t="s">
        <v>29</v>
      </c>
    </row>
    <row r="1835" spans="1:14">
      <c r="A1835" s="148"/>
      <c r="B1835" s="149"/>
      <c r="C1835" s="160"/>
      <c r="D1835" s="151"/>
      <c r="E1835" s="152"/>
      <c r="F1835" s="153"/>
      <c r="G1835" s="154"/>
      <c r="H1835" s="154"/>
      <c r="I1835" s="154"/>
      <c r="J1835" s="155"/>
      <c r="K1835" s="156"/>
      <c r="L1835" s="157"/>
      <c r="M1835" s="158" t="s">
        <v>28</v>
      </c>
      <c r="N1835" s="159" t="s">
        <v>29</v>
      </c>
    </row>
    <row r="1836" spans="1:14">
      <c r="A1836" s="148"/>
      <c r="B1836" s="149"/>
      <c r="C1836" s="160"/>
      <c r="D1836" s="151"/>
      <c r="E1836" s="152"/>
      <c r="F1836" s="153"/>
      <c r="G1836" s="154"/>
      <c r="H1836" s="154"/>
      <c r="I1836" s="154"/>
      <c r="J1836" s="155"/>
      <c r="K1836" s="162"/>
      <c r="L1836" s="157"/>
      <c r="M1836" s="158" t="s">
        <v>28</v>
      </c>
      <c r="N1836" s="159" t="s">
        <v>29</v>
      </c>
    </row>
    <row r="1837" spans="1:14">
      <c r="A1837" s="148"/>
      <c r="B1837" s="149"/>
      <c r="C1837" s="160"/>
      <c r="D1837" s="151"/>
      <c r="E1837" s="152"/>
      <c r="F1837" s="153"/>
      <c r="G1837" s="154"/>
      <c r="H1837" s="154"/>
      <c r="I1837" s="154"/>
      <c r="J1837" s="155"/>
      <c r="K1837" s="156"/>
      <c r="L1837" s="157"/>
      <c r="M1837" s="158" t="s">
        <v>28</v>
      </c>
      <c r="N1837" s="159" t="s">
        <v>29</v>
      </c>
    </row>
    <row r="1838" spans="1:14">
      <c r="A1838" s="148"/>
      <c r="B1838" s="149"/>
      <c r="C1838" s="160"/>
      <c r="D1838" s="151"/>
      <c r="E1838" s="152"/>
      <c r="F1838" s="153"/>
      <c r="G1838" s="154"/>
      <c r="H1838" s="154"/>
      <c r="I1838" s="154"/>
      <c r="J1838" s="155"/>
      <c r="K1838" s="156"/>
      <c r="L1838" s="157"/>
      <c r="M1838" s="158" t="s">
        <v>28</v>
      </c>
      <c r="N1838" s="159" t="s">
        <v>29</v>
      </c>
    </row>
    <row r="1839" spans="1:14">
      <c r="A1839" s="148"/>
      <c r="B1839" s="149"/>
      <c r="C1839" s="160"/>
      <c r="D1839" s="151"/>
      <c r="E1839" s="152"/>
      <c r="F1839" s="153"/>
      <c r="G1839" s="154"/>
      <c r="H1839" s="154"/>
      <c r="I1839" s="154"/>
      <c r="J1839" s="155"/>
      <c r="K1839" s="156"/>
      <c r="L1839" s="157"/>
      <c r="M1839" s="158" t="s">
        <v>28</v>
      </c>
      <c r="N1839" s="159" t="s">
        <v>29</v>
      </c>
    </row>
    <row r="1840" spans="1:14">
      <c r="A1840" s="148"/>
      <c r="B1840" s="149"/>
      <c r="C1840" s="160"/>
      <c r="D1840" s="151"/>
      <c r="E1840" s="152"/>
      <c r="F1840" s="153"/>
      <c r="G1840" s="154"/>
      <c r="H1840" s="154"/>
      <c r="I1840" s="154"/>
      <c r="J1840" s="155"/>
      <c r="K1840" s="156"/>
      <c r="L1840" s="157"/>
      <c r="M1840" s="158" t="s">
        <v>28</v>
      </c>
      <c r="N1840" s="159" t="s">
        <v>29</v>
      </c>
    </row>
    <row r="1841" spans="1:14">
      <c r="A1841" s="148"/>
      <c r="B1841" s="149"/>
      <c r="C1841" s="160"/>
      <c r="D1841" s="151"/>
      <c r="E1841" s="152"/>
      <c r="F1841" s="153"/>
      <c r="G1841" s="154"/>
      <c r="H1841" s="154"/>
      <c r="I1841" s="154"/>
      <c r="J1841" s="155"/>
      <c r="K1841" s="156"/>
      <c r="L1841" s="157"/>
      <c r="M1841" s="158" t="s">
        <v>28</v>
      </c>
      <c r="N1841" s="159" t="s">
        <v>29</v>
      </c>
    </row>
    <row r="1842" spans="1:14">
      <c r="A1842" s="148"/>
      <c r="B1842" s="149"/>
      <c r="C1842" s="160"/>
      <c r="D1842" s="151"/>
      <c r="E1842" s="152"/>
      <c r="F1842" s="153"/>
      <c r="G1842" s="154"/>
      <c r="H1842" s="154"/>
      <c r="I1842" s="154"/>
      <c r="J1842" s="155"/>
      <c r="K1842" s="156"/>
      <c r="L1842" s="157"/>
      <c r="M1842" s="158" t="s">
        <v>28</v>
      </c>
      <c r="N1842" s="159" t="s">
        <v>29</v>
      </c>
    </row>
    <row r="1843" spans="1:14">
      <c r="A1843" s="148"/>
      <c r="B1843" s="149"/>
      <c r="C1843" s="160"/>
      <c r="D1843" s="151"/>
      <c r="E1843" s="152"/>
      <c r="F1843" s="153"/>
      <c r="G1843" s="154"/>
      <c r="H1843" s="154"/>
      <c r="I1843" s="154"/>
      <c r="J1843" s="155"/>
      <c r="K1843" s="156"/>
      <c r="L1843" s="157"/>
      <c r="M1843" s="158" t="s">
        <v>28</v>
      </c>
      <c r="N1843" s="159" t="s">
        <v>29</v>
      </c>
    </row>
    <row r="1844" spans="1:14">
      <c r="A1844" s="148"/>
      <c r="B1844" s="149"/>
      <c r="C1844" s="160"/>
      <c r="D1844" s="151"/>
      <c r="E1844" s="152"/>
      <c r="F1844" s="153"/>
      <c r="G1844" s="154"/>
      <c r="H1844" s="154"/>
      <c r="I1844" s="154"/>
      <c r="J1844" s="155"/>
      <c r="K1844" s="156"/>
      <c r="L1844" s="157"/>
      <c r="M1844" s="158" t="s">
        <v>28</v>
      </c>
      <c r="N1844" s="159" t="s">
        <v>29</v>
      </c>
    </row>
    <row r="1845" spans="1:14">
      <c r="A1845" s="148"/>
      <c r="B1845" s="149"/>
      <c r="C1845" s="160"/>
      <c r="D1845" s="151"/>
      <c r="E1845" s="152"/>
      <c r="F1845" s="153"/>
      <c r="G1845" s="154"/>
      <c r="H1845" s="154"/>
      <c r="I1845" s="154"/>
      <c r="J1845" s="155"/>
      <c r="K1845" s="156"/>
      <c r="L1845" s="157"/>
      <c r="M1845" s="158" t="s">
        <v>28</v>
      </c>
      <c r="N1845" s="159" t="s">
        <v>29</v>
      </c>
    </row>
    <row r="1846" spans="1:14">
      <c r="A1846" s="148"/>
      <c r="B1846" s="149"/>
      <c r="C1846" s="160"/>
      <c r="D1846" s="151"/>
      <c r="E1846" s="152"/>
      <c r="F1846" s="153"/>
      <c r="G1846" s="154"/>
      <c r="H1846" s="154"/>
      <c r="I1846" s="154"/>
      <c r="J1846" s="155"/>
      <c r="K1846" s="156"/>
      <c r="L1846" s="157"/>
      <c r="M1846" s="158" t="s">
        <v>28</v>
      </c>
      <c r="N1846" s="159" t="s">
        <v>29</v>
      </c>
    </row>
    <row r="1847" spans="1:14">
      <c r="A1847" s="148"/>
      <c r="B1847" s="149"/>
      <c r="C1847" s="160"/>
      <c r="D1847" s="151"/>
      <c r="E1847" s="152"/>
      <c r="F1847" s="153"/>
      <c r="G1847" s="154"/>
      <c r="H1847" s="154"/>
      <c r="I1847" s="154"/>
      <c r="J1847" s="155"/>
      <c r="K1847" s="156"/>
      <c r="L1847" s="157"/>
      <c r="M1847" s="158" t="s">
        <v>28</v>
      </c>
      <c r="N1847" s="159" t="s">
        <v>29</v>
      </c>
    </row>
    <row r="1848" spans="1:14">
      <c r="A1848" s="148"/>
      <c r="B1848" s="149"/>
      <c r="C1848" s="160"/>
      <c r="D1848" s="151"/>
      <c r="E1848" s="152"/>
      <c r="F1848" s="153"/>
      <c r="G1848" s="154"/>
      <c r="H1848" s="154"/>
      <c r="I1848" s="154"/>
      <c r="J1848" s="155"/>
      <c r="K1848" s="156"/>
      <c r="L1848" s="157"/>
      <c r="M1848" s="158" t="s">
        <v>28</v>
      </c>
      <c r="N1848" s="159" t="s">
        <v>29</v>
      </c>
    </row>
    <row r="1849" spans="1:14">
      <c r="A1849" s="148"/>
      <c r="B1849" s="149"/>
      <c r="C1849" s="160"/>
      <c r="D1849" s="151"/>
      <c r="E1849" s="152"/>
      <c r="F1849" s="153"/>
      <c r="G1849" s="154"/>
      <c r="H1849" s="154"/>
      <c r="I1849" s="154"/>
      <c r="J1849" s="155"/>
      <c r="K1849" s="156"/>
      <c r="L1849" s="157"/>
      <c r="M1849" s="158" t="s">
        <v>28</v>
      </c>
      <c r="N1849" s="159" t="s">
        <v>29</v>
      </c>
    </row>
    <row r="1850" spans="1:14">
      <c r="A1850" s="148"/>
      <c r="B1850" s="149"/>
      <c r="C1850" s="160"/>
      <c r="D1850" s="151"/>
      <c r="E1850" s="152"/>
      <c r="F1850" s="153"/>
      <c r="G1850" s="154"/>
      <c r="H1850" s="154"/>
      <c r="I1850" s="154"/>
      <c r="J1850" s="155"/>
      <c r="K1850" s="156"/>
      <c r="L1850" s="157"/>
      <c r="M1850" s="158" t="s">
        <v>28</v>
      </c>
      <c r="N1850" s="159" t="s">
        <v>29</v>
      </c>
    </row>
    <row r="1851" spans="1:14">
      <c r="A1851" s="148"/>
      <c r="B1851" s="149"/>
      <c r="C1851" s="160"/>
      <c r="D1851" s="151"/>
      <c r="E1851" s="152"/>
      <c r="F1851" s="153"/>
      <c r="G1851" s="154"/>
      <c r="H1851" s="154"/>
      <c r="I1851" s="154"/>
      <c r="J1851" s="155"/>
      <c r="K1851" s="156"/>
      <c r="L1851" s="157"/>
      <c r="M1851" s="158" t="s">
        <v>28</v>
      </c>
      <c r="N1851" s="159" t="s">
        <v>29</v>
      </c>
    </row>
    <row r="1852" spans="1:14">
      <c r="A1852" s="148"/>
      <c r="B1852" s="149"/>
      <c r="C1852" s="160"/>
      <c r="D1852" s="151"/>
      <c r="E1852" s="152"/>
      <c r="F1852" s="153"/>
      <c r="G1852" s="154"/>
      <c r="H1852" s="154"/>
      <c r="I1852" s="154"/>
      <c r="J1852" s="155"/>
      <c r="K1852" s="156"/>
      <c r="L1852" s="157"/>
      <c r="M1852" s="158" t="s">
        <v>28</v>
      </c>
      <c r="N1852" s="159" t="s">
        <v>29</v>
      </c>
    </row>
    <row r="1853" spans="1:14">
      <c r="A1853" s="148"/>
      <c r="B1853" s="149"/>
      <c r="C1853" s="160"/>
      <c r="D1853" s="151"/>
      <c r="E1853" s="152"/>
      <c r="F1853" s="153"/>
      <c r="G1853" s="154"/>
      <c r="H1853" s="154"/>
      <c r="I1853" s="154"/>
      <c r="J1853" s="155"/>
      <c r="K1853" s="156"/>
      <c r="L1853" s="157"/>
      <c r="M1853" s="158" t="s">
        <v>28</v>
      </c>
      <c r="N1853" s="159" t="s">
        <v>29</v>
      </c>
    </row>
    <row r="1854" spans="1:14">
      <c r="A1854" s="148"/>
      <c r="B1854" s="149"/>
      <c r="C1854" s="160"/>
      <c r="D1854" s="151"/>
      <c r="E1854" s="152"/>
      <c r="F1854" s="153"/>
      <c r="G1854" s="154"/>
      <c r="H1854" s="154"/>
      <c r="I1854" s="154"/>
      <c r="J1854" s="155"/>
      <c r="K1854" s="156"/>
      <c r="L1854" s="157"/>
      <c r="M1854" s="158" t="s">
        <v>28</v>
      </c>
      <c r="N1854" s="159" t="s">
        <v>29</v>
      </c>
    </row>
    <row r="1855" spans="1:14">
      <c r="A1855" s="148"/>
      <c r="B1855" s="149"/>
      <c r="C1855" s="160"/>
      <c r="D1855" s="151"/>
      <c r="E1855" s="152"/>
      <c r="F1855" s="153"/>
      <c r="G1855" s="154"/>
      <c r="H1855" s="154"/>
      <c r="I1855" s="154"/>
      <c r="J1855" s="155"/>
      <c r="K1855" s="156"/>
      <c r="L1855" s="157"/>
      <c r="M1855" s="158" t="s">
        <v>28</v>
      </c>
      <c r="N1855" s="159" t="s">
        <v>29</v>
      </c>
    </row>
    <row r="1856" spans="1:14">
      <c r="A1856" s="148"/>
      <c r="B1856" s="149"/>
      <c r="C1856" s="160"/>
      <c r="D1856" s="151"/>
      <c r="E1856" s="152"/>
      <c r="F1856" s="153"/>
      <c r="G1856" s="154"/>
      <c r="H1856" s="154"/>
      <c r="I1856" s="154"/>
      <c r="J1856" s="155"/>
      <c r="K1856" s="156"/>
      <c r="L1856" s="157"/>
      <c r="M1856" s="158" t="s">
        <v>28</v>
      </c>
      <c r="N1856" s="159" t="s">
        <v>29</v>
      </c>
    </row>
    <row r="1857" spans="1:14">
      <c r="A1857" s="148"/>
      <c r="B1857" s="149"/>
      <c r="C1857" s="160"/>
      <c r="D1857" s="151"/>
      <c r="E1857" s="152"/>
      <c r="F1857" s="153"/>
      <c r="G1857" s="154"/>
      <c r="H1857" s="154"/>
      <c r="I1857" s="154"/>
      <c r="J1857" s="155"/>
      <c r="K1857" s="156"/>
      <c r="L1857" s="157"/>
      <c r="M1857" s="158" t="s">
        <v>28</v>
      </c>
      <c r="N1857" s="159" t="s">
        <v>29</v>
      </c>
    </row>
    <row r="1858" spans="1:14">
      <c r="A1858" s="148"/>
      <c r="B1858" s="149"/>
      <c r="C1858" s="160"/>
      <c r="D1858" s="151"/>
      <c r="E1858" s="152"/>
      <c r="F1858" s="153"/>
      <c r="G1858" s="154"/>
      <c r="H1858" s="154"/>
      <c r="I1858" s="154"/>
      <c r="J1858" s="155"/>
      <c r="K1858" s="156"/>
      <c r="L1858" s="157"/>
      <c r="M1858" s="158" t="s">
        <v>28</v>
      </c>
      <c r="N1858" s="159" t="s">
        <v>29</v>
      </c>
    </row>
    <row r="1859" spans="1:14">
      <c r="A1859" s="148"/>
      <c r="B1859" s="149"/>
      <c r="C1859" s="160"/>
      <c r="D1859" s="151"/>
      <c r="E1859" s="152"/>
      <c r="F1859" s="153"/>
      <c r="G1859" s="154"/>
      <c r="H1859" s="154"/>
      <c r="I1859" s="154"/>
      <c r="J1859" s="155"/>
      <c r="K1859" s="156"/>
      <c r="L1859" s="157"/>
      <c r="M1859" s="158" t="s">
        <v>28</v>
      </c>
      <c r="N1859" s="159" t="s">
        <v>29</v>
      </c>
    </row>
    <row r="1860" spans="1:14">
      <c r="A1860" s="148"/>
      <c r="B1860" s="149"/>
      <c r="C1860" s="150"/>
      <c r="D1860" s="151"/>
      <c r="E1860" s="152"/>
      <c r="F1860" s="153"/>
      <c r="G1860" s="154"/>
      <c r="H1860" s="154"/>
      <c r="I1860" s="154"/>
      <c r="J1860" s="155"/>
      <c r="K1860" s="156"/>
      <c r="L1860" s="157"/>
      <c r="M1860" s="158" t="s">
        <v>28</v>
      </c>
      <c r="N1860" s="159" t="s">
        <v>29</v>
      </c>
    </row>
    <row r="1861" spans="1:14">
      <c r="A1861" s="148"/>
      <c r="B1861" s="149"/>
      <c r="C1861" s="160"/>
      <c r="D1861" s="151"/>
      <c r="E1861" s="152"/>
      <c r="F1861" s="153"/>
      <c r="G1861" s="154"/>
      <c r="H1861" s="154"/>
      <c r="I1861" s="154"/>
      <c r="J1861" s="155"/>
      <c r="K1861" s="156"/>
      <c r="L1861" s="157"/>
      <c r="M1861" s="158" t="s">
        <v>28</v>
      </c>
      <c r="N1861" s="159" t="s">
        <v>29</v>
      </c>
    </row>
    <row r="1862" spans="1:14">
      <c r="A1862" s="148"/>
      <c r="B1862" s="149"/>
      <c r="C1862" s="160"/>
      <c r="D1862" s="151"/>
      <c r="E1862" s="152"/>
      <c r="F1862" s="153"/>
      <c r="G1862" s="154"/>
      <c r="H1862" s="154"/>
      <c r="I1862" s="154"/>
      <c r="J1862" s="155"/>
      <c r="K1862" s="156"/>
      <c r="L1862" s="157"/>
      <c r="M1862" s="158" t="s">
        <v>28</v>
      </c>
      <c r="N1862" s="159" t="s">
        <v>29</v>
      </c>
    </row>
    <row r="1863" spans="1:14">
      <c r="A1863" s="148"/>
      <c r="B1863" s="149"/>
      <c r="C1863" s="160"/>
      <c r="D1863" s="151"/>
      <c r="E1863" s="152"/>
      <c r="F1863" s="153"/>
      <c r="G1863" s="154"/>
      <c r="H1863" s="154"/>
      <c r="I1863" s="154"/>
      <c r="J1863" s="155"/>
      <c r="K1863" s="156"/>
      <c r="L1863" s="157"/>
      <c r="M1863" s="158" t="s">
        <v>28</v>
      </c>
      <c r="N1863" s="159" t="s">
        <v>29</v>
      </c>
    </row>
    <row r="1864" spans="1:14">
      <c r="A1864" s="148"/>
      <c r="B1864" s="149"/>
      <c r="C1864" s="160"/>
      <c r="D1864" s="151"/>
      <c r="E1864" s="152"/>
      <c r="F1864" s="153"/>
      <c r="G1864" s="154"/>
      <c r="H1864" s="154"/>
      <c r="I1864" s="154"/>
      <c r="J1864" s="155"/>
      <c r="K1864" s="156"/>
      <c r="L1864" s="157"/>
      <c r="M1864" s="158" t="s">
        <v>28</v>
      </c>
      <c r="N1864" s="159" t="s">
        <v>29</v>
      </c>
    </row>
    <row r="1865" spans="1:14">
      <c r="A1865" s="148"/>
      <c r="B1865" s="149"/>
      <c r="C1865" s="160"/>
      <c r="D1865" s="151"/>
      <c r="E1865" s="152"/>
      <c r="F1865" s="153"/>
      <c r="G1865" s="154"/>
      <c r="H1865" s="154"/>
      <c r="I1865" s="154"/>
      <c r="J1865" s="155"/>
      <c r="K1865" s="156"/>
      <c r="L1865" s="157"/>
      <c r="M1865" s="158" t="s">
        <v>28</v>
      </c>
      <c r="N1865" s="159" t="s">
        <v>29</v>
      </c>
    </row>
    <row r="1866" spans="1:14">
      <c r="A1866" s="148"/>
      <c r="B1866" s="149"/>
      <c r="C1866" s="160"/>
      <c r="D1866" s="151"/>
      <c r="E1866" s="152"/>
      <c r="F1866" s="153"/>
      <c r="G1866" s="154"/>
      <c r="H1866" s="154"/>
      <c r="I1866" s="154"/>
      <c r="J1866" s="155"/>
      <c r="K1866" s="156"/>
      <c r="L1866" s="157"/>
      <c r="M1866" s="158" t="s">
        <v>28</v>
      </c>
      <c r="N1866" s="159" t="s">
        <v>29</v>
      </c>
    </row>
    <row r="1867" spans="1:14">
      <c r="A1867" s="148"/>
      <c r="B1867" s="149"/>
      <c r="C1867" s="160"/>
      <c r="D1867" s="151"/>
      <c r="E1867" s="152"/>
      <c r="F1867" s="153"/>
      <c r="G1867" s="154"/>
      <c r="H1867" s="154"/>
      <c r="I1867" s="154"/>
      <c r="J1867" s="155"/>
      <c r="K1867" s="156"/>
      <c r="L1867" s="157"/>
      <c r="M1867" s="158" t="s">
        <v>28</v>
      </c>
      <c r="N1867" s="159" t="s">
        <v>29</v>
      </c>
    </row>
    <row r="1868" spans="1:14">
      <c r="A1868" s="148"/>
      <c r="B1868" s="149"/>
      <c r="C1868" s="160"/>
      <c r="D1868" s="151"/>
      <c r="E1868" s="152"/>
      <c r="F1868" s="153"/>
      <c r="G1868" s="154"/>
      <c r="H1868" s="154"/>
      <c r="I1868" s="154"/>
      <c r="J1868" s="155"/>
      <c r="K1868" s="156"/>
      <c r="L1868" s="157"/>
      <c r="M1868" s="158" t="s">
        <v>28</v>
      </c>
      <c r="N1868" s="159" t="s">
        <v>29</v>
      </c>
    </row>
    <row r="1869" spans="1:14">
      <c r="A1869" s="148"/>
      <c r="B1869" s="149"/>
      <c r="C1869" s="160"/>
      <c r="D1869" s="151"/>
      <c r="E1869" s="152"/>
      <c r="F1869" s="153"/>
      <c r="G1869" s="154"/>
      <c r="H1869" s="154"/>
      <c r="I1869" s="154"/>
      <c r="J1869" s="155"/>
      <c r="K1869" s="156"/>
      <c r="L1869" s="157"/>
      <c r="M1869" s="158" t="s">
        <v>28</v>
      </c>
      <c r="N1869" s="159" t="s">
        <v>29</v>
      </c>
    </row>
    <row r="1870" spans="1:14">
      <c r="A1870" s="148"/>
      <c r="B1870" s="149"/>
      <c r="C1870" s="160"/>
      <c r="D1870" s="151"/>
      <c r="E1870" s="152"/>
      <c r="F1870" s="153"/>
      <c r="G1870" s="154"/>
      <c r="H1870" s="154"/>
      <c r="I1870" s="154"/>
      <c r="J1870" s="155"/>
      <c r="K1870" s="156"/>
      <c r="L1870" s="157"/>
      <c r="M1870" s="158" t="s">
        <v>28</v>
      </c>
      <c r="N1870" s="159" t="s">
        <v>29</v>
      </c>
    </row>
    <row r="1871" spans="1:14">
      <c r="A1871" s="148"/>
      <c r="B1871" s="149"/>
      <c r="C1871" s="160"/>
      <c r="D1871" s="151"/>
      <c r="E1871" s="152"/>
      <c r="F1871" s="153"/>
      <c r="G1871" s="154"/>
      <c r="H1871" s="154"/>
      <c r="I1871" s="154"/>
      <c r="J1871" s="155"/>
      <c r="K1871" s="156"/>
      <c r="L1871" s="157"/>
      <c r="M1871" s="158" t="s">
        <v>28</v>
      </c>
      <c r="N1871" s="159" t="s">
        <v>29</v>
      </c>
    </row>
    <row r="1872" spans="1:14">
      <c r="A1872" s="148"/>
      <c r="B1872" s="149"/>
      <c r="C1872" s="160"/>
      <c r="D1872" s="151"/>
      <c r="E1872" s="152"/>
      <c r="F1872" s="153"/>
      <c r="G1872" s="154"/>
      <c r="H1872" s="154"/>
      <c r="I1872" s="154"/>
      <c r="J1872" s="155"/>
      <c r="K1872" s="156"/>
      <c r="L1872" s="157"/>
      <c r="M1872" s="158" t="s">
        <v>28</v>
      </c>
      <c r="N1872" s="159" t="s">
        <v>29</v>
      </c>
    </row>
    <row r="1873" spans="1:14">
      <c r="A1873" s="148"/>
      <c r="B1873" s="149"/>
      <c r="C1873" s="160"/>
      <c r="D1873" s="151"/>
      <c r="E1873" s="152"/>
      <c r="F1873" s="153"/>
      <c r="G1873" s="154"/>
      <c r="H1873" s="154"/>
      <c r="I1873" s="154"/>
      <c r="J1873" s="155"/>
      <c r="K1873" s="156"/>
      <c r="L1873" s="157"/>
      <c r="M1873" s="158" t="s">
        <v>28</v>
      </c>
      <c r="N1873" s="159" t="s">
        <v>29</v>
      </c>
    </row>
    <row r="1874" spans="1:14">
      <c r="A1874" s="148"/>
      <c r="B1874" s="149"/>
      <c r="C1874" s="160"/>
      <c r="D1874" s="151"/>
      <c r="E1874" s="152"/>
      <c r="F1874" s="153"/>
      <c r="G1874" s="154"/>
      <c r="H1874" s="154"/>
      <c r="I1874" s="154"/>
      <c r="J1874" s="155"/>
      <c r="K1874" s="156"/>
      <c r="L1874" s="157"/>
      <c r="M1874" s="158" t="s">
        <v>28</v>
      </c>
      <c r="N1874" s="159" t="s">
        <v>29</v>
      </c>
    </row>
    <row r="1875" spans="1:14">
      <c r="A1875" s="148"/>
      <c r="B1875" s="149"/>
      <c r="C1875" s="160"/>
      <c r="D1875" s="151"/>
      <c r="E1875" s="152"/>
      <c r="F1875" s="153"/>
      <c r="G1875" s="154"/>
      <c r="H1875" s="154"/>
      <c r="I1875" s="154"/>
      <c r="J1875" s="155"/>
      <c r="K1875" s="156"/>
      <c r="L1875" s="157"/>
      <c r="M1875" s="158" t="s">
        <v>28</v>
      </c>
      <c r="N1875" s="159" t="s">
        <v>29</v>
      </c>
    </row>
    <row r="1876" spans="1:14">
      <c r="A1876" s="148"/>
      <c r="B1876" s="149"/>
      <c r="C1876" s="160"/>
      <c r="D1876" s="151"/>
      <c r="E1876" s="152"/>
      <c r="F1876" s="153"/>
      <c r="G1876" s="154"/>
      <c r="H1876" s="154"/>
      <c r="I1876" s="154"/>
      <c r="J1876" s="155"/>
      <c r="K1876" s="156"/>
      <c r="L1876" s="157"/>
      <c r="M1876" s="158" t="s">
        <v>28</v>
      </c>
      <c r="N1876" s="159" t="s">
        <v>29</v>
      </c>
    </row>
    <row r="1877" spans="1:14">
      <c r="A1877" s="148"/>
      <c r="B1877" s="149"/>
      <c r="C1877" s="160"/>
      <c r="D1877" s="151"/>
      <c r="E1877" s="152"/>
      <c r="F1877" s="153"/>
      <c r="G1877" s="154"/>
      <c r="H1877" s="154"/>
      <c r="I1877" s="154"/>
      <c r="J1877" s="155"/>
      <c r="K1877" s="162"/>
      <c r="L1877" s="157"/>
      <c r="M1877" s="158" t="s">
        <v>28</v>
      </c>
      <c r="N1877" s="159" t="s">
        <v>29</v>
      </c>
    </row>
    <row r="1878" spans="1:14">
      <c r="A1878" s="148"/>
      <c r="B1878" s="149"/>
      <c r="C1878" s="160"/>
      <c r="D1878" s="151"/>
      <c r="E1878" s="152"/>
      <c r="F1878" s="153"/>
      <c r="G1878" s="154"/>
      <c r="H1878" s="154"/>
      <c r="I1878" s="154"/>
      <c r="J1878" s="155"/>
      <c r="K1878" s="162"/>
      <c r="L1878" s="157"/>
      <c r="M1878" s="158" t="s">
        <v>28</v>
      </c>
      <c r="N1878" s="159" t="s">
        <v>29</v>
      </c>
    </row>
    <row r="1879" spans="1:14">
      <c r="A1879" s="148"/>
      <c r="B1879" s="149"/>
      <c r="C1879" s="160"/>
      <c r="D1879" s="151"/>
      <c r="E1879" s="152"/>
      <c r="F1879" s="153"/>
      <c r="G1879" s="154"/>
      <c r="H1879" s="154"/>
      <c r="I1879" s="154"/>
      <c r="J1879" s="155"/>
      <c r="K1879" s="162"/>
      <c r="L1879" s="157"/>
      <c r="M1879" s="158" t="s">
        <v>28</v>
      </c>
      <c r="N1879" s="159" t="s">
        <v>29</v>
      </c>
    </row>
    <row r="1880" spans="1:14">
      <c r="A1880" s="148"/>
      <c r="B1880" s="149"/>
      <c r="C1880" s="160"/>
      <c r="D1880" s="151"/>
      <c r="E1880" s="152"/>
      <c r="F1880" s="153"/>
      <c r="G1880" s="154"/>
      <c r="H1880" s="154"/>
      <c r="I1880" s="154"/>
      <c r="J1880" s="155"/>
      <c r="K1880" s="162"/>
      <c r="L1880" s="157"/>
      <c r="M1880" s="158" t="s">
        <v>28</v>
      </c>
      <c r="N1880" s="159" t="s">
        <v>29</v>
      </c>
    </row>
    <row r="1881" spans="1:14">
      <c r="A1881" s="148"/>
      <c r="B1881" s="149"/>
      <c r="C1881" s="160"/>
      <c r="D1881" s="151"/>
      <c r="E1881" s="152"/>
      <c r="F1881" s="153"/>
      <c r="G1881" s="154"/>
      <c r="H1881" s="154"/>
      <c r="I1881" s="154"/>
      <c r="J1881" s="155"/>
      <c r="K1881" s="162"/>
      <c r="L1881" s="157"/>
      <c r="M1881" s="158" t="s">
        <v>28</v>
      </c>
      <c r="N1881" s="159" t="s">
        <v>29</v>
      </c>
    </row>
    <row r="1882" spans="1:14">
      <c r="A1882" s="148"/>
      <c r="B1882" s="149"/>
      <c r="C1882" s="160"/>
      <c r="D1882" s="151"/>
      <c r="E1882" s="152"/>
      <c r="F1882" s="153"/>
      <c r="G1882" s="154"/>
      <c r="H1882" s="154"/>
      <c r="I1882" s="154"/>
      <c r="J1882" s="155"/>
      <c r="K1882" s="162"/>
      <c r="L1882" s="157"/>
      <c r="M1882" s="158" t="s">
        <v>28</v>
      </c>
      <c r="N1882" s="159" t="s">
        <v>29</v>
      </c>
    </row>
    <row r="1883" spans="1:14">
      <c r="A1883" s="148"/>
      <c r="B1883" s="149"/>
      <c r="C1883" s="160"/>
      <c r="D1883" s="151"/>
      <c r="E1883" s="152"/>
      <c r="F1883" s="153"/>
      <c r="G1883" s="154"/>
      <c r="H1883" s="154"/>
      <c r="I1883" s="154"/>
      <c r="J1883" s="155"/>
      <c r="K1883" s="162"/>
      <c r="L1883" s="157"/>
      <c r="M1883" s="158" t="s">
        <v>28</v>
      </c>
      <c r="N1883" s="159" t="s">
        <v>29</v>
      </c>
    </row>
    <row r="1884" spans="1:14">
      <c r="A1884" s="148"/>
      <c r="B1884" s="149"/>
      <c r="C1884" s="160"/>
      <c r="D1884" s="151"/>
      <c r="E1884" s="152"/>
      <c r="F1884" s="153"/>
      <c r="G1884" s="154"/>
      <c r="H1884" s="154"/>
      <c r="I1884" s="154"/>
      <c r="J1884" s="155"/>
      <c r="K1884" s="162"/>
      <c r="L1884" s="157"/>
      <c r="M1884" s="158" t="s">
        <v>28</v>
      </c>
      <c r="N1884" s="159" t="s">
        <v>29</v>
      </c>
    </row>
    <row r="1885" spans="1:14">
      <c r="A1885" s="148"/>
      <c r="B1885" s="149"/>
      <c r="C1885" s="160"/>
      <c r="D1885" s="151"/>
      <c r="E1885" s="152"/>
      <c r="F1885" s="153"/>
      <c r="G1885" s="154"/>
      <c r="H1885" s="154"/>
      <c r="I1885" s="154"/>
      <c r="J1885" s="155"/>
      <c r="K1885" s="162"/>
      <c r="L1885" s="157"/>
      <c r="M1885" s="158" t="s">
        <v>28</v>
      </c>
      <c r="N1885" s="159" t="s">
        <v>29</v>
      </c>
    </row>
    <row r="1886" spans="1:14">
      <c r="A1886" s="148"/>
      <c r="B1886" s="149"/>
      <c r="C1886" s="160"/>
      <c r="D1886" s="151"/>
      <c r="E1886" s="152"/>
      <c r="F1886" s="153"/>
      <c r="G1886" s="154"/>
      <c r="H1886" s="154"/>
      <c r="I1886" s="154"/>
      <c r="J1886" s="155"/>
      <c r="K1886" s="156"/>
      <c r="L1886" s="157"/>
      <c r="M1886" s="158" t="s">
        <v>28</v>
      </c>
      <c r="N1886" s="159" t="s">
        <v>29</v>
      </c>
    </row>
    <row r="1887" spans="1:14">
      <c r="A1887" s="148"/>
      <c r="B1887" s="149"/>
      <c r="C1887" s="160"/>
      <c r="D1887" s="151"/>
      <c r="E1887" s="152"/>
      <c r="F1887" s="153"/>
      <c r="G1887" s="154"/>
      <c r="H1887" s="154"/>
      <c r="I1887" s="154"/>
      <c r="J1887" s="155"/>
      <c r="K1887" s="156"/>
      <c r="L1887" s="157"/>
      <c r="M1887" s="158" t="s">
        <v>28</v>
      </c>
      <c r="N1887" s="159" t="s">
        <v>29</v>
      </c>
    </row>
    <row r="1888" spans="1:14">
      <c r="A1888" s="148"/>
      <c r="B1888" s="149"/>
      <c r="C1888" s="160"/>
      <c r="D1888" s="151"/>
      <c r="E1888" s="152"/>
      <c r="F1888" s="153"/>
      <c r="G1888" s="154"/>
      <c r="H1888" s="154"/>
      <c r="I1888" s="154"/>
      <c r="J1888" s="155"/>
      <c r="K1888" s="156"/>
      <c r="L1888" s="157"/>
      <c r="M1888" s="158" t="s">
        <v>28</v>
      </c>
      <c r="N1888" s="159" t="s">
        <v>29</v>
      </c>
    </row>
    <row r="1889" spans="1:14">
      <c r="A1889" s="148"/>
      <c r="B1889" s="149"/>
      <c r="C1889" s="160"/>
      <c r="D1889" s="151"/>
      <c r="E1889" s="152"/>
      <c r="F1889" s="153"/>
      <c r="G1889" s="154"/>
      <c r="H1889" s="154"/>
      <c r="I1889" s="154"/>
      <c r="J1889" s="155"/>
      <c r="K1889" s="156"/>
      <c r="L1889" s="157"/>
      <c r="M1889" s="158" t="s">
        <v>28</v>
      </c>
      <c r="N1889" s="159" t="s">
        <v>29</v>
      </c>
    </row>
    <row r="1890" spans="1:14">
      <c r="A1890" s="148"/>
      <c r="B1890" s="149"/>
      <c r="C1890" s="160"/>
      <c r="D1890" s="151"/>
      <c r="E1890" s="152"/>
      <c r="F1890" s="153"/>
      <c r="G1890" s="154"/>
      <c r="H1890" s="154"/>
      <c r="I1890" s="154"/>
      <c r="J1890" s="155"/>
      <c r="K1890" s="156"/>
      <c r="L1890" s="157"/>
      <c r="M1890" s="158" t="s">
        <v>28</v>
      </c>
      <c r="N1890" s="159" t="s">
        <v>29</v>
      </c>
    </row>
    <row r="1891" spans="1:14">
      <c r="A1891" s="148"/>
      <c r="B1891" s="149"/>
      <c r="C1891" s="160"/>
      <c r="D1891" s="151"/>
      <c r="E1891" s="152"/>
      <c r="F1891" s="153"/>
      <c r="G1891" s="154"/>
      <c r="H1891" s="154"/>
      <c r="I1891" s="154"/>
      <c r="J1891" s="155"/>
      <c r="K1891" s="156"/>
      <c r="L1891" s="157"/>
      <c r="M1891" s="158" t="s">
        <v>28</v>
      </c>
      <c r="N1891" s="159" t="s">
        <v>29</v>
      </c>
    </row>
    <row r="1892" spans="1:14">
      <c r="A1892" s="148"/>
      <c r="B1892" s="149"/>
      <c r="C1892" s="160"/>
      <c r="D1892" s="151"/>
      <c r="E1892" s="152"/>
      <c r="F1892" s="153"/>
      <c r="G1892" s="154"/>
      <c r="H1892" s="154"/>
      <c r="I1892" s="154"/>
      <c r="J1892" s="155"/>
      <c r="K1892" s="156"/>
      <c r="L1892" s="157"/>
      <c r="M1892" s="158" t="s">
        <v>28</v>
      </c>
      <c r="N1892" s="159" t="s">
        <v>29</v>
      </c>
    </row>
    <row r="1893" spans="1:14">
      <c r="A1893" s="148"/>
      <c r="B1893" s="149"/>
      <c r="C1893" s="160"/>
      <c r="D1893" s="151"/>
      <c r="E1893" s="152"/>
      <c r="F1893" s="153"/>
      <c r="G1893" s="154"/>
      <c r="H1893" s="154"/>
      <c r="I1893" s="154"/>
      <c r="J1893" s="155"/>
      <c r="K1893" s="156"/>
      <c r="L1893" s="157"/>
      <c r="M1893" s="158" t="s">
        <v>28</v>
      </c>
      <c r="N1893" s="159" t="s">
        <v>29</v>
      </c>
    </row>
    <row r="1894" spans="1:14">
      <c r="A1894" s="148"/>
      <c r="B1894" s="149"/>
      <c r="C1894" s="160"/>
      <c r="D1894" s="151"/>
      <c r="E1894" s="152"/>
      <c r="F1894" s="153"/>
      <c r="G1894" s="154"/>
      <c r="H1894" s="154"/>
      <c r="I1894" s="154"/>
      <c r="J1894" s="155"/>
      <c r="K1894" s="156"/>
      <c r="L1894" s="157"/>
      <c r="M1894" s="158" t="s">
        <v>28</v>
      </c>
      <c r="N1894" s="159" t="s">
        <v>29</v>
      </c>
    </row>
    <row r="1895" spans="1:14">
      <c r="A1895" s="148"/>
      <c r="B1895" s="149"/>
      <c r="C1895" s="160"/>
      <c r="D1895" s="151"/>
      <c r="E1895" s="152"/>
      <c r="F1895" s="153"/>
      <c r="G1895" s="154"/>
      <c r="H1895" s="154"/>
      <c r="I1895" s="154"/>
      <c r="J1895" s="155"/>
      <c r="K1895" s="156"/>
      <c r="L1895" s="157"/>
      <c r="M1895" s="158" t="s">
        <v>28</v>
      </c>
      <c r="N1895" s="159" t="s">
        <v>29</v>
      </c>
    </row>
    <row r="1896" spans="1:14">
      <c r="A1896" s="148"/>
      <c r="B1896" s="149"/>
      <c r="C1896" s="160"/>
      <c r="D1896" s="151"/>
      <c r="E1896" s="152"/>
      <c r="F1896" s="153"/>
      <c r="G1896" s="154"/>
      <c r="H1896" s="154"/>
      <c r="I1896" s="154"/>
      <c r="J1896" s="155"/>
      <c r="K1896" s="156"/>
      <c r="L1896" s="157"/>
      <c r="M1896" s="158" t="s">
        <v>28</v>
      </c>
      <c r="N1896" s="159" t="s">
        <v>29</v>
      </c>
    </row>
    <row r="1897" spans="1:14">
      <c r="A1897" s="148"/>
      <c r="B1897" s="149"/>
      <c r="C1897" s="160"/>
      <c r="D1897" s="151"/>
      <c r="E1897" s="152"/>
      <c r="F1897" s="153"/>
      <c r="G1897" s="154"/>
      <c r="H1897" s="154"/>
      <c r="I1897" s="154"/>
      <c r="J1897" s="155"/>
      <c r="K1897" s="156"/>
      <c r="L1897" s="157"/>
      <c r="M1897" s="158" t="s">
        <v>28</v>
      </c>
      <c r="N1897" s="159" t="s">
        <v>29</v>
      </c>
    </row>
    <row r="1898" spans="1:14">
      <c r="A1898" s="148"/>
      <c r="B1898" s="149"/>
      <c r="C1898" s="160"/>
      <c r="D1898" s="151"/>
      <c r="E1898" s="152"/>
      <c r="F1898" s="153"/>
      <c r="G1898" s="154"/>
      <c r="H1898" s="154"/>
      <c r="I1898" s="154"/>
      <c r="J1898" s="155"/>
      <c r="K1898" s="156"/>
      <c r="L1898" s="157"/>
      <c r="M1898" s="158" t="s">
        <v>28</v>
      </c>
      <c r="N1898" s="159" t="s">
        <v>29</v>
      </c>
    </row>
    <row r="1899" spans="1:14">
      <c r="A1899" s="148"/>
      <c r="B1899" s="149"/>
      <c r="C1899" s="160"/>
      <c r="D1899" s="151"/>
      <c r="E1899" s="152"/>
      <c r="F1899" s="153"/>
      <c r="G1899" s="154"/>
      <c r="H1899" s="154"/>
      <c r="I1899" s="154"/>
      <c r="J1899" s="155"/>
      <c r="K1899" s="156"/>
      <c r="L1899" s="157"/>
      <c r="M1899" s="158" t="s">
        <v>28</v>
      </c>
      <c r="N1899" s="159" t="s">
        <v>29</v>
      </c>
    </row>
    <row r="1900" spans="1:14">
      <c r="A1900" s="148"/>
      <c r="B1900" s="149"/>
      <c r="C1900" s="160"/>
      <c r="D1900" s="151"/>
      <c r="E1900" s="152"/>
      <c r="F1900" s="153"/>
      <c r="G1900" s="154"/>
      <c r="H1900" s="154"/>
      <c r="I1900" s="154"/>
      <c r="J1900" s="155"/>
      <c r="K1900" s="156"/>
      <c r="L1900" s="157"/>
      <c r="M1900" s="158" t="s">
        <v>28</v>
      </c>
      <c r="N1900" s="159" t="s">
        <v>29</v>
      </c>
    </row>
    <row r="1901" spans="1:14">
      <c r="A1901" s="148"/>
      <c r="B1901" s="149"/>
      <c r="C1901" s="160"/>
      <c r="D1901" s="151"/>
      <c r="E1901" s="152"/>
      <c r="F1901" s="153"/>
      <c r="G1901" s="154"/>
      <c r="H1901" s="154"/>
      <c r="I1901" s="154"/>
      <c r="J1901" s="155"/>
      <c r="K1901" s="156"/>
      <c r="L1901" s="157"/>
      <c r="M1901" s="158" t="s">
        <v>28</v>
      </c>
      <c r="N1901" s="159" t="s">
        <v>29</v>
      </c>
    </row>
    <row r="1902" spans="1:14">
      <c r="A1902" s="148"/>
      <c r="B1902" s="149"/>
      <c r="C1902" s="150"/>
      <c r="D1902" s="151"/>
      <c r="E1902" s="152"/>
      <c r="F1902" s="153"/>
      <c r="G1902" s="154"/>
      <c r="H1902" s="154"/>
      <c r="I1902" s="154"/>
      <c r="J1902" s="155"/>
      <c r="K1902" s="156"/>
      <c r="L1902" s="157"/>
      <c r="M1902" s="158" t="s">
        <v>28</v>
      </c>
      <c r="N1902" s="159" t="s">
        <v>29</v>
      </c>
    </row>
    <row r="1903" spans="1:14">
      <c r="A1903" s="148"/>
      <c r="B1903" s="149"/>
      <c r="C1903" s="150"/>
      <c r="D1903" s="151"/>
      <c r="E1903" s="152"/>
      <c r="F1903" s="153"/>
      <c r="G1903" s="154"/>
      <c r="H1903" s="154"/>
      <c r="I1903" s="154"/>
      <c r="J1903" s="155"/>
      <c r="K1903" s="156"/>
      <c r="L1903" s="157"/>
      <c r="M1903" s="158" t="s">
        <v>28</v>
      </c>
      <c r="N1903" s="159" t="s">
        <v>29</v>
      </c>
    </row>
    <row r="1904" spans="1:14">
      <c r="A1904" s="148"/>
      <c r="B1904" s="149"/>
      <c r="C1904" s="150"/>
      <c r="D1904" s="151"/>
      <c r="E1904" s="152"/>
      <c r="F1904" s="153"/>
      <c r="G1904" s="154"/>
      <c r="H1904" s="154"/>
      <c r="I1904" s="154"/>
      <c r="J1904" s="155"/>
      <c r="K1904" s="156"/>
      <c r="L1904" s="157"/>
      <c r="M1904" s="158" t="s">
        <v>28</v>
      </c>
      <c r="N1904" s="159" t="s">
        <v>29</v>
      </c>
    </row>
    <row r="1905" spans="1:14">
      <c r="A1905" s="148"/>
      <c r="B1905" s="149"/>
      <c r="C1905" s="150"/>
      <c r="D1905" s="151"/>
      <c r="E1905" s="152"/>
      <c r="F1905" s="153"/>
      <c r="G1905" s="154"/>
      <c r="H1905" s="154"/>
      <c r="I1905" s="154"/>
      <c r="J1905" s="155"/>
      <c r="K1905" s="156"/>
      <c r="L1905" s="157"/>
      <c r="M1905" s="158" t="s">
        <v>28</v>
      </c>
      <c r="N1905" s="159" t="s">
        <v>29</v>
      </c>
    </row>
    <row r="1906" spans="1:14">
      <c r="A1906" s="148"/>
      <c r="B1906" s="149"/>
      <c r="C1906" s="150"/>
      <c r="D1906" s="151"/>
      <c r="E1906" s="152"/>
      <c r="F1906" s="153"/>
      <c r="G1906" s="154"/>
      <c r="H1906" s="154"/>
      <c r="I1906" s="154"/>
      <c r="J1906" s="155"/>
      <c r="K1906" s="156"/>
      <c r="L1906" s="157"/>
      <c r="M1906" s="158" t="s">
        <v>28</v>
      </c>
      <c r="N1906" s="159" t="s">
        <v>29</v>
      </c>
    </row>
    <row r="1907" spans="1:14">
      <c r="A1907" s="148"/>
      <c r="B1907" s="149"/>
      <c r="C1907" s="150"/>
      <c r="D1907" s="151"/>
      <c r="E1907" s="152"/>
      <c r="F1907" s="153"/>
      <c r="G1907" s="154"/>
      <c r="H1907" s="154"/>
      <c r="I1907" s="154"/>
      <c r="J1907" s="155"/>
      <c r="K1907" s="156"/>
      <c r="L1907" s="157"/>
      <c r="M1907" s="158" t="s">
        <v>28</v>
      </c>
      <c r="N1907" s="159" t="s">
        <v>29</v>
      </c>
    </row>
    <row r="1908" spans="1:14">
      <c r="A1908" s="148"/>
      <c r="B1908" s="149"/>
      <c r="C1908" s="150"/>
      <c r="D1908" s="151"/>
      <c r="E1908" s="152"/>
      <c r="F1908" s="153"/>
      <c r="G1908" s="154"/>
      <c r="H1908" s="154"/>
      <c r="I1908" s="154"/>
      <c r="J1908" s="155"/>
      <c r="K1908" s="156"/>
      <c r="L1908" s="157"/>
      <c r="M1908" s="158" t="s">
        <v>28</v>
      </c>
      <c r="N1908" s="159" t="s">
        <v>29</v>
      </c>
    </row>
    <row r="1909" spans="1:14">
      <c r="A1909" s="148"/>
      <c r="B1909" s="149"/>
      <c r="C1909" s="150"/>
      <c r="D1909" s="151"/>
      <c r="E1909" s="152"/>
      <c r="F1909" s="153"/>
      <c r="G1909" s="154"/>
      <c r="H1909" s="154"/>
      <c r="I1909" s="154"/>
      <c r="J1909" s="155"/>
      <c r="K1909" s="156"/>
      <c r="L1909" s="157"/>
      <c r="M1909" s="158" t="s">
        <v>28</v>
      </c>
      <c r="N1909" s="159" t="s">
        <v>29</v>
      </c>
    </row>
    <row r="1910" spans="1:14">
      <c r="A1910" s="148"/>
      <c r="B1910" s="149"/>
      <c r="C1910" s="150"/>
      <c r="D1910" s="151"/>
      <c r="E1910" s="152"/>
      <c r="F1910" s="153"/>
      <c r="G1910" s="154"/>
      <c r="H1910" s="154"/>
      <c r="I1910" s="154"/>
      <c r="J1910" s="155"/>
      <c r="K1910" s="156"/>
      <c r="L1910" s="157"/>
      <c r="M1910" s="158" t="s">
        <v>28</v>
      </c>
      <c r="N1910" s="159" t="s">
        <v>29</v>
      </c>
    </row>
    <row r="1911" spans="1:14">
      <c r="A1911" s="148"/>
      <c r="B1911" s="149"/>
      <c r="C1911" s="150"/>
      <c r="D1911" s="151"/>
      <c r="E1911" s="152"/>
      <c r="F1911" s="153"/>
      <c r="G1911" s="154"/>
      <c r="H1911" s="154"/>
      <c r="I1911" s="154"/>
      <c r="J1911" s="155"/>
      <c r="K1911" s="156"/>
      <c r="L1911" s="157"/>
      <c r="M1911" s="158" t="s">
        <v>28</v>
      </c>
      <c r="N1911" s="159" t="s">
        <v>29</v>
      </c>
    </row>
    <row r="1912" spans="1:14">
      <c r="A1912" s="148"/>
      <c r="B1912" s="149"/>
      <c r="C1912" s="150"/>
      <c r="D1912" s="151"/>
      <c r="E1912" s="152"/>
      <c r="F1912" s="153"/>
      <c r="G1912" s="154"/>
      <c r="H1912" s="154"/>
      <c r="I1912" s="154"/>
      <c r="J1912" s="155"/>
      <c r="K1912" s="156"/>
      <c r="L1912" s="157"/>
      <c r="M1912" s="158" t="s">
        <v>28</v>
      </c>
      <c r="N1912" s="159" t="s">
        <v>29</v>
      </c>
    </row>
    <row r="1913" spans="1:14">
      <c r="A1913" s="148"/>
      <c r="B1913" s="149"/>
      <c r="C1913" s="150"/>
      <c r="D1913" s="151"/>
      <c r="E1913" s="152"/>
      <c r="F1913" s="153"/>
      <c r="G1913" s="154"/>
      <c r="H1913" s="154"/>
      <c r="I1913" s="154"/>
      <c r="J1913" s="155"/>
      <c r="K1913" s="156"/>
      <c r="L1913" s="157"/>
      <c r="M1913" s="158" t="s">
        <v>28</v>
      </c>
      <c r="N1913" s="159" t="s">
        <v>29</v>
      </c>
    </row>
    <row r="1914" spans="1:14">
      <c r="A1914" s="148"/>
      <c r="B1914" s="149"/>
      <c r="C1914" s="150"/>
      <c r="D1914" s="151"/>
      <c r="E1914" s="152"/>
      <c r="F1914" s="153"/>
      <c r="G1914" s="154"/>
      <c r="H1914" s="154"/>
      <c r="I1914" s="154"/>
      <c r="J1914" s="155"/>
      <c r="K1914" s="156"/>
      <c r="L1914" s="157"/>
      <c r="M1914" s="158" t="s">
        <v>28</v>
      </c>
      <c r="N1914" s="159" t="s">
        <v>29</v>
      </c>
    </row>
    <row r="1915" spans="1:14">
      <c r="A1915" s="148"/>
      <c r="B1915" s="149"/>
      <c r="C1915" s="150"/>
      <c r="D1915" s="151"/>
      <c r="E1915" s="152"/>
      <c r="F1915" s="153"/>
      <c r="G1915" s="154"/>
      <c r="H1915" s="154"/>
      <c r="I1915" s="154"/>
      <c r="J1915" s="155"/>
      <c r="K1915" s="156"/>
      <c r="L1915" s="157"/>
      <c r="M1915" s="158" t="s">
        <v>28</v>
      </c>
      <c r="N1915" s="159" t="s">
        <v>29</v>
      </c>
    </row>
    <row r="1916" spans="1:14">
      <c r="A1916" s="148"/>
      <c r="B1916" s="149"/>
      <c r="C1916" s="150"/>
      <c r="D1916" s="151"/>
      <c r="E1916" s="152"/>
      <c r="F1916" s="153"/>
      <c r="G1916" s="154"/>
      <c r="H1916" s="154"/>
      <c r="I1916" s="154"/>
      <c r="J1916" s="155"/>
      <c r="K1916" s="156"/>
      <c r="L1916" s="157"/>
      <c r="M1916" s="158" t="s">
        <v>28</v>
      </c>
      <c r="N1916" s="159" t="s">
        <v>29</v>
      </c>
    </row>
    <row r="1917" spans="1:14">
      <c r="A1917" s="148"/>
      <c r="B1917" s="149"/>
      <c r="C1917" s="150"/>
      <c r="D1917" s="151"/>
      <c r="E1917" s="152"/>
      <c r="F1917" s="153"/>
      <c r="G1917" s="154"/>
      <c r="H1917" s="154"/>
      <c r="I1917" s="154"/>
      <c r="J1917" s="155"/>
      <c r="K1917" s="156"/>
      <c r="L1917" s="157"/>
      <c r="M1917" s="158" t="s">
        <v>28</v>
      </c>
      <c r="N1917" s="159" t="s">
        <v>29</v>
      </c>
    </row>
    <row r="1918" spans="1:14">
      <c r="A1918" s="148"/>
      <c r="B1918" s="149"/>
      <c r="C1918" s="150"/>
      <c r="D1918" s="151"/>
      <c r="E1918" s="152"/>
      <c r="F1918" s="153"/>
      <c r="G1918" s="154"/>
      <c r="H1918" s="154"/>
      <c r="I1918" s="154"/>
      <c r="J1918" s="155"/>
      <c r="K1918" s="156"/>
      <c r="L1918" s="157"/>
      <c r="M1918" s="158" t="s">
        <v>28</v>
      </c>
      <c r="N1918" s="159" t="s">
        <v>29</v>
      </c>
    </row>
    <row r="1919" spans="1:14">
      <c r="A1919" s="148"/>
      <c r="B1919" s="149"/>
      <c r="C1919" s="150"/>
      <c r="D1919" s="151"/>
      <c r="E1919" s="152"/>
      <c r="F1919" s="153"/>
      <c r="G1919" s="154"/>
      <c r="H1919" s="154"/>
      <c r="I1919" s="154"/>
      <c r="J1919" s="155"/>
      <c r="K1919" s="156"/>
      <c r="L1919" s="157"/>
      <c r="M1919" s="158" t="s">
        <v>28</v>
      </c>
      <c r="N1919" s="159" t="s">
        <v>29</v>
      </c>
    </row>
    <row r="1920" spans="1:14">
      <c r="A1920" s="148"/>
      <c r="B1920" s="149"/>
      <c r="C1920" s="150"/>
      <c r="D1920" s="151"/>
      <c r="E1920" s="152"/>
      <c r="F1920" s="153"/>
      <c r="G1920" s="154"/>
      <c r="H1920" s="154"/>
      <c r="I1920" s="154"/>
      <c r="J1920" s="155"/>
      <c r="K1920" s="156"/>
      <c r="L1920" s="157"/>
      <c r="M1920" s="158" t="s">
        <v>28</v>
      </c>
      <c r="N1920" s="159" t="s">
        <v>29</v>
      </c>
    </row>
    <row r="1921" spans="1:14">
      <c r="A1921" s="148"/>
      <c r="B1921" s="149"/>
      <c r="C1921" s="160"/>
      <c r="D1921" s="151"/>
      <c r="E1921" s="152"/>
      <c r="F1921" s="153"/>
      <c r="G1921" s="154"/>
      <c r="H1921" s="154"/>
      <c r="I1921" s="154"/>
      <c r="J1921" s="155"/>
      <c r="K1921" s="156"/>
      <c r="L1921" s="157"/>
      <c r="M1921" s="158" t="s">
        <v>28</v>
      </c>
      <c r="N1921" s="159" t="s">
        <v>29</v>
      </c>
    </row>
    <row r="1922" spans="1:14">
      <c r="A1922" s="148"/>
      <c r="B1922" s="149"/>
      <c r="C1922" s="160"/>
      <c r="D1922" s="151"/>
      <c r="E1922" s="152"/>
      <c r="F1922" s="153"/>
      <c r="G1922" s="154"/>
      <c r="H1922" s="154"/>
      <c r="I1922" s="154"/>
      <c r="J1922" s="155"/>
      <c r="K1922" s="156"/>
      <c r="L1922" s="157"/>
      <c r="M1922" s="158" t="s">
        <v>28</v>
      </c>
      <c r="N1922" s="159" t="s">
        <v>29</v>
      </c>
    </row>
    <row r="1923" spans="1:14">
      <c r="A1923" s="148"/>
      <c r="B1923" s="149"/>
      <c r="C1923" s="160"/>
      <c r="D1923" s="151"/>
      <c r="E1923" s="152"/>
      <c r="F1923" s="153"/>
      <c r="G1923" s="154"/>
      <c r="H1923" s="154"/>
      <c r="I1923" s="154"/>
      <c r="J1923" s="155"/>
      <c r="K1923" s="156"/>
      <c r="L1923" s="157"/>
      <c r="M1923" s="158" t="s">
        <v>28</v>
      </c>
      <c r="N1923" s="159" t="s">
        <v>29</v>
      </c>
    </row>
    <row r="1924" spans="1:14">
      <c r="A1924" s="148"/>
      <c r="B1924" s="149"/>
      <c r="C1924" s="160"/>
      <c r="D1924" s="151"/>
      <c r="E1924" s="152"/>
      <c r="F1924" s="153"/>
      <c r="G1924" s="154"/>
      <c r="H1924" s="154"/>
      <c r="I1924" s="154"/>
      <c r="J1924" s="155"/>
      <c r="K1924" s="156"/>
      <c r="L1924" s="157"/>
      <c r="M1924" s="158" t="s">
        <v>28</v>
      </c>
      <c r="N1924" s="159" t="s">
        <v>29</v>
      </c>
    </row>
    <row r="1925" spans="1:14">
      <c r="A1925" s="148"/>
      <c r="B1925" s="149"/>
      <c r="C1925" s="160"/>
      <c r="D1925" s="151"/>
      <c r="E1925" s="152"/>
      <c r="F1925" s="153"/>
      <c r="G1925" s="154"/>
      <c r="H1925" s="154"/>
      <c r="I1925" s="154"/>
      <c r="J1925" s="155"/>
      <c r="K1925" s="156"/>
      <c r="L1925" s="157"/>
      <c r="M1925" s="158" t="s">
        <v>28</v>
      </c>
      <c r="N1925" s="159" t="s">
        <v>29</v>
      </c>
    </row>
    <row r="1926" spans="1:14">
      <c r="A1926" s="148"/>
      <c r="B1926" s="149"/>
      <c r="C1926" s="160"/>
      <c r="D1926" s="151"/>
      <c r="E1926" s="152"/>
      <c r="F1926" s="153"/>
      <c r="G1926" s="154"/>
      <c r="H1926" s="154"/>
      <c r="I1926" s="154"/>
      <c r="J1926" s="155"/>
      <c r="K1926" s="156"/>
      <c r="L1926" s="157"/>
      <c r="M1926" s="158" t="s">
        <v>28</v>
      </c>
      <c r="N1926" s="159" t="s">
        <v>29</v>
      </c>
    </row>
    <row r="1927" spans="1:14">
      <c r="A1927" s="148"/>
      <c r="B1927" s="149"/>
      <c r="C1927" s="160"/>
      <c r="D1927" s="151"/>
      <c r="E1927" s="152"/>
      <c r="F1927" s="153"/>
      <c r="G1927" s="154"/>
      <c r="H1927" s="154"/>
      <c r="I1927" s="154"/>
      <c r="J1927" s="155"/>
      <c r="K1927" s="156"/>
      <c r="L1927" s="157"/>
      <c r="M1927" s="158" t="s">
        <v>28</v>
      </c>
      <c r="N1927" s="159" t="s">
        <v>29</v>
      </c>
    </row>
    <row r="1928" spans="1:14">
      <c r="A1928" s="148"/>
      <c r="B1928" s="149"/>
      <c r="C1928" s="160"/>
      <c r="D1928" s="151"/>
      <c r="E1928" s="152"/>
      <c r="F1928" s="153"/>
      <c r="G1928" s="154"/>
      <c r="H1928" s="154"/>
      <c r="I1928" s="154"/>
      <c r="J1928" s="155"/>
      <c r="K1928" s="156"/>
      <c r="L1928" s="157"/>
      <c r="M1928" s="158" t="s">
        <v>28</v>
      </c>
      <c r="N1928" s="159" t="s">
        <v>29</v>
      </c>
    </row>
    <row r="1929" spans="1:14">
      <c r="A1929" s="148"/>
      <c r="B1929" s="149"/>
      <c r="C1929" s="160"/>
      <c r="D1929" s="151"/>
      <c r="E1929" s="152"/>
      <c r="F1929" s="153"/>
      <c r="G1929" s="154"/>
      <c r="H1929" s="154"/>
      <c r="I1929" s="154"/>
      <c r="J1929" s="155"/>
      <c r="K1929" s="156"/>
      <c r="L1929" s="157"/>
      <c r="M1929" s="158" t="s">
        <v>28</v>
      </c>
      <c r="N1929" s="159" t="s">
        <v>29</v>
      </c>
    </row>
    <row r="1930" spans="1:14">
      <c r="A1930" s="148"/>
      <c r="B1930" s="149"/>
      <c r="C1930" s="160"/>
      <c r="D1930" s="151"/>
      <c r="E1930" s="152"/>
      <c r="F1930" s="153"/>
      <c r="G1930" s="154"/>
      <c r="H1930" s="154"/>
      <c r="I1930" s="154"/>
      <c r="J1930" s="155"/>
      <c r="K1930" s="156"/>
      <c r="L1930" s="157"/>
      <c r="M1930" s="158" t="s">
        <v>28</v>
      </c>
      <c r="N1930" s="159" t="s">
        <v>29</v>
      </c>
    </row>
    <row r="1931" spans="1:14">
      <c r="A1931" s="148"/>
      <c r="B1931" s="149"/>
      <c r="C1931" s="160"/>
      <c r="D1931" s="151"/>
      <c r="E1931" s="152"/>
      <c r="F1931" s="153"/>
      <c r="G1931" s="154"/>
      <c r="H1931" s="154"/>
      <c r="I1931" s="154"/>
      <c r="J1931" s="155"/>
      <c r="K1931" s="156"/>
      <c r="L1931" s="157"/>
      <c r="M1931" s="158" t="s">
        <v>28</v>
      </c>
      <c r="N1931" s="159" t="s">
        <v>29</v>
      </c>
    </row>
    <row r="1932" spans="1:14">
      <c r="A1932" s="148"/>
      <c r="B1932" s="149"/>
      <c r="C1932" s="160"/>
      <c r="D1932" s="151"/>
      <c r="E1932" s="152"/>
      <c r="F1932" s="153"/>
      <c r="G1932" s="154"/>
      <c r="H1932" s="154"/>
      <c r="I1932" s="154"/>
      <c r="J1932" s="155"/>
      <c r="K1932" s="156"/>
      <c r="L1932" s="157"/>
      <c r="M1932" s="158" t="s">
        <v>28</v>
      </c>
      <c r="N1932" s="159" t="s">
        <v>29</v>
      </c>
    </row>
    <row r="1933" spans="1:14">
      <c r="A1933" s="148"/>
      <c r="B1933" s="149"/>
      <c r="C1933" s="160"/>
      <c r="D1933" s="151"/>
      <c r="E1933" s="152"/>
      <c r="F1933" s="153"/>
      <c r="G1933" s="154"/>
      <c r="H1933" s="154"/>
      <c r="I1933" s="154"/>
      <c r="J1933" s="155"/>
      <c r="K1933" s="156"/>
      <c r="L1933" s="157"/>
      <c r="M1933" s="158" t="s">
        <v>28</v>
      </c>
      <c r="N1933" s="159" t="s">
        <v>29</v>
      </c>
    </row>
    <row r="1934" spans="1:14">
      <c r="A1934" s="148"/>
      <c r="B1934" s="149"/>
      <c r="C1934" s="160"/>
      <c r="D1934" s="151"/>
      <c r="E1934" s="152"/>
      <c r="F1934" s="153"/>
      <c r="G1934" s="154"/>
      <c r="H1934" s="154"/>
      <c r="I1934" s="154"/>
      <c r="J1934" s="155"/>
      <c r="K1934" s="156"/>
      <c r="L1934" s="157"/>
      <c r="M1934" s="158" t="s">
        <v>28</v>
      </c>
      <c r="N1934" s="159" t="s">
        <v>29</v>
      </c>
    </row>
    <row r="1935" spans="1:14">
      <c r="A1935" s="148"/>
      <c r="B1935" s="149"/>
      <c r="C1935" s="160"/>
      <c r="D1935" s="151"/>
      <c r="E1935" s="152"/>
      <c r="F1935" s="153"/>
      <c r="G1935" s="154"/>
      <c r="H1935" s="154"/>
      <c r="I1935" s="154"/>
      <c r="J1935" s="155"/>
      <c r="K1935" s="156"/>
      <c r="L1935" s="157"/>
      <c r="M1935" s="158" t="s">
        <v>28</v>
      </c>
      <c r="N1935" s="159" t="s">
        <v>29</v>
      </c>
    </row>
    <row r="1936" spans="1:14">
      <c r="A1936" s="148"/>
      <c r="B1936" s="149"/>
      <c r="C1936" s="160"/>
      <c r="D1936" s="151"/>
      <c r="E1936" s="152"/>
      <c r="F1936" s="153"/>
      <c r="G1936" s="154"/>
      <c r="H1936" s="154"/>
      <c r="I1936" s="154"/>
      <c r="J1936" s="155"/>
      <c r="K1936" s="156"/>
      <c r="L1936" s="157"/>
      <c r="M1936" s="158" t="s">
        <v>28</v>
      </c>
      <c r="N1936" s="159" t="s">
        <v>29</v>
      </c>
    </row>
    <row r="1937" spans="1:14">
      <c r="A1937" s="148"/>
      <c r="B1937" s="149"/>
      <c r="C1937" s="160"/>
      <c r="D1937" s="151"/>
      <c r="E1937" s="152"/>
      <c r="F1937" s="153"/>
      <c r="G1937" s="154"/>
      <c r="H1937" s="154"/>
      <c r="I1937" s="154"/>
      <c r="J1937" s="155"/>
      <c r="K1937" s="156"/>
      <c r="L1937" s="157"/>
      <c r="M1937" s="158" t="s">
        <v>28</v>
      </c>
      <c r="N1937" s="159" t="s">
        <v>29</v>
      </c>
    </row>
    <row r="1938" spans="1:14">
      <c r="A1938" s="148"/>
      <c r="B1938" s="149"/>
      <c r="C1938" s="160"/>
      <c r="D1938" s="151"/>
      <c r="E1938" s="152"/>
      <c r="F1938" s="153"/>
      <c r="G1938" s="154"/>
      <c r="H1938" s="154"/>
      <c r="I1938" s="154"/>
      <c r="J1938" s="155"/>
      <c r="K1938" s="156"/>
      <c r="L1938" s="157"/>
      <c r="M1938" s="158" t="s">
        <v>28</v>
      </c>
      <c r="N1938" s="159" t="s">
        <v>29</v>
      </c>
    </row>
    <row r="1939" spans="1:14">
      <c r="A1939" s="148"/>
      <c r="B1939" s="149"/>
      <c r="C1939" s="160"/>
      <c r="D1939" s="151"/>
      <c r="E1939" s="152"/>
      <c r="F1939" s="153"/>
      <c r="G1939" s="154"/>
      <c r="H1939" s="154"/>
      <c r="I1939" s="154"/>
      <c r="J1939" s="155"/>
      <c r="K1939" s="156"/>
      <c r="L1939" s="157"/>
      <c r="M1939" s="158" t="s">
        <v>28</v>
      </c>
      <c r="N1939" s="159" t="s">
        <v>29</v>
      </c>
    </row>
    <row r="1940" spans="1:14">
      <c r="A1940" s="148"/>
      <c r="B1940" s="149"/>
      <c r="C1940" s="160"/>
      <c r="D1940" s="151"/>
      <c r="E1940" s="152"/>
      <c r="F1940" s="153"/>
      <c r="G1940" s="154"/>
      <c r="H1940" s="154"/>
      <c r="I1940" s="154"/>
      <c r="J1940" s="155"/>
      <c r="K1940" s="156"/>
      <c r="L1940" s="157"/>
      <c r="M1940" s="158" t="s">
        <v>28</v>
      </c>
      <c r="N1940" s="159" t="s">
        <v>29</v>
      </c>
    </row>
    <row r="1941" spans="1:14">
      <c r="A1941" s="148"/>
      <c r="B1941" s="149"/>
      <c r="C1941" s="160"/>
      <c r="D1941" s="151"/>
      <c r="E1941" s="152"/>
      <c r="F1941" s="153"/>
      <c r="G1941" s="154"/>
      <c r="H1941" s="154"/>
      <c r="I1941" s="154"/>
      <c r="J1941" s="155"/>
      <c r="K1941" s="156"/>
      <c r="L1941" s="157"/>
      <c r="M1941" s="158" t="s">
        <v>28</v>
      </c>
      <c r="N1941" s="159" t="s">
        <v>29</v>
      </c>
    </row>
    <row r="1942" spans="1:14">
      <c r="A1942" s="148"/>
      <c r="B1942" s="149"/>
      <c r="C1942" s="160"/>
      <c r="D1942" s="151"/>
      <c r="E1942" s="152"/>
      <c r="F1942" s="153"/>
      <c r="G1942" s="154"/>
      <c r="H1942" s="154"/>
      <c r="I1942" s="154"/>
      <c r="J1942" s="155"/>
      <c r="K1942" s="156"/>
      <c r="L1942" s="157"/>
      <c r="M1942" s="158" t="s">
        <v>28</v>
      </c>
      <c r="N1942" s="159" t="s">
        <v>29</v>
      </c>
    </row>
    <row r="1943" spans="1:14">
      <c r="A1943" s="148"/>
      <c r="B1943" s="149"/>
      <c r="C1943" s="160"/>
      <c r="D1943" s="151"/>
      <c r="E1943" s="152"/>
      <c r="F1943" s="153"/>
      <c r="G1943" s="154"/>
      <c r="H1943" s="154"/>
      <c r="I1943" s="154"/>
      <c r="J1943" s="155"/>
      <c r="K1943" s="156"/>
      <c r="L1943" s="157"/>
      <c r="M1943" s="158" t="s">
        <v>28</v>
      </c>
      <c r="N1943" s="159" t="s">
        <v>29</v>
      </c>
    </row>
    <row r="1944" spans="1:14">
      <c r="A1944" s="148"/>
      <c r="B1944" s="149"/>
      <c r="C1944" s="160"/>
      <c r="D1944" s="151"/>
      <c r="E1944" s="152"/>
      <c r="F1944" s="153"/>
      <c r="G1944" s="154"/>
      <c r="H1944" s="154"/>
      <c r="I1944" s="154"/>
      <c r="J1944" s="155"/>
      <c r="K1944" s="156"/>
      <c r="L1944" s="157"/>
      <c r="M1944" s="158" t="s">
        <v>28</v>
      </c>
      <c r="N1944" s="159" t="s">
        <v>29</v>
      </c>
    </row>
    <row r="1945" spans="1:14">
      <c r="A1945" s="148"/>
      <c r="B1945" s="149"/>
      <c r="C1945" s="160"/>
      <c r="D1945" s="151"/>
      <c r="E1945" s="152"/>
      <c r="F1945" s="153"/>
      <c r="G1945" s="154"/>
      <c r="H1945" s="154"/>
      <c r="I1945" s="154"/>
      <c r="J1945" s="155"/>
      <c r="K1945" s="156"/>
      <c r="L1945" s="157"/>
      <c r="M1945" s="158" t="s">
        <v>28</v>
      </c>
      <c r="N1945" s="159" t="s">
        <v>29</v>
      </c>
    </row>
    <row r="1946" spans="1:14">
      <c r="A1946" s="148"/>
      <c r="B1946" s="149"/>
      <c r="C1946" s="160"/>
      <c r="D1946" s="151"/>
      <c r="E1946" s="152"/>
      <c r="F1946" s="153"/>
      <c r="G1946" s="154"/>
      <c r="H1946" s="154"/>
      <c r="I1946" s="154"/>
      <c r="J1946" s="155"/>
      <c r="K1946" s="156"/>
      <c r="L1946" s="157"/>
      <c r="M1946" s="158" t="s">
        <v>28</v>
      </c>
      <c r="N1946" s="159" t="s">
        <v>29</v>
      </c>
    </row>
    <row r="1947" spans="1:14">
      <c r="A1947" s="148"/>
      <c r="B1947" s="149"/>
      <c r="C1947" s="160"/>
      <c r="D1947" s="151"/>
      <c r="E1947" s="152"/>
      <c r="F1947" s="153"/>
      <c r="G1947" s="154"/>
      <c r="H1947" s="154"/>
      <c r="I1947" s="154"/>
      <c r="J1947" s="155"/>
      <c r="K1947" s="156"/>
      <c r="L1947" s="157"/>
      <c r="M1947" s="158" t="s">
        <v>28</v>
      </c>
      <c r="N1947" s="159" t="s">
        <v>29</v>
      </c>
    </row>
    <row r="1948" spans="1:14">
      <c r="A1948" s="148"/>
      <c r="B1948" s="149"/>
      <c r="C1948" s="160"/>
      <c r="D1948" s="151"/>
      <c r="E1948" s="152"/>
      <c r="F1948" s="153"/>
      <c r="G1948" s="154"/>
      <c r="H1948" s="154"/>
      <c r="I1948" s="154"/>
      <c r="J1948" s="155"/>
      <c r="K1948" s="156"/>
      <c r="L1948" s="157"/>
      <c r="M1948" s="158" t="s">
        <v>28</v>
      </c>
      <c r="N1948" s="159" t="s">
        <v>29</v>
      </c>
    </row>
    <row r="1949" spans="1:14">
      <c r="A1949" s="148"/>
      <c r="B1949" s="149"/>
      <c r="C1949" s="160"/>
      <c r="D1949" s="151"/>
      <c r="E1949" s="152"/>
      <c r="F1949" s="153"/>
      <c r="G1949" s="154"/>
      <c r="H1949" s="154"/>
      <c r="I1949" s="154"/>
      <c r="J1949" s="155"/>
      <c r="K1949" s="156"/>
      <c r="L1949" s="157"/>
      <c r="M1949" s="158" t="s">
        <v>28</v>
      </c>
      <c r="N1949" s="159" t="s">
        <v>29</v>
      </c>
    </row>
    <row r="1950" spans="1:14">
      <c r="A1950" s="148"/>
      <c r="B1950" s="149"/>
      <c r="C1950" s="160"/>
      <c r="D1950" s="151"/>
      <c r="E1950" s="152"/>
      <c r="F1950" s="153"/>
      <c r="G1950" s="154"/>
      <c r="H1950" s="154"/>
      <c r="I1950" s="154"/>
      <c r="J1950" s="155"/>
      <c r="K1950" s="156"/>
      <c r="L1950" s="157"/>
      <c r="M1950" s="158" t="s">
        <v>28</v>
      </c>
      <c r="N1950" s="159" t="s">
        <v>29</v>
      </c>
    </row>
    <row r="1951" spans="1:14">
      <c r="A1951" s="148"/>
      <c r="B1951" s="149"/>
      <c r="C1951" s="160"/>
      <c r="D1951" s="151"/>
      <c r="E1951" s="152"/>
      <c r="F1951" s="153"/>
      <c r="G1951" s="154"/>
      <c r="H1951" s="154"/>
      <c r="I1951" s="154"/>
      <c r="J1951" s="155"/>
      <c r="K1951" s="156"/>
      <c r="L1951" s="157"/>
      <c r="M1951" s="158" t="s">
        <v>28</v>
      </c>
      <c r="N1951" s="159" t="s">
        <v>29</v>
      </c>
    </row>
    <row r="1952" spans="1:14">
      <c r="A1952" s="148"/>
      <c r="B1952" s="149"/>
      <c r="C1952" s="160"/>
      <c r="D1952" s="151"/>
      <c r="E1952" s="152"/>
      <c r="F1952" s="153"/>
      <c r="G1952" s="154"/>
      <c r="H1952" s="154"/>
      <c r="I1952" s="154"/>
      <c r="J1952" s="155"/>
      <c r="K1952" s="156"/>
      <c r="L1952" s="157"/>
      <c r="M1952" s="158" t="s">
        <v>28</v>
      </c>
      <c r="N1952" s="159" t="s">
        <v>29</v>
      </c>
    </row>
    <row r="1953" spans="1:14">
      <c r="A1953" s="148"/>
      <c r="B1953" s="149"/>
      <c r="C1953" s="160"/>
      <c r="D1953" s="151"/>
      <c r="E1953" s="152"/>
      <c r="F1953" s="153"/>
      <c r="G1953" s="154"/>
      <c r="H1953" s="154"/>
      <c r="I1953" s="154"/>
      <c r="J1953" s="155"/>
      <c r="K1953" s="156"/>
      <c r="L1953" s="157"/>
      <c r="M1953" s="158" t="s">
        <v>28</v>
      </c>
      <c r="N1953" s="159" t="s">
        <v>29</v>
      </c>
    </row>
    <row r="1954" spans="1:14">
      <c r="A1954" s="148"/>
      <c r="B1954" s="149"/>
      <c r="C1954" s="160"/>
      <c r="D1954" s="151"/>
      <c r="E1954" s="152"/>
      <c r="F1954" s="153"/>
      <c r="G1954" s="154"/>
      <c r="H1954" s="154"/>
      <c r="I1954" s="154"/>
      <c r="J1954" s="155"/>
      <c r="K1954" s="156"/>
      <c r="L1954" s="157"/>
      <c r="M1954" s="158" t="s">
        <v>28</v>
      </c>
      <c r="N1954" s="159" t="s">
        <v>29</v>
      </c>
    </row>
    <row r="1955" spans="1:14">
      <c r="A1955" s="148"/>
      <c r="B1955" s="149"/>
      <c r="C1955" s="160"/>
      <c r="D1955" s="151"/>
      <c r="E1955" s="152"/>
      <c r="F1955" s="153"/>
      <c r="G1955" s="154"/>
      <c r="H1955" s="154"/>
      <c r="I1955" s="154"/>
      <c r="J1955" s="155"/>
      <c r="K1955" s="156"/>
      <c r="L1955" s="157"/>
      <c r="M1955" s="158" t="s">
        <v>28</v>
      </c>
      <c r="N1955" s="159" t="s">
        <v>29</v>
      </c>
    </row>
    <row r="1956" spans="1:14">
      <c r="A1956" s="148"/>
      <c r="B1956" s="149"/>
      <c r="C1956" s="160"/>
      <c r="D1956" s="151"/>
      <c r="E1956" s="152"/>
      <c r="F1956" s="153"/>
      <c r="G1956" s="154"/>
      <c r="H1956" s="154"/>
      <c r="I1956" s="154"/>
      <c r="J1956" s="155"/>
      <c r="K1956" s="156"/>
      <c r="L1956" s="157"/>
      <c r="M1956" s="158" t="s">
        <v>28</v>
      </c>
      <c r="N1956" s="159" t="s">
        <v>29</v>
      </c>
    </row>
    <row r="1957" spans="1:14">
      <c r="A1957" s="148"/>
      <c r="B1957" s="149"/>
      <c r="C1957" s="160"/>
      <c r="D1957" s="151"/>
      <c r="E1957" s="152"/>
      <c r="F1957" s="153"/>
      <c r="G1957" s="154"/>
      <c r="H1957" s="154"/>
      <c r="I1957" s="154"/>
      <c r="J1957" s="155"/>
      <c r="K1957" s="156"/>
      <c r="L1957" s="157"/>
      <c r="M1957" s="158" t="s">
        <v>28</v>
      </c>
      <c r="N1957" s="159" t="s">
        <v>29</v>
      </c>
    </row>
    <row r="1958" spans="1:14">
      <c r="A1958" s="148"/>
      <c r="B1958" s="149"/>
      <c r="C1958" s="160"/>
      <c r="D1958" s="151"/>
      <c r="E1958" s="152"/>
      <c r="F1958" s="153"/>
      <c r="G1958" s="154"/>
      <c r="H1958" s="154"/>
      <c r="I1958" s="154"/>
      <c r="J1958" s="155"/>
      <c r="K1958" s="156"/>
      <c r="L1958" s="157"/>
      <c r="M1958" s="158" t="s">
        <v>28</v>
      </c>
      <c r="N1958" s="159" t="s">
        <v>29</v>
      </c>
    </row>
    <row r="1959" spans="1:14">
      <c r="A1959" s="148"/>
      <c r="B1959" s="149"/>
      <c r="C1959" s="160"/>
      <c r="D1959" s="151"/>
      <c r="E1959" s="152"/>
      <c r="F1959" s="153"/>
      <c r="G1959" s="154"/>
      <c r="H1959" s="154"/>
      <c r="I1959" s="154"/>
      <c r="J1959" s="155"/>
      <c r="K1959" s="156"/>
      <c r="L1959" s="157"/>
      <c r="M1959" s="158" t="s">
        <v>28</v>
      </c>
      <c r="N1959" s="159" t="s">
        <v>29</v>
      </c>
    </row>
    <row r="1960" spans="1:14">
      <c r="A1960" s="148"/>
      <c r="B1960" s="149"/>
      <c r="C1960" s="160"/>
      <c r="D1960" s="151"/>
      <c r="E1960" s="152"/>
      <c r="F1960" s="153"/>
      <c r="G1960" s="154"/>
      <c r="H1960" s="154"/>
      <c r="I1960" s="154"/>
      <c r="J1960" s="155"/>
      <c r="K1960" s="156"/>
      <c r="L1960" s="157"/>
      <c r="M1960" s="158" t="s">
        <v>28</v>
      </c>
      <c r="N1960" s="159" t="s">
        <v>29</v>
      </c>
    </row>
    <row r="1961" spans="1:14">
      <c r="A1961" s="148"/>
      <c r="B1961" s="149"/>
      <c r="C1961" s="160"/>
      <c r="D1961" s="151"/>
      <c r="E1961" s="152"/>
      <c r="F1961" s="153"/>
      <c r="G1961" s="154"/>
      <c r="H1961" s="154"/>
      <c r="I1961" s="154"/>
      <c r="J1961" s="155"/>
      <c r="K1961" s="156"/>
      <c r="L1961" s="157"/>
      <c r="M1961" s="158" t="s">
        <v>28</v>
      </c>
      <c r="N1961" s="159" t="s">
        <v>29</v>
      </c>
    </row>
    <row r="1962" spans="1:14">
      <c r="A1962" s="148"/>
      <c r="B1962" s="149"/>
      <c r="C1962" s="160"/>
      <c r="D1962" s="151"/>
      <c r="E1962" s="152"/>
      <c r="F1962" s="153"/>
      <c r="G1962" s="154"/>
      <c r="H1962" s="154"/>
      <c r="I1962" s="154"/>
      <c r="J1962" s="155"/>
      <c r="K1962" s="156"/>
      <c r="L1962" s="157"/>
      <c r="M1962" s="158" t="s">
        <v>28</v>
      </c>
      <c r="N1962" s="159" t="s">
        <v>29</v>
      </c>
    </row>
    <row r="1963" spans="1:14">
      <c r="A1963" s="148"/>
      <c r="B1963" s="149"/>
      <c r="C1963" s="160"/>
      <c r="D1963" s="151"/>
      <c r="E1963" s="152"/>
      <c r="F1963" s="153"/>
      <c r="G1963" s="154"/>
      <c r="H1963" s="154"/>
      <c r="I1963" s="154"/>
      <c r="J1963" s="155"/>
      <c r="K1963" s="156"/>
      <c r="L1963" s="157"/>
      <c r="M1963" s="158" t="s">
        <v>28</v>
      </c>
      <c r="N1963" s="159" t="s">
        <v>29</v>
      </c>
    </row>
    <row r="1964" spans="1:14">
      <c r="A1964" s="148"/>
      <c r="B1964" s="149"/>
      <c r="C1964" s="160"/>
      <c r="D1964" s="151"/>
      <c r="E1964" s="152"/>
      <c r="F1964" s="153"/>
      <c r="G1964" s="154"/>
      <c r="H1964" s="154"/>
      <c r="I1964" s="154"/>
      <c r="J1964" s="155"/>
      <c r="K1964" s="156"/>
      <c r="L1964" s="157"/>
      <c r="M1964" s="158" t="s">
        <v>28</v>
      </c>
      <c r="N1964" s="159" t="s">
        <v>29</v>
      </c>
    </row>
    <row r="1965" spans="1:14">
      <c r="A1965" s="148"/>
      <c r="B1965" s="149"/>
      <c r="C1965" s="160"/>
      <c r="D1965" s="151"/>
      <c r="E1965" s="152"/>
      <c r="F1965" s="153"/>
      <c r="G1965" s="154"/>
      <c r="H1965" s="154"/>
      <c r="I1965" s="154"/>
      <c r="J1965" s="155"/>
      <c r="K1965" s="156"/>
      <c r="L1965" s="157"/>
      <c r="M1965" s="158" t="s">
        <v>28</v>
      </c>
      <c r="N1965" s="159" t="s">
        <v>29</v>
      </c>
    </row>
    <row r="1966" spans="1:14">
      <c r="A1966" s="148"/>
      <c r="B1966" s="149"/>
      <c r="C1966" s="160"/>
      <c r="D1966" s="151"/>
      <c r="E1966" s="152"/>
      <c r="F1966" s="153"/>
      <c r="G1966" s="154"/>
      <c r="H1966" s="154"/>
      <c r="I1966" s="154"/>
      <c r="J1966" s="155"/>
      <c r="K1966" s="156"/>
      <c r="L1966" s="157"/>
      <c r="M1966" s="158" t="s">
        <v>28</v>
      </c>
      <c r="N1966" s="159" t="s">
        <v>29</v>
      </c>
    </row>
    <row r="1967" spans="1:14">
      <c r="A1967" s="148"/>
      <c r="B1967" s="149"/>
      <c r="C1967" s="160"/>
      <c r="D1967" s="151"/>
      <c r="E1967" s="152"/>
      <c r="F1967" s="153"/>
      <c r="G1967" s="154"/>
      <c r="H1967" s="154"/>
      <c r="I1967" s="154"/>
      <c r="J1967" s="155"/>
      <c r="K1967" s="156"/>
      <c r="L1967" s="157"/>
      <c r="M1967" s="158" t="s">
        <v>28</v>
      </c>
      <c r="N1967" s="159" t="s">
        <v>29</v>
      </c>
    </row>
    <row r="1968" spans="1:14">
      <c r="A1968" s="148"/>
      <c r="B1968" s="149"/>
      <c r="C1968" s="160"/>
      <c r="D1968" s="151"/>
      <c r="E1968" s="152"/>
      <c r="F1968" s="153"/>
      <c r="G1968" s="154"/>
      <c r="H1968" s="154"/>
      <c r="I1968" s="154"/>
      <c r="J1968" s="155"/>
      <c r="K1968" s="156"/>
      <c r="L1968" s="157"/>
      <c r="M1968" s="158" t="s">
        <v>28</v>
      </c>
      <c r="N1968" s="159" t="s">
        <v>29</v>
      </c>
    </row>
    <row r="1969" spans="1:14">
      <c r="A1969" s="148"/>
      <c r="B1969" s="149"/>
      <c r="C1969" s="160"/>
      <c r="D1969" s="151"/>
      <c r="E1969" s="152"/>
      <c r="F1969" s="153"/>
      <c r="G1969" s="154"/>
      <c r="H1969" s="154"/>
      <c r="I1969" s="154"/>
      <c r="J1969" s="155"/>
      <c r="K1969" s="156"/>
      <c r="L1969" s="157"/>
      <c r="M1969" s="158" t="s">
        <v>28</v>
      </c>
      <c r="N1969" s="159" t="s">
        <v>29</v>
      </c>
    </row>
    <row r="1970" spans="1:14">
      <c r="A1970" s="148"/>
      <c r="B1970" s="149"/>
      <c r="C1970" s="160"/>
      <c r="D1970" s="151"/>
      <c r="E1970" s="152"/>
      <c r="F1970" s="153"/>
      <c r="G1970" s="154"/>
      <c r="H1970" s="154"/>
      <c r="I1970" s="154"/>
      <c r="J1970" s="155"/>
      <c r="K1970" s="156"/>
      <c r="L1970" s="157"/>
      <c r="M1970" s="158" t="s">
        <v>28</v>
      </c>
      <c r="N1970" s="159" t="s">
        <v>29</v>
      </c>
    </row>
    <row r="1971" spans="1:14">
      <c r="A1971" s="148"/>
      <c r="B1971" s="149"/>
      <c r="C1971" s="160"/>
      <c r="D1971" s="151"/>
      <c r="E1971" s="152"/>
      <c r="F1971" s="153"/>
      <c r="G1971" s="154"/>
      <c r="H1971" s="154"/>
      <c r="I1971" s="154"/>
      <c r="J1971" s="155"/>
      <c r="K1971" s="156"/>
      <c r="L1971" s="157"/>
      <c r="M1971" s="158" t="s">
        <v>28</v>
      </c>
      <c r="N1971" s="159" t="s">
        <v>29</v>
      </c>
    </row>
    <row r="1972" spans="1:14">
      <c r="A1972" s="148"/>
      <c r="B1972" s="149"/>
      <c r="C1972" s="160"/>
      <c r="D1972" s="151"/>
      <c r="E1972" s="152"/>
      <c r="F1972" s="153"/>
      <c r="G1972" s="154"/>
      <c r="H1972" s="154"/>
      <c r="I1972" s="154"/>
      <c r="J1972" s="155"/>
      <c r="K1972" s="156"/>
      <c r="L1972" s="157"/>
      <c r="M1972" s="158" t="s">
        <v>28</v>
      </c>
      <c r="N1972" s="159" t="s">
        <v>29</v>
      </c>
    </row>
    <row r="1973" spans="1:14">
      <c r="A1973" s="148"/>
      <c r="B1973" s="149"/>
      <c r="C1973" s="160"/>
      <c r="D1973" s="151"/>
      <c r="E1973" s="152"/>
      <c r="F1973" s="153"/>
      <c r="G1973" s="154"/>
      <c r="H1973" s="154"/>
      <c r="I1973" s="154"/>
      <c r="J1973" s="155"/>
      <c r="K1973" s="156"/>
      <c r="L1973" s="157"/>
      <c r="M1973" s="158" t="s">
        <v>28</v>
      </c>
      <c r="N1973" s="159" t="s">
        <v>29</v>
      </c>
    </row>
    <row r="1974" spans="1:14">
      <c r="A1974" s="148"/>
      <c r="B1974" s="149"/>
      <c r="C1974" s="160"/>
      <c r="D1974" s="151"/>
      <c r="E1974" s="152"/>
      <c r="F1974" s="153"/>
      <c r="G1974" s="154"/>
      <c r="H1974" s="154"/>
      <c r="I1974" s="154"/>
      <c r="J1974" s="155"/>
      <c r="K1974" s="156"/>
      <c r="L1974" s="157"/>
      <c r="M1974" s="158" t="s">
        <v>28</v>
      </c>
      <c r="N1974" s="159" t="s">
        <v>29</v>
      </c>
    </row>
    <row r="1975" spans="1:14">
      <c r="A1975" s="148"/>
      <c r="B1975" s="149"/>
      <c r="C1975" s="160"/>
      <c r="D1975" s="151"/>
      <c r="E1975" s="152"/>
      <c r="F1975" s="153"/>
      <c r="G1975" s="154"/>
      <c r="H1975" s="154"/>
      <c r="I1975" s="154"/>
      <c r="J1975" s="155"/>
      <c r="K1975" s="156"/>
      <c r="L1975" s="157"/>
      <c r="M1975" s="158" t="s">
        <v>28</v>
      </c>
      <c r="N1975" s="159" t="s">
        <v>29</v>
      </c>
    </row>
    <row r="1976" spans="1:14">
      <c r="A1976" s="148"/>
      <c r="B1976" s="149"/>
      <c r="C1976" s="160"/>
      <c r="D1976" s="151"/>
      <c r="E1976" s="152"/>
      <c r="F1976" s="153"/>
      <c r="G1976" s="154"/>
      <c r="H1976" s="154"/>
      <c r="I1976" s="154"/>
      <c r="J1976" s="155"/>
      <c r="K1976" s="156"/>
      <c r="L1976" s="157"/>
      <c r="M1976" s="158" t="s">
        <v>28</v>
      </c>
      <c r="N1976" s="159" t="s">
        <v>29</v>
      </c>
    </row>
    <row r="1977" spans="1:14">
      <c r="A1977" s="148"/>
      <c r="B1977" s="149"/>
      <c r="C1977" s="160"/>
      <c r="D1977" s="151"/>
      <c r="E1977" s="152"/>
      <c r="F1977" s="153"/>
      <c r="G1977" s="154"/>
      <c r="H1977" s="154"/>
      <c r="I1977" s="154"/>
      <c r="J1977" s="155"/>
      <c r="K1977" s="156"/>
      <c r="L1977" s="157"/>
      <c r="M1977" s="158" t="s">
        <v>28</v>
      </c>
      <c r="N1977" s="159" t="s">
        <v>29</v>
      </c>
    </row>
    <row r="1978" spans="1:14">
      <c r="A1978" s="148"/>
      <c r="B1978" s="149"/>
      <c r="C1978" s="160"/>
      <c r="D1978" s="151"/>
      <c r="E1978" s="152"/>
      <c r="F1978" s="153"/>
      <c r="G1978" s="154"/>
      <c r="H1978" s="154"/>
      <c r="I1978" s="154"/>
      <c r="J1978" s="155"/>
      <c r="K1978" s="156"/>
      <c r="L1978" s="157"/>
      <c r="M1978" s="158" t="s">
        <v>28</v>
      </c>
      <c r="N1978" s="159" t="s">
        <v>29</v>
      </c>
    </row>
    <row r="1979" spans="1:14">
      <c r="A1979" s="148"/>
      <c r="B1979" s="149"/>
      <c r="C1979" s="160"/>
      <c r="D1979" s="151"/>
      <c r="E1979" s="152"/>
      <c r="F1979" s="153"/>
      <c r="G1979" s="154"/>
      <c r="H1979" s="154"/>
      <c r="I1979" s="154"/>
      <c r="J1979" s="155"/>
      <c r="K1979" s="156"/>
      <c r="L1979" s="157"/>
      <c r="M1979" s="158" t="s">
        <v>28</v>
      </c>
      <c r="N1979" s="159" t="s">
        <v>29</v>
      </c>
    </row>
    <row r="1980" spans="1:14">
      <c r="A1980" s="148"/>
      <c r="B1980" s="149"/>
      <c r="C1980" s="160"/>
      <c r="D1980" s="151"/>
      <c r="E1980" s="152"/>
      <c r="F1980" s="153"/>
      <c r="G1980" s="154"/>
      <c r="H1980" s="154"/>
      <c r="I1980" s="154"/>
      <c r="J1980" s="155"/>
      <c r="K1980" s="156"/>
      <c r="L1980" s="157"/>
      <c r="M1980" s="158" t="s">
        <v>28</v>
      </c>
      <c r="N1980" s="159" t="s">
        <v>29</v>
      </c>
    </row>
    <row r="1981" spans="1:14">
      <c r="A1981" s="148"/>
      <c r="B1981" s="149"/>
      <c r="C1981" s="160"/>
      <c r="D1981" s="151"/>
      <c r="E1981" s="152"/>
      <c r="F1981" s="153"/>
      <c r="G1981" s="154"/>
      <c r="H1981" s="154"/>
      <c r="I1981" s="154"/>
      <c r="J1981" s="155"/>
      <c r="K1981" s="156"/>
      <c r="L1981" s="157"/>
      <c r="M1981" s="158" t="s">
        <v>28</v>
      </c>
      <c r="N1981" s="159" t="s">
        <v>29</v>
      </c>
    </row>
    <row r="1982" spans="1:14">
      <c r="A1982" s="148"/>
      <c r="B1982" s="149"/>
      <c r="C1982" s="160"/>
      <c r="D1982" s="151"/>
      <c r="E1982" s="152"/>
      <c r="F1982" s="153"/>
      <c r="G1982" s="154"/>
      <c r="H1982" s="154"/>
      <c r="I1982" s="154"/>
      <c r="J1982" s="155"/>
      <c r="K1982" s="156"/>
      <c r="L1982" s="157"/>
      <c r="M1982" s="158" t="s">
        <v>28</v>
      </c>
      <c r="N1982" s="159" t="s">
        <v>29</v>
      </c>
    </row>
    <row r="1983" spans="1:14">
      <c r="A1983" s="148"/>
      <c r="B1983" s="149"/>
      <c r="C1983" s="160"/>
      <c r="D1983" s="151"/>
      <c r="E1983" s="152"/>
      <c r="F1983" s="153"/>
      <c r="G1983" s="154"/>
      <c r="H1983" s="154"/>
      <c r="I1983" s="154"/>
      <c r="J1983" s="155"/>
      <c r="K1983" s="156"/>
      <c r="L1983" s="157"/>
      <c r="M1983" s="158" t="s">
        <v>28</v>
      </c>
      <c r="N1983" s="159" t="s">
        <v>29</v>
      </c>
    </row>
    <row r="1984" spans="1:14">
      <c r="A1984" s="148"/>
      <c r="B1984" s="149"/>
      <c r="C1984" s="160"/>
      <c r="D1984" s="151"/>
      <c r="E1984" s="152"/>
      <c r="F1984" s="153"/>
      <c r="G1984" s="154"/>
      <c r="H1984" s="154"/>
      <c r="I1984" s="154"/>
      <c r="J1984" s="155"/>
      <c r="K1984" s="156"/>
      <c r="L1984" s="157"/>
      <c r="M1984" s="158" t="s">
        <v>28</v>
      </c>
      <c r="N1984" s="159" t="s">
        <v>29</v>
      </c>
    </row>
    <row r="1985" spans="1:14">
      <c r="A1985" s="148"/>
      <c r="B1985" s="149"/>
      <c r="C1985" s="160"/>
      <c r="D1985" s="151"/>
      <c r="E1985" s="152"/>
      <c r="F1985" s="153"/>
      <c r="G1985" s="154"/>
      <c r="H1985" s="154"/>
      <c r="I1985" s="154"/>
      <c r="J1985" s="155"/>
      <c r="K1985" s="156"/>
      <c r="L1985" s="157"/>
      <c r="M1985" s="158" t="s">
        <v>28</v>
      </c>
      <c r="N1985" s="159" t="s">
        <v>29</v>
      </c>
    </row>
    <row r="1986" spans="1:14">
      <c r="A1986" s="148"/>
      <c r="B1986" s="149"/>
      <c r="C1986" s="160"/>
      <c r="D1986" s="151"/>
      <c r="E1986" s="152"/>
      <c r="F1986" s="153"/>
      <c r="G1986" s="154"/>
      <c r="H1986" s="154"/>
      <c r="I1986" s="154"/>
      <c r="J1986" s="155"/>
      <c r="K1986" s="156"/>
      <c r="L1986" s="157"/>
      <c r="M1986" s="158" t="s">
        <v>28</v>
      </c>
      <c r="N1986" s="159" t="s">
        <v>29</v>
      </c>
    </row>
    <row r="1987" spans="1:14">
      <c r="A1987" s="148"/>
      <c r="B1987" s="149"/>
      <c r="C1987" s="160"/>
      <c r="D1987" s="151"/>
      <c r="E1987" s="152"/>
      <c r="F1987" s="153"/>
      <c r="G1987" s="154"/>
      <c r="H1987" s="154"/>
      <c r="I1987" s="154"/>
      <c r="J1987" s="155"/>
      <c r="K1987" s="156"/>
      <c r="L1987" s="157"/>
      <c r="M1987" s="158" t="s">
        <v>28</v>
      </c>
      <c r="N1987" s="159" t="s">
        <v>29</v>
      </c>
    </row>
    <row r="1988" spans="1:14">
      <c r="A1988" s="148"/>
      <c r="B1988" s="149"/>
      <c r="C1988" s="160"/>
      <c r="D1988" s="151"/>
      <c r="E1988" s="152"/>
      <c r="F1988" s="153"/>
      <c r="G1988" s="154"/>
      <c r="H1988" s="154"/>
      <c r="I1988" s="154"/>
      <c r="J1988" s="155"/>
      <c r="K1988" s="156"/>
      <c r="L1988" s="157"/>
      <c r="M1988" s="158" t="s">
        <v>28</v>
      </c>
      <c r="N1988" s="159" t="s">
        <v>29</v>
      </c>
    </row>
    <row r="1989" spans="1:14">
      <c r="A1989" s="148"/>
      <c r="B1989" s="149"/>
      <c r="C1989" s="160"/>
      <c r="D1989" s="151"/>
      <c r="E1989" s="152"/>
      <c r="F1989" s="153"/>
      <c r="G1989" s="154"/>
      <c r="H1989" s="154"/>
      <c r="I1989" s="154"/>
      <c r="J1989" s="155"/>
      <c r="K1989" s="156"/>
      <c r="L1989" s="157"/>
      <c r="M1989" s="158" t="s">
        <v>28</v>
      </c>
      <c r="N1989" s="159" t="s">
        <v>29</v>
      </c>
    </row>
    <row r="1990" spans="1:14">
      <c r="A1990" s="148"/>
      <c r="B1990" s="149"/>
      <c r="C1990" s="160"/>
      <c r="D1990" s="151"/>
      <c r="E1990" s="152"/>
      <c r="F1990" s="153"/>
      <c r="G1990" s="154"/>
      <c r="H1990" s="154"/>
      <c r="I1990" s="154"/>
      <c r="J1990" s="155"/>
      <c r="K1990" s="156"/>
      <c r="L1990" s="157"/>
      <c r="M1990" s="158" t="s">
        <v>28</v>
      </c>
      <c r="N1990" s="159" t="s">
        <v>29</v>
      </c>
    </row>
    <row r="1991" spans="1:14">
      <c r="A1991" s="148"/>
      <c r="B1991" s="149"/>
      <c r="C1991" s="160"/>
      <c r="D1991" s="151"/>
      <c r="E1991" s="152"/>
      <c r="F1991" s="153"/>
      <c r="G1991" s="154"/>
      <c r="H1991" s="154"/>
      <c r="I1991" s="154"/>
      <c r="J1991" s="155"/>
      <c r="K1991" s="156"/>
      <c r="L1991" s="157"/>
      <c r="M1991" s="158" t="s">
        <v>28</v>
      </c>
      <c r="N1991" s="159" t="s">
        <v>29</v>
      </c>
    </row>
    <row r="1992" spans="1:14">
      <c r="A1992" s="148"/>
      <c r="B1992" s="149"/>
      <c r="C1992" s="160"/>
      <c r="D1992" s="151"/>
      <c r="E1992" s="152"/>
      <c r="F1992" s="153"/>
      <c r="G1992" s="154"/>
      <c r="H1992" s="154"/>
      <c r="I1992" s="154"/>
      <c r="J1992" s="155"/>
      <c r="K1992" s="156"/>
      <c r="L1992" s="157"/>
      <c r="M1992" s="158" t="s">
        <v>28</v>
      </c>
      <c r="N1992" s="159" t="s">
        <v>29</v>
      </c>
    </row>
    <row r="1993" spans="1:14">
      <c r="A1993" s="148"/>
      <c r="B1993" s="149"/>
      <c r="C1993" s="160"/>
      <c r="D1993" s="151"/>
      <c r="E1993" s="152"/>
      <c r="F1993" s="153"/>
      <c r="G1993" s="154"/>
      <c r="H1993" s="154"/>
      <c r="I1993" s="154"/>
      <c r="J1993" s="155"/>
      <c r="K1993" s="156"/>
      <c r="L1993" s="157"/>
      <c r="M1993" s="158" t="s">
        <v>28</v>
      </c>
      <c r="N1993" s="159" t="s">
        <v>29</v>
      </c>
    </row>
    <row r="1994" spans="1:14">
      <c r="A1994" s="148"/>
      <c r="B1994" s="149"/>
      <c r="C1994" s="160"/>
      <c r="D1994" s="151"/>
      <c r="E1994" s="152"/>
      <c r="F1994" s="153"/>
      <c r="G1994" s="154"/>
      <c r="H1994" s="154"/>
      <c r="I1994" s="154"/>
      <c r="J1994" s="155"/>
      <c r="K1994" s="156"/>
      <c r="L1994" s="157"/>
      <c r="M1994" s="158" t="s">
        <v>28</v>
      </c>
      <c r="N1994" s="159" t="s">
        <v>29</v>
      </c>
    </row>
    <row r="1995" spans="1:14">
      <c r="A1995" s="148"/>
      <c r="B1995" s="149"/>
      <c r="C1995" s="160"/>
      <c r="D1995" s="151"/>
      <c r="E1995" s="152"/>
      <c r="F1995" s="153"/>
      <c r="G1995" s="154"/>
      <c r="H1995" s="154"/>
      <c r="I1995" s="154"/>
      <c r="J1995" s="155"/>
      <c r="K1995" s="156"/>
      <c r="L1995" s="157"/>
      <c r="M1995" s="158" t="s">
        <v>28</v>
      </c>
      <c r="N1995" s="159" t="s">
        <v>29</v>
      </c>
    </row>
    <row r="1996" spans="1:14">
      <c r="A1996" s="148"/>
      <c r="B1996" s="149"/>
      <c r="C1996" s="160"/>
      <c r="D1996" s="151"/>
      <c r="E1996" s="152"/>
      <c r="F1996" s="153"/>
      <c r="G1996" s="154"/>
      <c r="H1996" s="154"/>
      <c r="I1996" s="154"/>
      <c r="J1996" s="155"/>
      <c r="K1996" s="156"/>
      <c r="L1996" s="157"/>
      <c r="M1996" s="158" t="s">
        <v>28</v>
      </c>
      <c r="N1996" s="159" t="s">
        <v>29</v>
      </c>
    </row>
    <row r="1997" spans="1:14">
      <c r="A1997" s="148"/>
      <c r="B1997" s="149"/>
      <c r="C1997" s="160"/>
      <c r="D1997" s="151"/>
      <c r="E1997" s="152"/>
      <c r="F1997" s="153"/>
      <c r="G1997" s="154"/>
      <c r="H1997" s="154"/>
      <c r="I1997" s="154"/>
      <c r="J1997" s="155"/>
      <c r="K1997" s="156"/>
      <c r="L1997" s="157"/>
      <c r="M1997" s="158" t="s">
        <v>28</v>
      </c>
      <c r="N1997" s="159" t="s">
        <v>29</v>
      </c>
    </row>
    <row r="1998" spans="1:14">
      <c r="A1998" s="148"/>
      <c r="B1998" s="149"/>
      <c r="C1998" s="160"/>
      <c r="D1998" s="151"/>
      <c r="E1998" s="152"/>
      <c r="F1998" s="153"/>
      <c r="G1998" s="154"/>
      <c r="H1998" s="154"/>
      <c r="I1998" s="154"/>
      <c r="J1998" s="155"/>
      <c r="K1998" s="156"/>
      <c r="L1998" s="157"/>
      <c r="M1998" s="158" t="s">
        <v>28</v>
      </c>
      <c r="N1998" s="159" t="s">
        <v>29</v>
      </c>
    </row>
    <row r="1999" spans="1:14">
      <c r="A1999" s="148"/>
      <c r="B1999" s="149"/>
      <c r="C1999" s="160"/>
      <c r="D1999" s="151"/>
      <c r="E1999" s="152"/>
      <c r="F1999" s="153"/>
      <c r="G1999" s="154"/>
      <c r="H1999" s="154"/>
      <c r="I1999" s="154"/>
      <c r="J1999" s="155"/>
      <c r="K1999" s="156"/>
      <c r="L1999" s="157"/>
      <c r="M1999" s="158" t="s">
        <v>28</v>
      </c>
      <c r="N1999" s="159" t="s">
        <v>29</v>
      </c>
    </row>
    <row r="2000" spans="1:14">
      <c r="A2000" s="148"/>
      <c r="B2000" s="149"/>
      <c r="C2000" s="160"/>
      <c r="D2000" s="151"/>
      <c r="E2000" s="152"/>
      <c r="F2000" s="153"/>
      <c r="G2000" s="154"/>
      <c r="H2000" s="154"/>
      <c r="I2000" s="154"/>
      <c r="J2000" s="155"/>
      <c r="K2000" s="156"/>
      <c r="L2000" s="157"/>
      <c r="M2000" s="158" t="s">
        <v>28</v>
      </c>
      <c r="N2000" s="159" t="s">
        <v>29</v>
      </c>
    </row>
    <row r="2001" spans="1:14">
      <c r="A2001" s="148"/>
      <c r="B2001" s="149"/>
      <c r="C2001" s="160"/>
      <c r="D2001" s="151"/>
      <c r="E2001" s="152"/>
      <c r="F2001" s="153"/>
      <c r="G2001" s="154"/>
      <c r="H2001" s="154"/>
      <c r="I2001" s="154"/>
      <c r="J2001" s="155"/>
      <c r="K2001" s="156"/>
      <c r="L2001" s="157"/>
      <c r="M2001" s="158" t="s">
        <v>28</v>
      </c>
      <c r="N2001" s="159" t="s">
        <v>29</v>
      </c>
    </row>
    <row r="2002" spans="1:14">
      <c r="A2002" s="148"/>
      <c r="B2002" s="149"/>
      <c r="C2002" s="160"/>
      <c r="D2002" s="151"/>
      <c r="E2002" s="152"/>
      <c r="F2002" s="153"/>
      <c r="G2002" s="154"/>
      <c r="H2002" s="154"/>
      <c r="I2002" s="154"/>
      <c r="J2002" s="155"/>
      <c r="K2002" s="156"/>
      <c r="L2002" s="157"/>
      <c r="M2002" s="158" t="s">
        <v>28</v>
      </c>
      <c r="N2002" s="159" t="s">
        <v>29</v>
      </c>
    </row>
    <row r="2003" spans="1:14">
      <c r="A2003" s="148"/>
      <c r="B2003" s="149"/>
      <c r="C2003" s="160"/>
      <c r="D2003" s="151"/>
      <c r="E2003" s="152"/>
      <c r="F2003" s="153"/>
      <c r="G2003" s="154"/>
      <c r="H2003" s="154"/>
      <c r="I2003" s="154"/>
      <c r="J2003" s="155"/>
      <c r="K2003" s="156"/>
      <c r="L2003" s="157"/>
      <c r="M2003" s="158" t="s">
        <v>28</v>
      </c>
      <c r="N2003" s="159" t="s">
        <v>29</v>
      </c>
    </row>
    <row r="2004" spans="1:14">
      <c r="A2004" s="148"/>
      <c r="B2004" s="149"/>
      <c r="C2004" s="160"/>
      <c r="D2004" s="151"/>
      <c r="E2004" s="152"/>
      <c r="F2004" s="153"/>
      <c r="G2004" s="154"/>
      <c r="H2004" s="154"/>
      <c r="I2004" s="154"/>
      <c r="J2004" s="155"/>
      <c r="K2004" s="156"/>
      <c r="L2004" s="157"/>
      <c r="M2004" s="158" t="s">
        <v>28</v>
      </c>
      <c r="N2004" s="159" t="s">
        <v>29</v>
      </c>
    </row>
    <row r="2005" spans="1:14">
      <c r="A2005" s="148"/>
      <c r="B2005" s="149"/>
      <c r="C2005" s="160"/>
      <c r="D2005" s="151"/>
      <c r="E2005" s="152"/>
      <c r="F2005" s="153"/>
      <c r="G2005" s="154"/>
      <c r="H2005" s="154"/>
      <c r="I2005" s="154"/>
      <c r="J2005" s="155"/>
      <c r="K2005" s="156"/>
      <c r="L2005" s="157"/>
      <c r="M2005" s="158" t="s">
        <v>28</v>
      </c>
      <c r="N2005" s="159" t="s">
        <v>29</v>
      </c>
    </row>
    <row r="2006" spans="1:14">
      <c r="A2006" s="148"/>
      <c r="B2006" s="149"/>
      <c r="C2006" s="160"/>
      <c r="D2006" s="151"/>
      <c r="E2006" s="152"/>
      <c r="F2006" s="153"/>
      <c r="G2006" s="154"/>
      <c r="H2006" s="154"/>
      <c r="I2006" s="154"/>
      <c r="J2006" s="155"/>
      <c r="K2006" s="156"/>
      <c r="L2006" s="157"/>
      <c r="M2006" s="158" t="s">
        <v>28</v>
      </c>
      <c r="N2006" s="159" t="s">
        <v>29</v>
      </c>
    </row>
    <row r="2007" spans="1:14">
      <c r="A2007" s="148"/>
      <c r="B2007" s="149"/>
      <c r="C2007" s="160"/>
      <c r="D2007" s="151"/>
      <c r="E2007" s="152"/>
      <c r="F2007" s="153"/>
      <c r="G2007" s="154"/>
      <c r="H2007" s="154"/>
      <c r="I2007" s="154"/>
      <c r="J2007" s="155"/>
      <c r="K2007" s="156"/>
      <c r="L2007" s="157"/>
      <c r="M2007" s="158" t="s">
        <v>28</v>
      </c>
      <c r="N2007" s="159" t="s">
        <v>29</v>
      </c>
    </row>
    <row r="2008" spans="1:14">
      <c r="A2008" s="148"/>
      <c r="B2008" s="149"/>
      <c r="C2008" s="160"/>
      <c r="D2008" s="151"/>
      <c r="E2008" s="152"/>
      <c r="F2008" s="153"/>
      <c r="G2008" s="154"/>
      <c r="H2008" s="154"/>
      <c r="I2008" s="154"/>
      <c r="J2008" s="155"/>
      <c r="K2008" s="156"/>
      <c r="L2008" s="157"/>
      <c r="M2008" s="158" t="s">
        <v>28</v>
      </c>
      <c r="N2008" s="159" t="s">
        <v>29</v>
      </c>
    </row>
    <row r="2009" spans="1:14">
      <c r="A2009" s="148"/>
      <c r="B2009" s="149"/>
      <c r="C2009" s="160"/>
      <c r="D2009" s="151"/>
      <c r="E2009" s="152"/>
      <c r="F2009" s="153"/>
      <c r="G2009" s="154"/>
      <c r="H2009" s="154"/>
      <c r="I2009" s="154"/>
      <c r="J2009" s="155"/>
      <c r="K2009" s="156"/>
      <c r="L2009" s="157"/>
      <c r="M2009" s="158" t="s">
        <v>28</v>
      </c>
      <c r="N2009" s="159" t="s">
        <v>29</v>
      </c>
    </row>
    <row r="2010" spans="1:14">
      <c r="A2010" s="148"/>
      <c r="B2010" s="149"/>
      <c r="C2010" s="160"/>
      <c r="D2010" s="151"/>
      <c r="E2010" s="152"/>
      <c r="F2010" s="153"/>
      <c r="G2010" s="154"/>
      <c r="H2010" s="154"/>
      <c r="I2010" s="154"/>
      <c r="J2010" s="155"/>
      <c r="K2010" s="156"/>
      <c r="L2010" s="157"/>
      <c r="M2010" s="158" t="s">
        <v>28</v>
      </c>
      <c r="N2010" s="159" t="s">
        <v>29</v>
      </c>
    </row>
    <row r="2011" spans="1:14">
      <c r="A2011" s="148"/>
      <c r="B2011" s="149"/>
      <c r="C2011" s="160"/>
      <c r="D2011" s="151"/>
      <c r="E2011" s="152"/>
      <c r="F2011" s="153"/>
      <c r="G2011" s="154"/>
      <c r="H2011" s="154"/>
      <c r="I2011" s="154"/>
      <c r="J2011" s="155"/>
      <c r="K2011" s="156"/>
      <c r="L2011" s="157"/>
      <c r="M2011" s="158" t="s">
        <v>28</v>
      </c>
      <c r="N2011" s="159" t="s">
        <v>29</v>
      </c>
    </row>
    <row r="2012" spans="1:14">
      <c r="A2012" s="148"/>
      <c r="B2012" s="149"/>
      <c r="C2012" s="160"/>
      <c r="D2012" s="151"/>
      <c r="E2012" s="152"/>
      <c r="F2012" s="153"/>
      <c r="G2012" s="154"/>
      <c r="H2012" s="154"/>
      <c r="I2012" s="154"/>
      <c r="J2012" s="155"/>
      <c r="K2012" s="156"/>
      <c r="L2012" s="157"/>
      <c r="M2012" s="158" t="s">
        <v>28</v>
      </c>
      <c r="N2012" s="159" t="s">
        <v>29</v>
      </c>
    </row>
    <row r="2013" spans="1:14">
      <c r="A2013" s="148"/>
      <c r="B2013" s="149"/>
      <c r="C2013" s="160"/>
      <c r="D2013" s="151"/>
      <c r="E2013" s="152"/>
      <c r="F2013" s="153"/>
      <c r="G2013" s="154"/>
      <c r="H2013" s="154"/>
      <c r="I2013" s="154"/>
      <c r="J2013" s="155"/>
      <c r="K2013" s="156"/>
      <c r="L2013" s="157"/>
      <c r="M2013" s="158" t="s">
        <v>28</v>
      </c>
      <c r="N2013" s="159" t="s">
        <v>29</v>
      </c>
    </row>
    <row r="2014" spans="1:14">
      <c r="A2014" s="148"/>
      <c r="B2014" s="149"/>
      <c r="C2014" s="160"/>
      <c r="D2014" s="151"/>
      <c r="E2014" s="152"/>
      <c r="F2014" s="153"/>
      <c r="G2014" s="154"/>
      <c r="H2014" s="154"/>
      <c r="I2014" s="154"/>
      <c r="J2014" s="155"/>
      <c r="K2014" s="156"/>
      <c r="L2014" s="157"/>
      <c r="M2014" s="158" t="s">
        <v>28</v>
      </c>
      <c r="N2014" s="159" t="s">
        <v>29</v>
      </c>
    </row>
    <row r="2015" spans="1:14">
      <c r="A2015" s="148"/>
      <c r="B2015" s="149"/>
      <c r="C2015" s="160"/>
      <c r="D2015" s="151"/>
      <c r="E2015" s="152"/>
      <c r="F2015" s="153"/>
      <c r="G2015" s="154"/>
      <c r="H2015" s="154"/>
      <c r="I2015" s="154"/>
      <c r="J2015" s="155"/>
      <c r="K2015" s="156"/>
      <c r="L2015" s="157"/>
      <c r="M2015" s="158" t="s">
        <v>28</v>
      </c>
      <c r="N2015" s="159" t="s">
        <v>29</v>
      </c>
    </row>
    <row r="2016" spans="1:14">
      <c r="A2016" s="148"/>
      <c r="B2016" s="149"/>
      <c r="C2016" s="160"/>
      <c r="D2016" s="151"/>
      <c r="E2016" s="152"/>
      <c r="F2016" s="153"/>
      <c r="G2016" s="154"/>
      <c r="H2016" s="154"/>
      <c r="I2016" s="154"/>
      <c r="J2016" s="155"/>
      <c r="K2016" s="156"/>
      <c r="L2016" s="157"/>
      <c r="M2016" s="158" t="s">
        <v>28</v>
      </c>
      <c r="N2016" s="159" t="s">
        <v>29</v>
      </c>
    </row>
    <row r="2017" spans="1:14">
      <c r="A2017" s="148"/>
      <c r="B2017" s="149"/>
      <c r="C2017" s="160"/>
      <c r="D2017" s="151"/>
      <c r="E2017" s="152"/>
      <c r="F2017" s="153"/>
      <c r="G2017" s="154"/>
      <c r="H2017" s="154"/>
      <c r="I2017" s="154"/>
      <c r="J2017" s="155"/>
      <c r="K2017" s="156"/>
      <c r="L2017" s="157"/>
      <c r="M2017" s="158" t="s">
        <v>28</v>
      </c>
      <c r="N2017" s="159" t="s">
        <v>29</v>
      </c>
    </row>
    <row r="2018" spans="1:14">
      <c r="A2018" s="148"/>
      <c r="B2018" s="149"/>
      <c r="C2018" s="160"/>
      <c r="D2018" s="151"/>
      <c r="E2018" s="152"/>
      <c r="F2018" s="153"/>
      <c r="G2018" s="154"/>
      <c r="H2018" s="154"/>
      <c r="I2018" s="154"/>
      <c r="J2018" s="155"/>
      <c r="K2018" s="156"/>
      <c r="L2018" s="157"/>
      <c r="M2018" s="158" t="s">
        <v>28</v>
      </c>
      <c r="N2018" s="159" t="s">
        <v>29</v>
      </c>
    </row>
    <row r="2019" spans="1:14">
      <c r="A2019" s="148"/>
      <c r="B2019" s="149"/>
      <c r="C2019" s="160"/>
      <c r="D2019" s="151"/>
      <c r="E2019" s="152"/>
      <c r="F2019" s="153"/>
      <c r="G2019" s="154"/>
      <c r="H2019" s="154"/>
      <c r="I2019" s="154"/>
      <c r="J2019" s="155"/>
      <c r="K2019" s="156"/>
      <c r="L2019" s="157"/>
      <c r="M2019" s="158" t="s">
        <v>28</v>
      </c>
      <c r="N2019" s="159" t="s">
        <v>29</v>
      </c>
    </row>
    <row r="2020" spans="1:14">
      <c r="A2020" s="148"/>
      <c r="B2020" s="149"/>
      <c r="C2020" s="160"/>
      <c r="D2020" s="151"/>
      <c r="E2020" s="152"/>
      <c r="F2020" s="153"/>
      <c r="G2020" s="154"/>
      <c r="H2020" s="154"/>
      <c r="I2020" s="154"/>
      <c r="J2020" s="155"/>
      <c r="K2020" s="156"/>
      <c r="L2020" s="157"/>
      <c r="M2020" s="158" t="s">
        <v>28</v>
      </c>
      <c r="N2020" s="159" t="s">
        <v>29</v>
      </c>
    </row>
    <row r="2021" spans="1:14">
      <c r="A2021" s="148"/>
      <c r="B2021" s="149"/>
      <c r="C2021" s="160"/>
      <c r="D2021" s="151"/>
      <c r="E2021" s="152"/>
      <c r="F2021" s="153"/>
      <c r="G2021" s="154"/>
      <c r="H2021" s="154"/>
      <c r="I2021" s="154"/>
      <c r="J2021" s="155"/>
      <c r="K2021" s="156"/>
      <c r="L2021" s="157"/>
      <c r="M2021" s="158" t="s">
        <v>28</v>
      </c>
      <c r="N2021" s="159" t="s">
        <v>29</v>
      </c>
    </row>
    <row r="2022" spans="1:14">
      <c r="A2022" s="148"/>
      <c r="B2022" s="149"/>
      <c r="C2022" s="160"/>
      <c r="D2022" s="151"/>
      <c r="E2022" s="152"/>
      <c r="F2022" s="153"/>
      <c r="G2022" s="154"/>
      <c r="H2022" s="154"/>
      <c r="I2022" s="154"/>
      <c r="J2022" s="155"/>
      <c r="K2022" s="156"/>
      <c r="L2022" s="157"/>
      <c r="M2022" s="158" t="s">
        <v>28</v>
      </c>
      <c r="N2022" s="159" t="s">
        <v>29</v>
      </c>
    </row>
    <row r="2023" spans="1:14">
      <c r="A2023" s="148"/>
      <c r="B2023" s="149"/>
      <c r="C2023" s="160"/>
      <c r="D2023" s="151"/>
      <c r="E2023" s="152"/>
      <c r="F2023" s="153"/>
      <c r="G2023" s="154"/>
      <c r="H2023" s="154"/>
      <c r="I2023" s="154"/>
      <c r="J2023" s="155"/>
      <c r="K2023" s="156"/>
      <c r="L2023" s="157"/>
      <c r="M2023" s="158" t="s">
        <v>28</v>
      </c>
      <c r="N2023" s="159" t="s">
        <v>29</v>
      </c>
    </row>
    <row r="2024" spans="1:14">
      <c r="A2024" s="148"/>
      <c r="B2024" s="149"/>
      <c r="C2024" s="160"/>
      <c r="D2024" s="151"/>
      <c r="E2024" s="152"/>
      <c r="F2024" s="153"/>
      <c r="G2024" s="154"/>
      <c r="H2024" s="154"/>
      <c r="I2024" s="154"/>
      <c r="J2024" s="155"/>
      <c r="K2024" s="156"/>
      <c r="L2024" s="157"/>
      <c r="M2024" s="158" t="s">
        <v>28</v>
      </c>
      <c r="N2024" s="159" t="s">
        <v>29</v>
      </c>
    </row>
    <row r="2025" spans="1:14">
      <c r="A2025" s="148"/>
      <c r="B2025" s="149"/>
      <c r="C2025" s="160"/>
      <c r="D2025" s="151"/>
      <c r="E2025" s="152"/>
      <c r="F2025" s="153"/>
      <c r="G2025" s="154"/>
      <c r="H2025" s="154"/>
      <c r="I2025" s="154"/>
      <c r="J2025" s="155"/>
      <c r="K2025" s="156"/>
      <c r="L2025" s="157"/>
      <c r="M2025" s="158" t="s">
        <v>28</v>
      </c>
      <c r="N2025" s="159" t="s">
        <v>29</v>
      </c>
    </row>
    <row r="2026" spans="1:14">
      <c r="A2026" s="148"/>
      <c r="B2026" s="149"/>
      <c r="C2026" s="160"/>
      <c r="D2026" s="151"/>
      <c r="E2026" s="152"/>
      <c r="F2026" s="153"/>
      <c r="G2026" s="154"/>
      <c r="H2026" s="154"/>
      <c r="I2026" s="154"/>
      <c r="J2026" s="155"/>
      <c r="K2026" s="156"/>
      <c r="L2026" s="157"/>
      <c r="M2026" s="158" t="s">
        <v>28</v>
      </c>
      <c r="N2026" s="159" t="s">
        <v>29</v>
      </c>
    </row>
    <row r="2027" spans="1:14">
      <c r="A2027" s="148"/>
      <c r="B2027" s="149"/>
      <c r="C2027" s="160"/>
      <c r="D2027" s="151"/>
      <c r="E2027" s="152"/>
      <c r="F2027" s="153"/>
      <c r="G2027" s="154"/>
      <c r="H2027" s="154"/>
      <c r="I2027" s="154"/>
      <c r="J2027" s="155"/>
      <c r="K2027" s="156"/>
      <c r="L2027" s="157"/>
      <c r="M2027" s="158" t="s">
        <v>28</v>
      </c>
      <c r="N2027" s="159" t="s">
        <v>29</v>
      </c>
    </row>
    <row r="2028" spans="1:14">
      <c r="A2028" s="148"/>
      <c r="B2028" s="149"/>
      <c r="C2028" s="160"/>
      <c r="D2028" s="151"/>
      <c r="E2028" s="152"/>
      <c r="F2028" s="153"/>
      <c r="G2028" s="154"/>
      <c r="H2028" s="154"/>
      <c r="I2028" s="154"/>
      <c r="J2028" s="155"/>
      <c r="K2028" s="156"/>
      <c r="L2028" s="157"/>
      <c r="M2028" s="158" t="s">
        <v>28</v>
      </c>
      <c r="N2028" s="159" t="s">
        <v>29</v>
      </c>
    </row>
    <row r="2029" spans="1:14">
      <c r="A2029" s="148"/>
      <c r="B2029" s="149"/>
      <c r="C2029" s="160"/>
      <c r="D2029" s="151"/>
      <c r="E2029" s="152"/>
      <c r="F2029" s="153"/>
      <c r="G2029" s="154"/>
      <c r="H2029" s="154"/>
      <c r="I2029" s="154"/>
      <c r="J2029" s="155"/>
      <c r="K2029" s="156"/>
      <c r="L2029" s="157"/>
      <c r="M2029" s="158" t="s">
        <v>28</v>
      </c>
      <c r="N2029" s="159" t="s">
        <v>29</v>
      </c>
    </row>
    <row r="2030" spans="1:14">
      <c r="A2030" s="148"/>
      <c r="B2030" s="149"/>
      <c r="C2030" s="160"/>
      <c r="D2030" s="151"/>
      <c r="E2030" s="152"/>
      <c r="F2030" s="153"/>
      <c r="G2030" s="154"/>
      <c r="H2030" s="154"/>
      <c r="I2030" s="154"/>
      <c r="J2030" s="155"/>
      <c r="K2030" s="156"/>
      <c r="L2030" s="157"/>
      <c r="M2030" s="158" t="s">
        <v>28</v>
      </c>
      <c r="N2030" s="159" t="s">
        <v>29</v>
      </c>
    </row>
    <row r="2031" spans="1:14">
      <c r="A2031" s="148"/>
      <c r="B2031" s="149"/>
      <c r="C2031" s="160"/>
      <c r="D2031" s="151"/>
      <c r="E2031" s="152"/>
      <c r="F2031" s="153"/>
      <c r="G2031" s="154"/>
      <c r="H2031" s="154"/>
      <c r="I2031" s="154"/>
      <c r="J2031" s="155"/>
      <c r="K2031" s="156"/>
      <c r="L2031" s="157"/>
      <c r="M2031" s="158" t="s">
        <v>28</v>
      </c>
      <c r="N2031" s="159" t="s">
        <v>29</v>
      </c>
    </row>
    <row r="2032" spans="1:14">
      <c r="A2032" s="148"/>
      <c r="B2032" s="149"/>
      <c r="C2032" s="160"/>
      <c r="D2032" s="151"/>
      <c r="E2032" s="152"/>
      <c r="F2032" s="153"/>
      <c r="G2032" s="154"/>
      <c r="H2032" s="154"/>
      <c r="I2032" s="154"/>
      <c r="J2032" s="155"/>
      <c r="K2032" s="156"/>
      <c r="L2032" s="157"/>
      <c r="M2032" s="158" t="s">
        <v>28</v>
      </c>
      <c r="N2032" s="159" t="s">
        <v>29</v>
      </c>
    </row>
    <row r="2033" spans="1:14">
      <c r="A2033" s="148"/>
      <c r="B2033" s="149"/>
      <c r="C2033" s="160"/>
      <c r="D2033" s="151"/>
      <c r="E2033" s="152"/>
      <c r="F2033" s="153"/>
      <c r="G2033" s="154"/>
      <c r="H2033" s="154"/>
      <c r="I2033" s="154"/>
      <c r="J2033" s="155"/>
      <c r="K2033" s="156"/>
      <c r="L2033" s="157"/>
      <c r="M2033" s="158" t="s">
        <v>28</v>
      </c>
      <c r="N2033" s="159" t="s">
        <v>29</v>
      </c>
    </row>
    <row r="2034" spans="1:14">
      <c r="A2034" s="148"/>
      <c r="B2034" s="149"/>
      <c r="C2034" s="160"/>
      <c r="D2034" s="151"/>
      <c r="E2034" s="152"/>
      <c r="F2034" s="153"/>
      <c r="G2034" s="154"/>
      <c r="H2034" s="154"/>
      <c r="I2034" s="154"/>
      <c r="J2034" s="155"/>
      <c r="K2034" s="156"/>
      <c r="L2034" s="157"/>
      <c r="M2034" s="158" t="s">
        <v>28</v>
      </c>
      <c r="N2034" s="159" t="s">
        <v>29</v>
      </c>
    </row>
    <row r="2035" spans="1:14">
      <c r="A2035" s="148"/>
      <c r="B2035" s="149"/>
      <c r="C2035" s="160"/>
      <c r="D2035" s="151"/>
      <c r="E2035" s="152"/>
      <c r="F2035" s="153"/>
      <c r="G2035" s="154"/>
      <c r="H2035" s="154"/>
      <c r="I2035" s="154"/>
      <c r="J2035" s="155"/>
      <c r="K2035" s="156"/>
      <c r="L2035" s="157"/>
      <c r="M2035" s="158" t="s">
        <v>28</v>
      </c>
      <c r="N2035" s="159" t="s">
        <v>29</v>
      </c>
    </row>
    <row r="2036" spans="1:14">
      <c r="A2036" s="148"/>
      <c r="B2036" s="149"/>
      <c r="C2036" s="160"/>
      <c r="D2036" s="151"/>
      <c r="E2036" s="152"/>
      <c r="F2036" s="153"/>
      <c r="G2036" s="154"/>
      <c r="H2036" s="154"/>
      <c r="I2036" s="154"/>
      <c r="J2036" s="155"/>
      <c r="K2036" s="156"/>
      <c r="L2036" s="157"/>
      <c r="M2036" s="158" t="s">
        <v>28</v>
      </c>
      <c r="N2036" s="159" t="s">
        <v>29</v>
      </c>
    </row>
    <row r="2037" spans="1:14">
      <c r="A2037" s="148"/>
      <c r="B2037" s="149"/>
      <c r="C2037" s="160"/>
      <c r="D2037" s="151"/>
      <c r="E2037" s="152"/>
      <c r="F2037" s="153"/>
      <c r="G2037" s="154"/>
      <c r="H2037" s="154"/>
      <c r="I2037" s="154"/>
      <c r="J2037" s="155"/>
      <c r="K2037" s="156"/>
      <c r="L2037" s="157"/>
      <c r="M2037" s="158" t="s">
        <v>28</v>
      </c>
      <c r="N2037" s="159" t="s">
        <v>29</v>
      </c>
    </row>
    <row r="2038" spans="1:14">
      <c r="A2038" s="148"/>
      <c r="B2038" s="149"/>
      <c r="C2038" s="160"/>
      <c r="D2038" s="151"/>
      <c r="E2038" s="152"/>
      <c r="F2038" s="153"/>
      <c r="G2038" s="154"/>
      <c r="H2038" s="154"/>
      <c r="I2038" s="154"/>
      <c r="J2038" s="155"/>
      <c r="K2038" s="156"/>
      <c r="L2038" s="157"/>
      <c r="M2038" s="158" t="s">
        <v>28</v>
      </c>
      <c r="N2038" s="159" t="s">
        <v>29</v>
      </c>
    </row>
    <row r="2039" spans="1:14">
      <c r="A2039" s="148"/>
      <c r="B2039" s="149"/>
      <c r="C2039" s="160"/>
      <c r="D2039" s="151"/>
      <c r="E2039" s="152"/>
      <c r="F2039" s="153"/>
      <c r="G2039" s="154"/>
      <c r="H2039" s="154"/>
      <c r="I2039" s="154"/>
      <c r="J2039" s="155"/>
      <c r="K2039" s="156"/>
      <c r="L2039" s="157"/>
      <c r="M2039" s="158" t="s">
        <v>28</v>
      </c>
      <c r="N2039" s="159" t="s">
        <v>29</v>
      </c>
    </row>
    <row r="2040" spans="1:14">
      <c r="A2040" s="148"/>
      <c r="B2040" s="149"/>
      <c r="C2040" s="160"/>
      <c r="D2040" s="151"/>
      <c r="E2040" s="152"/>
      <c r="F2040" s="153"/>
      <c r="G2040" s="154"/>
      <c r="H2040" s="154"/>
      <c r="I2040" s="154"/>
      <c r="J2040" s="155"/>
      <c r="K2040" s="156"/>
      <c r="L2040" s="157"/>
      <c r="M2040" s="158" t="s">
        <v>28</v>
      </c>
      <c r="N2040" s="159" t="s">
        <v>29</v>
      </c>
    </row>
    <row r="2041" spans="1:14">
      <c r="A2041" s="148"/>
      <c r="B2041" s="149"/>
      <c r="C2041" s="160"/>
      <c r="D2041" s="151"/>
      <c r="E2041" s="152"/>
      <c r="F2041" s="153"/>
      <c r="G2041" s="154"/>
      <c r="H2041" s="154"/>
      <c r="I2041" s="154"/>
      <c r="J2041" s="155"/>
      <c r="K2041" s="156"/>
      <c r="L2041" s="157"/>
      <c r="M2041" s="158" t="s">
        <v>28</v>
      </c>
      <c r="N2041" s="159" t="s">
        <v>29</v>
      </c>
    </row>
    <row r="2042" spans="1:14">
      <c r="A2042" s="148"/>
      <c r="B2042" s="149"/>
      <c r="C2042" s="160"/>
      <c r="D2042" s="151"/>
      <c r="E2042" s="152"/>
      <c r="F2042" s="153"/>
      <c r="G2042" s="154"/>
      <c r="H2042" s="154"/>
      <c r="I2042" s="154"/>
      <c r="J2042" s="155"/>
      <c r="K2042" s="156"/>
      <c r="L2042" s="157"/>
      <c r="M2042" s="158" t="s">
        <v>28</v>
      </c>
      <c r="N2042" s="159" t="s">
        <v>29</v>
      </c>
    </row>
    <row r="2043" spans="1:14">
      <c r="A2043" s="148"/>
      <c r="B2043" s="149"/>
      <c r="C2043" s="160"/>
      <c r="D2043" s="151"/>
      <c r="E2043" s="152"/>
      <c r="F2043" s="153"/>
      <c r="G2043" s="154"/>
      <c r="H2043" s="154"/>
      <c r="I2043" s="154"/>
      <c r="J2043" s="155"/>
      <c r="K2043" s="156"/>
      <c r="L2043" s="157"/>
      <c r="M2043" s="158" t="s">
        <v>28</v>
      </c>
      <c r="N2043" s="159" t="s">
        <v>29</v>
      </c>
    </row>
    <row r="2044" spans="1:14">
      <c r="A2044" s="148"/>
      <c r="B2044" s="149"/>
      <c r="C2044" s="160"/>
      <c r="D2044" s="151"/>
      <c r="E2044" s="152"/>
      <c r="F2044" s="153"/>
      <c r="G2044" s="154"/>
      <c r="H2044" s="154"/>
      <c r="I2044" s="154"/>
      <c r="J2044" s="155"/>
      <c r="K2044" s="156"/>
      <c r="L2044" s="157"/>
      <c r="M2044" s="158" t="s">
        <v>28</v>
      </c>
      <c r="N2044" s="159" t="s">
        <v>29</v>
      </c>
    </row>
    <row r="2045" spans="1:14">
      <c r="A2045" s="148"/>
      <c r="B2045" s="149"/>
      <c r="C2045" s="160"/>
      <c r="D2045" s="151"/>
      <c r="E2045" s="152"/>
      <c r="F2045" s="153"/>
      <c r="G2045" s="154"/>
      <c r="H2045" s="154"/>
      <c r="I2045" s="154"/>
      <c r="J2045" s="155"/>
      <c r="K2045" s="156"/>
      <c r="L2045" s="157"/>
      <c r="M2045" s="158" t="s">
        <v>28</v>
      </c>
      <c r="N2045" s="159" t="s">
        <v>29</v>
      </c>
    </row>
    <row r="2046" spans="1:14">
      <c r="A2046" s="148"/>
      <c r="B2046" s="149"/>
      <c r="C2046" s="160"/>
      <c r="D2046" s="151"/>
      <c r="E2046" s="152"/>
      <c r="F2046" s="153"/>
      <c r="G2046" s="154"/>
      <c r="H2046" s="154"/>
      <c r="I2046" s="154"/>
      <c r="J2046" s="155"/>
      <c r="K2046" s="156"/>
      <c r="L2046" s="157"/>
      <c r="M2046" s="158" t="s">
        <v>28</v>
      </c>
      <c r="N2046" s="159" t="s">
        <v>29</v>
      </c>
    </row>
    <row r="2047" spans="1:14">
      <c r="A2047" s="148"/>
      <c r="B2047" s="149"/>
      <c r="C2047" s="160"/>
      <c r="D2047" s="151"/>
      <c r="E2047" s="152"/>
      <c r="F2047" s="153"/>
      <c r="G2047" s="154"/>
      <c r="H2047" s="154"/>
      <c r="I2047" s="154"/>
      <c r="J2047" s="155"/>
      <c r="K2047" s="156"/>
      <c r="L2047" s="157"/>
      <c r="M2047" s="158" t="s">
        <v>28</v>
      </c>
      <c r="N2047" s="159" t="s">
        <v>29</v>
      </c>
    </row>
    <row r="2048" spans="1:14">
      <c r="A2048" s="148"/>
      <c r="B2048" s="149"/>
      <c r="C2048" s="160"/>
      <c r="D2048" s="151"/>
      <c r="E2048" s="152"/>
      <c r="F2048" s="153"/>
      <c r="G2048" s="154"/>
      <c r="H2048" s="154"/>
      <c r="I2048" s="154"/>
      <c r="J2048" s="155"/>
      <c r="K2048" s="156"/>
      <c r="L2048" s="157"/>
      <c r="M2048" s="158" t="s">
        <v>28</v>
      </c>
      <c r="N2048" s="159" t="s">
        <v>29</v>
      </c>
    </row>
    <row r="2049" spans="1:14">
      <c r="A2049" s="148"/>
      <c r="B2049" s="149"/>
      <c r="C2049" s="160"/>
      <c r="D2049" s="151"/>
      <c r="E2049" s="152"/>
      <c r="F2049" s="153"/>
      <c r="G2049" s="154"/>
      <c r="H2049" s="154"/>
      <c r="I2049" s="154"/>
      <c r="J2049" s="155"/>
      <c r="K2049" s="156"/>
      <c r="L2049" s="157"/>
      <c r="M2049" s="158" t="s">
        <v>28</v>
      </c>
      <c r="N2049" s="159" t="s">
        <v>29</v>
      </c>
    </row>
    <row r="2050" spans="1:14">
      <c r="A2050" s="148"/>
      <c r="B2050" s="149"/>
      <c r="C2050" s="160"/>
      <c r="D2050" s="151"/>
      <c r="E2050" s="152"/>
      <c r="F2050" s="153"/>
      <c r="G2050" s="154"/>
      <c r="H2050" s="154"/>
      <c r="I2050" s="154"/>
      <c r="J2050" s="155"/>
      <c r="K2050" s="156"/>
      <c r="L2050" s="157"/>
      <c r="M2050" s="158" t="s">
        <v>28</v>
      </c>
      <c r="N2050" s="159" t="s">
        <v>29</v>
      </c>
    </row>
    <row r="2051" spans="1:14">
      <c r="A2051" s="148"/>
      <c r="B2051" s="149"/>
      <c r="C2051" s="160"/>
      <c r="D2051" s="151"/>
      <c r="E2051" s="152"/>
      <c r="F2051" s="153"/>
      <c r="G2051" s="154"/>
      <c r="H2051" s="154"/>
      <c r="I2051" s="154"/>
      <c r="J2051" s="155"/>
      <c r="K2051" s="156"/>
      <c r="L2051" s="157"/>
      <c r="M2051" s="158" t="s">
        <v>28</v>
      </c>
      <c r="N2051" s="159" t="s">
        <v>29</v>
      </c>
    </row>
    <row r="2052" spans="1:14">
      <c r="A2052" s="148"/>
      <c r="B2052" s="149"/>
      <c r="C2052" s="160"/>
      <c r="D2052" s="151"/>
      <c r="E2052" s="152"/>
      <c r="F2052" s="153"/>
      <c r="G2052" s="154"/>
      <c r="H2052" s="154"/>
      <c r="I2052" s="154"/>
      <c r="J2052" s="155"/>
      <c r="K2052" s="156"/>
      <c r="L2052" s="157"/>
      <c r="M2052" s="158" t="s">
        <v>28</v>
      </c>
      <c r="N2052" s="159" t="s">
        <v>29</v>
      </c>
    </row>
    <row r="2053" spans="1:14">
      <c r="A2053" s="148"/>
      <c r="B2053" s="149"/>
      <c r="C2053" s="160"/>
      <c r="D2053" s="151"/>
      <c r="E2053" s="152"/>
      <c r="F2053" s="153"/>
      <c r="G2053" s="154"/>
      <c r="H2053" s="154"/>
      <c r="I2053" s="154"/>
      <c r="J2053" s="155"/>
      <c r="K2053" s="156"/>
      <c r="L2053" s="157"/>
      <c r="M2053" s="158" t="s">
        <v>28</v>
      </c>
      <c r="N2053" s="159" t="s">
        <v>29</v>
      </c>
    </row>
    <row r="2054" spans="1:14">
      <c r="A2054" s="148"/>
      <c r="B2054" s="149"/>
      <c r="C2054" s="160"/>
      <c r="D2054" s="151"/>
      <c r="E2054" s="152"/>
      <c r="F2054" s="153"/>
      <c r="G2054" s="154"/>
      <c r="H2054" s="154"/>
      <c r="I2054" s="154"/>
      <c r="J2054" s="155"/>
      <c r="K2054" s="156"/>
      <c r="L2054" s="157"/>
      <c r="M2054" s="158" t="s">
        <v>28</v>
      </c>
      <c r="N2054" s="159" t="s">
        <v>29</v>
      </c>
    </row>
    <row r="2055" spans="1:14">
      <c r="A2055" s="148"/>
      <c r="B2055" s="149"/>
      <c r="C2055" s="160"/>
      <c r="D2055" s="151"/>
      <c r="E2055" s="152"/>
      <c r="F2055" s="153"/>
      <c r="G2055" s="154"/>
      <c r="H2055" s="154"/>
      <c r="I2055" s="154"/>
      <c r="J2055" s="155"/>
      <c r="K2055" s="156"/>
      <c r="L2055" s="157"/>
      <c r="M2055" s="158" t="s">
        <v>28</v>
      </c>
      <c r="N2055" s="159" t="s">
        <v>29</v>
      </c>
    </row>
    <row r="2056" spans="1:14">
      <c r="A2056" s="148"/>
      <c r="B2056" s="149"/>
      <c r="C2056" s="160"/>
      <c r="D2056" s="151"/>
      <c r="E2056" s="152"/>
      <c r="F2056" s="153"/>
      <c r="G2056" s="154"/>
      <c r="H2056" s="154"/>
      <c r="I2056" s="154"/>
      <c r="J2056" s="155"/>
      <c r="K2056" s="156"/>
      <c r="L2056" s="157"/>
      <c r="M2056" s="158" t="s">
        <v>28</v>
      </c>
      <c r="N2056" s="159" t="s">
        <v>29</v>
      </c>
    </row>
    <row r="2057" spans="1:14">
      <c r="A2057" s="148"/>
      <c r="B2057" s="149"/>
      <c r="C2057" s="160"/>
      <c r="D2057" s="151"/>
      <c r="E2057" s="152"/>
      <c r="F2057" s="153"/>
      <c r="G2057" s="154"/>
      <c r="H2057" s="154"/>
      <c r="I2057" s="154"/>
      <c r="J2057" s="155"/>
      <c r="K2057" s="156"/>
      <c r="L2057" s="157"/>
      <c r="M2057" s="158" t="s">
        <v>28</v>
      </c>
      <c r="N2057" s="159" t="s">
        <v>29</v>
      </c>
    </row>
    <row r="2058" spans="1:14">
      <c r="A2058" s="148"/>
      <c r="B2058" s="149"/>
      <c r="C2058" s="160"/>
      <c r="D2058" s="151"/>
      <c r="E2058" s="152"/>
      <c r="F2058" s="153"/>
      <c r="G2058" s="154"/>
      <c r="H2058" s="154"/>
      <c r="I2058" s="154"/>
      <c r="J2058" s="155"/>
      <c r="K2058" s="156"/>
      <c r="L2058" s="157"/>
      <c r="M2058" s="158" t="s">
        <v>28</v>
      </c>
      <c r="N2058" s="159" t="s">
        <v>29</v>
      </c>
    </row>
    <row r="2059" spans="1:14">
      <c r="A2059" s="148"/>
      <c r="B2059" s="149"/>
      <c r="C2059" s="160"/>
      <c r="D2059" s="151"/>
      <c r="E2059" s="152"/>
      <c r="F2059" s="153"/>
      <c r="G2059" s="154"/>
      <c r="H2059" s="154"/>
      <c r="I2059" s="154"/>
      <c r="J2059" s="155"/>
      <c r="K2059" s="156"/>
      <c r="L2059" s="157"/>
      <c r="M2059" s="158" t="s">
        <v>28</v>
      </c>
      <c r="N2059" s="159" t="s">
        <v>29</v>
      </c>
    </row>
    <row r="2060" spans="1:14">
      <c r="A2060" s="148"/>
      <c r="B2060" s="149"/>
      <c r="C2060" s="160"/>
      <c r="D2060" s="151"/>
      <c r="E2060" s="152"/>
      <c r="F2060" s="153"/>
      <c r="G2060" s="154"/>
      <c r="H2060" s="154"/>
      <c r="I2060" s="154"/>
      <c r="J2060" s="155"/>
      <c r="K2060" s="156"/>
      <c r="L2060" s="157"/>
      <c r="M2060" s="158" t="s">
        <v>28</v>
      </c>
      <c r="N2060" s="159" t="s">
        <v>29</v>
      </c>
    </row>
    <row r="2061" spans="1:14">
      <c r="A2061" s="148"/>
      <c r="B2061" s="149"/>
      <c r="C2061" s="160"/>
      <c r="D2061" s="151"/>
      <c r="E2061" s="152"/>
      <c r="F2061" s="153"/>
      <c r="G2061" s="154"/>
      <c r="H2061" s="154"/>
      <c r="I2061" s="154"/>
      <c r="J2061" s="155"/>
      <c r="K2061" s="156"/>
      <c r="L2061" s="157"/>
      <c r="M2061" s="158" t="s">
        <v>28</v>
      </c>
      <c r="N2061" s="159" t="s">
        <v>29</v>
      </c>
    </row>
    <row r="2062" spans="1:14">
      <c r="A2062" s="148"/>
      <c r="B2062" s="149"/>
      <c r="C2062" s="160"/>
      <c r="D2062" s="151"/>
      <c r="E2062" s="152"/>
      <c r="F2062" s="153"/>
      <c r="G2062" s="154"/>
      <c r="H2062" s="154"/>
      <c r="I2062" s="154"/>
      <c r="J2062" s="155"/>
      <c r="K2062" s="156"/>
      <c r="L2062" s="157"/>
      <c r="M2062" s="158" t="s">
        <v>28</v>
      </c>
      <c r="N2062" s="159" t="s">
        <v>29</v>
      </c>
    </row>
    <row r="2063" spans="1:14">
      <c r="A2063" s="148"/>
      <c r="B2063" s="149"/>
      <c r="C2063" s="160"/>
      <c r="D2063" s="151"/>
      <c r="E2063" s="152"/>
      <c r="F2063" s="153"/>
      <c r="G2063" s="154"/>
      <c r="H2063" s="154"/>
      <c r="I2063" s="154"/>
      <c r="J2063" s="155"/>
      <c r="K2063" s="156"/>
      <c r="L2063" s="157"/>
      <c r="M2063" s="158" t="s">
        <v>28</v>
      </c>
      <c r="N2063" s="159" t="s">
        <v>29</v>
      </c>
    </row>
    <row r="2064" spans="1:14">
      <c r="A2064" s="148"/>
      <c r="B2064" s="149"/>
      <c r="C2064" s="160"/>
      <c r="D2064" s="151"/>
      <c r="E2064" s="152"/>
      <c r="F2064" s="153"/>
      <c r="G2064" s="154"/>
      <c r="H2064" s="154"/>
      <c r="I2064" s="154"/>
      <c r="J2064" s="155"/>
      <c r="K2064" s="156"/>
      <c r="L2064" s="157"/>
      <c r="M2064" s="158" t="s">
        <v>28</v>
      </c>
      <c r="N2064" s="159" t="s">
        <v>29</v>
      </c>
    </row>
    <row r="2065" spans="1:14">
      <c r="A2065" s="148"/>
      <c r="B2065" s="149"/>
      <c r="C2065" s="160"/>
      <c r="D2065" s="151"/>
      <c r="E2065" s="152"/>
      <c r="F2065" s="153"/>
      <c r="G2065" s="154"/>
      <c r="H2065" s="154"/>
      <c r="I2065" s="154"/>
      <c r="J2065" s="155"/>
      <c r="K2065" s="156"/>
      <c r="L2065" s="157"/>
      <c r="M2065" s="158" t="s">
        <v>28</v>
      </c>
      <c r="N2065" s="159" t="s">
        <v>29</v>
      </c>
    </row>
    <row r="2066" spans="1:14">
      <c r="A2066" s="148"/>
      <c r="B2066" s="149"/>
      <c r="C2066" s="160"/>
      <c r="D2066" s="151"/>
      <c r="E2066" s="152"/>
      <c r="F2066" s="153"/>
      <c r="G2066" s="154"/>
      <c r="H2066" s="154"/>
      <c r="I2066" s="154"/>
      <c r="J2066" s="155"/>
      <c r="K2066" s="156"/>
      <c r="L2066" s="157"/>
      <c r="M2066" s="158" t="s">
        <v>28</v>
      </c>
      <c r="N2066" s="159" t="s">
        <v>29</v>
      </c>
    </row>
    <row r="2067" spans="1:14">
      <c r="A2067" s="148"/>
      <c r="B2067" s="149"/>
      <c r="C2067" s="160"/>
      <c r="D2067" s="151"/>
      <c r="E2067" s="152"/>
      <c r="F2067" s="153"/>
      <c r="G2067" s="154"/>
      <c r="H2067" s="154"/>
      <c r="I2067" s="154"/>
      <c r="J2067" s="155"/>
      <c r="K2067" s="156"/>
      <c r="L2067" s="157"/>
      <c r="M2067" s="158" t="s">
        <v>28</v>
      </c>
      <c r="N2067" s="159" t="s">
        <v>29</v>
      </c>
    </row>
    <row r="2068" spans="1:14">
      <c r="A2068" s="148"/>
      <c r="B2068" s="149"/>
      <c r="C2068" s="160"/>
      <c r="D2068" s="151"/>
      <c r="E2068" s="152"/>
      <c r="F2068" s="153"/>
      <c r="G2068" s="154"/>
      <c r="H2068" s="154"/>
      <c r="I2068" s="154"/>
      <c r="J2068" s="155"/>
      <c r="K2068" s="156"/>
      <c r="L2068" s="157"/>
      <c r="M2068" s="158" t="s">
        <v>28</v>
      </c>
      <c r="N2068" s="159" t="s">
        <v>29</v>
      </c>
    </row>
    <row r="2069" spans="1:14">
      <c r="A2069" s="148"/>
      <c r="B2069" s="149"/>
      <c r="C2069" s="160"/>
      <c r="D2069" s="151"/>
      <c r="E2069" s="152"/>
      <c r="F2069" s="153"/>
      <c r="G2069" s="154"/>
      <c r="H2069" s="154"/>
      <c r="I2069" s="154"/>
      <c r="J2069" s="155"/>
      <c r="K2069" s="156"/>
      <c r="L2069" s="157"/>
      <c r="M2069" s="158" t="s">
        <v>28</v>
      </c>
      <c r="N2069" s="159" t="s">
        <v>29</v>
      </c>
    </row>
    <row r="2070" spans="1:14">
      <c r="A2070" s="148"/>
      <c r="B2070" s="149"/>
      <c r="C2070" s="160"/>
      <c r="D2070" s="151"/>
      <c r="E2070" s="152"/>
      <c r="F2070" s="153"/>
      <c r="G2070" s="154"/>
      <c r="H2070" s="154"/>
      <c r="I2070" s="154"/>
      <c r="J2070" s="155"/>
      <c r="K2070" s="156"/>
      <c r="L2070" s="157"/>
      <c r="M2070" s="158" t="s">
        <v>28</v>
      </c>
      <c r="N2070" s="159" t="s">
        <v>29</v>
      </c>
    </row>
    <row r="2071" spans="1:14">
      <c r="A2071" s="148"/>
      <c r="B2071" s="149"/>
      <c r="C2071" s="160"/>
      <c r="D2071" s="151"/>
      <c r="E2071" s="152"/>
      <c r="F2071" s="153"/>
      <c r="G2071" s="154"/>
      <c r="H2071" s="154"/>
      <c r="I2071" s="154"/>
      <c r="J2071" s="155"/>
      <c r="K2071" s="156"/>
      <c r="L2071" s="157"/>
      <c r="M2071" s="158" t="s">
        <v>28</v>
      </c>
      <c r="N2071" s="159" t="s">
        <v>29</v>
      </c>
    </row>
    <row r="2072" spans="1:14">
      <c r="A2072" s="148"/>
      <c r="B2072" s="149"/>
      <c r="C2072" s="160"/>
      <c r="D2072" s="151"/>
      <c r="E2072" s="152"/>
      <c r="F2072" s="153"/>
      <c r="G2072" s="154"/>
      <c r="H2072" s="154"/>
      <c r="I2072" s="154"/>
      <c r="J2072" s="155"/>
      <c r="K2072" s="156"/>
      <c r="L2072" s="157"/>
      <c r="M2072" s="158" t="s">
        <v>28</v>
      </c>
      <c r="N2072" s="159" t="s">
        <v>29</v>
      </c>
    </row>
    <row r="2073" spans="1:14">
      <c r="A2073" s="148"/>
      <c r="B2073" s="149"/>
      <c r="C2073" s="160"/>
      <c r="D2073" s="151"/>
      <c r="E2073" s="152"/>
      <c r="F2073" s="153"/>
      <c r="G2073" s="154"/>
      <c r="H2073" s="154"/>
      <c r="I2073" s="154"/>
      <c r="J2073" s="155"/>
      <c r="K2073" s="156"/>
      <c r="L2073" s="157"/>
      <c r="M2073" s="158" t="s">
        <v>28</v>
      </c>
      <c r="N2073" s="159" t="s">
        <v>29</v>
      </c>
    </row>
    <row r="2074" spans="1:14">
      <c r="A2074" s="148"/>
      <c r="B2074" s="149"/>
      <c r="C2074" s="160"/>
      <c r="D2074" s="151"/>
      <c r="E2074" s="152"/>
      <c r="F2074" s="153"/>
      <c r="G2074" s="154"/>
      <c r="H2074" s="154"/>
      <c r="I2074" s="154"/>
      <c r="J2074" s="155"/>
      <c r="K2074" s="156"/>
      <c r="L2074" s="157"/>
      <c r="M2074" s="158" t="s">
        <v>28</v>
      </c>
      <c r="N2074" s="159" t="s">
        <v>29</v>
      </c>
    </row>
    <row r="2075" spans="1:14">
      <c r="A2075" s="148"/>
      <c r="B2075" s="149"/>
      <c r="C2075" s="160"/>
      <c r="D2075" s="151"/>
      <c r="E2075" s="152"/>
      <c r="F2075" s="153"/>
      <c r="G2075" s="154"/>
      <c r="H2075" s="154"/>
      <c r="I2075" s="154"/>
      <c r="J2075" s="155"/>
      <c r="K2075" s="156"/>
      <c r="L2075" s="157"/>
      <c r="M2075" s="158" t="s">
        <v>28</v>
      </c>
      <c r="N2075" s="159" t="s">
        <v>29</v>
      </c>
    </row>
    <row r="2076" spans="1:14">
      <c r="A2076" s="148"/>
      <c r="B2076" s="149"/>
      <c r="C2076" s="160"/>
      <c r="D2076" s="151"/>
      <c r="E2076" s="152"/>
      <c r="F2076" s="153"/>
      <c r="G2076" s="154"/>
      <c r="H2076" s="154"/>
      <c r="I2076" s="154"/>
      <c r="J2076" s="155"/>
      <c r="K2076" s="156"/>
      <c r="L2076" s="157"/>
      <c r="M2076" s="158" t="s">
        <v>28</v>
      </c>
      <c r="N2076" s="159" t="s">
        <v>29</v>
      </c>
    </row>
    <row r="2077" spans="1:14">
      <c r="A2077" s="148"/>
      <c r="B2077" s="149"/>
      <c r="C2077" s="160"/>
      <c r="D2077" s="151"/>
      <c r="E2077" s="152"/>
      <c r="F2077" s="153"/>
      <c r="G2077" s="154"/>
      <c r="H2077" s="154"/>
      <c r="I2077" s="154"/>
      <c r="J2077" s="155"/>
      <c r="K2077" s="156"/>
      <c r="L2077" s="157"/>
      <c r="M2077" s="158" t="s">
        <v>28</v>
      </c>
      <c r="N2077" s="159" t="s">
        <v>29</v>
      </c>
    </row>
    <row r="2078" spans="1:14">
      <c r="A2078" s="148"/>
      <c r="B2078" s="149"/>
      <c r="C2078" s="160"/>
      <c r="D2078" s="151"/>
      <c r="E2078" s="152"/>
      <c r="F2078" s="153"/>
      <c r="G2078" s="154"/>
      <c r="H2078" s="154"/>
      <c r="I2078" s="154"/>
      <c r="J2078" s="155"/>
      <c r="K2078" s="156"/>
      <c r="L2078" s="157"/>
      <c r="M2078" s="158" t="s">
        <v>28</v>
      </c>
      <c r="N2078" s="159" t="s">
        <v>29</v>
      </c>
    </row>
    <row r="2079" spans="1:14">
      <c r="A2079" s="148"/>
      <c r="B2079" s="149"/>
      <c r="C2079" s="160"/>
      <c r="D2079" s="151"/>
      <c r="E2079" s="152"/>
      <c r="F2079" s="153"/>
      <c r="G2079" s="154"/>
      <c r="H2079" s="154"/>
      <c r="I2079" s="154"/>
      <c r="J2079" s="155"/>
      <c r="K2079" s="156"/>
      <c r="L2079" s="157"/>
      <c r="M2079" s="158" t="s">
        <v>28</v>
      </c>
      <c r="N2079" s="159" t="s">
        <v>29</v>
      </c>
    </row>
    <row r="2080" spans="1:14">
      <c r="A2080" s="148"/>
      <c r="B2080" s="149"/>
      <c r="C2080" s="160"/>
      <c r="D2080" s="151"/>
      <c r="E2080" s="152"/>
      <c r="F2080" s="153"/>
      <c r="G2080" s="154"/>
      <c r="H2080" s="154"/>
      <c r="I2080" s="154"/>
      <c r="J2080" s="155"/>
      <c r="K2080" s="156"/>
      <c r="L2080" s="157"/>
      <c r="M2080" s="158" t="s">
        <v>28</v>
      </c>
      <c r="N2080" s="159" t="s">
        <v>29</v>
      </c>
    </row>
    <row r="2081" spans="1:14">
      <c r="A2081" s="148"/>
      <c r="B2081" s="149"/>
      <c r="C2081" s="160"/>
      <c r="D2081" s="151"/>
      <c r="E2081" s="152"/>
      <c r="F2081" s="153"/>
      <c r="G2081" s="154"/>
      <c r="H2081" s="154"/>
      <c r="I2081" s="154"/>
      <c r="J2081" s="155"/>
      <c r="K2081" s="156"/>
      <c r="L2081" s="157"/>
      <c r="M2081" s="158" t="s">
        <v>28</v>
      </c>
      <c r="N2081" s="159" t="s">
        <v>29</v>
      </c>
    </row>
    <row r="2082" spans="1:14">
      <c r="A2082" s="148"/>
      <c r="B2082" s="149"/>
      <c r="C2082" s="160"/>
      <c r="D2082" s="151"/>
      <c r="E2082" s="152"/>
      <c r="F2082" s="153"/>
      <c r="G2082" s="154"/>
      <c r="H2082" s="154"/>
      <c r="I2082" s="154"/>
      <c r="J2082" s="155"/>
      <c r="K2082" s="156"/>
      <c r="L2082" s="157"/>
      <c r="M2082" s="158" t="s">
        <v>28</v>
      </c>
      <c r="N2082" s="159" t="s">
        <v>29</v>
      </c>
    </row>
    <row r="2083" spans="1:14">
      <c r="A2083" s="148"/>
      <c r="B2083" s="149"/>
      <c r="C2083" s="160"/>
      <c r="D2083" s="151"/>
      <c r="E2083" s="152"/>
      <c r="F2083" s="153"/>
      <c r="G2083" s="154"/>
      <c r="H2083" s="154"/>
      <c r="I2083" s="154"/>
      <c r="J2083" s="155"/>
      <c r="K2083" s="156"/>
      <c r="L2083" s="157"/>
      <c r="M2083" s="158" t="s">
        <v>28</v>
      </c>
      <c r="N2083" s="159" t="s">
        <v>29</v>
      </c>
    </row>
    <row r="2084" spans="1:14">
      <c r="A2084" s="148"/>
      <c r="B2084" s="149"/>
      <c r="C2084" s="160"/>
      <c r="D2084" s="151"/>
      <c r="E2084" s="152"/>
      <c r="F2084" s="153"/>
      <c r="G2084" s="154"/>
      <c r="H2084" s="154"/>
      <c r="I2084" s="154"/>
      <c r="J2084" s="155"/>
      <c r="K2084" s="156"/>
      <c r="L2084" s="157"/>
      <c r="M2084" s="158" t="s">
        <v>28</v>
      </c>
      <c r="N2084" s="159" t="s">
        <v>29</v>
      </c>
    </row>
    <row r="2085" spans="1:14">
      <c r="A2085" s="148"/>
      <c r="B2085" s="149"/>
      <c r="C2085" s="160"/>
      <c r="D2085" s="151"/>
      <c r="E2085" s="152"/>
      <c r="F2085" s="153"/>
      <c r="G2085" s="154"/>
      <c r="H2085" s="154"/>
      <c r="I2085" s="154"/>
      <c r="J2085" s="155"/>
      <c r="K2085" s="156"/>
      <c r="L2085" s="157"/>
      <c r="M2085" s="158" t="s">
        <v>28</v>
      </c>
      <c r="N2085" s="159" t="s">
        <v>29</v>
      </c>
    </row>
    <row r="2086" spans="1:14">
      <c r="A2086" s="148"/>
      <c r="B2086" s="149"/>
      <c r="C2086" s="160"/>
      <c r="D2086" s="151"/>
      <c r="E2086" s="152"/>
      <c r="F2086" s="153"/>
      <c r="G2086" s="154"/>
      <c r="H2086" s="154"/>
      <c r="I2086" s="154"/>
      <c r="J2086" s="155"/>
      <c r="K2086" s="156"/>
      <c r="L2086" s="157"/>
      <c r="M2086" s="158" t="s">
        <v>28</v>
      </c>
      <c r="N2086" s="159" t="s">
        <v>29</v>
      </c>
    </row>
    <row r="2087" spans="1:14">
      <c r="A2087" s="148"/>
      <c r="B2087" s="149"/>
      <c r="C2087" s="160"/>
      <c r="D2087" s="151"/>
      <c r="E2087" s="152"/>
      <c r="F2087" s="153"/>
      <c r="G2087" s="154"/>
      <c r="H2087" s="154"/>
      <c r="I2087" s="154"/>
      <c r="J2087" s="155"/>
      <c r="K2087" s="156"/>
      <c r="L2087" s="157"/>
      <c r="M2087" s="158" t="s">
        <v>28</v>
      </c>
      <c r="N2087" s="159" t="s">
        <v>29</v>
      </c>
    </row>
    <row r="2088" spans="1:14">
      <c r="A2088" s="148"/>
      <c r="B2088" s="149"/>
      <c r="C2088" s="160"/>
      <c r="D2088" s="151"/>
      <c r="E2088" s="152"/>
      <c r="F2088" s="153"/>
      <c r="G2088" s="154"/>
      <c r="H2088" s="154"/>
      <c r="I2088" s="154"/>
      <c r="J2088" s="155"/>
      <c r="K2088" s="156"/>
      <c r="L2088" s="157"/>
      <c r="M2088" s="158" t="s">
        <v>28</v>
      </c>
      <c r="N2088" s="159" t="s">
        <v>29</v>
      </c>
    </row>
    <row r="2089" spans="1:14">
      <c r="A2089" s="148"/>
      <c r="B2089" s="149"/>
      <c r="C2089" s="160"/>
      <c r="D2089" s="151"/>
      <c r="E2089" s="152"/>
      <c r="F2089" s="153"/>
      <c r="G2089" s="154"/>
      <c r="H2089" s="154"/>
      <c r="I2089" s="154"/>
      <c r="J2089" s="155"/>
      <c r="K2089" s="156"/>
      <c r="L2089" s="157"/>
      <c r="M2089" s="158" t="s">
        <v>28</v>
      </c>
      <c r="N2089" s="159" t="s">
        <v>29</v>
      </c>
    </row>
    <row r="2090" spans="1:14">
      <c r="A2090" s="148"/>
      <c r="B2090" s="149"/>
      <c r="C2090" s="160"/>
      <c r="D2090" s="151"/>
      <c r="E2090" s="152"/>
      <c r="F2090" s="153"/>
      <c r="G2090" s="154"/>
      <c r="H2090" s="154"/>
      <c r="I2090" s="154"/>
      <c r="J2090" s="155"/>
      <c r="K2090" s="156"/>
      <c r="L2090" s="157"/>
      <c r="M2090" s="158" t="s">
        <v>28</v>
      </c>
      <c r="N2090" s="159" t="s">
        <v>29</v>
      </c>
    </row>
    <row r="2091" spans="1:14">
      <c r="A2091" s="148"/>
      <c r="B2091" s="149"/>
      <c r="C2091" s="160"/>
      <c r="D2091" s="151"/>
      <c r="E2091" s="152"/>
      <c r="F2091" s="153"/>
      <c r="G2091" s="154"/>
      <c r="H2091" s="154"/>
      <c r="I2091" s="154"/>
      <c r="J2091" s="155"/>
      <c r="K2091" s="156"/>
      <c r="L2091" s="157"/>
      <c r="M2091" s="158" t="s">
        <v>28</v>
      </c>
      <c r="N2091" s="159" t="s">
        <v>29</v>
      </c>
    </row>
    <row r="2092" spans="1:14">
      <c r="A2092" s="148"/>
      <c r="B2092" s="149"/>
      <c r="C2092" s="160"/>
      <c r="D2092" s="151"/>
      <c r="E2092" s="152"/>
      <c r="F2092" s="153"/>
      <c r="G2092" s="154"/>
      <c r="H2092" s="154"/>
      <c r="I2092" s="154"/>
      <c r="J2092" s="155"/>
      <c r="K2092" s="156"/>
      <c r="L2092" s="157"/>
      <c r="M2092" s="158" t="s">
        <v>28</v>
      </c>
      <c r="N2092" s="159" t="s">
        <v>29</v>
      </c>
    </row>
    <row r="2093" spans="1:14">
      <c r="A2093" s="148"/>
      <c r="B2093" s="149"/>
      <c r="C2093" s="160"/>
      <c r="D2093" s="151"/>
      <c r="E2093" s="152"/>
      <c r="F2093" s="153"/>
      <c r="G2093" s="154"/>
      <c r="H2093" s="154"/>
      <c r="I2093" s="154"/>
      <c r="J2093" s="155"/>
      <c r="K2093" s="156"/>
      <c r="L2093" s="157"/>
      <c r="M2093" s="158" t="s">
        <v>28</v>
      </c>
      <c r="N2093" s="159" t="s">
        <v>29</v>
      </c>
    </row>
    <row r="2094" spans="1:14">
      <c r="A2094" s="148"/>
      <c r="B2094" s="149"/>
      <c r="C2094" s="160"/>
      <c r="D2094" s="151"/>
      <c r="E2094" s="152"/>
      <c r="F2094" s="153"/>
      <c r="G2094" s="154"/>
      <c r="H2094" s="154"/>
      <c r="I2094" s="154"/>
      <c r="J2094" s="155"/>
      <c r="K2094" s="156"/>
      <c r="L2094" s="157"/>
      <c r="M2094" s="158" t="s">
        <v>28</v>
      </c>
      <c r="N2094" s="159" t="s">
        <v>29</v>
      </c>
    </row>
    <row r="2095" spans="1:14">
      <c r="A2095" s="148"/>
      <c r="B2095" s="149"/>
      <c r="C2095" s="160"/>
      <c r="D2095" s="151"/>
      <c r="E2095" s="152"/>
      <c r="F2095" s="153"/>
      <c r="G2095" s="154"/>
      <c r="H2095" s="154"/>
      <c r="I2095" s="154"/>
      <c r="J2095" s="155"/>
      <c r="K2095" s="156"/>
      <c r="L2095" s="157"/>
      <c r="M2095" s="158" t="s">
        <v>28</v>
      </c>
      <c r="N2095" s="159" t="s">
        <v>29</v>
      </c>
    </row>
    <row r="2096" spans="1:14">
      <c r="A2096" s="148"/>
      <c r="B2096" s="149"/>
      <c r="C2096" s="160"/>
      <c r="D2096" s="151"/>
      <c r="E2096" s="152"/>
      <c r="F2096" s="153"/>
      <c r="G2096" s="154"/>
      <c r="H2096" s="154"/>
      <c r="I2096" s="154"/>
      <c r="J2096" s="155"/>
      <c r="K2096" s="156"/>
      <c r="L2096" s="157"/>
      <c r="M2096" s="158" t="s">
        <v>28</v>
      </c>
      <c r="N2096" s="159" t="s">
        <v>29</v>
      </c>
    </row>
    <row r="2097" spans="1:14">
      <c r="A2097" s="148"/>
      <c r="B2097" s="149"/>
      <c r="C2097" s="160"/>
      <c r="D2097" s="151"/>
      <c r="E2097" s="152"/>
      <c r="F2097" s="153"/>
      <c r="G2097" s="154"/>
      <c r="H2097" s="154"/>
      <c r="I2097" s="154"/>
      <c r="J2097" s="155"/>
      <c r="K2097" s="156"/>
      <c r="L2097" s="157"/>
      <c r="M2097" s="158" t="s">
        <v>28</v>
      </c>
      <c r="N2097" s="159" t="s">
        <v>29</v>
      </c>
    </row>
    <row r="2098" spans="1:14">
      <c r="A2098" s="148"/>
      <c r="B2098" s="149"/>
      <c r="C2098" s="160"/>
      <c r="D2098" s="151"/>
      <c r="E2098" s="152"/>
      <c r="F2098" s="153"/>
      <c r="G2098" s="154"/>
      <c r="H2098" s="154"/>
      <c r="I2098" s="154"/>
      <c r="J2098" s="155"/>
      <c r="K2098" s="156"/>
      <c r="L2098" s="157"/>
      <c r="M2098" s="158" t="s">
        <v>28</v>
      </c>
      <c r="N2098" s="159" t="s">
        <v>29</v>
      </c>
    </row>
    <row r="2099" spans="1:14">
      <c r="A2099" s="148"/>
      <c r="B2099" s="149"/>
      <c r="C2099" s="160"/>
      <c r="D2099" s="151"/>
      <c r="E2099" s="152"/>
      <c r="F2099" s="153"/>
      <c r="G2099" s="154"/>
      <c r="H2099" s="154"/>
      <c r="I2099" s="154"/>
      <c r="J2099" s="155"/>
      <c r="K2099" s="156"/>
      <c r="L2099" s="157"/>
      <c r="M2099" s="158" t="s">
        <v>28</v>
      </c>
      <c r="N2099" s="159" t="s">
        <v>29</v>
      </c>
    </row>
    <row r="2100" spans="1:14">
      <c r="A2100" s="148"/>
      <c r="B2100" s="149"/>
      <c r="C2100" s="160"/>
      <c r="D2100" s="151"/>
      <c r="E2100" s="152"/>
      <c r="F2100" s="153"/>
      <c r="G2100" s="154"/>
      <c r="H2100" s="154"/>
      <c r="I2100" s="154"/>
      <c r="J2100" s="155"/>
      <c r="K2100" s="156"/>
      <c r="L2100" s="157"/>
      <c r="M2100" s="158" t="s">
        <v>28</v>
      </c>
      <c r="N2100" s="159" t="s">
        <v>29</v>
      </c>
    </row>
    <row r="2101" spans="1:14">
      <c r="A2101" s="148"/>
      <c r="B2101" s="149"/>
      <c r="C2101" s="160"/>
      <c r="D2101" s="151"/>
      <c r="E2101" s="152"/>
      <c r="F2101" s="153"/>
      <c r="G2101" s="154"/>
      <c r="H2101" s="154"/>
      <c r="I2101" s="154"/>
      <c r="J2101" s="155"/>
      <c r="K2101" s="156"/>
      <c r="L2101" s="157"/>
      <c r="M2101" s="158" t="s">
        <v>28</v>
      </c>
      <c r="N2101" s="159" t="s">
        <v>29</v>
      </c>
    </row>
    <row r="2102" spans="1:14">
      <c r="A2102" s="148"/>
      <c r="B2102" s="149"/>
      <c r="C2102" s="160"/>
      <c r="D2102" s="151"/>
      <c r="E2102" s="152"/>
      <c r="F2102" s="153"/>
      <c r="G2102" s="154"/>
      <c r="H2102" s="154"/>
      <c r="I2102" s="154"/>
      <c r="J2102" s="155"/>
      <c r="K2102" s="156"/>
      <c r="L2102" s="157"/>
      <c r="M2102" s="158" t="s">
        <v>28</v>
      </c>
      <c r="N2102" s="159" t="s">
        <v>29</v>
      </c>
    </row>
    <row r="2103" spans="1:14">
      <c r="A2103" s="148"/>
      <c r="B2103" s="149"/>
      <c r="C2103" s="160"/>
      <c r="D2103" s="151"/>
      <c r="E2103" s="152"/>
      <c r="F2103" s="153"/>
      <c r="G2103" s="154"/>
      <c r="H2103" s="154"/>
      <c r="I2103" s="154"/>
      <c r="J2103" s="155"/>
      <c r="K2103" s="156"/>
      <c r="L2103" s="157"/>
      <c r="M2103" s="158" t="s">
        <v>28</v>
      </c>
      <c r="N2103" s="159" t="s">
        <v>29</v>
      </c>
    </row>
    <row r="2104" spans="1:14">
      <c r="A2104" s="148"/>
      <c r="B2104" s="149"/>
      <c r="C2104" s="160"/>
      <c r="D2104" s="151"/>
      <c r="E2104" s="152"/>
      <c r="F2104" s="153"/>
      <c r="G2104" s="154"/>
      <c r="H2104" s="154"/>
      <c r="I2104" s="154"/>
      <c r="J2104" s="155"/>
      <c r="K2104" s="156"/>
      <c r="L2104" s="157"/>
      <c r="M2104" s="158" t="s">
        <v>28</v>
      </c>
      <c r="N2104" s="159" t="s">
        <v>29</v>
      </c>
    </row>
    <row r="2105" spans="1:14">
      <c r="A2105" s="148"/>
      <c r="B2105" s="149"/>
      <c r="C2105" s="160"/>
      <c r="D2105" s="151"/>
      <c r="E2105" s="152"/>
      <c r="F2105" s="153"/>
      <c r="G2105" s="154"/>
      <c r="H2105" s="154"/>
      <c r="I2105" s="154"/>
      <c r="J2105" s="155"/>
      <c r="K2105" s="156"/>
      <c r="L2105" s="157"/>
      <c r="M2105" s="158" t="s">
        <v>28</v>
      </c>
      <c r="N2105" s="159" t="s">
        <v>29</v>
      </c>
    </row>
    <row r="2106" spans="1:14">
      <c r="A2106" s="148"/>
      <c r="B2106" s="149"/>
      <c r="C2106" s="160"/>
      <c r="D2106" s="151"/>
      <c r="E2106" s="152"/>
      <c r="F2106" s="153"/>
      <c r="G2106" s="154"/>
      <c r="H2106" s="154"/>
      <c r="I2106" s="154"/>
      <c r="J2106" s="155"/>
      <c r="K2106" s="156"/>
      <c r="L2106" s="157"/>
      <c r="M2106" s="158" t="s">
        <v>28</v>
      </c>
      <c r="N2106" s="159" t="s">
        <v>29</v>
      </c>
    </row>
    <row r="2107" spans="1:14">
      <c r="A2107" s="148"/>
      <c r="B2107" s="149"/>
      <c r="C2107" s="160"/>
      <c r="D2107" s="151"/>
      <c r="E2107" s="152"/>
      <c r="F2107" s="153"/>
      <c r="G2107" s="154"/>
      <c r="H2107" s="154"/>
      <c r="I2107" s="154"/>
      <c r="J2107" s="155"/>
      <c r="K2107" s="156"/>
      <c r="L2107" s="157"/>
      <c r="M2107" s="158" t="s">
        <v>28</v>
      </c>
      <c r="N2107" s="159" t="s">
        <v>29</v>
      </c>
    </row>
    <row r="2108" spans="1:14">
      <c r="A2108" s="148"/>
      <c r="B2108" s="149"/>
      <c r="C2108" s="160"/>
      <c r="D2108" s="151"/>
      <c r="E2108" s="152"/>
      <c r="F2108" s="153"/>
      <c r="G2108" s="154"/>
      <c r="H2108" s="154"/>
      <c r="I2108" s="154"/>
      <c r="J2108" s="155"/>
      <c r="K2108" s="156"/>
      <c r="L2108" s="157"/>
      <c r="M2108" s="158" t="s">
        <v>28</v>
      </c>
      <c r="N2108" s="159" t="s">
        <v>29</v>
      </c>
    </row>
    <row r="2109" spans="1:14">
      <c r="A2109" s="148"/>
      <c r="B2109" s="149"/>
      <c r="C2109" s="160"/>
      <c r="D2109" s="151"/>
      <c r="E2109" s="152"/>
      <c r="F2109" s="153"/>
      <c r="G2109" s="154"/>
      <c r="H2109" s="154"/>
      <c r="I2109" s="154"/>
      <c r="J2109" s="155"/>
      <c r="K2109" s="156"/>
      <c r="L2109" s="157"/>
      <c r="M2109" s="158" t="s">
        <v>28</v>
      </c>
      <c r="N2109" s="159" t="s">
        <v>29</v>
      </c>
    </row>
    <row r="2110" spans="1:14">
      <c r="A2110" s="148"/>
      <c r="B2110" s="149"/>
      <c r="C2110" s="160"/>
      <c r="D2110" s="151"/>
      <c r="E2110" s="152"/>
      <c r="F2110" s="153"/>
      <c r="G2110" s="154"/>
      <c r="H2110" s="154"/>
      <c r="I2110" s="154"/>
      <c r="J2110" s="155"/>
      <c r="K2110" s="156"/>
      <c r="L2110" s="157"/>
      <c r="M2110" s="158" t="s">
        <v>28</v>
      </c>
      <c r="N2110" s="159" t="s">
        <v>29</v>
      </c>
    </row>
    <row r="2111" spans="1:14">
      <c r="A2111" s="148"/>
      <c r="B2111" s="149"/>
      <c r="C2111" s="160"/>
      <c r="D2111" s="151"/>
      <c r="E2111" s="152"/>
      <c r="F2111" s="153"/>
      <c r="G2111" s="154"/>
      <c r="H2111" s="154"/>
      <c r="I2111" s="154"/>
      <c r="J2111" s="155"/>
      <c r="K2111" s="156"/>
      <c r="L2111" s="157"/>
      <c r="M2111" s="158" t="s">
        <v>28</v>
      </c>
      <c r="N2111" s="159" t="s">
        <v>29</v>
      </c>
    </row>
    <row r="2112" spans="1:14">
      <c r="A2112" s="148"/>
      <c r="B2112" s="149"/>
      <c r="C2112" s="160"/>
      <c r="D2112" s="151"/>
      <c r="E2112" s="152"/>
      <c r="F2112" s="153"/>
      <c r="G2112" s="154"/>
      <c r="H2112" s="154"/>
      <c r="I2112" s="154"/>
      <c r="J2112" s="155"/>
      <c r="K2112" s="156"/>
      <c r="L2112" s="157"/>
      <c r="M2112" s="158" t="s">
        <v>28</v>
      </c>
      <c r="N2112" s="159" t="s">
        <v>29</v>
      </c>
    </row>
    <row r="2113" spans="1:14">
      <c r="A2113" s="148"/>
      <c r="B2113" s="149"/>
      <c r="C2113" s="160"/>
      <c r="D2113" s="151"/>
      <c r="E2113" s="152"/>
      <c r="F2113" s="153"/>
      <c r="G2113" s="154"/>
      <c r="H2113" s="154"/>
      <c r="I2113" s="154"/>
      <c r="J2113" s="155"/>
      <c r="K2113" s="156"/>
      <c r="L2113" s="157"/>
      <c r="M2113" s="158" t="s">
        <v>28</v>
      </c>
      <c r="N2113" s="159" t="s">
        <v>29</v>
      </c>
    </row>
    <row r="2114" spans="1:14">
      <c r="A2114" s="148"/>
      <c r="B2114" s="149"/>
      <c r="C2114" s="160"/>
      <c r="D2114" s="151"/>
      <c r="E2114" s="152"/>
      <c r="F2114" s="153"/>
      <c r="G2114" s="154"/>
      <c r="H2114" s="154"/>
      <c r="I2114" s="154"/>
      <c r="J2114" s="155"/>
      <c r="K2114" s="156"/>
      <c r="L2114" s="157"/>
      <c r="M2114" s="158" t="s">
        <v>28</v>
      </c>
      <c r="N2114" s="159" t="s">
        <v>29</v>
      </c>
    </row>
    <row r="2115" spans="1:14">
      <c r="A2115" s="148"/>
      <c r="B2115" s="149"/>
      <c r="C2115" s="160"/>
      <c r="D2115" s="151"/>
      <c r="E2115" s="152"/>
      <c r="F2115" s="153"/>
      <c r="G2115" s="154"/>
      <c r="H2115" s="154"/>
      <c r="I2115" s="154"/>
      <c r="J2115" s="155"/>
      <c r="K2115" s="156"/>
      <c r="L2115" s="157"/>
      <c r="M2115" s="158" t="s">
        <v>28</v>
      </c>
      <c r="N2115" s="159" t="s">
        <v>29</v>
      </c>
    </row>
    <row r="2116" spans="1:14">
      <c r="A2116" s="148"/>
      <c r="B2116" s="149"/>
      <c r="C2116" s="160"/>
      <c r="D2116" s="151"/>
      <c r="E2116" s="152"/>
      <c r="F2116" s="153"/>
      <c r="G2116" s="154"/>
      <c r="H2116" s="154"/>
      <c r="I2116" s="154"/>
      <c r="J2116" s="155"/>
      <c r="K2116" s="156"/>
      <c r="L2116" s="157"/>
      <c r="M2116" s="158" t="s">
        <v>28</v>
      </c>
      <c r="N2116" s="159" t="s">
        <v>29</v>
      </c>
    </row>
    <row r="2117" spans="1:14">
      <c r="A2117" s="148"/>
      <c r="B2117" s="149"/>
      <c r="C2117" s="160"/>
      <c r="D2117" s="151"/>
      <c r="E2117" s="152"/>
      <c r="F2117" s="153"/>
      <c r="G2117" s="154"/>
      <c r="H2117" s="154"/>
      <c r="I2117" s="154"/>
      <c r="J2117" s="155"/>
      <c r="K2117" s="156"/>
      <c r="L2117" s="157"/>
      <c r="M2117" s="158" t="s">
        <v>28</v>
      </c>
      <c r="N2117" s="159" t="s">
        <v>29</v>
      </c>
    </row>
    <row r="2118" spans="1:14">
      <c r="A2118" s="148"/>
      <c r="B2118" s="149"/>
      <c r="C2118" s="160"/>
      <c r="D2118" s="151"/>
      <c r="E2118" s="152"/>
      <c r="F2118" s="153"/>
      <c r="G2118" s="154"/>
      <c r="H2118" s="154"/>
      <c r="I2118" s="154"/>
      <c r="J2118" s="155"/>
      <c r="K2118" s="156"/>
      <c r="L2118" s="157"/>
      <c r="M2118" s="158" t="s">
        <v>28</v>
      </c>
      <c r="N2118" s="159" t="s">
        <v>29</v>
      </c>
    </row>
    <row r="2119" spans="1:14">
      <c r="A2119" s="148"/>
      <c r="B2119" s="149"/>
      <c r="C2119" s="160"/>
      <c r="D2119" s="151"/>
      <c r="E2119" s="152"/>
      <c r="F2119" s="153"/>
      <c r="G2119" s="154"/>
      <c r="H2119" s="154"/>
      <c r="I2119" s="154"/>
      <c r="J2119" s="155"/>
      <c r="K2119" s="156"/>
      <c r="L2119" s="157"/>
      <c r="M2119" s="158" t="s">
        <v>28</v>
      </c>
      <c r="N2119" s="159" t="s">
        <v>29</v>
      </c>
    </row>
    <row r="2120" spans="1:14">
      <c r="A2120" s="148"/>
      <c r="B2120" s="149"/>
      <c r="C2120" s="160"/>
      <c r="D2120" s="151"/>
      <c r="E2120" s="152"/>
      <c r="F2120" s="153"/>
      <c r="G2120" s="154"/>
      <c r="H2120" s="154"/>
      <c r="I2120" s="154"/>
      <c r="J2120" s="155"/>
      <c r="K2120" s="156"/>
      <c r="L2120" s="157"/>
      <c r="M2120" s="158" t="s">
        <v>28</v>
      </c>
      <c r="N2120" s="159" t="s">
        <v>29</v>
      </c>
    </row>
    <row r="2121" spans="1:14">
      <c r="A2121" s="148"/>
      <c r="B2121" s="149"/>
      <c r="C2121" s="160"/>
      <c r="D2121" s="151"/>
      <c r="E2121" s="152"/>
      <c r="F2121" s="153"/>
      <c r="G2121" s="154"/>
      <c r="H2121" s="154"/>
      <c r="I2121" s="154"/>
      <c r="J2121" s="155"/>
      <c r="K2121" s="156"/>
      <c r="L2121" s="157"/>
      <c r="M2121" s="158" t="s">
        <v>28</v>
      </c>
      <c r="N2121" s="159" t="s">
        <v>29</v>
      </c>
    </row>
    <row r="2122" spans="1:14">
      <c r="A2122" s="148"/>
      <c r="B2122" s="149"/>
      <c r="C2122" s="160"/>
      <c r="D2122" s="151"/>
      <c r="E2122" s="152"/>
      <c r="F2122" s="153"/>
      <c r="G2122" s="154"/>
      <c r="H2122" s="154"/>
      <c r="I2122" s="154"/>
      <c r="J2122" s="155"/>
      <c r="K2122" s="156"/>
      <c r="L2122" s="157"/>
      <c r="M2122" s="158" t="s">
        <v>28</v>
      </c>
      <c r="N2122" s="159" t="s">
        <v>29</v>
      </c>
    </row>
    <row r="2123" spans="1:14">
      <c r="A2123" s="148"/>
      <c r="B2123" s="149"/>
      <c r="C2123" s="160"/>
      <c r="D2123" s="151"/>
      <c r="E2123" s="152"/>
      <c r="F2123" s="153"/>
      <c r="G2123" s="154"/>
      <c r="H2123" s="154"/>
      <c r="I2123" s="154"/>
      <c r="J2123" s="155"/>
      <c r="K2123" s="156"/>
      <c r="L2123" s="157"/>
      <c r="M2123" s="158" t="s">
        <v>28</v>
      </c>
      <c r="N2123" s="159" t="s">
        <v>29</v>
      </c>
    </row>
    <row r="2124" spans="1:14">
      <c r="A2124" s="148"/>
      <c r="B2124" s="149"/>
      <c r="C2124" s="160"/>
      <c r="D2124" s="151"/>
      <c r="E2124" s="152"/>
      <c r="F2124" s="153"/>
      <c r="G2124" s="154"/>
      <c r="H2124" s="154"/>
      <c r="I2124" s="154"/>
      <c r="J2124" s="155"/>
      <c r="K2124" s="156"/>
      <c r="L2124" s="157"/>
      <c r="M2124" s="158" t="s">
        <v>28</v>
      </c>
      <c r="N2124" s="159" t="s">
        <v>29</v>
      </c>
    </row>
    <row r="2125" spans="1:14">
      <c r="A2125" s="148"/>
      <c r="B2125" s="149"/>
      <c r="C2125" s="160"/>
      <c r="D2125" s="151"/>
      <c r="E2125" s="152"/>
      <c r="F2125" s="153"/>
      <c r="G2125" s="154"/>
      <c r="H2125" s="154"/>
      <c r="I2125" s="154"/>
      <c r="J2125" s="155"/>
      <c r="K2125" s="156"/>
      <c r="L2125" s="157"/>
      <c r="M2125" s="158" t="s">
        <v>28</v>
      </c>
      <c r="N2125" s="159" t="s">
        <v>29</v>
      </c>
    </row>
    <row r="2126" spans="1:14">
      <c r="A2126" s="148"/>
      <c r="B2126" s="149"/>
      <c r="C2126" s="160"/>
      <c r="D2126" s="151"/>
      <c r="E2126" s="152"/>
      <c r="F2126" s="153"/>
      <c r="G2126" s="154"/>
      <c r="H2126" s="154"/>
      <c r="I2126" s="154"/>
      <c r="J2126" s="155"/>
      <c r="K2126" s="156"/>
      <c r="L2126" s="157"/>
      <c r="M2126" s="158" t="s">
        <v>28</v>
      </c>
      <c r="N2126" s="159" t="s">
        <v>29</v>
      </c>
    </row>
    <row r="2127" spans="1:14">
      <c r="A2127" s="148"/>
      <c r="B2127" s="149"/>
      <c r="C2127" s="160"/>
      <c r="D2127" s="151"/>
      <c r="E2127" s="152"/>
      <c r="F2127" s="153"/>
      <c r="G2127" s="154"/>
      <c r="H2127" s="154"/>
      <c r="I2127" s="154"/>
      <c r="J2127" s="155"/>
      <c r="K2127" s="156"/>
      <c r="L2127" s="157"/>
      <c r="M2127" s="158" t="s">
        <v>28</v>
      </c>
      <c r="N2127" s="159" t="s">
        <v>29</v>
      </c>
    </row>
    <row r="2128" spans="1:14">
      <c r="A2128" s="148"/>
      <c r="B2128" s="149"/>
      <c r="C2128" s="160"/>
      <c r="D2128" s="151"/>
      <c r="E2128" s="152"/>
      <c r="F2128" s="153"/>
      <c r="G2128" s="154"/>
      <c r="H2128" s="154"/>
      <c r="I2128" s="154"/>
      <c r="J2128" s="155"/>
      <c r="K2128" s="156"/>
      <c r="L2128" s="157"/>
      <c r="M2128" s="158" t="s">
        <v>28</v>
      </c>
      <c r="N2128" s="159" t="s">
        <v>29</v>
      </c>
    </row>
    <row r="2129" spans="1:14">
      <c r="A2129" s="148"/>
      <c r="B2129" s="149"/>
      <c r="C2129" s="160"/>
      <c r="D2129" s="151"/>
      <c r="E2129" s="152"/>
      <c r="F2129" s="153"/>
      <c r="G2129" s="154"/>
      <c r="H2129" s="154"/>
      <c r="I2129" s="154"/>
      <c r="J2129" s="155"/>
      <c r="K2129" s="156"/>
      <c r="L2129" s="157"/>
      <c r="M2129" s="158" t="s">
        <v>28</v>
      </c>
      <c r="N2129" s="159" t="s">
        <v>29</v>
      </c>
    </row>
    <row r="2130" spans="1:14">
      <c r="A2130" s="148"/>
      <c r="B2130" s="149"/>
      <c r="C2130" s="160"/>
      <c r="D2130" s="151"/>
      <c r="E2130" s="152"/>
      <c r="F2130" s="153"/>
      <c r="G2130" s="154"/>
      <c r="H2130" s="154"/>
      <c r="I2130" s="154"/>
      <c r="J2130" s="155"/>
      <c r="K2130" s="156"/>
      <c r="L2130" s="157"/>
      <c r="M2130" s="158" t="s">
        <v>28</v>
      </c>
      <c r="N2130" s="159" t="s">
        <v>29</v>
      </c>
    </row>
    <row r="2131" spans="1:14">
      <c r="A2131" s="148"/>
      <c r="B2131" s="149"/>
      <c r="C2131" s="160"/>
      <c r="D2131" s="151"/>
      <c r="E2131" s="152"/>
      <c r="F2131" s="153"/>
      <c r="G2131" s="154"/>
      <c r="H2131" s="154"/>
      <c r="I2131" s="154"/>
      <c r="J2131" s="155"/>
      <c r="K2131" s="156"/>
      <c r="L2131" s="157"/>
      <c r="M2131" s="158" t="s">
        <v>28</v>
      </c>
      <c r="N2131" s="159" t="s">
        <v>29</v>
      </c>
    </row>
    <row r="2132" spans="1:14">
      <c r="A2132" s="148"/>
      <c r="B2132" s="149"/>
      <c r="C2132" s="160"/>
      <c r="D2132" s="151"/>
      <c r="E2132" s="152"/>
      <c r="F2132" s="153"/>
      <c r="G2132" s="154"/>
      <c r="H2132" s="154"/>
      <c r="I2132" s="154"/>
      <c r="J2132" s="155"/>
      <c r="K2132" s="156"/>
      <c r="L2132" s="157"/>
      <c r="M2132" s="158" t="s">
        <v>28</v>
      </c>
      <c r="N2132" s="159" t="s">
        <v>29</v>
      </c>
    </row>
    <row r="2133" spans="1:14">
      <c r="A2133" s="148"/>
      <c r="B2133" s="149"/>
      <c r="C2133" s="160"/>
      <c r="D2133" s="151"/>
      <c r="E2133" s="152"/>
      <c r="F2133" s="153"/>
      <c r="G2133" s="154"/>
      <c r="H2133" s="154"/>
      <c r="I2133" s="154"/>
      <c r="J2133" s="155"/>
      <c r="K2133" s="156"/>
      <c r="L2133" s="157"/>
      <c r="M2133" s="158" t="s">
        <v>28</v>
      </c>
      <c r="N2133" s="159" t="s">
        <v>29</v>
      </c>
    </row>
    <row r="2134" spans="1:14">
      <c r="A2134" s="148"/>
      <c r="B2134" s="149"/>
      <c r="C2134" s="160"/>
      <c r="D2134" s="151"/>
      <c r="E2134" s="152"/>
      <c r="F2134" s="153"/>
      <c r="G2134" s="154"/>
      <c r="H2134" s="154"/>
      <c r="I2134" s="154"/>
      <c r="J2134" s="155"/>
      <c r="K2134" s="156"/>
      <c r="L2134" s="157"/>
      <c r="M2134" s="158" t="s">
        <v>28</v>
      </c>
      <c r="N2134" s="159" t="s">
        <v>29</v>
      </c>
    </row>
    <row r="2135" spans="1:14">
      <c r="A2135" s="148"/>
      <c r="B2135" s="149"/>
      <c r="C2135" s="160"/>
      <c r="D2135" s="151"/>
      <c r="E2135" s="152"/>
      <c r="F2135" s="153"/>
      <c r="G2135" s="154"/>
      <c r="H2135" s="154"/>
      <c r="I2135" s="154"/>
      <c r="J2135" s="155"/>
      <c r="K2135" s="156"/>
      <c r="L2135" s="157"/>
      <c r="M2135" s="158" t="s">
        <v>28</v>
      </c>
      <c r="N2135" s="159" t="s">
        <v>29</v>
      </c>
    </row>
    <row r="2136" spans="1:14">
      <c r="A2136" s="148"/>
      <c r="B2136" s="149"/>
      <c r="C2136" s="160"/>
      <c r="D2136" s="151"/>
      <c r="E2136" s="152"/>
      <c r="F2136" s="153"/>
      <c r="G2136" s="154"/>
      <c r="H2136" s="154"/>
      <c r="I2136" s="154"/>
      <c r="J2136" s="155"/>
      <c r="K2136" s="156"/>
      <c r="L2136" s="157"/>
      <c r="M2136" s="158" t="s">
        <v>28</v>
      </c>
      <c r="N2136" s="159" t="s">
        <v>29</v>
      </c>
    </row>
    <row r="2137" spans="1:14">
      <c r="A2137" s="148"/>
      <c r="B2137" s="149"/>
      <c r="C2137" s="160"/>
      <c r="D2137" s="151"/>
      <c r="E2137" s="152"/>
      <c r="F2137" s="153"/>
      <c r="G2137" s="154"/>
      <c r="H2137" s="154"/>
      <c r="I2137" s="154"/>
      <c r="J2137" s="155"/>
      <c r="K2137" s="156"/>
      <c r="L2137" s="157"/>
      <c r="M2137" s="158" t="s">
        <v>28</v>
      </c>
      <c r="N2137" s="159" t="s">
        <v>29</v>
      </c>
    </row>
    <row r="2138" spans="1:14">
      <c r="A2138" s="148"/>
      <c r="B2138" s="149"/>
      <c r="C2138" s="160"/>
      <c r="D2138" s="151"/>
      <c r="E2138" s="152"/>
      <c r="F2138" s="153"/>
      <c r="G2138" s="154"/>
      <c r="H2138" s="154"/>
      <c r="I2138" s="154"/>
      <c r="J2138" s="155"/>
      <c r="K2138" s="156"/>
      <c r="L2138" s="157"/>
      <c r="M2138" s="158" t="s">
        <v>28</v>
      </c>
      <c r="N2138" s="159" t="s">
        <v>29</v>
      </c>
    </row>
    <row r="2139" spans="1:14">
      <c r="A2139" s="148"/>
      <c r="B2139" s="149"/>
      <c r="C2139" s="160"/>
      <c r="D2139" s="151"/>
      <c r="E2139" s="152"/>
      <c r="F2139" s="153"/>
      <c r="G2139" s="154"/>
      <c r="H2139" s="154"/>
      <c r="I2139" s="154"/>
      <c r="J2139" s="155"/>
      <c r="K2139" s="156"/>
      <c r="L2139" s="157"/>
      <c r="M2139" s="158" t="s">
        <v>28</v>
      </c>
      <c r="N2139" s="159" t="s">
        <v>29</v>
      </c>
    </row>
    <row r="2140" spans="1:14">
      <c r="A2140" s="148"/>
      <c r="B2140" s="149"/>
      <c r="C2140" s="160"/>
      <c r="D2140" s="151"/>
      <c r="E2140" s="152"/>
      <c r="F2140" s="153"/>
      <c r="G2140" s="154"/>
      <c r="H2140" s="154"/>
      <c r="I2140" s="154"/>
      <c r="J2140" s="155"/>
      <c r="K2140" s="156"/>
      <c r="L2140" s="157"/>
      <c r="M2140" s="158" t="s">
        <v>28</v>
      </c>
      <c r="N2140" s="159" t="s">
        <v>29</v>
      </c>
    </row>
    <row r="2141" spans="1:14">
      <c r="A2141" s="148"/>
      <c r="B2141" s="149"/>
      <c r="C2141" s="160"/>
      <c r="D2141" s="151"/>
      <c r="E2141" s="152"/>
      <c r="F2141" s="153"/>
      <c r="G2141" s="154"/>
      <c r="H2141" s="154"/>
      <c r="I2141" s="154"/>
      <c r="J2141" s="155"/>
      <c r="K2141" s="156"/>
      <c r="L2141" s="157"/>
      <c r="M2141" s="158" t="s">
        <v>28</v>
      </c>
      <c r="N2141" s="159" t="s">
        <v>29</v>
      </c>
    </row>
    <row r="2142" spans="1:14">
      <c r="A2142" s="148"/>
      <c r="B2142" s="149"/>
      <c r="C2142" s="160"/>
      <c r="D2142" s="151"/>
      <c r="E2142" s="152"/>
      <c r="F2142" s="153"/>
      <c r="G2142" s="154"/>
      <c r="H2142" s="154"/>
      <c r="I2142" s="154"/>
      <c r="J2142" s="155"/>
      <c r="K2142" s="156"/>
      <c r="L2142" s="157"/>
      <c r="M2142" s="158" t="s">
        <v>28</v>
      </c>
      <c r="N2142" s="159" t="s">
        <v>29</v>
      </c>
    </row>
    <row r="2143" spans="1:14">
      <c r="A2143" s="148"/>
      <c r="B2143" s="149"/>
      <c r="C2143" s="160"/>
      <c r="D2143" s="151"/>
      <c r="E2143" s="152"/>
      <c r="F2143" s="153"/>
      <c r="G2143" s="154"/>
      <c r="H2143" s="154"/>
      <c r="I2143" s="154"/>
      <c r="J2143" s="155"/>
      <c r="K2143" s="156"/>
      <c r="L2143" s="157"/>
      <c r="M2143" s="158" t="s">
        <v>28</v>
      </c>
      <c r="N2143" s="159" t="s">
        <v>29</v>
      </c>
    </row>
    <row r="2144" spans="1:14">
      <c r="A2144" s="148"/>
      <c r="B2144" s="149"/>
      <c r="C2144" s="160"/>
      <c r="D2144" s="151"/>
      <c r="E2144" s="152"/>
      <c r="F2144" s="153"/>
      <c r="G2144" s="154"/>
      <c r="H2144" s="154"/>
      <c r="I2144" s="154"/>
      <c r="J2144" s="155"/>
      <c r="K2144" s="156"/>
      <c r="L2144" s="157"/>
      <c r="M2144" s="158" t="s">
        <v>28</v>
      </c>
      <c r="N2144" s="159" t="s">
        <v>29</v>
      </c>
    </row>
    <row r="2145" spans="1:14">
      <c r="A2145" s="148"/>
      <c r="B2145" s="149"/>
      <c r="C2145" s="160"/>
      <c r="D2145" s="151"/>
      <c r="E2145" s="152"/>
      <c r="F2145" s="153"/>
      <c r="G2145" s="154"/>
      <c r="H2145" s="154"/>
      <c r="I2145" s="154"/>
      <c r="J2145" s="155"/>
      <c r="K2145" s="156"/>
      <c r="L2145" s="157"/>
      <c r="M2145" s="158" t="s">
        <v>28</v>
      </c>
      <c r="N2145" s="159" t="s">
        <v>29</v>
      </c>
    </row>
    <row r="2146" spans="1:14">
      <c r="A2146" s="148"/>
      <c r="B2146" s="149"/>
      <c r="C2146" s="160"/>
      <c r="D2146" s="151"/>
      <c r="E2146" s="152"/>
      <c r="F2146" s="153"/>
      <c r="G2146" s="154"/>
      <c r="H2146" s="154"/>
      <c r="I2146" s="154"/>
      <c r="J2146" s="155"/>
      <c r="K2146" s="156"/>
      <c r="L2146" s="157"/>
      <c r="M2146" s="158" t="s">
        <v>28</v>
      </c>
      <c r="N2146" s="159" t="s">
        <v>29</v>
      </c>
    </row>
    <row r="2147" spans="1:14">
      <c r="A2147" s="148"/>
      <c r="B2147" s="149"/>
      <c r="C2147" s="160"/>
      <c r="D2147" s="151"/>
      <c r="E2147" s="152"/>
      <c r="F2147" s="153"/>
      <c r="G2147" s="154"/>
      <c r="H2147" s="154"/>
      <c r="I2147" s="154"/>
      <c r="J2147" s="155"/>
      <c r="K2147" s="156"/>
      <c r="L2147" s="157"/>
      <c r="M2147" s="158" t="s">
        <v>28</v>
      </c>
      <c r="N2147" s="159" t="s">
        <v>29</v>
      </c>
    </row>
    <row r="2148" spans="1:14">
      <c r="A2148" s="148"/>
      <c r="B2148" s="149"/>
      <c r="C2148" s="160"/>
      <c r="D2148" s="151"/>
      <c r="E2148" s="152"/>
      <c r="F2148" s="153"/>
      <c r="G2148" s="154"/>
      <c r="H2148" s="154"/>
      <c r="I2148" s="154"/>
      <c r="J2148" s="155"/>
      <c r="K2148" s="156"/>
      <c r="L2148" s="157"/>
      <c r="M2148" s="158" t="s">
        <v>28</v>
      </c>
      <c r="N2148" s="159" t="s">
        <v>29</v>
      </c>
    </row>
    <row r="2149" spans="1:14">
      <c r="A2149" s="148"/>
      <c r="B2149" s="149"/>
      <c r="C2149" s="160"/>
      <c r="D2149" s="151"/>
      <c r="E2149" s="152"/>
      <c r="F2149" s="153"/>
      <c r="G2149" s="154"/>
      <c r="H2149" s="154"/>
      <c r="I2149" s="154"/>
      <c r="J2149" s="155"/>
      <c r="K2149" s="156"/>
      <c r="L2149" s="157"/>
      <c r="M2149" s="158" t="s">
        <v>28</v>
      </c>
      <c r="N2149" s="159" t="s">
        <v>29</v>
      </c>
    </row>
    <row r="2150" spans="1:14">
      <c r="A2150" s="148"/>
      <c r="B2150" s="149"/>
      <c r="C2150" s="160"/>
      <c r="D2150" s="151"/>
      <c r="E2150" s="152"/>
      <c r="F2150" s="153"/>
      <c r="G2150" s="154"/>
      <c r="H2150" s="154"/>
      <c r="I2150" s="154"/>
      <c r="J2150" s="155"/>
      <c r="K2150" s="156"/>
      <c r="L2150" s="157"/>
      <c r="M2150" s="158" t="s">
        <v>28</v>
      </c>
      <c r="N2150" s="159" t="s">
        <v>29</v>
      </c>
    </row>
    <row r="2151" spans="1:14">
      <c r="A2151" s="148"/>
      <c r="B2151" s="149"/>
      <c r="C2151" s="160"/>
      <c r="D2151" s="151"/>
      <c r="E2151" s="152"/>
      <c r="F2151" s="153"/>
      <c r="G2151" s="154"/>
      <c r="H2151" s="154"/>
      <c r="I2151" s="154"/>
      <c r="J2151" s="155"/>
      <c r="K2151" s="156"/>
      <c r="L2151" s="157"/>
      <c r="M2151" s="158" t="s">
        <v>28</v>
      </c>
      <c r="N2151" s="159" t="s">
        <v>29</v>
      </c>
    </row>
    <row r="2152" spans="1:14">
      <c r="A2152" s="148"/>
      <c r="B2152" s="149"/>
      <c r="C2152" s="160"/>
      <c r="D2152" s="151"/>
      <c r="E2152" s="152"/>
      <c r="F2152" s="153"/>
      <c r="G2152" s="154"/>
      <c r="H2152" s="154"/>
      <c r="I2152" s="154"/>
      <c r="J2152" s="155"/>
      <c r="K2152" s="156"/>
      <c r="L2152" s="157"/>
      <c r="M2152" s="158" t="s">
        <v>28</v>
      </c>
      <c r="N2152" s="159" t="s">
        <v>29</v>
      </c>
    </row>
    <row r="2153" spans="1:14">
      <c r="A2153" s="148"/>
      <c r="B2153" s="149"/>
      <c r="C2153" s="160"/>
      <c r="D2153" s="151"/>
      <c r="E2153" s="152"/>
      <c r="F2153" s="153"/>
      <c r="G2153" s="154"/>
      <c r="H2153" s="154"/>
      <c r="I2153" s="154"/>
      <c r="J2153" s="155"/>
      <c r="K2153" s="156"/>
      <c r="L2153" s="157"/>
      <c r="M2153" s="158" t="s">
        <v>28</v>
      </c>
      <c r="N2153" s="159" t="s">
        <v>29</v>
      </c>
    </row>
    <row r="2154" spans="1:14">
      <c r="A2154" s="148"/>
      <c r="B2154" s="149"/>
      <c r="C2154" s="160"/>
      <c r="D2154" s="151"/>
      <c r="E2154" s="152"/>
      <c r="F2154" s="153"/>
      <c r="G2154" s="154"/>
      <c r="H2154" s="154"/>
      <c r="I2154" s="154"/>
      <c r="J2154" s="155"/>
      <c r="K2154" s="156"/>
      <c r="L2154" s="157"/>
      <c r="M2154" s="158" t="s">
        <v>28</v>
      </c>
      <c r="N2154" s="159" t="s">
        <v>29</v>
      </c>
    </row>
    <row r="2155" spans="1:14">
      <c r="A2155" s="148"/>
      <c r="B2155" s="149"/>
      <c r="C2155" s="160"/>
      <c r="D2155" s="151"/>
      <c r="E2155" s="152"/>
      <c r="F2155" s="153"/>
      <c r="G2155" s="154"/>
      <c r="H2155" s="154"/>
      <c r="I2155" s="154"/>
      <c r="J2155" s="155"/>
      <c r="K2155" s="156"/>
      <c r="L2155" s="157"/>
      <c r="M2155" s="158" t="s">
        <v>28</v>
      </c>
      <c r="N2155" s="159" t="s">
        <v>29</v>
      </c>
    </row>
    <row r="2156" spans="1:14">
      <c r="A2156" s="148"/>
      <c r="B2156" s="149"/>
      <c r="C2156" s="160"/>
      <c r="D2156" s="151"/>
      <c r="E2156" s="152"/>
      <c r="F2156" s="153"/>
      <c r="G2156" s="154"/>
      <c r="H2156" s="154"/>
      <c r="I2156" s="154"/>
      <c r="J2156" s="155"/>
      <c r="K2156" s="156"/>
      <c r="L2156" s="157"/>
      <c r="M2156" s="158" t="s">
        <v>28</v>
      </c>
      <c r="N2156" s="159" t="s">
        <v>29</v>
      </c>
    </row>
    <row r="2157" spans="1:14">
      <c r="A2157" s="148"/>
      <c r="B2157" s="149"/>
      <c r="C2157" s="160"/>
      <c r="D2157" s="151"/>
      <c r="E2157" s="152"/>
      <c r="F2157" s="153"/>
      <c r="G2157" s="154"/>
      <c r="H2157" s="154"/>
      <c r="I2157" s="154"/>
      <c r="J2157" s="155"/>
      <c r="K2157" s="156"/>
      <c r="L2157" s="157"/>
      <c r="M2157" s="158" t="s">
        <v>28</v>
      </c>
      <c r="N2157" s="159" t="s">
        <v>29</v>
      </c>
    </row>
    <row r="2158" spans="1:14">
      <c r="A2158" s="148"/>
      <c r="B2158" s="149"/>
      <c r="C2158" s="160"/>
      <c r="D2158" s="151"/>
      <c r="E2158" s="152"/>
      <c r="F2158" s="153"/>
      <c r="G2158" s="154"/>
      <c r="H2158" s="154"/>
      <c r="I2158" s="154"/>
      <c r="J2158" s="155"/>
      <c r="K2158" s="156"/>
      <c r="L2158" s="157"/>
      <c r="M2158" s="158" t="s">
        <v>28</v>
      </c>
      <c r="N2158" s="159" t="s">
        <v>29</v>
      </c>
    </row>
    <row r="2159" spans="1:14">
      <c r="A2159" s="148"/>
      <c r="B2159" s="149"/>
      <c r="C2159" s="160"/>
      <c r="D2159" s="151"/>
      <c r="E2159" s="152"/>
      <c r="F2159" s="153"/>
      <c r="G2159" s="154"/>
      <c r="H2159" s="154"/>
      <c r="I2159" s="154"/>
      <c r="J2159" s="155"/>
      <c r="K2159" s="156"/>
      <c r="L2159" s="157"/>
      <c r="M2159" s="158" t="s">
        <v>28</v>
      </c>
      <c r="N2159" s="159" t="s">
        <v>29</v>
      </c>
    </row>
    <row r="2160" spans="1:14">
      <c r="A2160" s="148"/>
      <c r="B2160" s="149"/>
      <c r="C2160" s="160"/>
      <c r="D2160" s="151"/>
      <c r="E2160" s="152"/>
      <c r="F2160" s="153"/>
      <c r="G2160" s="154"/>
      <c r="H2160" s="154"/>
      <c r="I2160" s="154"/>
      <c r="J2160" s="155"/>
      <c r="K2160" s="156"/>
      <c r="L2160" s="157"/>
      <c r="M2160" s="158" t="s">
        <v>28</v>
      </c>
      <c r="N2160" s="159" t="s">
        <v>29</v>
      </c>
    </row>
    <row r="2161" spans="1:14">
      <c r="A2161" s="148"/>
      <c r="B2161" s="149"/>
      <c r="C2161" s="160"/>
      <c r="D2161" s="151"/>
      <c r="E2161" s="152"/>
      <c r="F2161" s="153"/>
      <c r="G2161" s="154"/>
      <c r="H2161" s="154"/>
      <c r="I2161" s="154"/>
      <c r="J2161" s="155"/>
      <c r="K2161" s="156"/>
      <c r="L2161" s="157"/>
      <c r="M2161" s="158" t="s">
        <v>28</v>
      </c>
      <c r="N2161" s="159" t="s">
        <v>29</v>
      </c>
    </row>
    <row r="2162" spans="1:14">
      <c r="A2162" s="148"/>
      <c r="B2162" s="149"/>
      <c r="C2162" s="160"/>
      <c r="D2162" s="151"/>
      <c r="E2162" s="152"/>
      <c r="F2162" s="153"/>
      <c r="G2162" s="154"/>
      <c r="H2162" s="154"/>
      <c r="I2162" s="154"/>
      <c r="J2162" s="155"/>
      <c r="K2162" s="156"/>
      <c r="L2162" s="157"/>
      <c r="M2162" s="158" t="s">
        <v>28</v>
      </c>
      <c r="N2162" s="159" t="s">
        <v>29</v>
      </c>
    </row>
    <row r="2163" spans="1:14">
      <c r="A2163" s="148"/>
      <c r="B2163" s="149"/>
      <c r="C2163" s="160"/>
      <c r="D2163" s="151"/>
      <c r="E2163" s="152"/>
      <c r="F2163" s="153"/>
      <c r="G2163" s="154"/>
      <c r="H2163" s="154"/>
      <c r="I2163" s="154"/>
      <c r="J2163" s="155"/>
      <c r="K2163" s="156"/>
      <c r="L2163" s="157"/>
      <c r="M2163" s="158" t="s">
        <v>28</v>
      </c>
      <c r="N2163" s="159" t="s">
        <v>29</v>
      </c>
    </row>
    <row r="2164" spans="1:14">
      <c r="A2164" s="148"/>
      <c r="B2164" s="149"/>
      <c r="C2164" s="160"/>
      <c r="D2164" s="151"/>
      <c r="E2164" s="152"/>
      <c r="F2164" s="153"/>
      <c r="G2164" s="154"/>
      <c r="H2164" s="154"/>
      <c r="I2164" s="154"/>
      <c r="J2164" s="155"/>
      <c r="K2164" s="156"/>
      <c r="L2164" s="157"/>
      <c r="M2164" s="158" t="s">
        <v>28</v>
      </c>
      <c r="N2164" s="159" t="s">
        <v>29</v>
      </c>
    </row>
    <row r="2165" spans="1:14">
      <c r="A2165" s="148"/>
      <c r="B2165" s="149"/>
      <c r="C2165" s="160"/>
      <c r="D2165" s="151"/>
      <c r="E2165" s="152"/>
      <c r="F2165" s="153"/>
      <c r="G2165" s="154"/>
      <c r="H2165" s="154"/>
      <c r="I2165" s="154"/>
      <c r="J2165" s="155"/>
      <c r="K2165" s="156"/>
      <c r="L2165" s="157"/>
      <c r="M2165" s="158" t="s">
        <v>28</v>
      </c>
      <c r="N2165" s="159" t="s">
        <v>29</v>
      </c>
    </row>
    <row r="2166" spans="1:14">
      <c r="A2166" s="148"/>
      <c r="B2166" s="149"/>
      <c r="C2166" s="160"/>
      <c r="D2166" s="151"/>
      <c r="E2166" s="152"/>
      <c r="F2166" s="153"/>
      <c r="G2166" s="154"/>
      <c r="H2166" s="154"/>
      <c r="I2166" s="154"/>
      <c r="J2166" s="155"/>
      <c r="K2166" s="156"/>
      <c r="L2166" s="157"/>
      <c r="M2166" s="158" t="s">
        <v>28</v>
      </c>
      <c r="N2166" s="159" t="s">
        <v>29</v>
      </c>
    </row>
    <row r="2167" spans="1:14">
      <c r="A2167" s="148"/>
      <c r="B2167" s="149"/>
      <c r="C2167" s="160"/>
      <c r="D2167" s="151"/>
      <c r="E2167" s="152"/>
      <c r="F2167" s="153"/>
      <c r="G2167" s="154"/>
      <c r="H2167" s="154"/>
      <c r="I2167" s="154"/>
      <c r="J2167" s="155"/>
      <c r="K2167" s="156"/>
      <c r="L2167" s="157"/>
      <c r="M2167" s="158" t="s">
        <v>28</v>
      </c>
      <c r="N2167" s="159" t="s">
        <v>29</v>
      </c>
    </row>
    <row r="2168" spans="1:14">
      <c r="A2168" s="148"/>
      <c r="B2168" s="149"/>
      <c r="C2168" s="160"/>
      <c r="D2168" s="151"/>
      <c r="E2168" s="152"/>
      <c r="F2168" s="153"/>
      <c r="G2168" s="154"/>
      <c r="H2168" s="154"/>
      <c r="I2168" s="154"/>
      <c r="J2168" s="155"/>
      <c r="K2168" s="156"/>
      <c r="L2168" s="157"/>
      <c r="M2168" s="158" t="s">
        <v>28</v>
      </c>
      <c r="N2168" s="159" t="s">
        <v>29</v>
      </c>
    </row>
    <row r="2169" spans="1:14">
      <c r="A2169" s="148"/>
      <c r="B2169" s="149"/>
      <c r="C2169" s="160"/>
      <c r="D2169" s="151"/>
      <c r="E2169" s="152"/>
      <c r="F2169" s="153"/>
      <c r="G2169" s="154"/>
      <c r="H2169" s="154"/>
      <c r="I2169" s="154"/>
      <c r="J2169" s="155"/>
      <c r="K2169" s="156"/>
      <c r="L2169" s="157"/>
      <c r="M2169" s="158" t="s">
        <v>28</v>
      </c>
      <c r="N2169" s="159" t="s">
        <v>29</v>
      </c>
    </row>
    <row r="2170" spans="1:14">
      <c r="A2170" s="148"/>
      <c r="B2170" s="149"/>
      <c r="C2170" s="160"/>
      <c r="D2170" s="151"/>
      <c r="E2170" s="152"/>
      <c r="F2170" s="153"/>
      <c r="G2170" s="154"/>
      <c r="H2170" s="154"/>
      <c r="I2170" s="154"/>
      <c r="J2170" s="155"/>
      <c r="K2170" s="156"/>
      <c r="L2170" s="157"/>
      <c r="M2170" s="158" t="s">
        <v>28</v>
      </c>
      <c r="N2170" s="159" t="s">
        <v>29</v>
      </c>
    </row>
    <row r="2171" spans="1:14">
      <c r="A2171" s="148"/>
      <c r="B2171" s="149"/>
      <c r="C2171" s="160"/>
      <c r="D2171" s="151"/>
      <c r="E2171" s="152"/>
      <c r="F2171" s="153"/>
      <c r="G2171" s="154"/>
      <c r="H2171" s="154"/>
      <c r="I2171" s="154"/>
      <c r="J2171" s="155"/>
      <c r="K2171" s="156"/>
      <c r="L2171" s="157"/>
      <c r="M2171" s="158" t="s">
        <v>28</v>
      </c>
      <c r="N2171" s="159" t="s">
        <v>29</v>
      </c>
    </row>
    <row r="2172" spans="1:14">
      <c r="A2172" s="148"/>
      <c r="B2172" s="149"/>
      <c r="C2172" s="160"/>
      <c r="D2172" s="151"/>
      <c r="E2172" s="152"/>
      <c r="F2172" s="153"/>
      <c r="G2172" s="154"/>
      <c r="H2172" s="154"/>
      <c r="I2172" s="154"/>
      <c r="J2172" s="155"/>
      <c r="K2172" s="156"/>
      <c r="L2172" s="157"/>
      <c r="M2172" s="158" t="s">
        <v>28</v>
      </c>
      <c r="N2172" s="159" t="s">
        <v>29</v>
      </c>
    </row>
    <row r="2173" spans="1:14">
      <c r="A2173" s="148"/>
      <c r="B2173" s="149"/>
      <c r="C2173" s="160"/>
      <c r="D2173" s="151"/>
      <c r="E2173" s="152"/>
      <c r="F2173" s="153"/>
      <c r="G2173" s="154"/>
      <c r="H2173" s="154"/>
      <c r="I2173" s="154"/>
      <c r="J2173" s="155"/>
      <c r="K2173" s="156"/>
      <c r="L2173" s="157"/>
      <c r="M2173" s="158" t="s">
        <v>28</v>
      </c>
      <c r="N2173" s="159" t="s">
        <v>29</v>
      </c>
    </row>
    <row r="2174" spans="1:14">
      <c r="A2174" s="148"/>
      <c r="B2174" s="149"/>
      <c r="C2174" s="160"/>
      <c r="D2174" s="151"/>
      <c r="E2174" s="152"/>
      <c r="F2174" s="153"/>
      <c r="G2174" s="154"/>
      <c r="H2174" s="154"/>
      <c r="I2174" s="154"/>
      <c r="J2174" s="155"/>
      <c r="K2174" s="156"/>
      <c r="L2174" s="157"/>
      <c r="M2174" s="158" t="s">
        <v>28</v>
      </c>
      <c r="N2174" s="159" t="s">
        <v>29</v>
      </c>
    </row>
    <row r="2175" spans="1:14">
      <c r="A2175" s="148"/>
      <c r="B2175" s="149"/>
      <c r="C2175" s="160"/>
      <c r="D2175" s="151"/>
      <c r="E2175" s="152"/>
      <c r="F2175" s="153"/>
      <c r="G2175" s="154"/>
      <c r="H2175" s="154"/>
      <c r="I2175" s="154"/>
      <c r="J2175" s="155"/>
      <c r="K2175" s="156"/>
      <c r="L2175" s="157"/>
      <c r="M2175" s="158" t="s">
        <v>28</v>
      </c>
      <c r="N2175" s="159" t="s">
        <v>29</v>
      </c>
    </row>
    <row r="2176" spans="1:14">
      <c r="A2176" s="148"/>
      <c r="B2176" s="149"/>
      <c r="C2176" s="160"/>
      <c r="D2176" s="151"/>
      <c r="E2176" s="152"/>
      <c r="F2176" s="153"/>
      <c r="G2176" s="154"/>
      <c r="H2176" s="154"/>
      <c r="I2176" s="154"/>
      <c r="J2176" s="155"/>
      <c r="K2176" s="156"/>
      <c r="L2176" s="157"/>
      <c r="M2176" s="158" t="s">
        <v>28</v>
      </c>
      <c r="N2176" s="159" t="s">
        <v>29</v>
      </c>
    </row>
    <row r="2177" spans="1:14">
      <c r="A2177" s="148"/>
      <c r="B2177" s="149"/>
      <c r="C2177" s="160"/>
      <c r="D2177" s="151"/>
      <c r="E2177" s="152"/>
      <c r="F2177" s="153"/>
      <c r="G2177" s="154"/>
      <c r="H2177" s="154"/>
      <c r="I2177" s="154"/>
      <c r="J2177" s="155"/>
      <c r="K2177" s="156"/>
      <c r="L2177" s="157"/>
      <c r="M2177" s="158" t="s">
        <v>28</v>
      </c>
      <c r="N2177" s="159" t="s">
        <v>29</v>
      </c>
    </row>
    <row r="2178" spans="1:14">
      <c r="A2178" s="148"/>
      <c r="B2178" s="149"/>
      <c r="C2178" s="160"/>
      <c r="D2178" s="151"/>
      <c r="E2178" s="152"/>
      <c r="F2178" s="153"/>
      <c r="G2178" s="154"/>
      <c r="H2178" s="154"/>
      <c r="I2178" s="154"/>
      <c r="J2178" s="155"/>
      <c r="K2178" s="156"/>
      <c r="L2178" s="157"/>
      <c r="M2178" s="158" t="s">
        <v>28</v>
      </c>
      <c r="N2178" s="159" t="s">
        <v>29</v>
      </c>
    </row>
    <row r="2179" spans="1:14">
      <c r="A2179" s="148"/>
      <c r="B2179" s="149"/>
      <c r="C2179" s="160"/>
      <c r="D2179" s="151"/>
      <c r="E2179" s="152"/>
      <c r="F2179" s="153"/>
      <c r="G2179" s="154"/>
      <c r="H2179" s="154"/>
      <c r="I2179" s="154"/>
      <c r="J2179" s="155"/>
      <c r="K2179" s="156"/>
      <c r="L2179" s="157"/>
      <c r="M2179" s="158" t="s">
        <v>28</v>
      </c>
      <c r="N2179" s="159" t="s">
        <v>29</v>
      </c>
    </row>
    <row r="2180" spans="1:14">
      <c r="A2180" s="148"/>
      <c r="B2180" s="149"/>
      <c r="C2180" s="160"/>
      <c r="D2180" s="151"/>
      <c r="E2180" s="152"/>
      <c r="F2180" s="153"/>
      <c r="G2180" s="154"/>
      <c r="H2180" s="154"/>
      <c r="I2180" s="154"/>
      <c r="J2180" s="155"/>
      <c r="K2180" s="156"/>
      <c r="L2180" s="157"/>
      <c r="M2180" s="158" t="s">
        <v>28</v>
      </c>
      <c r="N2180" s="159" t="s">
        <v>29</v>
      </c>
    </row>
    <row r="2181" spans="1:14">
      <c r="A2181" s="148"/>
      <c r="B2181" s="149"/>
      <c r="C2181" s="160"/>
      <c r="D2181" s="151"/>
      <c r="E2181" s="152"/>
      <c r="F2181" s="153"/>
      <c r="G2181" s="154"/>
      <c r="H2181" s="154"/>
      <c r="I2181" s="154"/>
      <c r="J2181" s="155"/>
      <c r="K2181" s="156"/>
      <c r="L2181" s="157"/>
      <c r="M2181" s="158" t="s">
        <v>28</v>
      </c>
      <c r="N2181" s="159" t="s">
        <v>29</v>
      </c>
    </row>
    <row r="2182" spans="1:14">
      <c r="A2182" s="148"/>
      <c r="B2182" s="149"/>
      <c r="C2182" s="160"/>
      <c r="D2182" s="151"/>
      <c r="E2182" s="152"/>
      <c r="F2182" s="153"/>
      <c r="G2182" s="154"/>
      <c r="H2182" s="154"/>
      <c r="I2182" s="154"/>
      <c r="J2182" s="155"/>
      <c r="K2182" s="156"/>
      <c r="L2182" s="157"/>
      <c r="M2182" s="158" t="s">
        <v>28</v>
      </c>
      <c r="N2182" s="159" t="s">
        <v>29</v>
      </c>
    </row>
    <row r="2183" spans="1:14">
      <c r="A2183" s="148"/>
      <c r="B2183" s="149"/>
      <c r="C2183" s="160"/>
      <c r="D2183" s="151"/>
      <c r="E2183" s="152"/>
      <c r="F2183" s="153"/>
      <c r="G2183" s="154"/>
      <c r="H2183" s="154"/>
      <c r="I2183" s="154"/>
      <c r="J2183" s="155"/>
      <c r="K2183" s="156"/>
      <c r="L2183" s="157"/>
      <c r="M2183" s="158" t="s">
        <v>28</v>
      </c>
      <c r="N2183" s="159" t="s">
        <v>29</v>
      </c>
    </row>
    <row r="2184" spans="1:14">
      <c r="A2184" s="148"/>
      <c r="B2184" s="149"/>
      <c r="C2184" s="160"/>
      <c r="D2184" s="151"/>
      <c r="E2184" s="152"/>
      <c r="F2184" s="153"/>
      <c r="G2184" s="154"/>
      <c r="H2184" s="154"/>
      <c r="I2184" s="154"/>
      <c r="J2184" s="155"/>
      <c r="K2184" s="156"/>
      <c r="L2184" s="157"/>
      <c r="M2184" s="158" t="s">
        <v>28</v>
      </c>
      <c r="N2184" s="159" t="s">
        <v>29</v>
      </c>
    </row>
    <row r="2185" spans="1:14">
      <c r="A2185" s="148"/>
      <c r="B2185" s="149"/>
      <c r="C2185" s="160"/>
      <c r="D2185" s="151"/>
      <c r="E2185" s="152"/>
      <c r="F2185" s="153"/>
      <c r="G2185" s="154"/>
      <c r="H2185" s="154"/>
      <c r="I2185" s="154"/>
      <c r="J2185" s="155"/>
      <c r="K2185" s="156"/>
      <c r="L2185" s="157"/>
      <c r="M2185" s="158" t="s">
        <v>28</v>
      </c>
      <c r="N2185" s="159" t="s">
        <v>29</v>
      </c>
    </row>
    <row r="2186" spans="1:14">
      <c r="A2186" s="148"/>
      <c r="B2186" s="149"/>
      <c r="C2186" s="160"/>
      <c r="D2186" s="151"/>
      <c r="E2186" s="152"/>
      <c r="F2186" s="153"/>
      <c r="G2186" s="154"/>
      <c r="H2186" s="154"/>
      <c r="I2186" s="154"/>
      <c r="J2186" s="155"/>
      <c r="K2186" s="156"/>
      <c r="L2186" s="157"/>
      <c r="M2186" s="158" t="s">
        <v>28</v>
      </c>
      <c r="N2186" s="159" t="s">
        <v>29</v>
      </c>
    </row>
    <row r="2187" spans="1:14">
      <c r="A2187" s="148"/>
      <c r="B2187" s="149"/>
      <c r="C2187" s="160"/>
      <c r="D2187" s="151"/>
      <c r="E2187" s="152"/>
      <c r="F2187" s="153"/>
      <c r="G2187" s="154"/>
      <c r="H2187" s="154"/>
      <c r="I2187" s="154"/>
      <c r="J2187" s="155"/>
      <c r="K2187" s="156"/>
      <c r="L2187" s="157"/>
      <c r="M2187" s="158" t="s">
        <v>28</v>
      </c>
      <c r="N2187" s="159" t="s">
        <v>29</v>
      </c>
    </row>
    <row r="2188" spans="1:14">
      <c r="A2188" s="148"/>
      <c r="B2188" s="149"/>
      <c r="C2188" s="160"/>
      <c r="D2188" s="151"/>
      <c r="E2188" s="152"/>
      <c r="F2188" s="153"/>
      <c r="G2188" s="154"/>
      <c r="H2188" s="154"/>
      <c r="I2188" s="154"/>
      <c r="J2188" s="155"/>
      <c r="K2188" s="156"/>
      <c r="L2188" s="157"/>
      <c r="M2188" s="158" t="s">
        <v>28</v>
      </c>
      <c r="N2188" s="159" t="s">
        <v>29</v>
      </c>
    </row>
    <row r="2189" spans="1:14">
      <c r="A2189" s="148"/>
      <c r="B2189" s="149"/>
      <c r="C2189" s="160"/>
      <c r="D2189" s="151"/>
      <c r="E2189" s="152"/>
      <c r="F2189" s="153"/>
      <c r="G2189" s="154"/>
      <c r="H2189" s="154"/>
      <c r="I2189" s="154"/>
      <c r="J2189" s="155"/>
      <c r="K2189" s="156"/>
      <c r="L2189" s="157"/>
      <c r="M2189" s="158" t="s">
        <v>28</v>
      </c>
      <c r="N2189" s="159" t="s">
        <v>29</v>
      </c>
    </row>
    <row r="2190" spans="1:14">
      <c r="A2190" s="148"/>
      <c r="B2190" s="149"/>
      <c r="C2190" s="160"/>
      <c r="D2190" s="151"/>
      <c r="E2190" s="152"/>
      <c r="F2190" s="153"/>
      <c r="G2190" s="154"/>
      <c r="H2190" s="154"/>
      <c r="I2190" s="154"/>
      <c r="J2190" s="155"/>
      <c r="K2190" s="156"/>
      <c r="L2190" s="157"/>
      <c r="M2190" s="158" t="s">
        <v>28</v>
      </c>
      <c r="N2190" s="159" t="s">
        <v>29</v>
      </c>
    </row>
    <row r="2191" spans="1:14">
      <c r="A2191" s="148"/>
      <c r="B2191" s="149"/>
      <c r="C2191" s="160"/>
      <c r="D2191" s="151"/>
      <c r="E2191" s="152"/>
      <c r="F2191" s="153"/>
      <c r="G2191" s="154"/>
      <c r="H2191" s="154"/>
      <c r="I2191" s="154"/>
      <c r="J2191" s="155"/>
      <c r="K2191" s="156"/>
      <c r="L2191" s="157"/>
      <c r="M2191" s="158" t="s">
        <v>28</v>
      </c>
      <c r="N2191" s="159" t="s">
        <v>29</v>
      </c>
    </row>
    <row r="2192" spans="1:14">
      <c r="A2192" s="148"/>
      <c r="B2192" s="149"/>
      <c r="C2192" s="160"/>
      <c r="D2192" s="151"/>
      <c r="E2192" s="152"/>
      <c r="F2192" s="153"/>
      <c r="G2192" s="154"/>
      <c r="H2192" s="154"/>
      <c r="I2192" s="154"/>
      <c r="J2192" s="155"/>
      <c r="K2192" s="156"/>
      <c r="L2192" s="157"/>
      <c r="M2192" s="158" t="s">
        <v>28</v>
      </c>
      <c r="N2192" s="159" t="s">
        <v>29</v>
      </c>
    </row>
    <row r="2193" spans="1:14">
      <c r="A2193" s="148"/>
      <c r="B2193" s="149"/>
      <c r="C2193" s="160"/>
      <c r="D2193" s="151"/>
      <c r="E2193" s="152"/>
      <c r="F2193" s="153"/>
      <c r="G2193" s="154"/>
      <c r="H2193" s="154"/>
      <c r="I2193" s="154"/>
      <c r="J2193" s="155"/>
      <c r="K2193" s="156"/>
      <c r="L2193" s="157"/>
      <c r="M2193" s="158" t="s">
        <v>28</v>
      </c>
      <c r="N2193" s="159" t="s">
        <v>29</v>
      </c>
    </row>
    <row r="2194" spans="1:14">
      <c r="A2194" s="148"/>
      <c r="B2194" s="149"/>
      <c r="C2194" s="160"/>
      <c r="D2194" s="151"/>
      <c r="E2194" s="152"/>
      <c r="F2194" s="153"/>
      <c r="G2194" s="154"/>
      <c r="H2194" s="154"/>
      <c r="I2194" s="154"/>
      <c r="J2194" s="155"/>
      <c r="K2194" s="156"/>
      <c r="L2194" s="157"/>
      <c r="M2194" s="158" t="s">
        <v>28</v>
      </c>
      <c r="N2194" s="159" t="s">
        <v>29</v>
      </c>
    </row>
    <row r="2195" spans="1:14">
      <c r="A2195" s="148"/>
      <c r="B2195" s="149"/>
      <c r="C2195" s="160"/>
      <c r="D2195" s="151"/>
      <c r="E2195" s="152"/>
      <c r="F2195" s="153"/>
      <c r="G2195" s="154"/>
      <c r="H2195" s="154"/>
      <c r="I2195" s="154"/>
      <c r="J2195" s="155"/>
      <c r="K2195" s="156"/>
      <c r="L2195" s="157"/>
      <c r="M2195" s="158" t="s">
        <v>28</v>
      </c>
      <c r="N2195" s="159" t="s">
        <v>29</v>
      </c>
    </row>
    <row r="2196" spans="1:14">
      <c r="A2196" s="148"/>
      <c r="B2196" s="149"/>
      <c r="C2196" s="160"/>
      <c r="D2196" s="151"/>
      <c r="E2196" s="152"/>
      <c r="F2196" s="153"/>
      <c r="G2196" s="154"/>
      <c r="H2196" s="154"/>
      <c r="I2196" s="154"/>
      <c r="J2196" s="155"/>
      <c r="K2196" s="156"/>
      <c r="L2196" s="157"/>
      <c r="M2196" s="158" t="s">
        <v>28</v>
      </c>
      <c r="N2196" s="159" t="s">
        <v>29</v>
      </c>
    </row>
    <row r="2197" spans="1:14">
      <c r="A2197" s="148"/>
      <c r="B2197" s="149"/>
      <c r="C2197" s="160"/>
      <c r="D2197" s="151"/>
      <c r="E2197" s="152"/>
      <c r="F2197" s="153"/>
      <c r="G2197" s="154"/>
      <c r="H2197" s="154"/>
      <c r="I2197" s="154"/>
      <c r="J2197" s="155"/>
      <c r="K2197" s="156"/>
      <c r="L2197" s="157"/>
      <c r="M2197" s="158" t="s">
        <v>28</v>
      </c>
      <c r="N2197" s="159" t="s">
        <v>29</v>
      </c>
    </row>
    <row r="2198" spans="1:14">
      <c r="A2198" s="148"/>
      <c r="B2198" s="149"/>
      <c r="C2198" s="160"/>
      <c r="D2198" s="151"/>
      <c r="E2198" s="152"/>
      <c r="F2198" s="153"/>
      <c r="G2198" s="154"/>
      <c r="H2198" s="154"/>
      <c r="I2198" s="154"/>
      <c r="J2198" s="155"/>
      <c r="K2198" s="156"/>
      <c r="L2198" s="157"/>
      <c r="M2198" s="158" t="s">
        <v>28</v>
      </c>
      <c r="N2198" s="159" t="s">
        <v>29</v>
      </c>
    </row>
    <row r="2199" spans="1:14">
      <c r="A2199" s="148"/>
      <c r="B2199" s="149"/>
      <c r="C2199" s="160"/>
      <c r="D2199" s="151"/>
      <c r="E2199" s="152"/>
      <c r="F2199" s="153"/>
      <c r="G2199" s="154"/>
      <c r="H2199" s="154"/>
      <c r="I2199" s="154"/>
      <c r="J2199" s="155"/>
      <c r="K2199" s="156"/>
      <c r="L2199" s="157"/>
      <c r="M2199" s="158" t="s">
        <v>28</v>
      </c>
      <c r="N2199" s="159" t="s">
        <v>29</v>
      </c>
    </row>
    <row r="2200" spans="1:14">
      <c r="A2200" s="148"/>
      <c r="B2200" s="149"/>
      <c r="C2200" s="160"/>
      <c r="D2200" s="151"/>
      <c r="E2200" s="152"/>
      <c r="F2200" s="153"/>
      <c r="G2200" s="154"/>
      <c r="H2200" s="154"/>
      <c r="I2200" s="154"/>
      <c r="J2200" s="155"/>
      <c r="K2200" s="156"/>
      <c r="L2200" s="157"/>
      <c r="M2200" s="158" t="s">
        <v>28</v>
      </c>
      <c r="N2200" s="159" t="s">
        <v>29</v>
      </c>
    </row>
    <row r="2201" spans="1:14">
      <c r="A2201" s="148"/>
      <c r="B2201" s="149"/>
      <c r="C2201" s="160"/>
      <c r="D2201" s="151"/>
      <c r="E2201" s="152"/>
      <c r="F2201" s="153"/>
      <c r="G2201" s="154"/>
      <c r="H2201" s="154"/>
      <c r="I2201" s="154"/>
      <c r="J2201" s="155"/>
      <c r="K2201" s="156"/>
      <c r="L2201" s="157"/>
      <c r="M2201" s="158" t="s">
        <v>28</v>
      </c>
      <c r="N2201" s="159" t="s">
        <v>29</v>
      </c>
    </row>
    <row r="2202" spans="1:14">
      <c r="A2202" s="148"/>
      <c r="B2202" s="149"/>
      <c r="C2202" s="160"/>
      <c r="D2202" s="151"/>
      <c r="E2202" s="152"/>
      <c r="F2202" s="153"/>
      <c r="G2202" s="154"/>
      <c r="H2202" s="154"/>
      <c r="I2202" s="154"/>
      <c r="J2202" s="155"/>
      <c r="K2202" s="156"/>
      <c r="L2202" s="157"/>
      <c r="M2202" s="158" t="s">
        <v>28</v>
      </c>
      <c r="N2202" s="159" t="s">
        <v>29</v>
      </c>
    </row>
    <row r="2203" spans="1:14">
      <c r="A2203" s="148"/>
      <c r="B2203" s="149"/>
      <c r="C2203" s="160"/>
      <c r="D2203" s="151"/>
      <c r="E2203" s="152"/>
      <c r="F2203" s="153"/>
      <c r="G2203" s="154"/>
      <c r="H2203" s="154"/>
      <c r="I2203" s="154"/>
      <c r="J2203" s="155"/>
      <c r="K2203" s="156"/>
      <c r="L2203" s="157"/>
      <c r="M2203" s="158" t="s">
        <v>28</v>
      </c>
      <c r="N2203" s="159" t="s">
        <v>29</v>
      </c>
    </row>
    <row r="2204" spans="1:14">
      <c r="A2204" s="148"/>
      <c r="B2204" s="149"/>
      <c r="C2204" s="160"/>
      <c r="D2204" s="151"/>
      <c r="E2204" s="152"/>
      <c r="F2204" s="153"/>
      <c r="G2204" s="154"/>
      <c r="H2204" s="154"/>
      <c r="I2204" s="154"/>
      <c r="J2204" s="155"/>
      <c r="K2204" s="156"/>
      <c r="L2204" s="157"/>
      <c r="M2204" s="158" t="s">
        <v>28</v>
      </c>
      <c r="N2204" s="159" t="s">
        <v>29</v>
      </c>
    </row>
    <row r="2205" spans="1:14">
      <c r="A2205" s="148"/>
      <c r="B2205" s="149"/>
      <c r="C2205" s="160"/>
      <c r="D2205" s="151"/>
      <c r="E2205" s="152"/>
      <c r="F2205" s="153"/>
      <c r="G2205" s="154"/>
      <c r="H2205" s="154"/>
      <c r="I2205" s="154"/>
      <c r="J2205" s="155"/>
      <c r="K2205" s="156"/>
      <c r="L2205" s="157"/>
      <c r="M2205" s="158" t="s">
        <v>28</v>
      </c>
      <c r="N2205" s="159" t="s">
        <v>29</v>
      </c>
    </row>
    <row r="2206" spans="1:14">
      <c r="A2206" s="148"/>
      <c r="B2206" s="149"/>
      <c r="C2206" s="160"/>
      <c r="D2206" s="151"/>
      <c r="E2206" s="152"/>
      <c r="F2206" s="153"/>
      <c r="G2206" s="154"/>
      <c r="H2206" s="154"/>
      <c r="I2206" s="154"/>
      <c r="J2206" s="155"/>
      <c r="K2206" s="156"/>
      <c r="L2206" s="157"/>
      <c r="M2206" s="158" t="s">
        <v>28</v>
      </c>
      <c r="N2206" s="159" t="s">
        <v>29</v>
      </c>
    </row>
    <row r="2207" spans="1:14">
      <c r="A2207" s="148"/>
      <c r="B2207" s="149"/>
      <c r="C2207" s="160"/>
      <c r="D2207" s="151"/>
      <c r="E2207" s="152"/>
      <c r="F2207" s="153"/>
      <c r="G2207" s="154"/>
      <c r="H2207" s="154"/>
      <c r="I2207" s="154"/>
      <c r="J2207" s="155"/>
      <c r="K2207" s="156"/>
      <c r="L2207" s="157"/>
      <c r="M2207" s="158" t="s">
        <v>28</v>
      </c>
      <c r="N2207" s="159" t="s">
        <v>29</v>
      </c>
    </row>
    <row r="2208" spans="1:14">
      <c r="A2208" s="148"/>
      <c r="B2208" s="149"/>
      <c r="C2208" s="160"/>
      <c r="D2208" s="151"/>
      <c r="E2208" s="152"/>
      <c r="F2208" s="153"/>
      <c r="G2208" s="154"/>
      <c r="H2208" s="154"/>
      <c r="I2208" s="154"/>
      <c r="J2208" s="155"/>
      <c r="K2208" s="156"/>
      <c r="L2208" s="157"/>
      <c r="M2208" s="158" t="s">
        <v>28</v>
      </c>
      <c r="N2208" s="159" t="s">
        <v>29</v>
      </c>
    </row>
    <row r="2209" spans="1:14">
      <c r="A2209" s="148"/>
      <c r="B2209" s="149"/>
      <c r="C2209" s="160"/>
      <c r="D2209" s="151"/>
      <c r="E2209" s="152"/>
      <c r="F2209" s="153"/>
      <c r="G2209" s="154"/>
      <c r="H2209" s="154"/>
      <c r="I2209" s="154"/>
      <c r="J2209" s="155"/>
      <c r="K2209" s="156"/>
      <c r="L2209" s="157"/>
      <c r="M2209" s="158" t="s">
        <v>28</v>
      </c>
      <c r="N2209" s="159" t="s">
        <v>29</v>
      </c>
    </row>
    <row r="2210" spans="1:14">
      <c r="A2210" s="148"/>
      <c r="B2210" s="149"/>
      <c r="C2210" s="160"/>
      <c r="D2210" s="151"/>
      <c r="E2210" s="152"/>
      <c r="F2210" s="153"/>
      <c r="G2210" s="154"/>
      <c r="H2210" s="154"/>
      <c r="I2210" s="154"/>
      <c r="J2210" s="155"/>
      <c r="K2210" s="156"/>
      <c r="L2210" s="157"/>
      <c r="M2210" s="158" t="s">
        <v>28</v>
      </c>
      <c r="N2210" s="159" t="s">
        <v>29</v>
      </c>
    </row>
    <row r="2211" spans="1:14">
      <c r="A2211" s="148"/>
      <c r="B2211" s="149"/>
      <c r="C2211" s="160"/>
      <c r="D2211" s="151"/>
      <c r="E2211" s="152"/>
      <c r="F2211" s="153"/>
      <c r="G2211" s="154"/>
      <c r="H2211" s="154"/>
      <c r="I2211" s="154"/>
      <c r="J2211" s="155"/>
      <c r="K2211" s="156"/>
      <c r="L2211" s="157"/>
      <c r="M2211" s="158" t="s">
        <v>28</v>
      </c>
      <c r="N2211" s="159" t="s">
        <v>29</v>
      </c>
    </row>
    <row r="2212" spans="1:14">
      <c r="A2212" s="148"/>
      <c r="B2212" s="149"/>
      <c r="C2212" s="160"/>
      <c r="D2212" s="151"/>
      <c r="E2212" s="152"/>
      <c r="F2212" s="153"/>
      <c r="G2212" s="154"/>
      <c r="H2212" s="154"/>
      <c r="I2212" s="154"/>
      <c r="J2212" s="155"/>
      <c r="K2212" s="156"/>
      <c r="L2212" s="157"/>
      <c r="M2212" s="158" t="s">
        <v>28</v>
      </c>
      <c r="N2212" s="159" t="s">
        <v>29</v>
      </c>
    </row>
    <row r="2213" spans="1:14">
      <c r="A2213" s="148"/>
      <c r="B2213" s="149"/>
      <c r="C2213" s="160"/>
      <c r="D2213" s="151"/>
      <c r="E2213" s="152"/>
      <c r="F2213" s="153"/>
      <c r="G2213" s="154"/>
      <c r="H2213" s="154"/>
      <c r="I2213" s="154"/>
      <c r="J2213" s="155"/>
      <c r="K2213" s="156"/>
      <c r="L2213" s="157"/>
      <c r="M2213" s="158" t="s">
        <v>28</v>
      </c>
      <c r="N2213" s="159" t="s">
        <v>29</v>
      </c>
    </row>
    <row r="2214" spans="1:14">
      <c r="A2214" s="148"/>
      <c r="B2214" s="149"/>
      <c r="C2214" s="160"/>
      <c r="D2214" s="151"/>
      <c r="E2214" s="152"/>
      <c r="F2214" s="153"/>
      <c r="G2214" s="154"/>
      <c r="H2214" s="154"/>
      <c r="I2214" s="154"/>
      <c r="J2214" s="155"/>
      <c r="K2214" s="156"/>
      <c r="L2214" s="157"/>
      <c r="M2214" s="158" t="s">
        <v>28</v>
      </c>
      <c r="N2214" s="159" t="s">
        <v>29</v>
      </c>
    </row>
    <row r="2215" spans="1:14">
      <c r="A2215" s="148"/>
      <c r="B2215" s="149"/>
      <c r="C2215" s="160"/>
      <c r="D2215" s="151"/>
      <c r="E2215" s="152"/>
      <c r="F2215" s="153"/>
      <c r="G2215" s="154"/>
      <c r="H2215" s="154"/>
      <c r="I2215" s="154"/>
      <c r="J2215" s="155"/>
      <c r="K2215" s="156"/>
      <c r="L2215" s="157"/>
      <c r="M2215" s="158" t="s">
        <v>28</v>
      </c>
      <c r="N2215" s="159" t="s">
        <v>29</v>
      </c>
    </row>
    <row r="2216" spans="1:14">
      <c r="A2216" s="148"/>
      <c r="B2216" s="149"/>
      <c r="C2216" s="160"/>
      <c r="D2216" s="151"/>
      <c r="E2216" s="152"/>
      <c r="F2216" s="153"/>
      <c r="G2216" s="154"/>
      <c r="H2216" s="154"/>
      <c r="I2216" s="154"/>
      <c r="J2216" s="155"/>
      <c r="K2216" s="156"/>
      <c r="L2216" s="157"/>
      <c r="M2216" s="158" t="s">
        <v>28</v>
      </c>
      <c r="N2216" s="159" t="s">
        <v>29</v>
      </c>
    </row>
    <row r="2217" spans="1:14">
      <c r="A2217" s="148"/>
      <c r="B2217" s="149"/>
      <c r="C2217" s="160"/>
      <c r="D2217" s="151"/>
      <c r="E2217" s="152"/>
      <c r="F2217" s="153"/>
      <c r="G2217" s="154"/>
      <c r="H2217" s="154"/>
      <c r="I2217" s="154"/>
      <c r="J2217" s="155"/>
      <c r="K2217" s="156"/>
      <c r="L2217" s="157"/>
      <c r="M2217" s="158" t="s">
        <v>28</v>
      </c>
      <c r="N2217" s="159" t="s">
        <v>29</v>
      </c>
    </row>
    <row r="2218" spans="1:14">
      <c r="A2218" s="148"/>
      <c r="B2218" s="149"/>
      <c r="C2218" s="160"/>
      <c r="D2218" s="151"/>
      <c r="E2218" s="152"/>
      <c r="F2218" s="153"/>
      <c r="G2218" s="154"/>
      <c r="H2218" s="154"/>
      <c r="I2218" s="154"/>
      <c r="J2218" s="155"/>
      <c r="K2218" s="156"/>
      <c r="L2218" s="157"/>
      <c r="M2218" s="158" t="s">
        <v>28</v>
      </c>
      <c r="N2218" s="159" t="s">
        <v>29</v>
      </c>
    </row>
    <row r="2219" spans="1:14">
      <c r="A2219" s="148"/>
      <c r="B2219" s="149"/>
      <c r="C2219" s="160"/>
      <c r="D2219" s="151"/>
      <c r="E2219" s="152"/>
      <c r="F2219" s="153"/>
      <c r="G2219" s="154"/>
      <c r="H2219" s="154"/>
      <c r="I2219" s="154"/>
      <c r="J2219" s="155"/>
      <c r="K2219" s="156"/>
      <c r="L2219" s="157"/>
      <c r="M2219" s="158" t="s">
        <v>28</v>
      </c>
      <c r="N2219" s="159" t="s">
        <v>29</v>
      </c>
    </row>
    <row r="2220" spans="1:14">
      <c r="A2220" s="148"/>
      <c r="B2220" s="149"/>
      <c r="C2220" s="160"/>
      <c r="D2220" s="151"/>
      <c r="E2220" s="152"/>
      <c r="F2220" s="153"/>
      <c r="G2220" s="154"/>
      <c r="H2220" s="154"/>
      <c r="I2220" s="154"/>
      <c r="J2220" s="155"/>
      <c r="K2220" s="156"/>
      <c r="L2220" s="157"/>
      <c r="M2220" s="158" t="s">
        <v>28</v>
      </c>
      <c r="N2220" s="159" t="s">
        <v>29</v>
      </c>
    </row>
    <row r="2221" spans="1:14">
      <c r="A2221" s="148"/>
      <c r="B2221" s="149"/>
      <c r="C2221" s="160"/>
      <c r="D2221" s="151"/>
      <c r="E2221" s="152"/>
      <c r="F2221" s="153"/>
      <c r="G2221" s="154"/>
      <c r="H2221" s="154"/>
      <c r="I2221" s="154"/>
      <c r="J2221" s="155"/>
      <c r="K2221" s="156"/>
      <c r="L2221" s="157"/>
      <c r="M2221" s="158" t="s">
        <v>28</v>
      </c>
      <c r="N2221" s="159" t="s">
        <v>29</v>
      </c>
    </row>
    <row r="2222" spans="1:14">
      <c r="A2222" s="148"/>
      <c r="B2222" s="149"/>
      <c r="C2222" s="160"/>
      <c r="D2222" s="151"/>
      <c r="E2222" s="152"/>
      <c r="F2222" s="153"/>
      <c r="G2222" s="154"/>
      <c r="H2222" s="154"/>
      <c r="I2222" s="154"/>
      <c r="J2222" s="155"/>
      <c r="K2222" s="156"/>
      <c r="L2222" s="157"/>
      <c r="M2222" s="158" t="s">
        <v>28</v>
      </c>
      <c r="N2222" s="159" t="s">
        <v>29</v>
      </c>
    </row>
    <row r="2223" spans="1:14">
      <c r="A2223" s="148"/>
      <c r="B2223" s="149"/>
      <c r="C2223" s="160"/>
      <c r="D2223" s="151"/>
      <c r="E2223" s="152"/>
      <c r="F2223" s="153"/>
      <c r="G2223" s="154"/>
      <c r="H2223" s="154"/>
      <c r="I2223" s="154"/>
      <c r="J2223" s="155"/>
      <c r="K2223" s="156"/>
      <c r="L2223" s="157"/>
      <c r="M2223" s="158" t="s">
        <v>28</v>
      </c>
      <c r="N2223" s="159" t="s">
        <v>29</v>
      </c>
    </row>
    <row r="2224" spans="1:14">
      <c r="A2224" s="148"/>
      <c r="B2224" s="149"/>
      <c r="C2224" s="160"/>
      <c r="D2224" s="151"/>
      <c r="E2224" s="152"/>
      <c r="F2224" s="153"/>
      <c r="G2224" s="154"/>
      <c r="H2224" s="154"/>
      <c r="I2224" s="154"/>
      <c r="J2224" s="155"/>
      <c r="K2224" s="156"/>
      <c r="L2224" s="157"/>
      <c r="M2224" s="158" t="s">
        <v>28</v>
      </c>
      <c r="N2224" s="159" t="s">
        <v>29</v>
      </c>
    </row>
    <row r="2225" spans="1:14">
      <c r="A2225" s="148"/>
      <c r="B2225" s="149"/>
      <c r="C2225" s="160"/>
      <c r="D2225" s="151"/>
      <c r="E2225" s="152"/>
      <c r="F2225" s="153"/>
      <c r="G2225" s="154"/>
      <c r="H2225" s="154"/>
      <c r="I2225" s="154"/>
      <c r="J2225" s="155"/>
      <c r="K2225" s="156"/>
      <c r="L2225" s="157"/>
      <c r="M2225" s="158" t="s">
        <v>28</v>
      </c>
      <c r="N2225" s="159" t="s">
        <v>29</v>
      </c>
    </row>
    <row r="2226" spans="1:14">
      <c r="A2226" s="148"/>
      <c r="B2226" s="149"/>
      <c r="C2226" s="160"/>
      <c r="D2226" s="151"/>
      <c r="E2226" s="152"/>
      <c r="F2226" s="153"/>
      <c r="G2226" s="154"/>
      <c r="H2226" s="154"/>
      <c r="I2226" s="154"/>
      <c r="J2226" s="155"/>
      <c r="K2226" s="156"/>
      <c r="L2226" s="157"/>
      <c r="M2226" s="158" t="s">
        <v>28</v>
      </c>
      <c r="N2226" s="159" t="s">
        <v>29</v>
      </c>
    </row>
    <row r="2227" spans="1:14">
      <c r="A2227" s="148"/>
      <c r="B2227" s="149"/>
      <c r="C2227" s="160"/>
      <c r="D2227" s="151"/>
      <c r="E2227" s="152"/>
      <c r="F2227" s="153"/>
      <c r="G2227" s="154"/>
      <c r="H2227" s="154"/>
      <c r="I2227" s="154"/>
      <c r="J2227" s="155"/>
      <c r="K2227" s="156"/>
      <c r="L2227" s="157"/>
      <c r="M2227" s="158" t="s">
        <v>28</v>
      </c>
      <c r="N2227" s="159" t="s">
        <v>29</v>
      </c>
    </row>
    <row r="2228" spans="1:14">
      <c r="A2228" s="148"/>
      <c r="B2228" s="149"/>
      <c r="C2228" s="160"/>
      <c r="D2228" s="151"/>
      <c r="E2228" s="152"/>
      <c r="F2228" s="153"/>
      <c r="G2228" s="154"/>
      <c r="H2228" s="154"/>
      <c r="I2228" s="154"/>
      <c r="J2228" s="155"/>
      <c r="K2228" s="156"/>
      <c r="L2228" s="157"/>
      <c r="M2228" s="158" t="s">
        <v>28</v>
      </c>
      <c r="N2228" s="159" t="s">
        <v>29</v>
      </c>
    </row>
    <row r="2229" spans="1:14">
      <c r="A2229" s="148"/>
      <c r="B2229" s="149"/>
      <c r="C2229" s="160"/>
      <c r="D2229" s="151"/>
      <c r="E2229" s="152"/>
      <c r="F2229" s="153"/>
      <c r="G2229" s="154"/>
      <c r="H2229" s="154"/>
      <c r="I2229" s="154"/>
      <c r="J2229" s="155"/>
      <c r="K2229" s="156"/>
      <c r="L2229" s="157"/>
      <c r="M2229" s="158" t="s">
        <v>28</v>
      </c>
      <c r="N2229" s="159" t="s">
        <v>29</v>
      </c>
    </row>
    <row r="2230" spans="1:14">
      <c r="A2230" s="148"/>
      <c r="B2230" s="149"/>
      <c r="C2230" s="160"/>
      <c r="D2230" s="151"/>
      <c r="E2230" s="152"/>
      <c r="F2230" s="153"/>
      <c r="G2230" s="154"/>
      <c r="H2230" s="154"/>
      <c r="I2230" s="154"/>
      <c r="J2230" s="155"/>
      <c r="K2230" s="156"/>
      <c r="L2230" s="157"/>
      <c r="M2230" s="158" t="s">
        <v>28</v>
      </c>
      <c r="N2230" s="159" t="s">
        <v>29</v>
      </c>
    </row>
    <row r="2231" spans="1:14">
      <c r="A2231" s="148"/>
      <c r="B2231" s="149"/>
      <c r="C2231" s="160"/>
      <c r="D2231" s="151"/>
      <c r="E2231" s="152"/>
      <c r="F2231" s="153"/>
      <c r="G2231" s="154"/>
      <c r="H2231" s="154"/>
      <c r="I2231" s="154"/>
      <c r="J2231" s="155"/>
      <c r="K2231" s="156"/>
      <c r="L2231" s="157"/>
      <c r="M2231" s="158" t="s">
        <v>28</v>
      </c>
      <c r="N2231" s="159" t="s">
        <v>29</v>
      </c>
    </row>
    <row r="2232" spans="1:14">
      <c r="A2232" s="148"/>
      <c r="B2232" s="149"/>
      <c r="C2232" s="160"/>
      <c r="D2232" s="151"/>
      <c r="E2232" s="152"/>
      <c r="F2232" s="153"/>
      <c r="G2232" s="154"/>
      <c r="H2232" s="154"/>
      <c r="I2232" s="154"/>
      <c r="J2232" s="155"/>
      <c r="K2232" s="156"/>
      <c r="L2232" s="157"/>
      <c r="M2232" s="158" t="s">
        <v>28</v>
      </c>
      <c r="N2232" s="159" t="s">
        <v>29</v>
      </c>
    </row>
    <row r="2233" spans="1:14">
      <c r="A2233" s="148"/>
      <c r="B2233" s="149"/>
      <c r="C2233" s="160"/>
      <c r="D2233" s="151"/>
      <c r="E2233" s="152"/>
      <c r="F2233" s="153"/>
      <c r="G2233" s="154"/>
      <c r="H2233" s="154"/>
      <c r="I2233" s="154"/>
      <c r="J2233" s="155"/>
      <c r="K2233" s="156"/>
      <c r="L2233" s="157"/>
      <c r="M2233" s="158" t="s">
        <v>28</v>
      </c>
      <c r="N2233" s="159" t="s">
        <v>29</v>
      </c>
    </row>
    <row r="2234" spans="1:14">
      <c r="A2234" s="148"/>
      <c r="B2234" s="149"/>
      <c r="C2234" s="160"/>
      <c r="D2234" s="151"/>
      <c r="E2234" s="152"/>
      <c r="F2234" s="153"/>
      <c r="G2234" s="154"/>
      <c r="H2234" s="154"/>
      <c r="I2234" s="154"/>
      <c r="J2234" s="155"/>
      <c r="K2234" s="156"/>
      <c r="L2234" s="157"/>
      <c r="M2234" s="158" t="s">
        <v>28</v>
      </c>
      <c r="N2234" s="159" t="s">
        <v>29</v>
      </c>
    </row>
    <row r="2235" spans="1:14">
      <c r="A2235" s="148"/>
      <c r="B2235" s="149"/>
      <c r="C2235" s="160"/>
      <c r="D2235" s="151"/>
      <c r="E2235" s="152"/>
      <c r="F2235" s="153"/>
      <c r="G2235" s="154"/>
      <c r="H2235" s="154"/>
      <c r="I2235" s="154"/>
      <c r="J2235" s="155"/>
      <c r="K2235" s="156"/>
      <c r="L2235" s="157"/>
      <c r="M2235" s="158" t="s">
        <v>28</v>
      </c>
      <c r="N2235" s="159" t="s">
        <v>29</v>
      </c>
    </row>
    <row r="2236" spans="1:14">
      <c r="A2236" s="148"/>
      <c r="B2236" s="149"/>
      <c r="C2236" s="160"/>
      <c r="D2236" s="151"/>
      <c r="E2236" s="152"/>
      <c r="F2236" s="153"/>
      <c r="G2236" s="154"/>
      <c r="H2236" s="154"/>
      <c r="I2236" s="154"/>
      <c r="J2236" s="155"/>
      <c r="K2236" s="156"/>
      <c r="L2236" s="157"/>
      <c r="M2236" s="158" t="s">
        <v>28</v>
      </c>
      <c r="N2236" s="159" t="s">
        <v>29</v>
      </c>
    </row>
    <row r="2237" spans="1:14">
      <c r="A2237" s="148"/>
      <c r="B2237" s="149"/>
      <c r="C2237" s="160"/>
      <c r="D2237" s="151"/>
      <c r="E2237" s="152"/>
      <c r="F2237" s="153"/>
      <c r="G2237" s="154"/>
      <c r="H2237" s="154"/>
      <c r="I2237" s="154"/>
      <c r="J2237" s="155"/>
      <c r="K2237" s="156"/>
      <c r="L2237" s="157"/>
      <c r="M2237" s="158" t="s">
        <v>28</v>
      </c>
      <c r="N2237" s="159" t="s">
        <v>29</v>
      </c>
    </row>
    <row r="2238" spans="1:14">
      <c r="A2238" s="148"/>
      <c r="B2238" s="149"/>
      <c r="C2238" s="160"/>
      <c r="D2238" s="151"/>
      <c r="E2238" s="152"/>
      <c r="F2238" s="153"/>
      <c r="G2238" s="154"/>
      <c r="H2238" s="154"/>
      <c r="I2238" s="154"/>
      <c r="J2238" s="155"/>
      <c r="K2238" s="156"/>
      <c r="L2238" s="157"/>
      <c r="M2238" s="158" t="s">
        <v>28</v>
      </c>
      <c r="N2238" s="159" t="s">
        <v>29</v>
      </c>
    </row>
    <row r="2239" spans="1:14">
      <c r="A2239" s="148"/>
      <c r="B2239" s="149"/>
      <c r="C2239" s="160"/>
      <c r="D2239" s="151"/>
      <c r="E2239" s="152"/>
      <c r="F2239" s="153"/>
      <c r="G2239" s="154"/>
      <c r="H2239" s="154"/>
      <c r="I2239" s="154"/>
      <c r="J2239" s="155"/>
      <c r="K2239" s="156"/>
      <c r="L2239" s="157"/>
      <c r="M2239" s="158" t="s">
        <v>28</v>
      </c>
      <c r="N2239" s="159" t="s">
        <v>29</v>
      </c>
    </row>
    <row r="2240" spans="1:14">
      <c r="A2240" s="148"/>
      <c r="B2240" s="149"/>
      <c r="C2240" s="160"/>
      <c r="D2240" s="151"/>
      <c r="E2240" s="152"/>
      <c r="F2240" s="153"/>
      <c r="G2240" s="154"/>
      <c r="H2240" s="154"/>
      <c r="I2240" s="154"/>
      <c r="J2240" s="155"/>
      <c r="K2240" s="156"/>
      <c r="L2240" s="157"/>
      <c r="M2240" s="158" t="s">
        <v>28</v>
      </c>
      <c r="N2240" s="159" t="s">
        <v>29</v>
      </c>
    </row>
    <row r="2241" spans="1:14">
      <c r="A2241" s="148"/>
      <c r="B2241" s="149"/>
      <c r="C2241" s="160"/>
      <c r="D2241" s="151"/>
      <c r="E2241" s="152"/>
      <c r="F2241" s="153"/>
      <c r="G2241" s="154"/>
      <c r="H2241" s="154"/>
      <c r="I2241" s="154"/>
      <c r="J2241" s="155"/>
      <c r="K2241" s="156"/>
      <c r="L2241" s="157"/>
      <c r="M2241" s="158" t="s">
        <v>28</v>
      </c>
      <c r="N2241" s="159" t="s">
        <v>29</v>
      </c>
    </row>
    <row r="2242" spans="1:14">
      <c r="A2242" s="148"/>
      <c r="B2242" s="149"/>
      <c r="C2242" s="160"/>
      <c r="D2242" s="151"/>
      <c r="E2242" s="152"/>
      <c r="F2242" s="153"/>
      <c r="G2242" s="154"/>
      <c r="H2242" s="154"/>
      <c r="I2242" s="154"/>
      <c r="J2242" s="155"/>
      <c r="K2242" s="156"/>
      <c r="L2242" s="157"/>
      <c r="M2242" s="158" t="s">
        <v>28</v>
      </c>
      <c r="N2242" s="159" t="s">
        <v>29</v>
      </c>
    </row>
    <row r="2243" spans="1:14">
      <c r="A2243" s="148"/>
      <c r="B2243" s="149"/>
      <c r="C2243" s="160"/>
      <c r="D2243" s="151"/>
      <c r="E2243" s="152"/>
      <c r="F2243" s="153"/>
      <c r="G2243" s="154"/>
      <c r="H2243" s="154"/>
      <c r="I2243" s="154"/>
      <c r="J2243" s="155"/>
      <c r="K2243" s="156"/>
      <c r="L2243" s="157"/>
      <c r="M2243" s="158" t="s">
        <v>28</v>
      </c>
      <c r="N2243" s="159" t="s">
        <v>29</v>
      </c>
    </row>
    <row r="2244" spans="1:14">
      <c r="A2244" s="148"/>
      <c r="B2244" s="149"/>
      <c r="C2244" s="160"/>
      <c r="D2244" s="151"/>
      <c r="E2244" s="152"/>
      <c r="F2244" s="153"/>
      <c r="G2244" s="154"/>
      <c r="H2244" s="154"/>
      <c r="I2244" s="154"/>
      <c r="J2244" s="155"/>
      <c r="K2244" s="156"/>
      <c r="L2244" s="157"/>
      <c r="M2244" s="158" t="s">
        <v>28</v>
      </c>
      <c r="N2244" s="159" t="s">
        <v>29</v>
      </c>
    </row>
    <row r="2245" spans="1:14">
      <c r="A2245" s="148"/>
      <c r="B2245" s="149"/>
      <c r="C2245" s="160"/>
      <c r="D2245" s="151"/>
      <c r="E2245" s="152"/>
      <c r="F2245" s="153"/>
      <c r="G2245" s="154"/>
      <c r="H2245" s="154"/>
      <c r="I2245" s="154"/>
      <c r="J2245" s="155"/>
      <c r="K2245" s="156"/>
      <c r="L2245" s="157"/>
      <c r="M2245" s="158" t="s">
        <v>28</v>
      </c>
      <c r="N2245" s="159" t="s">
        <v>29</v>
      </c>
    </row>
    <row r="2246" spans="1:14">
      <c r="A2246" s="148"/>
      <c r="B2246" s="149"/>
      <c r="C2246" s="160"/>
      <c r="D2246" s="151"/>
      <c r="E2246" s="152"/>
      <c r="F2246" s="153"/>
      <c r="G2246" s="154"/>
      <c r="H2246" s="154"/>
      <c r="I2246" s="154"/>
      <c r="J2246" s="155"/>
      <c r="K2246" s="156"/>
      <c r="L2246" s="157"/>
      <c r="M2246" s="158" t="s">
        <v>28</v>
      </c>
      <c r="N2246" s="159" t="s">
        <v>29</v>
      </c>
    </row>
    <row r="2247" spans="1:14">
      <c r="A2247" s="148"/>
      <c r="B2247" s="149"/>
      <c r="C2247" s="160"/>
      <c r="D2247" s="151"/>
      <c r="E2247" s="152"/>
      <c r="F2247" s="153"/>
      <c r="G2247" s="154"/>
      <c r="H2247" s="154"/>
      <c r="I2247" s="154"/>
      <c r="J2247" s="155"/>
      <c r="K2247" s="156"/>
      <c r="L2247" s="157"/>
      <c r="M2247" s="158" t="s">
        <v>28</v>
      </c>
      <c r="N2247" s="159" t="s">
        <v>29</v>
      </c>
    </row>
    <row r="2248" spans="1:14">
      <c r="A2248" s="148"/>
      <c r="B2248" s="149"/>
      <c r="C2248" s="160"/>
      <c r="D2248" s="151"/>
      <c r="E2248" s="152"/>
      <c r="F2248" s="153"/>
      <c r="G2248" s="154"/>
      <c r="H2248" s="154"/>
      <c r="I2248" s="154"/>
      <c r="J2248" s="155"/>
      <c r="K2248" s="156"/>
      <c r="L2248" s="157"/>
      <c r="M2248" s="158" t="s">
        <v>28</v>
      </c>
      <c r="N2248" s="159" t="s">
        <v>29</v>
      </c>
    </row>
    <row r="2249" spans="1:14">
      <c r="A2249" s="148"/>
      <c r="B2249" s="149"/>
      <c r="C2249" s="160"/>
      <c r="D2249" s="151"/>
      <c r="E2249" s="152"/>
      <c r="F2249" s="153"/>
      <c r="G2249" s="154"/>
      <c r="H2249" s="154"/>
      <c r="I2249" s="154"/>
      <c r="J2249" s="155"/>
      <c r="K2249" s="156"/>
      <c r="L2249" s="157"/>
      <c r="M2249" s="158" t="s">
        <v>28</v>
      </c>
      <c r="N2249" s="159" t="s">
        <v>29</v>
      </c>
    </row>
    <row r="2250" spans="1:14">
      <c r="A2250" s="148"/>
      <c r="B2250" s="149"/>
      <c r="C2250" s="160"/>
      <c r="D2250" s="151"/>
      <c r="E2250" s="152"/>
      <c r="F2250" s="153"/>
      <c r="G2250" s="154"/>
      <c r="H2250" s="154"/>
      <c r="I2250" s="154"/>
      <c r="J2250" s="155"/>
      <c r="K2250" s="156"/>
      <c r="L2250" s="157"/>
      <c r="M2250" s="158" t="s">
        <v>28</v>
      </c>
      <c r="N2250" s="159" t="s">
        <v>29</v>
      </c>
    </row>
    <row r="2251" spans="1:14">
      <c r="A2251" s="148"/>
      <c r="B2251" s="149"/>
      <c r="C2251" s="160"/>
      <c r="D2251" s="151"/>
      <c r="E2251" s="152"/>
      <c r="F2251" s="153"/>
      <c r="G2251" s="154"/>
      <c r="H2251" s="154"/>
      <c r="I2251" s="154"/>
      <c r="J2251" s="155"/>
      <c r="K2251" s="156"/>
      <c r="L2251" s="157"/>
      <c r="M2251" s="158" t="s">
        <v>28</v>
      </c>
      <c r="N2251" s="159" t="s">
        <v>29</v>
      </c>
    </row>
    <row r="2252" spans="1:14">
      <c r="A2252" s="148"/>
      <c r="B2252" s="149"/>
      <c r="C2252" s="160"/>
      <c r="D2252" s="151"/>
      <c r="E2252" s="152"/>
      <c r="F2252" s="153"/>
      <c r="G2252" s="154"/>
      <c r="H2252" s="154"/>
      <c r="I2252" s="154"/>
      <c r="J2252" s="155"/>
      <c r="K2252" s="156"/>
      <c r="L2252" s="157"/>
      <c r="M2252" s="158" t="s">
        <v>28</v>
      </c>
      <c r="N2252" s="159" t="s">
        <v>29</v>
      </c>
    </row>
    <row r="2253" spans="1:14">
      <c r="A2253" s="148"/>
      <c r="B2253" s="149"/>
      <c r="C2253" s="160"/>
      <c r="D2253" s="151"/>
      <c r="E2253" s="152"/>
      <c r="F2253" s="153"/>
      <c r="G2253" s="154"/>
      <c r="H2253" s="154"/>
      <c r="I2253" s="154"/>
      <c r="J2253" s="155"/>
      <c r="K2253" s="156"/>
      <c r="L2253" s="157"/>
      <c r="M2253" s="158" t="s">
        <v>28</v>
      </c>
      <c r="N2253" s="159" t="s">
        <v>29</v>
      </c>
    </row>
    <row r="2254" spans="1:14">
      <c r="A2254" s="148"/>
      <c r="B2254" s="149"/>
      <c r="C2254" s="160"/>
      <c r="D2254" s="151"/>
      <c r="E2254" s="152"/>
      <c r="F2254" s="153"/>
      <c r="G2254" s="154"/>
      <c r="H2254" s="154"/>
      <c r="I2254" s="154"/>
      <c r="J2254" s="155"/>
      <c r="K2254" s="156"/>
      <c r="L2254" s="157"/>
      <c r="M2254" s="158" t="s">
        <v>28</v>
      </c>
      <c r="N2254" s="159" t="s">
        <v>29</v>
      </c>
    </row>
    <row r="2255" spans="1:14">
      <c r="A2255" s="148"/>
      <c r="B2255" s="149"/>
      <c r="C2255" s="160"/>
      <c r="D2255" s="151"/>
      <c r="E2255" s="152"/>
      <c r="F2255" s="153"/>
      <c r="G2255" s="154"/>
      <c r="H2255" s="154"/>
      <c r="I2255" s="154"/>
      <c r="J2255" s="155"/>
      <c r="K2255" s="156"/>
      <c r="L2255" s="157"/>
      <c r="M2255" s="158" t="s">
        <v>28</v>
      </c>
      <c r="N2255" s="159" t="s">
        <v>29</v>
      </c>
    </row>
    <row r="2256" spans="1:14">
      <c r="A2256" s="148"/>
      <c r="B2256" s="149"/>
      <c r="C2256" s="160"/>
      <c r="D2256" s="151"/>
      <c r="E2256" s="152"/>
      <c r="F2256" s="153"/>
      <c r="G2256" s="154"/>
      <c r="H2256" s="154"/>
      <c r="I2256" s="154"/>
      <c r="J2256" s="155"/>
      <c r="K2256" s="156"/>
      <c r="L2256" s="157"/>
      <c r="M2256" s="158" t="s">
        <v>28</v>
      </c>
      <c r="N2256" s="159" t="s">
        <v>29</v>
      </c>
    </row>
    <row r="2257" spans="1:14">
      <c r="A2257" s="148"/>
      <c r="B2257" s="149"/>
      <c r="C2257" s="160"/>
      <c r="D2257" s="151"/>
      <c r="E2257" s="152"/>
      <c r="F2257" s="153"/>
      <c r="G2257" s="154"/>
      <c r="H2257" s="154"/>
      <c r="I2257" s="154"/>
      <c r="J2257" s="155"/>
      <c r="K2257" s="156"/>
      <c r="L2257" s="157"/>
      <c r="M2257" s="158" t="s">
        <v>28</v>
      </c>
      <c r="N2257" s="159" t="s">
        <v>29</v>
      </c>
    </row>
    <row r="2258" spans="1:14">
      <c r="A2258" s="148"/>
      <c r="B2258" s="149"/>
      <c r="C2258" s="160"/>
      <c r="D2258" s="151"/>
      <c r="E2258" s="152"/>
      <c r="F2258" s="153"/>
      <c r="G2258" s="154"/>
      <c r="H2258" s="154"/>
      <c r="I2258" s="154"/>
      <c r="J2258" s="155"/>
      <c r="K2258" s="156"/>
      <c r="L2258" s="157"/>
      <c r="M2258" s="158" t="s">
        <v>28</v>
      </c>
      <c r="N2258" s="159" t="s">
        <v>29</v>
      </c>
    </row>
    <row r="2259" spans="1:14">
      <c r="A2259" s="148"/>
      <c r="B2259" s="149"/>
      <c r="C2259" s="160"/>
      <c r="D2259" s="151"/>
      <c r="E2259" s="152"/>
      <c r="F2259" s="153"/>
      <c r="G2259" s="154"/>
      <c r="H2259" s="154"/>
      <c r="I2259" s="154"/>
      <c r="J2259" s="155"/>
      <c r="K2259" s="156"/>
      <c r="L2259" s="157"/>
      <c r="M2259" s="158" t="s">
        <v>28</v>
      </c>
      <c r="N2259" s="159" t="s">
        <v>29</v>
      </c>
    </row>
    <row r="2260" spans="1:14">
      <c r="A2260" s="148"/>
      <c r="B2260" s="149"/>
      <c r="C2260" s="160"/>
      <c r="D2260" s="151"/>
      <c r="E2260" s="152"/>
      <c r="F2260" s="153"/>
      <c r="G2260" s="154"/>
      <c r="H2260" s="154"/>
      <c r="I2260" s="154"/>
      <c r="J2260" s="155"/>
      <c r="K2260" s="156"/>
      <c r="L2260" s="157"/>
      <c r="M2260" s="158" t="s">
        <v>28</v>
      </c>
      <c r="N2260" s="159" t="s">
        <v>29</v>
      </c>
    </row>
    <row r="2261" spans="1:14">
      <c r="A2261" s="148"/>
      <c r="B2261" s="149"/>
      <c r="C2261" s="160"/>
      <c r="D2261" s="151"/>
      <c r="E2261" s="152"/>
      <c r="F2261" s="153"/>
      <c r="G2261" s="154"/>
      <c r="H2261" s="154"/>
      <c r="I2261" s="154"/>
      <c r="J2261" s="155"/>
      <c r="K2261" s="156"/>
      <c r="L2261" s="157"/>
      <c r="M2261" s="158" t="s">
        <v>28</v>
      </c>
      <c r="N2261" s="159" t="s">
        <v>29</v>
      </c>
    </row>
    <row r="2262" spans="1:14">
      <c r="A2262" s="148"/>
      <c r="B2262" s="149"/>
      <c r="C2262" s="160"/>
      <c r="D2262" s="151"/>
      <c r="E2262" s="152"/>
      <c r="F2262" s="153"/>
      <c r="G2262" s="154"/>
      <c r="H2262" s="154"/>
      <c r="I2262" s="154"/>
      <c r="J2262" s="155"/>
      <c r="K2262" s="156"/>
      <c r="L2262" s="157"/>
      <c r="M2262" s="158" t="s">
        <v>28</v>
      </c>
      <c r="N2262" s="159" t="s">
        <v>29</v>
      </c>
    </row>
    <row r="2263" spans="1:14">
      <c r="A2263" s="148"/>
      <c r="B2263" s="149"/>
      <c r="C2263" s="160"/>
      <c r="D2263" s="151"/>
      <c r="E2263" s="152"/>
      <c r="F2263" s="153"/>
      <c r="G2263" s="154"/>
      <c r="H2263" s="154"/>
      <c r="I2263" s="154"/>
      <c r="J2263" s="155"/>
      <c r="K2263" s="156"/>
      <c r="L2263" s="157"/>
      <c r="M2263" s="158" t="s">
        <v>28</v>
      </c>
      <c r="N2263" s="159" t="s">
        <v>29</v>
      </c>
    </row>
    <row r="2264" spans="1:14">
      <c r="A2264" s="148"/>
      <c r="B2264" s="149"/>
      <c r="C2264" s="160"/>
      <c r="D2264" s="151"/>
      <c r="E2264" s="152"/>
      <c r="F2264" s="153"/>
      <c r="G2264" s="154"/>
      <c r="H2264" s="154"/>
      <c r="I2264" s="154"/>
      <c r="J2264" s="155"/>
      <c r="K2264" s="156"/>
      <c r="L2264" s="157"/>
      <c r="M2264" s="158" t="s">
        <v>28</v>
      </c>
      <c r="N2264" s="159" t="s">
        <v>29</v>
      </c>
    </row>
    <row r="2265" spans="1:14">
      <c r="A2265" s="148"/>
      <c r="B2265" s="149"/>
      <c r="C2265" s="160"/>
      <c r="D2265" s="151"/>
      <c r="E2265" s="152"/>
      <c r="F2265" s="153"/>
      <c r="G2265" s="154"/>
      <c r="H2265" s="154"/>
      <c r="I2265" s="154"/>
      <c r="J2265" s="155"/>
      <c r="K2265" s="156"/>
      <c r="L2265" s="157"/>
      <c r="M2265" s="158" t="s">
        <v>28</v>
      </c>
      <c r="N2265" s="159" t="s">
        <v>29</v>
      </c>
    </row>
    <row r="2266" spans="1:14">
      <c r="A2266" s="148"/>
      <c r="B2266" s="149"/>
      <c r="C2266" s="160"/>
      <c r="D2266" s="151"/>
      <c r="E2266" s="152"/>
      <c r="F2266" s="153"/>
      <c r="G2266" s="154"/>
      <c r="H2266" s="154"/>
      <c r="I2266" s="154"/>
      <c r="J2266" s="155"/>
      <c r="K2266" s="156"/>
      <c r="L2266" s="157"/>
      <c r="M2266" s="158" t="s">
        <v>28</v>
      </c>
      <c r="N2266" s="159" t="s">
        <v>29</v>
      </c>
    </row>
    <row r="2267" spans="1:14">
      <c r="A2267" s="148"/>
      <c r="B2267" s="149"/>
      <c r="C2267" s="160"/>
      <c r="D2267" s="151"/>
      <c r="E2267" s="152"/>
      <c r="F2267" s="153"/>
      <c r="G2267" s="154"/>
      <c r="H2267" s="154"/>
      <c r="I2267" s="154"/>
      <c r="J2267" s="155"/>
      <c r="K2267" s="156"/>
      <c r="L2267" s="157"/>
      <c r="M2267" s="158" t="s">
        <v>28</v>
      </c>
      <c r="N2267" s="159" t="s">
        <v>29</v>
      </c>
    </row>
    <row r="2268" spans="1:14">
      <c r="A2268" s="148"/>
      <c r="B2268" s="149"/>
      <c r="C2268" s="160"/>
      <c r="D2268" s="151"/>
      <c r="E2268" s="152"/>
      <c r="F2268" s="153"/>
      <c r="G2268" s="154"/>
      <c r="H2268" s="154"/>
      <c r="I2268" s="154"/>
      <c r="J2268" s="155"/>
      <c r="K2268" s="156"/>
      <c r="L2268" s="157"/>
      <c r="M2268" s="158" t="s">
        <v>28</v>
      </c>
      <c r="N2268" s="159" t="s">
        <v>29</v>
      </c>
    </row>
    <row r="2269" spans="1:14">
      <c r="A2269" s="148"/>
      <c r="B2269" s="149"/>
      <c r="C2269" s="160"/>
      <c r="D2269" s="151"/>
      <c r="E2269" s="152"/>
      <c r="F2269" s="153"/>
      <c r="G2269" s="154"/>
      <c r="H2269" s="154"/>
      <c r="I2269" s="154"/>
      <c r="J2269" s="155"/>
      <c r="K2269" s="156"/>
      <c r="L2269" s="157"/>
      <c r="M2269" s="158" t="s">
        <v>28</v>
      </c>
      <c r="N2269" s="159" t="s">
        <v>29</v>
      </c>
    </row>
    <row r="2270" spans="1:14">
      <c r="A2270" s="148"/>
      <c r="B2270" s="149"/>
      <c r="C2270" s="160"/>
      <c r="D2270" s="151"/>
      <c r="E2270" s="152"/>
      <c r="F2270" s="153"/>
      <c r="G2270" s="154"/>
      <c r="H2270" s="154"/>
      <c r="I2270" s="154"/>
      <c r="J2270" s="155"/>
      <c r="K2270" s="156"/>
      <c r="L2270" s="157"/>
      <c r="M2270" s="158" t="s">
        <v>28</v>
      </c>
      <c r="N2270" s="159" t="s">
        <v>29</v>
      </c>
    </row>
    <row r="2271" spans="1:14">
      <c r="A2271" s="148"/>
      <c r="B2271" s="149"/>
      <c r="C2271" s="160"/>
      <c r="D2271" s="151"/>
      <c r="E2271" s="152"/>
      <c r="F2271" s="153"/>
      <c r="G2271" s="154"/>
      <c r="H2271" s="154"/>
      <c r="I2271" s="154"/>
      <c r="J2271" s="155"/>
      <c r="K2271" s="156"/>
      <c r="L2271" s="157"/>
      <c r="M2271" s="158" t="s">
        <v>28</v>
      </c>
      <c r="N2271" s="159" t="s">
        <v>29</v>
      </c>
    </row>
    <row r="2272" spans="1:14">
      <c r="A2272" s="148"/>
      <c r="B2272" s="149"/>
      <c r="C2272" s="150"/>
      <c r="D2272" s="151"/>
      <c r="E2272" s="152"/>
      <c r="F2272" s="153"/>
      <c r="G2272" s="154"/>
      <c r="H2272" s="154"/>
      <c r="I2272" s="154"/>
      <c r="J2272" s="155"/>
      <c r="K2272" s="156"/>
      <c r="L2272" s="157"/>
      <c r="M2272" s="158" t="s">
        <v>28</v>
      </c>
      <c r="N2272" s="159" t="s">
        <v>29</v>
      </c>
    </row>
    <row r="2273" spans="1:14">
      <c r="A2273" s="148"/>
      <c r="B2273" s="149"/>
      <c r="C2273" s="150"/>
      <c r="D2273" s="151"/>
      <c r="E2273" s="152"/>
      <c r="F2273" s="153"/>
      <c r="G2273" s="154"/>
      <c r="H2273" s="154"/>
      <c r="I2273" s="154"/>
      <c r="J2273" s="155"/>
      <c r="K2273" s="156"/>
      <c r="L2273" s="157"/>
      <c r="M2273" s="158" t="s">
        <v>28</v>
      </c>
      <c r="N2273" s="159" t="s">
        <v>29</v>
      </c>
    </row>
    <row r="2274" spans="1:14">
      <c r="A2274" s="148"/>
      <c r="B2274" s="149"/>
      <c r="C2274" s="150"/>
      <c r="D2274" s="151"/>
      <c r="E2274" s="152"/>
      <c r="F2274" s="153"/>
      <c r="G2274" s="154"/>
      <c r="H2274" s="154"/>
      <c r="I2274" s="154"/>
      <c r="J2274" s="155"/>
      <c r="K2274" s="156"/>
      <c r="L2274" s="157"/>
      <c r="M2274" s="158" t="s">
        <v>28</v>
      </c>
      <c r="N2274" s="159" t="s">
        <v>29</v>
      </c>
    </row>
    <row r="2275" spans="1:14">
      <c r="A2275" s="148"/>
      <c r="B2275" s="149"/>
      <c r="C2275" s="150"/>
      <c r="D2275" s="151"/>
      <c r="E2275" s="152"/>
      <c r="F2275" s="153"/>
      <c r="G2275" s="154"/>
      <c r="H2275" s="154"/>
      <c r="I2275" s="154"/>
      <c r="J2275" s="155"/>
      <c r="K2275" s="156"/>
      <c r="L2275" s="157"/>
      <c r="M2275" s="158" t="s">
        <v>28</v>
      </c>
      <c r="N2275" s="159" t="s">
        <v>29</v>
      </c>
    </row>
    <row r="2276" spans="1:14">
      <c r="A2276" s="148"/>
      <c r="B2276" s="149"/>
      <c r="C2276" s="150"/>
      <c r="D2276" s="151"/>
      <c r="E2276" s="152"/>
      <c r="F2276" s="153"/>
      <c r="G2276" s="154"/>
      <c r="H2276" s="154"/>
      <c r="I2276" s="154"/>
      <c r="J2276" s="155"/>
      <c r="K2276" s="156"/>
      <c r="L2276" s="157"/>
      <c r="M2276" s="158" t="s">
        <v>28</v>
      </c>
      <c r="N2276" s="159" t="s">
        <v>29</v>
      </c>
    </row>
    <row r="2277" spans="1:14">
      <c r="A2277" s="148"/>
      <c r="B2277" s="149"/>
      <c r="C2277" s="150"/>
      <c r="D2277" s="151"/>
      <c r="E2277" s="152"/>
      <c r="F2277" s="153"/>
      <c r="G2277" s="154"/>
      <c r="H2277" s="154"/>
      <c r="I2277" s="154"/>
      <c r="J2277" s="155"/>
      <c r="K2277" s="156"/>
      <c r="L2277" s="157"/>
      <c r="M2277" s="158" t="s">
        <v>28</v>
      </c>
      <c r="N2277" s="159" t="s">
        <v>29</v>
      </c>
    </row>
    <row r="2278" spans="1:14">
      <c r="A2278" s="148"/>
      <c r="B2278" s="149"/>
      <c r="C2278" s="150"/>
      <c r="D2278" s="151"/>
      <c r="E2278" s="152"/>
      <c r="F2278" s="153"/>
      <c r="G2278" s="154"/>
      <c r="H2278" s="154"/>
      <c r="I2278" s="154"/>
      <c r="J2278" s="155"/>
      <c r="K2278" s="156"/>
      <c r="L2278" s="157"/>
      <c r="M2278" s="158" t="s">
        <v>28</v>
      </c>
      <c r="N2278" s="159" t="s">
        <v>29</v>
      </c>
    </row>
    <row r="2279" spans="1:14">
      <c r="A2279" s="148"/>
      <c r="B2279" s="149"/>
      <c r="C2279" s="150"/>
      <c r="D2279" s="151"/>
      <c r="E2279" s="152"/>
      <c r="F2279" s="153"/>
      <c r="G2279" s="154"/>
      <c r="H2279" s="154"/>
      <c r="I2279" s="154"/>
      <c r="J2279" s="155"/>
      <c r="K2279" s="156"/>
      <c r="L2279" s="157"/>
      <c r="M2279" s="158" t="s">
        <v>28</v>
      </c>
      <c r="N2279" s="159" t="s">
        <v>29</v>
      </c>
    </row>
    <row r="2280" spans="1:14">
      <c r="A2280" s="148"/>
      <c r="B2280" s="149"/>
      <c r="C2280" s="150"/>
      <c r="D2280" s="151"/>
      <c r="E2280" s="152"/>
      <c r="F2280" s="153"/>
      <c r="G2280" s="154"/>
      <c r="H2280" s="154"/>
      <c r="I2280" s="154"/>
      <c r="J2280" s="155"/>
      <c r="K2280" s="156"/>
      <c r="L2280" s="157"/>
      <c r="M2280" s="158" t="s">
        <v>28</v>
      </c>
      <c r="N2280" s="159" t="s">
        <v>29</v>
      </c>
    </row>
    <row r="2281" spans="1:14">
      <c r="A2281" s="148"/>
      <c r="B2281" s="149"/>
      <c r="C2281" s="150"/>
      <c r="D2281" s="151"/>
      <c r="E2281" s="152"/>
      <c r="F2281" s="153"/>
      <c r="G2281" s="154"/>
      <c r="H2281" s="154"/>
      <c r="I2281" s="154"/>
      <c r="J2281" s="155"/>
      <c r="K2281" s="156"/>
      <c r="L2281" s="157"/>
      <c r="M2281" s="158" t="s">
        <v>28</v>
      </c>
      <c r="N2281" s="159" t="s">
        <v>29</v>
      </c>
    </row>
    <row r="2282" spans="1:14">
      <c r="A2282" s="148"/>
      <c r="B2282" s="149"/>
      <c r="C2282" s="150"/>
      <c r="D2282" s="151"/>
      <c r="E2282" s="152"/>
      <c r="F2282" s="153"/>
      <c r="G2282" s="154"/>
      <c r="H2282" s="154"/>
      <c r="I2282" s="154"/>
      <c r="J2282" s="155"/>
      <c r="K2282" s="156"/>
      <c r="L2282" s="157"/>
      <c r="M2282" s="158" t="s">
        <v>28</v>
      </c>
      <c r="N2282" s="159" t="s">
        <v>29</v>
      </c>
    </row>
    <row r="2283" spans="1:14">
      <c r="A2283" s="148"/>
      <c r="B2283" s="149"/>
      <c r="C2283" s="160"/>
      <c r="D2283" s="151"/>
      <c r="E2283" s="152"/>
      <c r="F2283" s="153"/>
      <c r="G2283" s="154"/>
      <c r="H2283" s="154"/>
      <c r="I2283" s="154"/>
      <c r="J2283" s="155"/>
      <c r="K2283" s="156"/>
      <c r="L2283" s="157"/>
      <c r="M2283" s="158" t="s">
        <v>28</v>
      </c>
      <c r="N2283" s="159" t="s">
        <v>29</v>
      </c>
    </row>
    <row r="2284" spans="1:14">
      <c r="A2284" s="148"/>
      <c r="B2284" s="149"/>
      <c r="C2284" s="160"/>
      <c r="D2284" s="151"/>
      <c r="E2284" s="152"/>
      <c r="F2284" s="153"/>
      <c r="G2284" s="154"/>
      <c r="H2284" s="154"/>
      <c r="I2284" s="154"/>
      <c r="J2284" s="155"/>
      <c r="K2284" s="156"/>
      <c r="L2284" s="157"/>
      <c r="M2284" s="158" t="s">
        <v>28</v>
      </c>
      <c r="N2284" s="159" t="s">
        <v>29</v>
      </c>
    </row>
    <row r="2285" spans="1:14">
      <c r="A2285" s="148"/>
      <c r="B2285" s="149"/>
      <c r="C2285" s="160"/>
      <c r="D2285" s="151"/>
      <c r="E2285" s="152"/>
      <c r="F2285" s="153"/>
      <c r="G2285" s="154"/>
      <c r="H2285" s="154"/>
      <c r="I2285" s="154"/>
      <c r="J2285" s="155"/>
      <c r="K2285" s="156"/>
      <c r="L2285" s="157"/>
      <c r="M2285" s="158" t="s">
        <v>28</v>
      </c>
      <c r="N2285" s="159" t="s">
        <v>29</v>
      </c>
    </row>
    <row r="2286" spans="1:14">
      <c r="A2286" s="148"/>
      <c r="B2286" s="149"/>
      <c r="C2286" s="160"/>
      <c r="D2286" s="151"/>
      <c r="E2286" s="152"/>
      <c r="F2286" s="153"/>
      <c r="G2286" s="154"/>
      <c r="H2286" s="154"/>
      <c r="I2286" s="154"/>
      <c r="J2286" s="155"/>
      <c r="K2286" s="156"/>
      <c r="L2286" s="157"/>
      <c r="M2286" s="158" t="s">
        <v>28</v>
      </c>
      <c r="N2286" s="159" t="s">
        <v>29</v>
      </c>
    </row>
    <row r="2287" spans="1:14">
      <c r="A2287" s="148"/>
      <c r="B2287" s="149"/>
      <c r="C2287" s="160"/>
      <c r="D2287" s="151"/>
      <c r="E2287" s="152"/>
      <c r="F2287" s="153"/>
      <c r="G2287" s="154"/>
      <c r="H2287" s="154"/>
      <c r="I2287" s="154"/>
      <c r="J2287" s="155"/>
      <c r="K2287" s="156"/>
      <c r="L2287" s="157"/>
      <c r="M2287" s="158" t="s">
        <v>28</v>
      </c>
      <c r="N2287" s="159" t="s">
        <v>29</v>
      </c>
    </row>
    <row r="2288" spans="1:14">
      <c r="A2288" s="148"/>
      <c r="B2288" s="149"/>
      <c r="C2288" s="160"/>
      <c r="D2288" s="151"/>
      <c r="E2288" s="152"/>
      <c r="F2288" s="153"/>
      <c r="G2288" s="154"/>
      <c r="H2288" s="154"/>
      <c r="I2288" s="154"/>
      <c r="J2288" s="155"/>
      <c r="K2288" s="156"/>
      <c r="L2288" s="157"/>
      <c r="M2288" s="158" t="s">
        <v>28</v>
      </c>
      <c r="N2288" s="159" t="s">
        <v>29</v>
      </c>
    </row>
    <row r="2289" spans="1:14">
      <c r="A2289" s="148"/>
      <c r="B2289" s="149"/>
      <c r="C2289" s="160"/>
      <c r="D2289" s="151"/>
      <c r="E2289" s="152"/>
      <c r="F2289" s="153"/>
      <c r="G2289" s="154"/>
      <c r="H2289" s="154"/>
      <c r="I2289" s="154"/>
      <c r="J2289" s="155"/>
      <c r="K2289" s="156"/>
      <c r="L2289" s="157"/>
      <c r="M2289" s="158" t="s">
        <v>28</v>
      </c>
      <c r="N2289" s="159" t="s">
        <v>29</v>
      </c>
    </row>
    <row r="2290" spans="1:14">
      <c r="A2290" s="148"/>
      <c r="B2290" s="149"/>
      <c r="C2290" s="160"/>
      <c r="D2290" s="151"/>
      <c r="E2290" s="152"/>
      <c r="F2290" s="153"/>
      <c r="G2290" s="154"/>
      <c r="H2290" s="154"/>
      <c r="I2290" s="154"/>
      <c r="J2290" s="155"/>
      <c r="K2290" s="156"/>
      <c r="L2290" s="157"/>
      <c r="M2290" s="158" t="s">
        <v>28</v>
      </c>
      <c r="N2290" s="159" t="s">
        <v>29</v>
      </c>
    </row>
    <row r="2291" spans="1:14">
      <c r="A2291" s="148"/>
      <c r="B2291" s="149"/>
      <c r="C2291" s="160"/>
      <c r="D2291" s="151"/>
      <c r="E2291" s="152"/>
      <c r="F2291" s="153"/>
      <c r="G2291" s="154"/>
      <c r="H2291" s="154"/>
      <c r="I2291" s="154"/>
      <c r="J2291" s="155"/>
      <c r="K2291" s="156"/>
      <c r="L2291" s="157"/>
      <c r="M2291" s="158" t="s">
        <v>28</v>
      </c>
      <c r="N2291" s="159" t="s">
        <v>29</v>
      </c>
    </row>
    <row r="2292" spans="1:14">
      <c r="A2292" s="148"/>
      <c r="B2292" s="149"/>
      <c r="C2292" s="160"/>
      <c r="D2292" s="151"/>
      <c r="E2292" s="152"/>
      <c r="F2292" s="153"/>
      <c r="G2292" s="154"/>
      <c r="H2292" s="154"/>
      <c r="I2292" s="154"/>
      <c r="J2292" s="155"/>
      <c r="K2292" s="156"/>
      <c r="L2292" s="157"/>
      <c r="M2292" s="158" t="s">
        <v>28</v>
      </c>
      <c r="N2292" s="159" t="s">
        <v>29</v>
      </c>
    </row>
    <row r="2293" spans="1:14">
      <c r="A2293" s="148"/>
      <c r="B2293" s="149"/>
      <c r="C2293" s="160"/>
      <c r="D2293" s="151"/>
      <c r="E2293" s="152"/>
      <c r="F2293" s="153"/>
      <c r="G2293" s="154"/>
      <c r="H2293" s="154"/>
      <c r="I2293" s="154"/>
      <c r="J2293" s="155"/>
      <c r="K2293" s="156"/>
      <c r="L2293" s="157"/>
      <c r="M2293" s="158" t="s">
        <v>28</v>
      </c>
      <c r="N2293" s="159" t="s">
        <v>29</v>
      </c>
    </row>
    <row r="2294" spans="1:14">
      <c r="A2294" s="148"/>
      <c r="B2294" s="149"/>
      <c r="C2294" s="160"/>
      <c r="D2294" s="151"/>
      <c r="E2294" s="152"/>
      <c r="F2294" s="153"/>
      <c r="G2294" s="154"/>
      <c r="H2294" s="154"/>
      <c r="I2294" s="154"/>
      <c r="J2294" s="155"/>
      <c r="K2294" s="156"/>
      <c r="L2294" s="157"/>
      <c r="M2294" s="158" t="s">
        <v>28</v>
      </c>
      <c r="N2294" s="159" t="s">
        <v>29</v>
      </c>
    </row>
    <row r="2295" spans="1:14">
      <c r="A2295" s="148"/>
      <c r="B2295" s="149"/>
      <c r="C2295" s="160"/>
      <c r="D2295" s="151"/>
      <c r="E2295" s="152"/>
      <c r="F2295" s="153"/>
      <c r="G2295" s="154"/>
      <c r="H2295" s="154"/>
      <c r="I2295" s="154"/>
      <c r="J2295" s="155"/>
      <c r="K2295" s="156"/>
      <c r="L2295" s="157"/>
      <c r="M2295" s="158" t="s">
        <v>28</v>
      </c>
      <c r="N2295" s="159" t="s">
        <v>29</v>
      </c>
    </row>
    <row r="2296" spans="1:14">
      <c r="A2296" s="148"/>
      <c r="B2296" s="149"/>
      <c r="C2296" s="160"/>
      <c r="D2296" s="151"/>
      <c r="E2296" s="152"/>
      <c r="F2296" s="153"/>
      <c r="G2296" s="154"/>
      <c r="H2296" s="154"/>
      <c r="I2296" s="154"/>
      <c r="J2296" s="155"/>
      <c r="K2296" s="156"/>
      <c r="L2296" s="157"/>
      <c r="M2296" s="158" t="s">
        <v>28</v>
      </c>
      <c r="N2296" s="159" t="s">
        <v>29</v>
      </c>
    </row>
    <row r="2297" spans="1:14">
      <c r="A2297" s="148"/>
      <c r="B2297" s="149"/>
      <c r="C2297" s="160"/>
      <c r="D2297" s="151"/>
      <c r="E2297" s="152"/>
      <c r="F2297" s="153"/>
      <c r="G2297" s="154"/>
      <c r="H2297" s="154"/>
      <c r="I2297" s="154"/>
      <c r="J2297" s="155"/>
      <c r="K2297" s="156"/>
      <c r="L2297" s="157"/>
      <c r="M2297" s="158" t="s">
        <v>28</v>
      </c>
      <c r="N2297" s="159" t="s">
        <v>29</v>
      </c>
    </row>
    <row r="2298" spans="1:14">
      <c r="A2298" s="148"/>
      <c r="B2298" s="149"/>
      <c r="C2298" s="160"/>
      <c r="D2298" s="151"/>
      <c r="E2298" s="152"/>
      <c r="F2298" s="153"/>
      <c r="G2298" s="154"/>
      <c r="H2298" s="154"/>
      <c r="I2298" s="154"/>
      <c r="J2298" s="155"/>
      <c r="K2298" s="156"/>
      <c r="L2298" s="157"/>
      <c r="M2298" s="158" t="s">
        <v>28</v>
      </c>
      <c r="N2298" s="159" t="s">
        <v>29</v>
      </c>
    </row>
    <row r="2299" spans="1:14">
      <c r="A2299" s="148"/>
      <c r="B2299" s="149"/>
      <c r="C2299" s="160"/>
      <c r="D2299" s="151"/>
      <c r="E2299" s="152"/>
      <c r="F2299" s="153"/>
      <c r="G2299" s="154"/>
      <c r="H2299" s="154"/>
      <c r="I2299" s="154"/>
      <c r="J2299" s="155"/>
      <c r="K2299" s="156"/>
      <c r="L2299" s="157"/>
      <c r="M2299" s="158" t="s">
        <v>28</v>
      </c>
      <c r="N2299" s="159" t="s">
        <v>29</v>
      </c>
    </row>
    <row r="2300" spans="1:14">
      <c r="A2300" s="148"/>
      <c r="B2300" s="149"/>
      <c r="C2300" s="160"/>
      <c r="D2300" s="151"/>
      <c r="E2300" s="152"/>
      <c r="F2300" s="153"/>
      <c r="G2300" s="154"/>
      <c r="H2300" s="154"/>
      <c r="I2300" s="154"/>
      <c r="J2300" s="155"/>
      <c r="K2300" s="156"/>
      <c r="L2300" s="157"/>
      <c r="M2300" s="158" t="s">
        <v>28</v>
      </c>
      <c r="N2300" s="159" t="s">
        <v>29</v>
      </c>
    </row>
    <row r="2301" spans="1:14">
      <c r="A2301" s="148"/>
      <c r="B2301" s="149"/>
      <c r="C2301" s="160"/>
      <c r="D2301" s="151"/>
      <c r="E2301" s="152"/>
      <c r="F2301" s="153"/>
      <c r="G2301" s="154"/>
      <c r="H2301" s="154"/>
      <c r="I2301" s="154"/>
      <c r="J2301" s="155"/>
      <c r="K2301" s="156"/>
      <c r="L2301" s="157"/>
      <c r="M2301" s="158" t="s">
        <v>28</v>
      </c>
      <c r="N2301" s="159" t="s">
        <v>29</v>
      </c>
    </row>
    <row r="2302" spans="1:14">
      <c r="A2302" s="148"/>
      <c r="B2302" s="149"/>
      <c r="C2302" s="160"/>
      <c r="D2302" s="151"/>
      <c r="E2302" s="152"/>
      <c r="F2302" s="153"/>
      <c r="G2302" s="154"/>
      <c r="H2302" s="154"/>
      <c r="I2302" s="154"/>
      <c r="J2302" s="155"/>
      <c r="K2302" s="156"/>
      <c r="L2302" s="157"/>
      <c r="M2302" s="158" t="s">
        <v>28</v>
      </c>
      <c r="N2302" s="159" t="s">
        <v>29</v>
      </c>
    </row>
    <row r="2303" spans="1:14">
      <c r="A2303" s="148"/>
      <c r="B2303" s="149"/>
      <c r="C2303" s="160"/>
      <c r="D2303" s="151"/>
      <c r="E2303" s="152"/>
      <c r="F2303" s="153"/>
      <c r="G2303" s="154"/>
      <c r="H2303" s="154"/>
      <c r="I2303" s="154"/>
      <c r="J2303" s="155"/>
      <c r="K2303" s="156"/>
      <c r="L2303" s="157"/>
      <c r="M2303" s="158" t="s">
        <v>28</v>
      </c>
      <c r="N2303" s="159" t="s">
        <v>29</v>
      </c>
    </row>
    <row r="2304" spans="1:14">
      <c r="A2304" s="148"/>
      <c r="B2304" s="149"/>
      <c r="C2304" s="160"/>
      <c r="D2304" s="151"/>
      <c r="E2304" s="152"/>
      <c r="F2304" s="153"/>
      <c r="G2304" s="154"/>
      <c r="H2304" s="154"/>
      <c r="I2304" s="154"/>
      <c r="J2304" s="155"/>
      <c r="K2304" s="156"/>
      <c r="L2304" s="157"/>
      <c r="M2304" s="158" t="s">
        <v>28</v>
      </c>
      <c r="N2304" s="159" t="s">
        <v>29</v>
      </c>
    </row>
    <row r="2305" spans="1:14">
      <c r="A2305" s="148"/>
      <c r="B2305" s="149"/>
      <c r="C2305" s="160"/>
      <c r="D2305" s="151"/>
      <c r="E2305" s="152"/>
      <c r="F2305" s="153"/>
      <c r="G2305" s="154"/>
      <c r="H2305" s="154"/>
      <c r="I2305" s="154"/>
      <c r="J2305" s="155"/>
      <c r="K2305" s="156"/>
      <c r="L2305" s="157"/>
      <c r="M2305" s="158" t="s">
        <v>28</v>
      </c>
      <c r="N2305" s="159" t="s">
        <v>29</v>
      </c>
    </row>
    <row r="2306" spans="1:14">
      <c r="A2306" s="148"/>
      <c r="B2306" s="149"/>
      <c r="C2306" s="160"/>
      <c r="D2306" s="151"/>
      <c r="E2306" s="152"/>
      <c r="F2306" s="153"/>
      <c r="G2306" s="154"/>
      <c r="H2306" s="154"/>
      <c r="I2306" s="154"/>
      <c r="J2306" s="155"/>
      <c r="K2306" s="156"/>
      <c r="L2306" s="157"/>
      <c r="M2306" s="158" t="s">
        <v>28</v>
      </c>
      <c r="N2306" s="159" t="s">
        <v>29</v>
      </c>
    </row>
    <row r="2307" spans="1:14">
      <c r="A2307" s="148"/>
      <c r="B2307" s="149"/>
      <c r="C2307" s="160"/>
      <c r="D2307" s="151"/>
      <c r="E2307" s="152"/>
      <c r="F2307" s="153"/>
      <c r="G2307" s="154"/>
      <c r="H2307" s="154"/>
      <c r="I2307" s="154"/>
      <c r="J2307" s="155"/>
      <c r="K2307" s="156"/>
      <c r="L2307" s="157"/>
      <c r="M2307" s="158" t="s">
        <v>28</v>
      </c>
      <c r="N2307" s="159" t="s">
        <v>29</v>
      </c>
    </row>
    <row r="2308" spans="1:14">
      <c r="A2308" s="148"/>
      <c r="B2308" s="149"/>
      <c r="C2308" s="160"/>
      <c r="D2308" s="151"/>
      <c r="E2308" s="152"/>
      <c r="F2308" s="153"/>
      <c r="G2308" s="154"/>
      <c r="H2308" s="154"/>
      <c r="I2308" s="154"/>
      <c r="J2308" s="155"/>
      <c r="K2308" s="156"/>
      <c r="L2308" s="157"/>
      <c r="M2308" s="158" t="s">
        <v>28</v>
      </c>
      <c r="N2308" s="159" t="s">
        <v>29</v>
      </c>
    </row>
    <row r="2309" spans="1:14">
      <c r="A2309" s="148"/>
      <c r="B2309" s="149"/>
      <c r="C2309" s="160"/>
      <c r="D2309" s="151"/>
      <c r="E2309" s="152"/>
      <c r="F2309" s="153"/>
      <c r="G2309" s="154"/>
      <c r="H2309" s="154"/>
      <c r="I2309" s="154"/>
      <c r="J2309" s="155"/>
      <c r="K2309" s="156"/>
      <c r="L2309" s="157"/>
      <c r="M2309" s="158" t="s">
        <v>28</v>
      </c>
      <c r="N2309" s="159" t="s">
        <v>29</v>
      </c>
    </row>
    <row r="2310" spans="1:14">
      <c r="A2310" s="148"/>
      <c r="B2310" s="149"/>
      <c r="C2310" s="160"/>
      <c r="D2310" s="151"/>
      <c r="E2310" s="152"/>
      <c r="F2310" s="153"/>
      <c r="G2310" s="154"/>
      <c r="H2310" s="154"/>
      <c r="I2310" s="154"/>
      <c r="J2310" s="155"/>
      <c r="K2310" s="156"/>
      <c r="L2310" s="157"/>
      <c r="M2310" s="158" t="s">
        <v>28</v>
      </c>
      <c r="N2310" s="159" t="s">
        <v>29</v>
      </c>
    </row>
    <row r="2311" spans="1:14">
      <c r="A2311" s="148"/>
      <c r="B2311" s="149"/>
      <c r="C2311" s="160"/>
      <c r="D2311" s="151"/>
      <c r="E2311" s="152"/>
      <c r="F2311" s="153"/>
      <c r="G2311" s="154"/>
      <c r="H2311" s="154"/>
      <c r="I2311" s="154"/>
      <c r="J2311" s="155"/>
      <c r="K2311" s="156"/>
      <c r="L2311" s="157"/>
      <c r="M2311" s="158" t="s">
        <v>28</v>
      </c>
      <c r="N2311" s="159" t="s">
        <v>29</v>
      </c>
    </row>
    <row r="2312" spans="1:14">
      <c r="A2312" s="148"/>
      <c r="B2312" s="149"/>
      <c r="C2312" s="160"/>
      <c r="D2312" s="151"/>
      <c r="E2312" s="152"/>
      <c r="F2312" s="153"/>
      <c r="G2312" s="154"/>
      <c r="H2312" s="154"/>
      <c r="I2312" s="154"/>
      <c r="J2312" s="155"/>
      <c r="K2312" s="156"/>
      <c r="L2312" s="157"/>
      <c r="M2312" s="158" t="s">
        <v>28</v>
      </c>
      <c r="N2312" s="159" t="s">
        <v>29</v>
      </c>
    </row>
    <row r="2313" spans="1:14">
      <c r="A2313" s="148"/>
      <c r="B2313" s="149"/>
      <c r="C2313" s="160"/>
      <c r="D2313" s="151"/>
      <c r="E2313" s="152"/>
      <c r="F2313" s="153"/>
      <c r="G2313" s="154"/>
      <c r="H2313" s="154"/>
      <c r="I2313" s="154"/>
      <c r="J2313" s="155"/>
      <c r="K2313" s="156"/>
      <c r="L2313" s="157"/>
      <c r="M2313" s="158" t="s">
        <v>28</v>
      </c>
      <c r="N2313" s="159" t="s">
        <v>29</v>
      </c>
    </row>
    <row r="2314" spans="1:14">
      <c r="A2314" s="148"/>
      <c r="B2314" s="149"/>
      <c r="C2314" s="160"/>
      <c r="D2314" s="151"/>
      <c r="E2314" s="152"/>
      <c r="F2314" s="153"/>
      <c r="G2314" s="154"/>
      <c r="H2314" s="154"/>
      <c r="I2314" s="154"/>
      <c r="J2314" s="155"/>
      <c r="K2314" s="156"/>
      <c r="L2314" s="157"/>
      <c r="M2314" s="158" t="s">
        <v>28</v>
      </c>
      <c r="N2314" s="159" t="s">
        <v>29</v>
      </c>
    </row>
    <row r="2315" spans="1:14">
      <c r="A2315" s="148"/>
      <c r="B2315" s="149"/>
      <c r="C2315" s="160"/>
      <c r="D2315" s="151"/>
      <c r="E2315" s="152"/>
      <c r="F2315" s="153"/>
      <c r="G2315" s="154"/>
      <c r="H2315" s="154"/>
      <c r="I2315" s="154"/>
      <c r="J2315" s="155"/>
      <c r="K2315" s="156"/>
      <c r="L2315" s="157"/>
      <c r="M2315" s="158" t="s">
        <v>28</v>
      </c>
      <c r="N2315" s="159" t="s">
        <v>29</v>
      </c>
    </row>
    <row r="2316" spans="1:14">
      <c r="A2316" s="148"/>
      <c r="B2316" s="149"/>
      <c r="C2316" s="160"/>
      <c r="D2316" s="151"/>
      <c r="E2316" s="152"/>
      <c r="F2316" s="153"/>
      <c r="G2316" s="154"/>
      <c r="H2316" s="154"/>
      <c r="I2316" s="154"/>
      <c r="J2316" s="155"/>
      <c r="K2316" s="156"/>
      <c r="L2316" s="157"/>
      <c r="M2316" s="158" t="s">
        <v>28</v>
      </c>
      <c r="N2316" s="159" t="s">
        <v>29</v>
      </c>
    </row>
    <row r="2317" spans="1:14">
      <c r="A2317" s="148"/>
      <c r="B2317" s="149"/>
      <c r="C2317" s="160"/>
      <c r="D2317" s="151"/>
      <c r="E2317" s="152"/>
      <c r="F2317" s="153"/>
      <c r="G2317" s="154"/>
      <c r="H2317" s="154"/>
      <c r="I2317" s="154"/>
      <c r="J2317" s="155"/>
      <c r="K2317" s="156"/>
      <c r="L2317" s="157"/>
      <c r="M2317" s="158" t="s">
        <v>28</v>
      </c>
      <c r="N2317" s="159" t="s">
        <v>29</v>
      </c>
    </row>
    <row r="2318" spans="1:14">
      <c r="A2318" s="148"/>
      <c r="B2318" s="149"/>
      <c r="C2318" s="160"/>
      <c r="D2318" s="151"/>
      <c r="E2318" s="152"/>
      <c r="F2318" s="153"/>
      <c r="G2318" s="154"/>
      <c r="H2318" s="154"/>
      <c r="I2318" s="154"/>
      <c r="J2318" s="155"/>
      <c r="K2318" s="156"/>
      <c r="L2318" s="157"/>
      <c r="M2318" s="158" t="s">
        <v>28</v>
      </c>
      <c r="N2318" s="159" t="s">
        <v>29</v>
      </c>
    </row>
    <row r="2319" spans="1:14">
      <c r="A2319" s="148"/>
      <c r="B2319" s="149"/>
      <c r="C2319" s="160"/>
      <c r="D2319" s="151"/>
      <c r="E2319" s="152"/>
      <c r="F2319" s="153"/>
      <c r="G2319" s="154"/>
      <c r="H2319" s="154"/>
      <c r="I2319" s="154"/>
      <c r="J2319" s="155"/>
      <c r="K2319" s="156"/>
      <c r="L2319" s="157"/>
      <c r="M2319" s="158" t="s">
        <v>28</v>
      </c>
      <c r="N2319" s="159" t="s">
        <v>29</v>
      </c>
    </row>
    <row r="2320" spans="1:14">
      <c r="A2320" s="148"/>
      <c r="B2320" s="149"/>
      <c r="C2320" s="160"/>
      <c r="D2320" s="151"/>
      <c r="E2320" s="152"/>
      <c r="F2320" s="153"/>
      <c r="G2320" s="154"/>
      <c r="H2320" s="154"/>
      <c r="I2320" s="154"/>
      <c r="J2320" s="155"/>
      <c r="K2320" s="156"/>
      <c r="L2320" s="157"/>
      <c r="M2320" s="158" t="s">
        <v>28</v>
      </c>
      <c r="N2320" s="159" t="s">
        <v>29</v>
      </c>
    </row>
    <row r="2321" spans="1:14">
      <c r="A2321" s="148"/>
      <c r="B2321" s="149"/>
      <c r="C2321" s="160"/>
      <c r="D2321" s="151"/>
      <c r="E2321" s="152"/>
      <c r="F2321" s="153"/>
      <c r="G2321" s="154"/>
      <c r="H2321" s="154"/>
      <c r="I2321" s="154"/>
      <c r="J2321" s="155"/>
      <c r="K2321" s="156"/>
      <c r="L2321" s="157"/>
      <c r="M2321" s="158" t="s">
        <v>28</v>
      </c>
      <c r="N2321" s="159" t="s">
        <v>29</v>
      </c>
    </row>
    <row r="2322" spans="1:14">
      <c r="A2322" s="148"/>
      <c r="B2322" s="149"/>
      <c r="C2322" s="160"/>
      <c r="D2322" s="151"/>
      <c r="E2322" s="152"/>
      <c r="F2322" s="153"/>
      <c r="G2322" s="154"/>
      <c r="H2322" s="154"/>
      <c r="I2322" s="154"/>
      <c r="J2322" s="155"/>
      <c r="K2322" s="156"/>
      <c r="L2322" s="157"/>
      <c r="M2322" s="158" t="s">
        <v>28</v>
      </c>
      <c r="N2322" s="159" t="s">
        <v>29</v>
      </c>
    </row>
    <row r="2323" spans="1:14">
      <c r="A2323" s="148"/>
      <c r="B2323" s="149"/>
      <c r="C2323" s="160"/>
      <c r="D2323" s="151"/>
      <c r="E2323" s="152"/>
      <c r="F2323" s="153"/>
      <c r="G2323" s="154"/>
      <c r="H2323" s="154"/>
      <c r="I2323" s="154"/>
      <c r="J2323" s="155"/>
      <c r="K2323" s="156"/>
      <c r="L2323" s="157"/>
      <c r="M2323" s="158" t="s">
        <v>28</v>
      </c>
      <c r="N2323" s="159" t="s">
        <v>29</v>
      </c>
    </row>
    <row r="2324" spans="1:14">
      <c r="A2324" s="148"/>
      <c r="B2324" s="149"/>
      <c r="C2324" s="160"/>
      <c r="D2324" s="151"/>
      <c r="E2324" s="152"/>
      <c r="F2324" s="153"/>
      <c r="G2324" s="154"/>
      <c r="H2324" s="154"/>
      <c r="I2324" s="154"/>
      <c r="J2324" s="155"/>
      <c r="K2324" s="156"/>
      <c r="L2324" s="157"/>
      <c r="M2324" s="158" t="s">
        <v>28</v>
      </c>
      <c r="N2324" s="159" t="s">
        <v>29</v>
      </c>
    </row>
    <row r="2325" spans="1:14">
      <c r="A2325" s="148"/>
      <c r="B2325" s="149"/>
      <c r="C2325" s="160"/>
      <c r="D2325" s="151"/>
      <c r="E2325" s="152"/>
      <c r="F2325" s="153"/>
      <c r="G2325" s="154"/>
      <c r="H2325" s="154"/>
      <c r="I2325" s="154"/>
      <c r="J2325" s="155"/>
      <c r="K2325" s="156"/>
      <c r="L2325" s="157"/>
      <c r="M2325" s="158" t="s">
        <v>28</v>
      </c>
      <c r="N2325" s="159" t="s">
        <v>29</v>
      </c>
    </row>
    <row r="2326" spans="1:14">
      <c r="A2326" s="148"/>
      <c r="B2326" s="149"/>
      <c r="C2326" s="160"/>
      <c r="D2326" s="151"/>
      <c r="E2326" s="152"/>
      <c r="F2326" s="153"/>
      <c r="G2326" s="154"/>
      <c r="H2326" s="154"/>
      <c r="I2326" s="154"/>
      <c r="J2326" s="155"/>
      <c r="K2326" s="156"/>
      <c r="L2326" s="157"/>
      <c r="M2326" s="158" t="s">
        <v>28</v>
      </c>
      <c r="N2326" s="159" t="s">
        <v>29</v>
      </c>
    </row>
    <row r="2327" spans="1:14">
      <c r="A2327" s="148"/>
      <c r="B2327" s="149"/>
      <c r="C2327" s="160"/>
      <c r="D2327" s="151"/>
      <c r="E2327" s="152"/>
      <c r="F2327" s="153"/>
      <c r="G2327" s="154"/>
      <c r="H2327" s="154"/>
      <c r="I2327" s="154"/>
      <c r="J2327" s="155"/>
      <c r="K2327" s="156"/>
      <c r="L2327" s="157"/>
      <c r="M2327" s="158" t="s">
        <v>28</v>
      </c>
      <c r="N2327" s="159" t="s">
        <v>29</v>
      </c>
    </row>
    <row r="2328" spans="1:14">
      <c r="A2328" s="148"/>
      <c r="B2328" s="149"/>
      <c r="C2328" s="160"/>
      <c r="D2328" s="151"/>
      <c r="E2328" s="152"/>
      <c r="F2328" s="153"/>
      <c r="G2328" s="154"/>
      <c r="H2328" s="154"/>
      <c r="I2328" s="154"/>
      <c r="J2328" s="155"/>
      <c r="K2328" s="156"/>
      <c r="L2328" s="157"/>
      <c r="M2328" s="158" t="s">
        <v>28</v>
      </c>
      <c r="N2328" s="159" t="s">
        <v>29</v>
      </c>
    </row>
    <row r="2329" spans="1:14">
      <c r="A2329" s="148"/>
      <c r="B2329" s="149"/>
      <c r="C2329" s="160"/>
      <c r="D2329" s="151"/>
      <c r="E2329" s="152"/>
      <c r="F2329" s="153"/>
      <c r="G2329" s="154"/>
      <c r="H2329" s="154"/>
      <c r="I2329" s="154"/>
      <c r="J2329" s="155"/>
      <c r="K2329" s="156"/>
      <c r="L2329" s="157"/>
      <c r="M2329" s="158" t="s">
        <v>28</v>
      </c>
      <c r="N2329" s="159" t="s">
        <v>29</v>
      </c>
    </row>
    <row r="2330" spans="1:14">
      <c r="A2330" s="148"/>
      <c r="B2330" s="149"/>
      <c r="C2330" s="160"/>
      <c r="D2330" s="151"/>
      <c r="E2330" s="152"/>
      <c r="F2330" s="153"/>
      <c r="G2330" s="154"/>
      <c r="H2330" s="154"/>
      <c r="I2330" s="154"/>
      <c r="J2330" s="155"/>
      <c r="K2330" s="156"/>
      <c r="L2330" s="157"/>
      <c r="M2330" s="158" t="s">
        <v>28</v>
      </c>
      <c r="N2330" s="159" t="s">
        <v>29</v>
      </c>
    </row>
    <row r="2331" spans="1:14">
      <c r="A2331" s="148"/>
      <c r="B2331" s="149"/>
      <c r="C2331" s="160"/>
      <c r="D2331" s="151"/>
      <c r="E2331" s="152"/>
      <c r="F2331" s="153"/>
      <c r="G2331" s="154"/>
      <c r="H2331" s="154"/>
      <c r="I2331" s="154"/>
      <c r="J2331" s="155"/>
      <c r="K2331" s="156"/>
      <c r="L2331" s="157"/>
      <c r="M2331" s="158" t="s">
        <v>28</v>
      </c>
      <c r="N2331" s="159" t="s">
        <v>29</v>
      </c>
    </row>
    <row r="2332" spans="1:14">
      <c r="A2332" s="148"/>
      <c r="B2332" s="149"/>
      <c r="C2332" s="160"/>
      <c r="D2332" s="151"/>
      <c r="E2332" s="152"/>
      <c r="F2332" s="153"/>
      <c r="G2332" s="154"/>
      <c r="H2332" s="154"/>
      <c r="I2332" s="154"/>
      <c r="J2332" s="155"/>
      <c r="K2332" s="156"/>
      <c r="L2332" s="157"/>
      <c r="M2332" s="158" t="s">
        <v>28</v>
      </c>
      <c r="N2332" s="159" t="s">
        <v>29</v>
      </c>
    </row>
    <row r="2333" spans="1:14">
      <c r="A2333" s="148"/>
      <c r="B2333" s="149"/>
      <c r="C2333" s="160"/>
      <c r="D2333" s="151"/>
      <c r="E2333" s="152"/>
      <c r="F2333" s="153"/>
      <c r="G2333" s="154"/>
      <c r="H2333" s="154"/>
      <c r="I2333" s="154"/>
      <c r="J2333" s="155"/>
      <c r="K2333" s="156"/>
      <c r="L2333" s="157"/>
      <c r="M2333" s="158" t="s">
        <v>28</v>
      </c>
      <c r="N2333" s="159" t="s">
        <v>29</v>
      </c>
    </row>
    <row r="2334" spans="1:14">
      <c r="A2334" s="148"/>
      <c r="B2334" s="149"/>
      <c r="C2334" s="160"/>
      <c r="D2334" s="151"/>
      <c r="E2334" s="152"/>
      <c r="F2334" s="153"/>
      <c r="G2334" s="154"/>
      <c r="H2334" s="154"/>
      <c r="I2334" s="154"/>
      <c r="J2334" s="155"/>
      <c r="K2334" s="156"/>
      <c r="L2334" s="157"/>
      <c r="M2334" s="158" t="s">
        <v>28</v>
      </c>
      <c r="N2334" s="159" t="s">
        <v>29</v>
      </c>
    </row>
    <row r="2335" spans="1:14">
      <c r="A2335" s="148"/>
      <c r="B2335" s="149"/>
      <c r="C2335" s="160"/>
      <c r="D2335" s="151"/>
      <c r="E2335" s="152"/>
      <c r="F2335" s="153"/>
      <c r="G2335" s="154"/>
      <c r="H2335" s="154"/>
      <c r="I2335" s="154"/>
      <c r="J2335" s="155"/>
      <c r="K2335" s="156"/>
      <c r="L2335" s="157"/>
      <c r="M2335" s="158" t="s">
        <v>28</v>
      </c>
      <c r="N2335" s="159" t="s">
        <v>29</v>
      </c>
    </row>
    <row r="2336" spans="1:14">
      <c r="A2336" s="148"/>
      <c r="B2336" s="149"/>
      <c r="C2336" s="160"/>
      <c r="D2336" s="151"/>
      <c r="E2336" s="152"/>
      <c r="F2336" s="153"/>
      <c r="G2336" s="154"/>
      <c r="H2336" s="154"/>
      <c r="I2336" s="154"/>
      <c r="J2336" s="155"/>
      <c r="K2336" s="156"/>
      <c r="L2336" s="157"/>
      <c r="M2336" s="158" t="s">
        <v>28</v>
      </c>
      <c r="N2336" s="159" t="s">
        <v>29</v>
      </c>
    </row>
    <row r="2337" spans="1:14">
      <c r="A2337" s="148"/>
      <c r="B2337" s="149"/>
      <c r="C2337" s="160"/>
      <c r="D2337" s="151"/>
      <c r="E2337" s="152"/>
      <c r="F2337" s="153"/>
      <c r="G2337" s="154"/>
      <c r="H2337" s="154"/>
      <c r="I2337" s="154"/>
      <c r="J2337" s="155"/>
      <c r="K2337" s="156"/>
      <c r="L2337" s="157"/>
      <c r="M2337" s="158" t="s">
        <v>28</v>
      </c>
      <c r="N2337" s="159" t="s">
        <v>29</v>
      </c>
    </row>
    <row r="2338" spans="1:14">
      <c r="A2338" s="148"/>
      <c r="B2338" s="149"/>
      <c r="C2338" s="160"/>
      <c r="D2338" s="151"/>
      <c r="E2338" s="152"/>
      <c r="F2338" s="153"/>
      <c r="G2338" s="154"/>
      <c r="H2338" s="154"/>
      <c r="I2338" s="154"/>
      <c r="J2338" s="155"/>
      <c r="K2338" s="156"/>
      <c r="L2338" s="157"/>
      <c r="M2338" s="158" t="s">
        <v>28</v>
      </c>
      <c r="N2338" s="159" t="s">
        <v>29</v>
      </c>
    </row>
    <row r="2339" spans="1:14">
      <c r="A2339" s="148"/>
      <c r="B2339" s="149"/>
      <c r="C2339" s="160"/>
      <c r="D2339" s="151"/>
      <c r="E2339" s="152"/>
      <c r="F2339" s="153"/>
      <c r="G2339" s="154"/>
      <c r="H2339" s="154"/>
      <c r="I2339" s="154"/>
      <c r="J2339" s="155"/>
      <c r="K2339" s="156"/>
      <c r="L2339" s="157"/>
      <c r="M2339" s="158" t="s">
        <v>28</v>
      </c>
      <c r="N2339" s="159" t="s">
        <v>29</v>
      </c>
    </row>
    <row r="2340" spans="1:14">
      <c r="A2340" s="148"/>
      <c r="B2340" s="149"/>
      <c r="C2340" s="160"/>
      <c r="D2340" s="151"/>
      <c r="E2340" s="152"/>
      <c r="F2340" s="153"/>
      <c r="G2340" s="154"/>
      <c r="H2340" s="154"/>
      <c r="I2340" s="154"/>
      <c r="J2340" s="155"/>
      <c r="K2340" s="156"/>
      <c r="L2340" s="157"/>
      <c r="M2340" s="158" t="s">
        <v>28</v>
      </c>
      <c r="N2340" s="159" t="s">
        <v>29</v>
      </c>
    </row>
    <row r="2341" spans="1:14">
      <c r="A2341" s="148"/>
      <c r="B2341" s="149"/>
      <c r="C2341" s="160"/>
      <c r="D2341" s="151"/>
      <c r="E2341" s="152"/>
      <c r="F2341" s="153"/>
      <c r="G2341" s="154"/>
      <c r="H2341" s="154"/>
      <c r="I2341" s="154"/>
      <c r="J2341" s="155"/>
      <c r="K2341" s="156"/>
      <c r="L2341" s="157"/>
      <c r="M2341" s="158" t="s">
        <v>28</v>
      </c>
      <c r="N2341" s="159" t="s">
        <v>29</v>
      </c>
    </row>
    <row r="2342" spans="1:14">
      <c r="A2342" s="148"/>
      <c r="B2342" s="149"/>
      <c r="C2342" s="160"/>
      <c r="D2342" s="151"/>
      <c r="E2342" s="152"/>
      <c r="F2342" s="153"/>
      <c r="G2342" s="154"/>
      <c r="H2342" s="154"/>
      <c r="I2342" s="154"/>
      <c r="J2342" s="155"/>
      <c r="K2342" s="156"/>
      <c r="L2342" s="157"/>
      <c r="M2342" s="158" t="s">
        <v>28</v>
      </c>
      <c r="N2342" s="159" t="s">
        <v>29</v>
      </c>
    </row>
    <row r="2343" spans="1:14">
      <c r="A2343" s="148"/>
      <c r="B2343" s="149"/>
      <c r="C2343" s="160"/>
      <c r="D2343" s="151"/>
      <c r="E2343" s="152"/>
      <c r="F2343" s="153"/>
      <c r="G2343" s="154"/>
      <c r="H2343" s="154"/>
      <c r="I2343" s="154"/>
      <c r="J2343" s="155"/>
      <c r="K2343" s="156"/>
      <c r="L2343" s="157"/>
      <c r="M2343" s="158" t="s">
        <v>28</v>
      </c>
      <c r="N2343" s="159" t="s">
        <v>29</v>
      </c>
    </row>
    <row r="2344" spans="1:14">
      <c r="A2344" s="148"/>
      <c r="B2344" s="149"/>
      <c r="C2344" s="160"/>
      <c r="D2344" s="151"/>
      <c r="E2344" s="152"/>
      <c r="F2344" s="153"/>
      <c r="G2344" s="154"/>
      <c r="H2344" s="154"/>
      <c r="I2344" s="154"/>
      <c r="J2344" s="155"/>
      <c r="K2344" s="156"/>
      <c r="L2344" s="157"/>
      <c r="M2344" s="158" t="s">
        <v>28</v>
      </c>
      <c r="N2344" s="159" t="s">
        <v>29</v>
      </c>
    </row>
    <row r="2345" spans="1:14">
      <c r="A2345" s="148"/>
      <c r="B2345" s="149"/>
      <c r="C2345" s="160"/>
      <c r="D2345" s="151"/>
      <c r="E2345" s="152"/>
      <c r="F2345" s="153"/>
      <c r="G2345" s="154"/>
      <c r="H2345" s="154"/>
      <c r="I2345" s="154"/>
      <c r="J2345" s="155"/>
      <c r="K2345" s="156"/>
      <c r="L2345" s="157"/>
      <c r="M2345" s="158" t="s">
        <v>28</v>
      </c>
      <c r="N2345" s="159" t="s">
        <v>29</v>
      </c>
    </row>
    <row r="2346" spans="1:14">
      <c r="A2346" s="148"/>
      <c r="B2346" s="149"/>
      <c r="C2346" s="160"/>
      <c r="D2346" s="151"/>
      <c r="E2346" s="152"/>
      <c r="F2346" s="153"/>
      <c r="G2346" s="154"/>
      <c r="H2346" s="154"/>
      <c r="I2346" s="154"/>
      <c r="J2346" s="155"/>
      <c r="K2346" s="156"/>
      <c r="L2346" s="157"/>
      <c r="M2346" s="158" t="s">
        <v>28</v>
      </c>
      <c r="N2346" s="159" t="s">
        <v>29</v>
      </c>
    </row>
    <row r="2347" spans="1:14">
      <c r="A2347" s="148"/>
      <c r="B2347" s="149"/>
      <c r="C2347" s="160"/>
      <c r="D2347" s="151"/>
      <c r="E2347" s="152"/>
      <c r="F2347" s="153"/>
      <c r="G2347" s="154"/>
      <c r="H2347" s="154"/>
      <c r="I2347" s="154"/>
      <c r="J2347" s="155"/>
      <c r="K2347" s="156"/>
      <c r="L2347" s="157"/>
      <c r="M2347" s="158" t="s">
        <v>28</v>
      </c>
      <c r="N2347" s="159" t="s">
        <v>29</v>
      </c>
    </row>
    <row r="2348" spans="1:14">
      <c r="A2348" s="148"/>
      <c r="B2348" s="149"/>
      <c r="C2348" s="160"/>
      <c r="D2348" s="151"/>
      <c r="E2348" s="152"/>
      <c r="F2348" s="153"/>
      <c r="G2348" s="154"/>
      <c r="H2348" s="154"/>
      <c r="I2348" s="154"/>
      <c r="J2348" s="155"/>
      <c r="K2348" s="156"/>
      <c r="L2348" s="157"/>
      <c r="M2348" s="158" t="s">
        <v>28</v>
      </c>
      <c r="N2348" s="159" t="s">
        <v>29</v>
      </c>
    </row>
    <row r="2349" spans="1:14">
      <c r="A2349" s="148"/>
      <c r="B2349" s="149"/>
      <c r="C2349" s="160"/>
      <c r="D2349" s="151"/>
      <c r="E2349" s="152"/>
      <c r="F2349" s="153"/>
      <c r="G2349" s="154"/>
      <c r="H2349" s="154"/>
      <c r="I2349" s="154"/>
      <c r="J2349" s="155"/>
      <c r="K2349" s="156"/>
      <c r="L2349" s="157"/>
      <c r="M2349" s="158" t="s">
        <v>28</v>
      </c>
      <c r="N2349" s="159" t="s">
        <v>29</v>
      </c>
    </row>
    <row r="2350" spans="1:14">
      <c r="A2350" s="148"/>
      <c r="B2350" s="149"/>
      <c r="C2350" s="160"/>
      <c r="D2350" s="151"/>
      <c r="E2350" s="152"/>
      <c r="F2350" s="153"/>
      <c r="G2350" s="154"/>
      <c r="H2350" s="154"/>
      <c r="I2350" s="154"/>
      <c r="J2350" s="155"/>
      <c r="K2350" s="156"/>
      <c r="L2350" s="157"/>
      <c r="M2350" s="158" t="s">
        <v>28</v>
      </c>
      <c r="N2350" s="159" t="s">
        <v>29</v>
      </c>
    </row>
    <row r="2351" spans="1:14">
      <c r="A2351" s="148"/>
      <c r="B2351" s="149"/>
      <c r="C2351" s="160"/>
      <c r="D2351" s="151"/>
      <c r="E2351" s="152"/>
      <c r="F2351" s="153"/>
      <c r="G2351" s="154"/>
      <c r="H2351" s="154"/>
      <c r="I2351" s="154"/>
      <c r="J2351" s="155"/>
      <c r="K2351" s="156"/>
      <c r="L2351" s="157"/>
      <c r="M2351" s="158" t="s">
        <v>28</v>
      </c>
      <c r="N2351" s="159" t="s">
        <v>29</v>
      </c>
    </row>
    <row r="2352" spans="1:14">
      <c r="A2352" s="148"/>
      <c r="B2352" s="149"/>
      <c r="C2352" s="160"/>
      <c r="D2352" s="151"/>
      <c r="E2352" s="152"/>
      <c r="F2352" s="153"/>
      <c r="G2352" s="154"/>
      <c r="H2352" s="154"/>
      <c r="I2352" s="154"/>
      <c r="J2352" s="155"/>
      <c r="K2352" s="156"/>
      <c r="L2352" s="157"/>
      <c r="M2352" s="158" t="s">
        <v>28</v>
      </c>
      <c r="N2352" s="159" t="s">
        <v>29</v>
      </c>
    </row>
    <row r="2353" spans="1:14">
      <c r="A2353" s="148"/>
      <c r="B2353" s="149"/>
      <c r="C2353" s="160"/>
      <c r="D2353" s="151"/>
      <c r="E2353" s="152"/>
      <c r="F2353" s="153"/>
      <c r="G2353" s="154"/>
      <c r="H2353" s="154"/>
      <c r="I2353" s="154"/>
      <c r="J2353" s="155"/>
      <c r="K2353" s="156"/>
      <c r="L2353" s="157"/>
      <c r="M2353" s="158" t="s">
        <v>28</v>
      </c>
      <c r="N2353" s="159" t="s">
        <v>29</v>
      </c>
    </row>
    <row r="2354" spans="1:14">
      <c r="A2354" s="148"/>
      <c r="B2354" s="149"/>
      <c r="C2354" s="160"/>
      <c r="D2354" s="151"/>
      <c r="E2354" s="152"/>
      <c r="F2354" s="153"/>
      <c r="G2354" s="154"/>
      <c r="H2354" s="154"/>
      <c r="I2354" s="154"/>
      <c r="J2354" s="155"/>
      <c r="K2354" s="156"/>
      <c r="L2354" s="157"/>
      <c r="M2354" s="158" t="s">
        <v>28</v>
      </c>
      <c r="N2354" s="159" t="s">
        <v>29</v>
      </c>
    </row>
    <row r="2355" spans="1:14">
      <c r="A2355" s="148"/>
      <c r="B2355" s="149"/>
      <c r="C2355" s="160"/>
      <c r="D2355" s="151"/>
      <c r="E2355" s="152"/>
      <c r="F2355" s="153"/>
      <c r="G2355" s="154"/>
      <c r="H2355" s="154"/>
      <c r="I2355" s="154"/>
      <c r="J2355" s="155"/>
      <c r="K2355" s="156"/>
      <c r="L2355" s="157"/>
      <c r="M2355" s="158" t="s">
        <v>28</v>
      </c>
      <c r="N2355" s="159" t="s">
        <v>29</v>
      </c>
    </row>
    <row r="2356" spans="1:14">
      <c r="A2356" s="148"/>
      <c r="B2356" s="149"/>
      <c r="C2356" s="160"/>
      <c r="D2356" s="151"/>
      <c r="E2356" s="152"/>
      <c r="F2356" s="153"/>
      <c r="G2356" s="154"/>
      <c r="H2356" s="154"/>
      <c r="I2356" s="154"/>
      <c r="J2356" s="155"/>
      <c r="K2356" s="156"/>
      <c r="L2356" s="157"/>
      <c r="M2356" s="158" t="s">
        <v>28</v>
      </c>
      <c r="N2356" s="159" t="s">
        <v>29</v>
      </c>
    </row>
    <row r="2357" spans="1:14">
      <c r="A2357" s="148"/>
      <c r="B2357" s="149"/>
      <c r="C2357" s="160"/>
      <c r="D2357" s="151"/>
      <c r="E2357" s="152"/>
      <c r="F2357" s="153"/>
      <c r="G2357" s="154"/>
      <c r="H2357" s="154"/>
      <c r="I2357" s="154"/>
      <c r="J2357" s="155"/>
      <c r="K2357" s="156"/>
      <c r="L2357" s="157"/>
      <c r="M2357" s="158" t="s">
        <v>28</v>
      </c>
      <c r="N2357" s="159" t="s">
        <v>29</v>
      </c>
    </row>
    <row r="2358" spans="1:14">
      <c r="A2358" s="148"/>
      <c r="B2358" s="149"/>
      <c r="C2358" s="160"/>
      <c r="D2358" s="151"/>
      <c r="E2358" s="152"/>
      <c r="F2358" s="153"/>
      <c r="G2358" s="154"/>
      <c r="H2358" s="154"/>
      <c r="I2358" s="154"/>
      <c r="J2358" s="155"/>
      <c r="K2358" s="156"/>
      <c r="L2358" s="157"/>
      <c r="M2358" s="158" t="s">
        <v>28</v>
      </c>
      <c r="N2358" s="159" t="s">
        <v>29</v>
      </c>
    </row>
    <row r="2359" spans="1:14">
      <c r="A2359" s="148"/>
      <c r="B2359" s="149"/>
      <c r="C2359" s="160"/>
      <c r="D2359" s="151"/>
      <c r="E2359" s="152"/>
      <c r="F2359" s="153"/>
      <c r="G2359" s="154"/>
      <c r="H2359" s="154"/>
      <c r="I2359" s="154"/>
      <c r="J2359" s="155"/>
      <c r="K2359" s="156"/>
      <c r="L2359" s="157"/>
      <c r="M2359" s="158" t="s">
        <v>28</v>
      </c>
      <c r="N2359" s="159" t="s">
        <v>29</v>
      </c>
    </row>
    <row r="2360" spans="1:14">
      <c r="A2360" s="148"/>
      <c r="B2360" s="149"/>
      <c r="C2360" s="160"/>
      <c r="D2360" s="151"/>
      <c r="E2360" s="152"/>
      <c r="F2360" s="153"/>
      <c r="G2360" s="154"/>
      <c r="H2360" s="154"/>
      <c r="I2360" s="154"/>
      <c r="J2360" s="155"/>
      <c r="K2360" s="156"/>
      <c r="L2360" s="157"/>
      <c r="M2360" s="158" t="s">
        <v>28</v>
      </c>
      <c r="N2360" s="159" t="s">
        <v>29</v>
      </c>
    </row>
    <row r="2361" spans="1:14">
      <c r="A2361" s="148"/>
      <c r="B2361" s="149"/>
      <c r="C2361" s="160"/>
      <c r="D2361" s="151"/>
      <c r="E2361" s="152"/>
      <c r="F2361" s="153"/>
      <c r="G2361" s="154"/>
      <c r="H2361" s="154"/>
      <c r="I2361" s="154"/>
      <c r="J2361" s="155"/>
      <c r="K2361" s="156"/>
      <c r="L2361" s="157"/>
      <c r="M2361" s="158" t="s">
        <v>28</v>
      </c>
      <c r="N2361" s="159" t="s">
        <v>29</v>
      </c>
    </row>
    <row r="2362" spans="1:14">
      <c r="A2362" s="148"/>
      <c r="B2362" s="149"/>
      <c r="C2362" s="160"/>
      <c r="D2362" s="151"/>
      <c r="E2362" s="152"/>
      <c r="F2362" s="153"/>
      <c r="G2362" s="154"/>
      <c r="H2362" s="154"/>
      <c r="I2362" s="154"/>
      <c r="J2362" s="155"/>
      <c r="K2362" s="156"/>
      <c r="L2362" s="157"/>
      <c r="M2362" s="158" t="s">
        <v>28</v>
      </c>
      <c r="N2362" s="159" t="s">
        <v>29</v>
      </c>
    </row>
    <row r="2363" spans="1:14">
      <c r="A2363" s="148"/>
      <c r="B2363" s="149"/>
      <c r="C2363" s="160"/>
      <c r="D2363" s="151"/>
      <c r="E2363" s="152"/>
      <c r="F2363" s="153"/>
      <c r="G2363" s="154"/>
      <c r="H2363" s="154"/>
      <c r="I2363" s="154"/>
      <c r="J2363" s="155"/>
      <c r="K2363" s="156"/>
      <c r="L2363" s="157"/>
      <c r="M2363" s="158" t="s">
        <v>28</v>
      </c>
      <c r="N2363" s="159" t="s">
        <v>29</v>
      </c>
    </row>
    <row r="2364" spans="1:14">
      <c r="A2364" s="148"/>
      <c r="B2364" s="149"/>
      <c r="C2364" s="160"/>
      <c r="D2364" s="151"/>
      <c r="E2364" s="152"/>
      <c r="F2364" s="153"/>
      <c r="G2364" s="154"/>
      <c r="H2364" s="154"/>
      <c r="I2364" s="154"/>
      <c r="J2364" s="155"/>
      <c r="K2364" s="156"/>
      <c r="L2364" s="157"/>
      <c r="M2364" s="158" t="s">
        <v>28</v>
      </c>
      <c r="N2364" s="159" t="s">
        <v>29</v>
      </c>
    </row>
    <row r="2365" spans="1:14">
      <c r="A2365" s="148"/>
      <c r="B2365" s="149"/>
      <c r="C2365" s="160"/>
      <c r="D2365" s="151"/>
      <c r="E2365" s="152"/>
      <c r="F2365" s="153"/>
      <c r="G2365" s="154"/>
      <c r="H2365" s="154"/>
      <c r="I2365" s="154"/>
      <c r="J2365" s="155"/>
      <c r="K2365" s="156"/>
      <c r="L2365" s="157"/>
      <c r="M2365" s="158" t="s">
        <v>28</v>
      </c>
      <c r="N2365" s="159" t="s">
        <v>29</v>
      </c>
    </row>
    <row r="2366" spans="1:14">
      <c r="A2366" s="148"/>
      <c r="B2366" s="149"/>
      <c r="C2366" s="160"/>
      <c r="D2366" s="151"/>
      <c r="E2366" s="152"/>
      <c r="F2366" s="153"/>
      <c r="G2366" s="154"/>
      <c r="H2366" s="154"/>
      <c r="I2366" s="154"/>
      <c r="J2366" s="155"/>
      <c r="K2366" s="156"/>
      <c r="L2366" s="157"/>
      <c r="M2366" s="158" t="s">
        <v>28</v>
      </c>
      <c r="N2366" s="159" t="s">
        <v>29</v>
      </c>
    </row>
    <row r="2367" spans="1:14">
      <c r="A2367" s="148"/>
      <c r="B2367" s="149"/>
      <c r="C2367" s="160"/>
      <c r="D2367" s="151"/>
      <c r="E2367" s="152"/>
      <c r="F2367" s="153"/>
      <c r="G2367" s="154"/>
      <c r="H2367" s="154"/>
      <c r="I2367" s="154"/>
      <c r="J2367" s="155"/>
      <c r="K2367" s="156"/>
      <c r="L2367" s="157"/>
      <c r="M2367" s="158" t="s">
        <v>28</v>
      </c>
      <c r="N2367" s="159" t="s">
        <v>29</v>
      </c>
    </row>
    <row r="2368" spans="1:14">
      <c r="A2368" s="148"/>
      <c r="B2368" s="149"/>
      <c r="C2368" s="160"/>
      <c r="D2368" s="151"/>
      <c r="E2368" s="152"/>
      <c r="F2368" s="153"/>
      <c r="G2368" s="154"/>
      <c r="H2368" s="154"/>
      <c r="I2368" s="154"/>
      <c r="J2368" s="155"/>
      <c r="K2368" s="156"/>
      <c r="L2368" s="157"/>
      <c r="M2368" s="158" t="s">
        <v>28</v>
      </c>
      <c r="N2368" s="159" t="s">
        <v>29</v>
      </c>
    </row>
    <row r="2369" spans="1:14">
      <c r="A2369" s="148"/>
      <c r="B2369" s="149"/>
      <c r="C2369" s="160"/>
      <c r="D2369" s="151"/>
      <c r="E2369" s="152"/>
      <c r="F2369" s="153"/>
      <c r="G2369" s="154"/>
      <c r="H2369" s="154"/>
      <c r="I2369" s="154"/>
      <c r="J2369" s="155"/>
      <c r="K2369" s="156"/>
      <c r="L2369" s="157"/>
      <c r="M2369" s="158" t="s">
        <v>28</v>
      </c>
      <c r="N2369" s="159" t="s">
        <v>29</v>
      </c>
    </row>
    <row r="2370" spans="1:14">
      <c r="A2370" s="148"/>
      <c r="B2370" s="149"/>
      <c r="C2370" s="160"/>
      <c r="D2370" s="151"/>
      <c r="E2370" s="152"/>
      <c r="F2370" s="153"/>
      <c r="G2370" s="154"/>
      <c r="H2370" s="154"/>
      <c r="I2370" s="154"/>
      <c r="J2370" s="155"/>
      <c r="K2370" s="156"/>
      <c r="L2370" s="157"/>
      <c r="M2370" s="158" t="s">
        <v>28</v>
      </c>
      <c r="N2370" s="159" t="s">
        <v>29</v>
      </c>
    </row>
    <row r="2371" spans="1:14">
      <c r="A2371" s="148"/>
      <c r="B2371" s="149"/>
      <c r="C2371" s="160"/>
      <c r="D2371" s="151"/>
      <c r="E2371" s="152"/>
      <c r="F2371" s="153"/>
      <c r="G2371" s="154"/>
      <c r="H2371" s="154"/>
      <c r="I2371" s="154"/>
      <c r="J2371" s="155"/>
      <c r="K2371" s="156"/>
      <c r="L2371" s="157"/>
      <c r="M2371" s="158" t="s">
        <v>28</v>
      </c>
      <c r="N2371" s="159" t="s">
        <v>29</v>
      </c>
    </row>
    <row r="2372" spans="1:14">
      <c r="A2372" s="148"/>
      <c r="B2372" s="149"/>
      <c r="C2372" s="160"/>
      <c r="D2372" s="151"/>
      <c r="E2372" s="152"/>
      <c r="F2372" s="153"/>
      <c r="G2372" s="154"/>
      <c r="H2372" s="154"/>
      <c r="I2372" s="154"/>
      <c r="J2372" s="155"/>
      <c r="K2372" s="156"/>
      <c r="L2372" s="157"/>
      <c r="M2372" s="158" t="s">
        <v>28</v>
      </c>
      <c r="N2372" s="159" t="s">
        <v>29</v>
      </c>
    </row>
    <row r="2373" spans="1:14">
      <c r="A2373" s="148"/>
      <c r="B2373" s="149"/>
      <c r="C2373" s="160"/>
      <c r="D2373" s="151"/>
      <c r="E2373" s="152"/>
      <c r="F2373" s="153"/>
      <c r="G2373" s="154"/>
      <c r="H2373" s="154"/>
      <c r="I2373" s="154"/>
      <c r="J2373" s="155"/>
      <c r="K2373" s="156"/>
      <c r="L2373" s="157"/>
      <c r="M2373" s="158" t="s">
        <v>28</v>
      </c>
      <c r="N2373" s="159" t="s">
        <v>29</v>
      </c>
    </row>
    <row r="2374" spans="1:14">
      <c r="A2374" s="148"/>
      <c r="B2374" s="149"/>
      <c r="C2374" s="160"/>
      <c r="D2374" s="151"/>
      <c r="E2374" s="152"/>
      <c r="F2374" s="153"/>
      <c r="G2374" s="154"/>
      <c r="H2374" s="154"/>
      <c r="I2374" s="154"/>
      <c r="J2374" s="155"/>
      <c r="K2374" s="156"/>
      <c r="L2374" s="157"/>
      <c r="M2374" s="158" t="s">
        <v>28</v>
      </c>
      <c r="N2374" s="159" t="s">
        <v>29</v>
      </c>
    </row>
    <row r="2375" spans="1:14">
      <c r="A2375" s="148"/>
      <c r="B2375" s="149"/>
      <c r="C2375" s="160"/>
      <c r="D2375" s="151"/>
      <c r="E2375" s="152"/>
      <c r="F2375" s="153"/>
      <c r="G2375" s="154"/>
      <c r="H2375" s="154"/>
      <c r="I2375" s="154"/>
      <c r="J2375" s="155"/>
      <c r="K2375" s="156"/>
      <c r="L2375" s="157"/>
      <c r="M2375" s="158" t="s">
        <v>28</v>
      </c>
      <c r="N2375" s="159" t="s">
        <v>29</v>
      </c>
    </row>
    <row r="2376" spans="1:14">
      <c r="A2376" s="148"/>
      <c r="B2376" s="149"/>
      <c r="C2376" s="160"/>
      <c r="D2376" s="151"/>
      <c r="E2376" s="152"/>
      <c r="F2376" s="153"/>
      <c r="G2376" s="154"/>
      <c r="H2376" s="154"/>
      <c r="I2376" s="154"/>
      <c r="J2376" s="155"/>
      <c r="K2376" s="156"/>
      <c r="L2376" s="157"/>
      <c r="M2376" s="158" t="s">
        <v>28</v>
      </c>
      <c r="N2376" s="159" t="s">
        <v>29</v>
      </c>
    </row>
    <row r="2377" spans="1:14">
      <c r="A2377" s="148"/>
      <c r="B2377" s="149"/>
      <c r="C2377" s="160"/>
      <c r="D2377" s="151"/>
      <c r="E2377" s="152"/>
      <c r="F2377" s="153"/>
      <c r="G2377" s="154"/>
      <c r="H2377" s="154"/>
      <c r="I2377" s="154"/>
      <c r="J2377" s="155"/>
      <c r="K2377" s="156"/>
      <c r="L2377" s="157"/>
      <c r="M2377" s="158" t="s">
        <v>28</v>
      </c>
      <c r="N2377" s="159" t="s">
        <v>29</v>
      </c>
    </row>
    <row r="2378" spans="1:14">
      <c r="A2378" s="148"/>
      <c r="B2378" s="149"/>
      <c r="C2378" s="160"/>
      <c r="D2378" s="151"/>
      <c r="E2378" s="152"/>
      <c r="F2378" s="153"/>
      <c r="G2378" s="154"/>
      <c r="H2378" s="154"/>
      <c r="I2378" s="154"/>
      <c r="J2378" s="155"/>
      <c r="K2378" s="156"/>
      <c r="L2378" s="157"/>
      <c r="M2378" s="158" t="s">
        <v>28</v>
      </c>
      <c r="N2378" s="159" t="s">
        <v>29</v>
      </c>
    </row>
    <row r="2379" spans="1:14">
      <c r="A2379" s="148"/>
      <c r="B2379" s="149"/>
      <c r="C2379" s="160"/>
      <c r="D2379" s="151"/>
      <c r="E2379" s="152"/>
      <c r="F2379" s="153"/>
      <c r="G2379" s="154"/>
      <c r="H2379" s="154"/>
      <c r="I2379" s="154"/>
      <c r="J2379" s="155"/>
      <c r="K2379" s="156"/>
      <c r="L2379" s="157"/>
      <c r="M2379" s="158" t="s">
        <v>28</v>
      </c>
      <c r="N2379" s="159" t="s">
        <v>29</v>
      </c>
    </row>
    <row r="2380" spans="1:14">
      <c r="A2380" s="148"/>
      <c r="B2380" s="149"/>
      <c r="C2380" s="160"/>
      <c r="D2380" s="151"/>
      <c r="E2380" s="152"/>
      <c r="F2380" s="153"/>
      <c r="G2380" s="154"/>
      <c r="H2380" s="154"/>
      <c r="I2380" s="154"/>
      <c r="J2380" s="155"/>
      <c r="K2380" s="156"/>
      <c r="L2380" s="157"/>
      <c r="M2380" s="158" t="s">
        <v>28</v>
      </c>
      <c r="N2380" s="159" t="s">
        <v>29</v>
      </c>
    </row>
    <row r="2381" spans="1:14">
      <c r="A2381" s="148"/>
      <c r="B2381" s="149"/>
      <c r="C2381" s="160"/>
      <c r="D2381" s="151"/>
      <c r="E2381" s="152"/>
      <c r="F2381" s="153"/>
      <c r="G2381" s="154"/>
      <c r="H2381" s="154"/>
      <c r="I2381" s="154"/>
      <c r="J2381" s="155"/>
      <c r="K2381" s="156"/>
      <c r="L2381" s="157"/>
      <c r="M2381" s="158" t="s">
        <v>28</v>
      </c>
      <c r="N2381" s="159" t="s">
        <v>29</v>
      </c>
    </row>
    <row r="2382" spans="1:14">
      <c r="A2382" s="148"/>
      <c r="B2382" s="149"/>
      <c r="C2382" s="160"/>
      <c r="D2382" s="151"/>
      <c r="E2382" s="152"/>
      <c r="F2382" s="153"/>
      <c r="G2382" s="154"/>
      <c r="H2382" s="154"/>
      <c r="I2382" s="154"/>
      <c r="J2382" s="155"/>
      <c r="K2382" s="156"/>
      <c r="L2382" s="157"/>
      <c r="M2382" s="158" t="s">
        <v>28</v>
      </c>
      <c r="N2382" s="159" t="s">
        <v>29</v>
      </c>
    </row>
    <row r="2383" spans="1:14">
      <c r="A2383" s="148"/>
      <c r="B2383" s="149"/>
      <c r="C2383" s="160"/>
      <c r="D2383" s="151"/>
      <c r="E2383" s="152"/>
      <c r="F2383" s="153"/>
      <c r="G2383" s="154"/>
      <c r="H2383" s="154"/>
      <c r="I2383" s="154"/>
      <c r="J2383" s="155"/>
      <c r="K2383" s="156"/>
      <c r="L2383" s="157"/>
      <c r="M2383" s="158" t="s">
        <v>28</v>
      </c>
      <c r="N2383" s="159" t="s">
        <v>29</v>
      </c>
    </row>
    <row r="2384" spans="1:14">
      <c r="A2384" s="148"/>
      <c r="B2384" s="149"/>
      <c r="C2384" s="160"/>
      <c r="D2384" s="151"/>
      <c r="E2384" s="152"/>
      <c r="F2384" s="153"/>
      <c r="G2384" s="154"/>
      <c r="H2384" s="154"/>
      <c r="I2384" s="154"/>
      <c r="J2384" s="155"/>
      <c r="K2384" s="156"/>
      <c r="L2384" s="157"/>
      <c r="M2384" s="158" t="s">
        <v>28</v>
      </c>
      <c r="N2384" s="159" t="s">
        <v>29</v>
      </c>
    </row>
    <row r="2385" spans="1:14">
      <c r="A2385" s="148"/>
      <c r="B2385" s="149"/>
      <c r="C2385" s="160"/>
      <c r="D2385" s="151"/>
      <c r="E2385" s="152"/>
      <c r="F2385" s="153"/>
      <c r="G2385" s="154"/>
      <c r="H2385" s="154"/>
      <c r="I2385" s="154"/>
      <c r="J2385" s="155"/>
      <c r="K2385" s="156"/>
      <c r="L2385" s="157"/>
      <c r="M2385" s="158" t="s">
        <v>28</v>
      </c>
      <c r="N2385" s="159" t="s">
        <v>29</v>
      </c>
    </row>
    <row r="2386" spans="1:14">
      <c r="A2386" s="148"/>
      <c r="B2386" s="149"/>
      <c r="C2386" s="160"/>
      <c r="D2386" s="151"/>
      <c r="E2386" s="152"/>
      <c r="F2386" s="153"/>
      <c r="G2386" s="154"/>
      <c r="H2386" s="154"/>
      <c r="I2386" s="154"/>
      <c r="J2386" s="155"/>
      <c r="K2386" s="156"/>
      <c r="L2386" s="157"/>
      <c r="M2386" s="158" t="s">
        <v>28</v>
      </c>
      <c r="N2386" s="159" t="s">
        <v>29</v>
      </c>
    </row>
    <row r="2387" spans="1:14">
      <c r="A2387" s="148"/>
      <c r="B2387" s="149"/>
      <c r="C2387" s="160"/>
      <c r="D2387" s="151"/>
      <c r="E2387" s="152"/>
      <c r="F2387" s="153"/>
      <c r="G2387" s="154"/>
      <c r="H2387" s="154"/>
      <c r="I2387" s="154"/>
      <c r="J2387" s="155"/>
      <c r="K2387" s="156"/>
      <c r="L2387" s="157"/>
      <c r="M2387" s="158" t="s">
        <v>28</v>
      </c>
      <c r="N2387" s="159" t="s">
        <v>29</v>
      </c>
    </row>
    <row r="2388" spans="1:14">
      <c r="A2388" s="148"/>
      <c r="B2388" s="149"/>
      <c r="C2388" s="160"/>
      <c r="D2388" s="151"/>
      <c r="E2388" s="152"/>
      <c r="F2388" s="153"/>
      <c r="G2388" s="154"/>
      <c r="H2388" s="154"/>
      <c r="I2388" s="154"/>
      <c r="J2388" s="155"/>
      <c r="K2388" s="156"/>
      <c r="L2388" s="157"/>
      <c r="M2388" s="158" t="s">
        <v>28</v>
      </c>
      <c r="N2388" s="159" t="s">
        <v>29</v>
      </c>
    </row>
    <row r="2389" spans="1:14">
      <c r="A2389" s="148"/>
      <c r="B2389" s="149"/>
      <c r="C2389" s="160"/>
      <c r="D2389" s="151"/>
      <c r="E2389" s="152"/>
      <c r="F2389" s="153"/>
      <c r="G2389" s="154"/>
      <c r="H2389" s="154"/>
      <c r="I2389" s="154"/>
      <c r="J2389" s="155"/>
      <c r="K2389" s="156"/>
      <c r="L2389" s="157"/>
      <c r="M2389" s="158" t="s">
        <v>28</v>
      </c>
      <c r="N2389" s="159" t="s">
        <v>29</v>
      </c>
    </row>
    <row r="2390" spans="1:14">
      <c r="A2390" s="148"/>
      <c r="B2390" s="149"/>
      <c r="C2390" s="160"/>
      <c r="D2390" s="151"/>
      <c r="E2390" s="152"/>
      <c r="F2390" s="153"/>
      <c r="G2390" s="154"/>
      <c r="H2390" s="154"/>
      <c r="I2390" s="154"/>
      <c r="J2390" s="155"/>
      <c r="K2390" s="156"/>
      <c r="L2390" s="157"/>
      <c r="M2390" s="158" t="s">
        <v>28</v>
      </c>
      <c r="N2390" s="159" t="s">
        <v>29</v>
      </c>
    </row>
    <row r="2391" spans="1:14">
      <c r="A2391" s="148"/>
      <c r="B2391" s="149"/>
      <c r="C2391" s="160"/>
      <c r="D2391" s="151"/>
      <c r="E2391" s="152"/>
      <c r="F2391" s="153"/>
      <c r="G2391" s="154"/>
      <c r="H2391" s="154"/>
      <c r="I2391" s="154"/>
      <c r="J2391" s="155"/>
      <c r="K2391" s="156"/>
      <c r="L2391" s="157"/>
      <c r="M2391" s="158" t="s">
        <v>28</v>
      </c>
      <c r="N2391" s="159" t="s">
        <v>29</v>
      </c>
    </row>
    <row r="2392" spans="1:14">
      <c r="A2392" s="148"/>
      <c r="B2392" s="149"/>
      <c r="C2392" s="160"/>
      <c r="D2392" s="151"/>
      <c r="E2392" s="152"/>
      <c r="F2392" s="153"/>
      <c r="G2392" s="154"/>
      <c r="H2392" s="154"/>
      <c r="I2392" s="154"/>
      <c r="J2392" s="155"/>
      <c r="K2392" s="156"/>
      <c r="L2392" s="157"/>
      <c r="M2392" s="158" t="s">
        <v>28</v>
      </c>
      <c r="N2392" s="159" t="s">
        <v>29</v>
      </c>
    </row>
    <row r="2393" spans="1:14">
      <c r="A2393" s="148"/>
      <c r="B2393" s="149"/>
      <c r="C2393" s="160"/>
      <c r="D2393" s="151"/>
      <c r="E2393" s="152"/>
      <c r="F2393" s="153"/>
      <c r="G2393" s="154"/>
      <c r="H2393" s="154"/>
      <c r="I2393" s="154"/>
      <c r="J2393" s="155"/>
      <c r="K2393" s="156"/>
      <c r="L2393" s="157"/>
      <c r="M2393" s="158" t="s">
        <v>28</v>
      </c>
      <c r="N2393" s="159" t="s">
        <v>29</v>
      </c>
    </row>
    <row r="2394" spans="1:14">
      <c r="A2394" s="148"/>
      <c r="B2394" s="149"/>
      <c r="C2394" s="160"/>
      <c r="D2394" s="151"/>
      <c r="E2394" s="152"/>
      <c r="F2394" s="153"/>
      <c r="G2394" s="154"/>
      <c r="H2394" s="154"/>
      <c r="I2394" s="154"/>
      <c r="J2394" s="155"/>
      <c r="K2394" s="156"/>
      <c r="L2394" s="157"/>
      <c r="M2394" s="158" t="s">
        <v>28</v>
      </c>
      <c r="N2394" s="159" t="s">
        <v>29</v>
      </c>
    </row>
    <row r="2395" spans="1:14">
      <c r="A2395" s="148"/>
      <c r="B2395" s="149"/>
      <c r="C2395" s="160"/>
      <c r="D2395" s="151"/>
      <c r="E2395" s="152"/>
      <c r="F2395" s="153"/>
      <c r="G2395" s="154"/>
      <c r="H2395" s="154"/>
      <c r="I2395" s="154"/>
      <c r="J2395" s="155"/>
      <c r="K2395" s="156"/>
      <c r="L2395" s="157"/>
      <c r="M2395" s="158" t="s">
        <v>28</v>
      </c>
      <c r="N2395" s="159" t="s">
        <v>29</v>
      </c>
    </row>
    <row r="2396" spans="1:14">
      <c r="A2396" s="148"/>
      <c r="B2396" s="149"/>
      <c r="C2396" s="160"/>
      <c r="D2396" s="151"/>
      <c r="E2396" s="152"/>
      <c r="F2396" s="153"/>
      <c r="G2396" s="154"/>
      <c r="H2396" s="154"/>
      <c r="I2396" s="154"/>
      <c r="J2396" s="155"/>
      <c r="K2396" s="156"/>
      <c r="L2396" s="157"/>
      <c r="M2396" s="158" t="s">
        <v>28</v>
      </c>
      <c r="N2396" s="159" t="s">
        <v>29</v>
      </c>
    </row>
    <row r="2397" spans="1:14">
      <c r="A2397" s="148"/>
      <c r="B2397" s="149"/>
      <c r="C2397" s="160"/>
      <c r="D2397" s="151"/>
      <c r="E2397" s="152"/>
      <c r="F2397" s="153"/>
      <c r="G2397" s="154"/>
      <c r="H2397" s="154"/>
      <c r="I2397" s="154"/>
      <c r="J2397" s="155"/>
      <c r="K2397" s="156"/>
      <c r="L2397" s="157"/>
      <c r="M2397" s="158" t="s">
        <v>28</v>
      </c>
      <c r="N2397" s="159" t="s">
        <v>29</v>
      </c>
    </row>
    <row r="2398" spans="1:14">
      <c r="A2398" s="148"/>
      <c r="B2398" s="149"/>
      <c r="C2398" s="160"/>
      <c r="D2398" s="151"/>
      <c r="E2398" s="152"/>
      <c r="F2398" s="153"/>
      <c r="G2398" s="154"/>
      <c r="H2398" s="154"/>
      <c r="I2398" s="154"/>
      <c r="J2398" s="155"/>
      <c r="K2398" s="156"/>
      <c r="L2398" s="157"/>
      <c r="M2398" s="158" t="s">
        <v>28</v>
      </c>
      <c r="N2398" s="159" t="s">
        <v>29</v>
      </c>
    </row>
    <row r="2399" spans="1:14">
      <c r="A2399" s="148"/>
      <c r="B2399" s="149"/>
      <c r="C2399" s="160"/>
      <c r="D2399" s="151"/>
      <c r="E2399" s="152"/>
      <c r="F2399" s="153"/>
      <c r="G2399" s="154"/>
      <c r="H2399" s="154"/>
      <c r="I2399" s="154"/>
      <c r="J2399" s="155"/>
      <c r="K2399" s="156"/>
      <c r="L2399" s="157"/>
      <c r="M2399" s="158" t="s">
        <v>28</v>
      </c>
      <c r="N2399" s="159" t="s">
        <v>29</v>
      </c>
    </row>
    <row r="2400" spans="1:14">
      <c r="A2400" s="148"/>
      <c r="B2400" s="149"/>
      <c r="C2400" s="160"/>
      <c r="D2400" s="151"/>
      <c r="E2400" s="152"/>
      <c r="F2400" s="153"/>
      <c r="G2400" s="154"/>
      <c r="H2400" s="154"/>
      <c r="I2400" s="154"/>
      <c r="J2400" s="155"/>
      <c r="K2400" s="156"/>
      <c r="L2400" s="157"/>
      <c r="M2400" s="158" t="s">
        <v>28</v>
      </c>
      <c r="N2400" s="159" t="s">
        <v>29</v>
      </c>
    </row>
    <row r="2401" spans="1:14">
      <c r="A2401" s="148"/>
      <c r="B2401" s="149"/>
      <c r="C2401" s="160"/>
      <c r="D2401" s="151"/>
      <c r="E2401" s="152"/>
      <c r="F2401" s="153"/>
      <c r="G2401" s="154"/>
      <c r="H2401" s="154"/>
      <c r="I2401" s="154"/>
      <c r="J2401" s="155"/>
      <c r="K2401" s="156"/>
      <c r="L2401" s="157"/>
      <c r="M2401" s="158" t="s">
        <v>28</v>
      </c>
      <c r="N2401" s="159" t="s">
        <v>29</v>
      </c>
    </row>
    <row r="2402" spans="1:14">
      <c r="A2402" s="148"/>
      <c r="B2402" s="149"/>
      <c r="C2402" s="160"/>
      <c r="D2402" s="151"/>
      <c r="E2402" s="152"/>
      <c r="F2402" s="153"/>
      <c r="G2402" s="154"/>
      <c r="H2402" s="154"/>
      <c r="I2402" s="154"/>
      <c r="J2402" s="155"/>
      <c r="K2402" s="156"/>
      <c r="L2402" s="157"/>
      <c r="M2402" s="158" t="s">
        <v>28</v>
      </c>
      <c r="N2402" s="159" t="s">
        <v>29</v>
      </c>
    </row>
    <row r="2403" spans="1:14">
      <c r="A2403" s="148"/>
      <c r="B2403" s="149"/>
      <c r="C2403" s="160"/>
      <c r="D2403" s="151"/>
      <c r="E2403" s="152"/>
      <c r="F2403" s="153"/>
      <c r="G2403" s="154"/>
      <c r="H2403" s="154"/>
      <c r="I2403" s="154"/>
      <c r="J2403" s="155"/>
      <c r="K2403" s="156"/>
      <c r="L2403" s="157"/>
      <c r="M2403" s="158" t="s">
        <v>28</v>
      </c>
      <c r="N2403" s="159" t="s">
        <v>29</v>
      </c>
    </row>
    <row r="2404" spans="1:14">
      <c r="A2404" s="148"/>
      <c r="B2404" s="149"/>
      <c r="C2404" s="160"/>
      <c r="D2404" s="151"/>
      <c r="E2404" s="152"/>
      <c r="F2404" s="153"/>
      <c r="G2404" s="154"/>
      <c r="H2404" s="154"/>
      <c r="I2404" s="154"/>
      <c r="J2404" s="155"/>
      <c r="K2404" s="156"/>
      <c r="L2404" s="157"/>
      <c r="M2404" s="158" t="s">
        <v>28</v>
      </c>
      <c r="N2404" s="159" t="s">
        <v>29</v>
      </c>
    </row>
    <row r="2405" spans="1:14">
      <c r="A2405" s="148"/>
      <c r="B2405" s="149"/>
      <c r="C2405" s="160"/>
      <c r="D2405" s="151"/>
      <c r="E2405" s="152"/>
      <c r="F2405" s="153"/>
      <c r="G2405" s="154"/>
      <c r="H2405" s="154"/>
      <c r="I2405" s="154"/>
      <c r="J2405" s="155"/>
      <c r="K2405" s="156"/>
      <c r="L2405" s="157"/>
      <c r="M2405" s="158" t="s">
        <v>28</v>
      </c>
      <c r="N2405" s="159" t="s">
        <v>29</v>
      </c>
    </row>
    <row r="2406" spans="1:14">
      <c r="A2406" s="148"/>
      <c r="B2406" s="149"/>
      <c r="C2406" s="160"/>
      <c r="D2406" s="151"/>
      <c r="E2406" s="152"/>
      <c r="F2406" s="153"/>
      <c r="G2406" s="154"/>
      <c r="H2406" s="154"/>
      <c r="I2406" s="154"/>
      <c r="J2406" s="155"/>
      <c r="K2406" s="156"/>
      <c r="L2406" s="157"/>
      <c r="M2406" s="158" t="s">
        <v>28</v>
      </c>
      <c r="N2406" s="159" t="s">
        <v>29</v>
      </c>
    </row>
    <row r="2407" spans="1:14">
      <c r="A2407" s="148"/>
      <c r="B2407" s="149"/>
      <c r="C2407" s="160"/>
      <c r="D2407" s="151"/>
      <c r="E2407" s="152"/>
      <c r="F2407" s="153"/>
      <c r="G2407" s="154"/>
      <c r="H2407" s="154"/>
      <c r="I2407" s="154"/>
      <c r="J2407" s="155"/>
      <c r="K2407" s="156"/>
      <c r="L2407" s="157"/>
      <c r="M2407" s="158" t="s">
        <v>28</v>
      </c>
      <c r="N2407" s="159" t="s">
        <v>29</v>
      </c>
    </row>
    <row r="2408" spans="1:14">
      <c r="A2408" s="148"/>
      <c r="B2408" s="149"/>
      <c r="C2408" s="160"/>
      <c r="D2408" s="151"/>
      <c r="E2408" s="152"/>
      <c r="F2408" s="153"/>
      <c r="G2408" s="154"/>
      <c r="H2408" s="154"/>
      <c r="I2408" s="154"/>
      <c r="J2408" s="155"/>
      <c r="K2408" s="156"/>
      <c r="L2408" s="157"/>
      <c r="M2408" s="158" t="s">
        <v>28</v>
      </c>
      <c r="N2408" s="159" t="s">
        <v>29</v>
      </c>
    </row>
    <row r="2409" spans="1:14">
      <c r="A2409" s="148"/>
      <c r="B2409" s="149"/>
      <c r="C2409" s="160"/>
      <c r="D2409" s="151"/>
      <c r="E2409" s="152"/>
      <c r="F2409" s="153"/>
      <c r="G2409" s="154"/>
      <c r="H2409" s="154"/>
      <c r="I2409" s="154"/>
      <c r="J2409" s="155"/>
      <c r="K2409" s="156"/>
      <c r="L2409" s="157"/>
      <c r="M2409" s="158" t="s">
        <v>28</v>
      </c>
      <c r="N2409" s="159" t="s">
        <v>29</v>
      </c>
    </row>
    <row r="2410" spans="1:14">
      <c r="A2410" s="148"/>
      <c r="B2410" s="149"/>
      <c r="C2410" s="160"/>
      <c r="D2410" s="151"/>
      <c r="E2410" s="152"/>
      <c r="F2410" s="153"/>
      <c r="G2410" s="154"/>
      <c r="H2410" s="154"/>
      <c r="I2410" s="154"/>
      <c r="J2410" s="155"/>
      <c r="K2410" s="156"/>
      <c r="L2410" s="157"/>
      <c r="M2410" s="158" t="s">
        <v>28</v>
      </c>
      <c r="N2410" s="159" t="s">
        <v>29</v>
      </c>
    </row>
    <row r="2411" spans="1:14">
      <c r="A2411" s="148"/>
      <c r="B2411" s="149"/>
      <c r="C2411" s="160"/>
      <c r="D2411" s="151"/>
      <c r="E2411" s="152"/>
      <c r="F2411" s="153"/>
      <c r="G2411" s="154"/>
      <c r="H2411" s="154"/>
      <c r="I2411" s="154"/>
      <c r="J2411" s="155"/>
      <c r="K2411" s="156"/>
      <c r="L2411" s="157"/>
      <c r="M2411" s="158" t="s">
        <v>28</v>
      </c>
      <c r="N2411" s="159" t="s">
        <v>29</v>
      </c>
    </row>
    <row r="2412" spans="1:14">
      <c r="A2412" s="148"/>
      <c r="B2412" s="149"/>
      <c r="C2412" s="160"/>
      <c r="D2412" s="151"/>
      <c r="E2412" s="152"/>
      <c r="F2412" s="153"/>
      <c r="G2412" s="154"/>
      <c r="H2412" s="154"/>
      <c r="I2412" s="154"/>
      <c r="J2412" s="155"/>
      <c r="K2412" s="156"/>
      <c r="L2412" s="157"/>
      <c r="M2412" s="158" t="s">
        <v>28</v>
      </c>
      <c r="N2412" s="159" t="s">
        <v>29</v>
      </c>
    </row>
    <row r="2413" spans="1:14">
      <c r="A2413" s="148"/>
      <c r="B2413" s="149"/>
      <c r="C2413" s="160"/>
      <c r="D2413" s="151"/>
      <c r="E2413" s="152"/>
      <c r="F2413" s="153"/>
      <c r="G2413" s="154"/>
      <c r="H2413" s="154"/>
      <c r="I2413" s="154"/>
      <c r="J2413" s="155"/>
      <c r="K2413" s="156"/>
      <c r="L2413" s="157"/>
      <c r="M2413" s="158" t="s">
        <v>28</v>
      </c>
      <c r="N2413" s="159" t="s">
        <v>29</v>
      </c>
    </row>
    <row r="2414" spans="1:14">
      <c r="A2414" s="148"/>
      <c r="B2414" s="149"/>
      <c r="C2414" s="160"/>
      <c r="D2414" s="151"/>
      <c r="E2414" s="152"/>
      <c r="F2414" s="153"/>
      <c r="G2414" s="154"/>
      <c r="H2414" s="154"/>
      <c r="I2414" s="154"/>
      <c r="J2414" s="155"/>
      <c r="K2414" s="156"/>
      <c r="L2414" s="157"/>
      <c r="M2414" s="158" t="s">
        <v>28</v>
      </c>
      <c r="N2414" s="159" t="s">
        <v>29</v>
      </c>
    </row>
    <row r="2415" spans="1:14">
      <c r="A2415" s="148"/>
      <c r="B2415" s="149"/>
      <c r="C2415" s="160"/>
      <c r="D2415" s="151"/>
      <c r="E2415" s="152"/>
      <c r="F2415" s="153"/>
      <c r="G2415" s="154"/>
      <c r="H2415" s="154"/>
      <c r="I2415" s="154"/>
      <c r="J2415" s="155"/>
      <c r="K2415" s="156"/>
      <c r="L2415" s="157"/>
      <c r="M2415" s="158" t="s">
        <v>28</v>
      </c>
      <c r="N2415" s="159" t="s">
        <v>29</v>
      </c>
    </row>
    <row r="2416" spans="1:14">
      <c r="A2416" s="148"/>
      <c r="B2416" s="149"/>
      <c r="C2416" s="160"/>
      <c r="D2416" s="151"/>
      <c r="E2416" s="152"/>
      <c r="F2416" s="153"/>
      <c r="G2416" s="154"/>
      <c r="H2416" s="154"/>
      <c r="I2416" s="154"/>
      <c r="J2416" s="155"/>
      <c r="K2416" s="156"/>
      <c r="L2416" s="157"/>
      <c r="M2416" s="158" t="s">
        <v>28</v>
      </c>
      <c r="N2416" s="159" t="s">
        <v>29</v>
      </c>
    </row>
    <row r="2417" spans="1:14">
      <c r="A2417" s="148"/>
      <c r="B2417" s="149"/>
      <c r="C2417" s="160"/>
      <c r="D2417" s="151"/>
      <c r="E2417" s="152"/>
      <c r="F2417" s="153"/>
      <c r="G2417" s="154"/>
      <c r="H2417" s="154"/>
      <c r="I2417" s="154"/>
      <c r="J2417" s="155"/>
      <c r="K2417" s="156"/>
      <c r="L2417" s="157"/>
      <c r="M2417" s="158" t="s">
        <v>28</v>
      </c>
      <c r="N2417" s="159" t="s">
        <v>29</v>
      </c>
    </row>
    <row r="2418" spans="1:14">
      <c r="A2418" s="148"/>
      <c r="B2418" s="149"/>
      <c r="C2418" s="160"/>
      <c r="D2418" s="151"/>
      <c r="E2418" s="152"/>
      <c r="F2418" s="153"/>
      <c r="G2418" s="154"/>
      <c r="H2418" s="154"/>
      <c r="I2418" s="154"/>
      <c r="J2418" s="155"/>
      <c r="K2418" s="156"/>
      <c r="L2418" s="157"/>
      <c r="M2418" s="158" t="s">
        <v>28</v>
      </c>
      <c r="N2418" s="159" t="s">
        <v>29</v>
      </c>
    </row>
    <row r="2419" spans="1:14">
      <c r="A2419" s="148"/>
      <c r="B2419" s="149"/>
      <c r="C2419" s="160"/>
      <c r="D2419" s="151"/>
      <c r="E2419" s="152"/>
      <c r="F2419" s="153"/>
      <c r="G2419" s="154"/>
      <c r="H2419" s="154"/>
      <c r="I2419" s="154"/>
      <c r="J2419" s="155"/>
      <c r="K2419" s="156"/>
      <c r="L2419" s="157"/>
      <c r="M2419" s="158" t="s">
        <v>28</v>
      </c>
      <c r="N2419" s="159" t="s">
        <v>29</v>
      </c>
    </row>
    <row r="2420" spans="1:14">
      <c r="A2420" s="148"/>
      <c r="B2420" s="149"/>
      <c r="C2420" s="160"/>
      <c r="D2420" s="151"/>
      <c r="E2420" s="152"/>
      <c r="F2420" s="153"/>
      <c r="G2420" s="154"/>
      <c r="H2420" s="154"/>
      <c r="I2420" s="154"/>
      <c r="J2420" s="155"/>
      <c r="K2420" s="156"/>
      <c r="L2420" s="157"/>
      <c r="M2420" s="158" t="s">
        <v>28</v>
      </c>
      <c r="N2420" s="159" t="s">
        <v>29</v>
      </c>
    </row>
    <row r="2421" spans="1:14">
      <c r="A2421" s="148"/>
      <c r="B2421" s="149"/>
      <c r="C2421" s="160"/>
      <c r="D2421" s="151"/>
      <c r="E2421" s="152"/>
      <c r="F2421" s="153"/>
      <c r="G2421" s="154"/>
      <c r="H2421" s="154"/>
      <c r="I2421" s="154"/>
      <c r="J2421" s="155"/>
      <c r="K2421" s="156"/>
      <c r="L2421" s="157"/>
      <c r="M2421" s="158" t="s">
        <v>28</v>
      </c>
      <c r="N2421" s="159" t="s">
        <v>29</v>
      </c>
    </row>
    <row r="2422" spans="1:14">
      <c r="A2422" s="148"/>
      <c r="B2422" s="149"/>
      <c r="C2422" s="160"/>
      <c r="D2422" s="151"/>
      <c r="E2422" s="152"/>
      <c r="F2422" s="153"/>
      <c r="G2422" s="154"/>
      <c r="H2422" s="154"/>
      <c r="I2422" s="154"/>
      <c r="J2422" s="155"/>
      <c r="K2422" s="156"/>
      <c r="L2422" s="157"/>
      <c r="M2422" s="158" t="s">
        <v>28</v>
      </c>
      <c r="N2422" s="159" t="s">
        <v>29</v>
      </c>
    </row>
    <row r="2423" spans="1:14">
      <c r="A2423" s="148"/>
      <c r="B2423" s="149"/>
      <c r="C2423" s="160"/>
      <c r="D2423" s="151"/>
      <c r="E2423" s="152"/>
      <c r="F2423" s="153"/>
      <c r="G2423" s="154"/>
      <c r="H2423" s="154"/>
      <c r="I2423" s="154"/>
      <c r="J2423" s="155"/>
      <c r="K2423" s="156"/>
      <c r="L2423" s="157"/>
      <c r="M2423" s="158" t="s">
        <v>28</v>
      </c>
      <c r="N2423" s="159" t="s">
        <v>29</v>
      </c>
    </row>
    <row r="2424" spans="1:14">
      <c r="A2424" s="148"/>
      <c r="B2424" s="149"/>
      <c r="C2424" s="160"/>
      <c r="D2424" s="151"/>
      <c r="E2424" s="152"/>
      <c r="F2424" s="153"/>
      <c r="G2424" s="154"/>
      <c r="H2424" s="154"/>
      <c r="I2424" s="154"/>
      <c r="J2424" s="155"/>
      <c r="K2424" s="156"/>
      <c r="L2424" s="157"/>
      <c r="M2424" s="158" t="s">
        <v>28</v>
      </c>
      <c r="N2424" s="159" t="s">
        <v>29</v>
      </c>
    </row>
    <row r="2425" spans="1:14">
      <c r="A2425" s="148"/>
      <c r="B2425" s="149"/>
      <c r="C2425" s="160"/>
      <c r="D2425" s="151"/>
      <c r="E2425" s="152"/>
      <c r="F2425" s="153"/>
      <c r="G2425" s="154"/>
      <c r="H2425" s="154"/>
      <c r="I2425" s="154"/>
      <c r="J2425" s="155"/>
      <c r="K2425" s="156"/>
      <c r="L2425" s="157"/>
      <c r="M2425" s="158" t="s">
        <v>28</v>
      </c>
      <c r="N2425" s="159" t="s">
        <v>29</v>
      </c>
    </row>
    <row r="2426" spans="1:14">
      <c r="A2426" s="148"/>
      <c r="B2426" s="149"/>
      <c r="C2426" s="160"/>
      <c r="D2426" s="151"/>
      <c r="E2426" s="152"/>
      <c r="F2426" s="153"/>
      <c r="G2426" s="154"/>
      <c r="H2426" s="154"/>
      <c r="I2426" s="154"/>
      <c r="J2426" s="155"/>
      <c r="K2426" s="156"/>
      <c r="L2426" s="157"/>
      <c r="M2426" s="158" t="s">
        <v>28</v>
      </c>
      <c r="N2426" s="159" t="s">
        <v>29</v>
      </c>
    </row>
    <row r="2427" spans="1:14">
      <c r="A2427" s="148"/>
      <c r="B2427" s="149"/>
      <c r="C2427" s="160"/>
      <c r="D2427" s="151"/>
      <c r="E2427" s="152"/>
      <c r="F2427" s="153"/>
      <c r="G2427" s="154"/>
      <c r="H2427" s="154"/>
      <c r="I2427" s="154"/>
      <c r="J2427" s="155"/>
      <c r="K2427" s="156"/>
      <c r="L2427" s="157"/>
      <c r="M2427" s="158" t="s">
        <v>28</v>
      </c>
      <c r="N2427" s="159" t="s">
        <v>29</v>
      </c>
    </row>
    <row r="2428" spans="1:14">
      <c r="A2428" s="148"/>
      <c r="B2428" s="149"/>
      <c r="C2428" s="160"/>
      <c r="D2428" s="151"/>
      <c r="E2428" s="152"/>
      <c r="F2428" s="153"/>
      <c r="G2428" s="154"/>
      <c r="H2428" s="154"/>
      <c r="I2428" s="154"/>
      <c r="J2428" s="155"/>
      <c r="K2428" s="156"/>
      <c r="L2428" s="157"/>
      <c r="M2428" s="158" t="s">
        <v>28</v>
      </c>
      <c r="N2428" s="159" t="s">
        <v>29</v>
      </c>
    </row>
    <row r="2429" spans="1:14">
      <c r="A2429" s="148"/>
      <c r="B2429" s="149"/>
      <c r="C2429" s="160"/>
      <c r="D2429" s="151"/>
      <c r="E2429" s="152"/>
      <c r="F2429" s="153"/>
      <c r="G2429" s="154"/>
      <c r="H2429" s="154"/>
      <c r="I2429" s="154"/>
      <c r="J2429" s="155"/>
      <c r="K2429" s="156"/>
      <c r="L2429" s="157"/>
      <c r="M2429" s="158" t="s">
        <v>28</v>
      </c>
      <c r="N2429" s="159" t="s">
        <v>29</v>
      </c>
    </row>
    <row r="2430" spans="1:14">
      <c r="A2430" s="148"/>
      <c r="B2430" s="149"/>
      <c r="C2430" s="160"/>
      <c r="D2430" s="151"/>
      <c r="E2430" s="152"/>
      <c r="F2430" s="153"/>
      <c r="G2430" s="154"/>
      <c r="H2430" s="154"/>
      <c r="I2430" s="154"/>
      <c r="J2430" s="155"/>
      <c r="K2430" s="156"/>
      <c r="L2430" s="157"/>
      <c r="M2430" s="158" t="s">
        <v>28</v>
      </c>
      <c r="N2430" s="159" t="s">
        <v>29</v>
      </c>
    </row>
    <row r="2431" spans="1:14">
      <c r="A2431" s="148"/>
      <c r="B2431" s="149"/>
      <c r="C2431" s="160"/>
      <c r="D2431" s="151"/>
      <c r="E2431" s="152"/>
      <c r="F2431" s="153"/>
      <c r="G2431" s="154"/>
      <c r="H2431" s="154"/>
      <c r="I2431" s="154"/>
      <c r="J2431" s="155"/>
      <c r="K2431" s="156"/>
      <c r="L2431" s="157"/>
      <c r="M2431" s="158" t="s">
        <v>28</v>
      </c>
      <c r="N2431" s="159" t="s">
        <v>29</v>
      </c>
    </row>
    <row r="2432" spans="1:14">
      <c r="A2432" s="148"/>
      <c r="B2432" s="149"/>
      <c r="C2432" s="160"/>
      <c r="D2432" s="151"/>
      <c r="E2432" s="152"/>
      <c r="F2432" s="153"/>
      <c r="G2432" s="154"/>
      <c r="H2432" s="154"/>
      <c r="I2432" s="154"/>
      <c r="J2432" s="155"/>
      <c r="K2432" s="156"/>
      <c r="L2432" s="157"/>
      <c r="M2432" s="158" t="s">
        <v>28</v>
      </c>
      <c r="N2432" s="159" t="s">
        <v>29</v>
      </c>
    </row>
    <row r="2433" spans="1:14">
      <c r="A2433" s="148"/>
      <c r="B2433" s="149"/>
      <c r="C2433" s="160"/>
      <c r="D2433" s="151"/>
      <c r="E2433" s="152"/>
      <c r="F2433" s="153"/>
      <c r="G2433" s="154"/>
      <c r="H2433" s="154"/>
      <c r="I2433" s="154"/>
      <c r="J2433" s="155"/>
      <c r="K2433" s="156"/>
      <c r="L2433" s="157"/>
      <c r="M2433" s="158" t="s">
        <v>28</v>
      </c>
      <c r="N2433" s="159" t="s">
        <v>29</v>
      </c>
    </row>
    <row r="2434" spans="1:14">
      <c r="A2434" s="148"/>
      <c r="B2434" s="149"/>
      <c r="C2434" s="160"/>
      <c r="D2434" s="151"/>
      <c r="E2434" s="152"/>
      <c r="F2434" s="153"/>
      <c r="G2434" s="154"/>
      <c r="H2434" s="154"/>
      <c r="I2434" s="154"/>
      <c r="J2434" s="155"/>
      <c r="K2434" s="156"/>
      <c r="L2434" s="157"/>
      <c r="M2434" s="158" t="s">
        <v>28</v>
      </c>
      <c r="N2434" s="159" t="s">
        <v>29</v>
      </c>
    </row>
    <row r="2435" spans="1:14">
      <c r="A2435" s="148"/>
      <c r="B2435" s="149"/>
      <c r="C2435" s="160"/>
      <c r="D2435" s="151"/>
      <c r="E2435" s="152"/>
      <c r="F2435" s="153"/>
      <c r="G2435" s="154"/>
      <c r="H2435" s="154"/>
      <c r="I2435" s="154"/>
      <c r="J2435" s="155"/>
      <c r="K2435" s="156"/>
      <c r="L2435" s="157"/>
      <c r="M2435" s="158" t="s">
        <v>28</v>
      </c>
      <c r="N2435" s="159" t="s">
        <v>29</v>
      </c>
    </row>
    <row r="2436" spans="1:14">
      <c r="A2436" s="148"/>
      <c r="B2436" s="149"/>
      <c r="C2436" s="160"/>
      <c r="D2436" s="151"/>
      <c r="E2436" s="152"/>
      <c r="F2436" s="153"/>
      <c r="G2436" s="154"/>
      <c r="H2436" s="154"/>
      <c r="I2436" s="154"/>
      <c r="J2436" s="155"/>
      <c r="K2436" s="156"/>
      <c r="L2436" s="157"/>
      <c r="M2436" s="158" t="s">
        <v>28</v>
      </c>
      <c r="N2436" s="159" t="s">
        <v>29</v>
      </c>
    </row>
    <row r="2437" spans="1:14">
      <c r="A2437" s="148"/>
      <c r="B2437" s="149"/>
      <c r="C2437" s="160"/>
      <c r="D2437" s="151"/>
      <c r="E2437" s="152"/>
      <c r="F2437" s="153"/>
      <c r="G2437" s="154"/>
      <c r="H2437" s="154"/>
      <c r="I2437" s="154"/>
      <c r="J2437" s="155"/>
      <c r="K2437" s="156"/>
      <c r="L2437" s="157"/>
      <c r="M2437" s="158" t="s">
        <v>28</v>
      </c>
      <c r="N2437" s="159" t="s">
        <v>29</v>
      </c>
    </row>
    <row r="2438" spans="1:14">
      <c r="A2438" s="148"/>
      <c r="B2438" s="149"/>
      <c r="C2438" s="160"/>
      <c r="D2438" s="151"/>
      <c r="E2438" s="152"/>
      <c r="F2438" s="153"/>
      <c r="G2438" s="154"/>
      <c r="H2438" s="154"/>
      <c r="I2438" s="154"/>
      <c r="J2438" s="155"/>
      <c r="K2438" s="156"/>
      <c r="L2438" s="157"/>
      <c r="M2438" s="158" t="s">
        <v>28</v>
      </c>
      <c r="N2438" s="159" t="s">
        <v>29</v>
      </c>
    </row>
    <row r="2439" spans="1:14">
      <c r="A2439" s="148"/>
      <c r="B2439" s="149"/>
      <c r="C2439" s="160"/>
      <c r="D2439" s="151"/>
      <c r="E2439" s="152"/>
      <c r="F2439" s="153"/>
      <c r="G2439" s="154"/>
      <c r="H2439" s="154"/>
      <c r="I2439" s="154"/>
      <c r="J2439" s="155"/>
      <c r="K2439" s="156"/>
      <c r="L2439" s="157"/>
      <c r="M2439" s="158" t="s">
        <v>28</v>
      </c>
      <c r="N2439" s="159" t="s">
        <v>29</v>
      </c>
    </row>
    <row r="2440" spans="1:14">
      <c r="A2440" s="148"/>
      <c r="B2440" s="149"/>
      <c r="C2440" s="160"/>
      <c r="D2440" s="151"/>
      <c r="E2440" s="152"/>
      <c r="F2440" s="153"/>
      <c r="G2440" s="154"/>
      <c r="H2440" s="154"/>
      <c r="I2440" s="154"/>
      <c r="J2440" s="155"/>
      <c r="K2440" s="156"/>
      <c r="L2440" s="157"/>
      <c r="M2440" s="158" t="s">
        <v>28</v>
      </c>
      <c r="N2440" s="159" t="s">
        <v>29</v>
      </c>
    </row>
    <row r="2441" spans="1:14">
      <c r="A2441" s="148"/>
      <c r="B2441" s="149"/>
      <c r="C2441" s="160"/>
      <c r="D2441" s="151"/>
      <c r="E2441" s="152"/>
      <c r="F2441" s="153"/>
      <c r="G2441" s="154"/>
      <c r="H2441" s="154"/>
      <c r="I2441" s="154"/>
      <c r="J2441" s="155"/>
      <c r="K2441" s="156"/>
      <c r="L2441" s="157"/>
      <c r="M2441" s="158" t="s">
        <v>28</v>
      </c>
      <c r="N2441" s="159" t="s">
        <v>29</v>
      </c>
    </row>
    <row r="2442" spans="1:14">
      <c r="A2442" s="148"/>
      <c r="B2442" s="149"/>
      <c r="C2442" s="160"/>
      <c r="D2442" s="151"/>
      <c r="E2442" s="152"/>
      <c r="F2442" s="153"/>
      <c r="G2442" s="154"/>
      <c r="H2442" s="154"/>
      <c r="I2442" s="154"/>
      <c r="J2442" s="155"/>
      <c r="K2442" s="156"/>
      <c r="L2442" s="157"/>
      <c r="M2442" s="158" t="s">
        <v>28</v>
      </c>
      <c r="N2442" s="159" t="s">
        <v>29</v>
      </c>
    </row>
    <row r="2443" spans="1:14">
      <c r="A2443" s="148"/>
      <c r="B2443" s="149"/>
      <c r="C2443" s="160"/>
      <c r="D2443" s="151"/>
      <c r="E2443" s="152"/>
      <c r="F2443" s="153"/>
      <c r="G2443" s="154"/>
      <c r="H2443" s="154"/>
      <c r="I2443" s="154"/>
      <c r="J2443" s="155"/>
      <c r="K2443" s="156"/>
      <c r="L2443" s="157"/>
      <c r="M2443" s="158" t="s">
        <v>28</v>
      </c>
      <c r="N2443" s="159" t="s">
        <v>29</v>
      </c>
    </row>
    <row r="2444" spans="1:14">
      <c r="A2444" s="148"/>
      <c r="B2444" s="149"/>
      <c r="C2444" s="160"/>
      <c r="D2444" s="151"/>
      <c r="E2444" s="152"/>
      <c r="F2444" s="153"/>
      <c r="G2444" s="154"/>
      <c r="H2444" s="154"/>
      <c r="I2444" s="154"/>
      <c r="J2444" s="155"/>
      <c r="K2444" s="156"/>
      <c r="L2444" s="157"/>
      <c r="M2444" s="158" t="s">
        <v>28</v>
      </c>
      <c r="N2444" s="159" t="s">
        <v>29</v>
      </c>
    </row>
    <row r="2445" spans="1:14">
      <c r="A2445" s="148"/>
      <c r="B2445" s="149"/>
      <c r="C2445" s="160"/>
      <c r="D2445" s="151"/>
      <c r="E2445" s="152"/>
      <c r="F2445" s="153"/>
      <c r="G2445" s="154"/>
      <c r="H2445" s="154"/>
      <c r="I2445" s="154"/>
      <c r="J2445" s="155"/>
      <c r="K2445" s="156"/>
      <c r="L2445" s="157"/>
      <c r="M2445" s="158" t="s">
        <v>28</v>
      </c>
      <c r="N2445" s="159" t="s">
        <v>29</v>
      </c>
    </row>
    <row r="2446" spans="1:14">
      <c r="A2446" s="148"/>
      <c r="B2446" s="149"/>
      <c r="C2446" s="160"/>
      <c r="D2446" s="151"/>
      <c r="E2446" s="152"/>
      <c r="F2446" s="153"/>
      <c r="G2446" s="154"/>
      <c r="H2446" s="154"/>
      <c r="I2446" s="154"/>
      <c r="J2446" s="155"/>
      <c r="K2446" s="156"/>
      <c r="L2446" s="157"/>
      <c r="M2446" s="158" t="s">
        <v>28</v>
      </c>
      <c r="N2446" s="159" t="s">
        <v>29</v>
      </c>
    </row>
    <row r="2447" spans="1:14">
      <c r="A2447" s="148"/>
      <c r="B2447" s="149"/>
      <c r="C2447" s="160"/>
      <c r="D2447" s="151"/>
      <c r="E2447" s="152"/>
      <c r="F2447" s="153"/>
      <c r="G2447" s="154"/>
      <c r="H2447" s="154"/>
      <c r="I2447" s="154"/>
      <c r="J2447" s="155"/>
      <c r="K2447" s="156"/>
      <c r="L2447" s="157"/>
      <c r="M2447" s="158" t="s">
        <v>28</v>
      </c>
      <c r="N2447" s="159" t="s">
        <v>29</v>
      </c>
    </row>
    <row r="2448" spans="1:14">
      <c r="A2448" s="148"/>
      <c r="B2448" s="149"/>
      <c r="C2448" s="160"/>
      <c r="D2448" s="151"/>
      <c r="E2448" s="152"/>
      <c r="F2448" s="153"/>
      <c r="G2448" s="154"/>
      <c r="H2448" s="154"/>
      <c r="I2448" s="154"/>
      <c r="J2448" s="155"/>
      <c r="K2448" s="156"/>
      <c r="L2448" s="157"/>
      <c r="M2448" s="158" t="s">
        <v>28</v>
      </c>
      <c r="N2448" s="159" t="s">
        <v>29</v>
      </c>
    </row>
    <row r="2449" spans="1:14">
      <c r="A2449" s="148"/>
      <c r="B2449" s="149"/>
      <c r="C2449" s="160"/>
      <c r="D2449" s="151"/>
      <c r="E2449" s="152"/>
      <c r="F2449" s="153"/>
      <c r="G2449" s="154"/>
      <c r="H2449" s="154"/>
      <c r="I2449" s="154"/>
      <c r="J2449" s="155"/>
      <c r="K2449" s="156"/>
      <c r="L2449" s="157"/>
      <c r="M2449" s="158" t="s">
        <v>28</v>
      </c>
      <c r="N2449" s="159" t="s">
        <v>29</v>
      </c>
    </row>
    <row r="2450" spans="1:14">
      <c r="A2450" s="148"/>
      <c r="B2450" s="149"/>
      <c r="C2450" s="150"/>
      <c r="D2450" s="151"/>
      <c r="E2450" s="152"/>
      <c r="F2450" s="153"/>
      <c r="G2450" s="154"/>
      <c r="H2450" s="154"/>
      <c r="I2450" s="154"/>
      <c r="J2450" s="155"/>
      <c r="K2450" s="156"/>
      <c r="L2450" s="157"/>
      <c r="M2450" s="158" t="s">
        <v>28</v>
      </c>
      <c r="N2450" s="159" t="s">
        <v>29</v>
      </c>
    </row>
    <row r="2451" spans="1:14">
      <c r="A2451" s="148"/>
      <c r="B2451" s="149"/>
      <c r="C2451" s="150"/>
      <c r="D2451" s="151"/>
      <c r="E2451" s="152"/>
      <c r="F2451" s="153"/>
      <c r="G2451" s="154"/>
      <c r="H2451" s="154"/>
      <c r="I2451" s="154"/>
      <c r="J2451" s="155"/>
      <c r="K2451" s="156"/>
      <c r="L2451" s="157"/>
      <c r="M2451" s="158" t="s">
        <v>28</v>
      </c>
      <c r="N2451" s="159" t="s">
        <v>29</v>
      </c>
    </row>
    <row r="2452" spans="1:14">
      <c r="A2452" s="148"/>
      <c r="B2452" s="149"/>
      <c r="C2452" s="150"/>
      <c r="D2452" s="151"/>
      <c r="E2452" s="152"/>
      <c r="F2452" s="153"/>
      <c r="G2452" s="154"/>
      <c r="H2452" s="154"/>
      <c r="I2452" s="154"/>
      <c r="J2452" s="155"/>
      <c r="K2452" s="156"/>
      <c r="L2452" s="157"/>
      <c r="M2452" s="158" t="s">
        <v>28</v>
      </c>
      <c r="N2452" s="159" t="s">
        <v>29</v>
      </c>
    </row>
    <row r="2453" spans="1:14">
      <c r="A2453" s="148"/>
      <c r="B2453" s="149"/>
      <c r="C2453" s="150"/>
      <c r="D2453" s="151"/>
      <c r="E2453" s="152"/>
      <c r="F2453" s="153"/>
      <c r="G2453" s="154"/>
      <c r="H2453" s="154"/>
      <c r="I2453" s="154"/>
      <c r="J2453" s="155"/>
      <c r="K2453" s="156"/>
      <c r="L2453" s="157"/>
      <c r="M2453" s="158" t="s">
        <v>28</v>
      </c>
      <c r="N2453" s="159" t="s">
        <v>29</v>
      </c>
    </row>
    <row r="2454" spans="1:14">
      <c r="A2454" s="148"/>
      <c r="B2454" s="149"/>
      <c r="C2454" s="160"/>
      <c r="D2454" s="151"/>
      <c r="E2454" s="152"/>
      <c r="F2454" s="153"/>
      <c r="G2454" s="154"/>
      <c r="H2454" s="154"/>
      <c r="I2454" s="154"/>
      <c r="J2454" s="155"/>
      <c r="K2454" s="156"/>
      <c r="L2454" s="157"/>
      <c r="M2454" s="158" t="s">
        <v>28</v>
      </c>
      <c r="N2454" s="159" t="s">
        <v>29</v>
      </c>
    </row>
    <row r="2455" spans="1:14">
      <c r="A2455" s="148"/>
      <c r="B2455" s="149"/>
      <c r="C2455" s="160"/>
      <c r="D2455" s="151"/>
      <c r="E2455" s="152"/>
      <c r="F2455" s="153"/>
      <c r="G2455" s="154"/>
      <c r="H2455" s="154"/>
      <c r="I2455" s="154"/>
      <c r="J2455" s="155"/>
      <c r="K2455" s="156"/>
      <c r="L2455" s="157"/>
      <c r="M2455" s="158" t="s">
        <v>28</v>
      </c>
      <c r="N2455" s="159" t="s">
        <v>29</v>
      </c>
    </row>
    <row r="2456" spans="1:14">
      <c r="A2456" s="148"/>
      <c r="B2456" s="149"/>
      <c r="C2456" s="160"/>
      <c r="D2456" s="151"/>
      <c r="E2456" s="152"/>
      <c r="F2456" s="153"/>
      <c r="G2456" s="154"/>
      <c r="H2456" s="154"/>
      <c r="I2456" s="154"/>
      <c r="J2456" s="155"/>
      <c r="K2456" s="156"/>
      <c r="L2456" s="157"/>
      <c r="M2456" s="158" t="s">
        <v>28</v>
      </c>
      <c r="N2456" s="159" t="s">
        <v>29</v>
      </c>
    </row>
    <row r="2457" spans="1:14">
      <c r="A2457" s="148"/>
      <c r="B2457" s="149"/>
      <c r="C2457" s="160"/>
      <c r="D2457" s="151"/>
      <c r="E2457" s="152"/>
      <c r="F2457" s="153"/>
      <c r="G2457" s="154"/>
      <c r="H2457" s="154"/>
      <c r="I2457" s="154"/>
      <c r="J2457" s="155"/>
      <c r="K2457" s="156"/>
      <c r="L2457" s="157"/>
      <c r="M2457" s="158" t="s">
        <v>28</v>
      </c>
      <c r="N2457" s="159" t="s">
        <v>29</v>
      </c>
    </row>
    <row r="2458" spans="1:14">
      <c r="A2458" s="148"/>
      <c r="B2458" s="149"/>
      <c r="C2458" s="160"/>
      <c r="D2458" s="151"/>
      <c r="E2458" s="152"/>
      <c r="F2458" s="153"/>
      <c r="G2458" s="154"/>
      <c r="H2458" s="154"/>
      <c r="I2458" s="154"/>
      <c r="J2458" s="155"/>
      <c r="K2458" s="156"/>
      <c r="L2458" s="157"/>
      <c r="M2458" s="158" t="s">
        <v>28</v>
      </c>
      <c r="N2458" s="159" t="s">
        <v>29</v>
      </c>
    </row>
    <row r="2459" spans="1:14">
      <c r="A2459" s="148"/>
      <c r="B2459" s="149"/>
      <c r="C2459" s="160"/>
      <c r="D2459" s="151"/>
      <c r="E2459" s="152"/>
      <c r="F2459" s="153"/>
      <c r="G2459" s="154"/>
      <c r="H2459" s="154"/>
      <c r="I2459" s="154"/>
      <c r="J2459" s="155"/>
      <c r="K2459" s="156"/>
      <c r="L2459" s="157"/>
      <c r="M2459" s="158" t="s">
        <v>28</v>
      </c>
      <c r="N2459" s="159" t="s">
        <v>29</v>
      </c>
    </row>
    <row r="2460" spans="1:14">
      <c r="A2460" s="148"/>
      <c r="B2460" s="149"/>
      <c r="C2460" s="160"/>
      <c r="D2460" s="151"/>
      <c r="E2460" s="152"/>
      <c r="F2460" s="153"/>
      <c r="G2460" s="154"/>
      <c r="H2460" s="154"/>
      <c r="I2460" s="154"/>
      <c r="J2460" s="155"/>
      <c r="K2460" s="156"/>
      <c r="L2460" s="157"/>
      <c r="M2460" s="158" t="s">
        <v>28</v>
      </c>
      <c r="N2460" s="159" t="s">
        <v>29</v>
      </c>
    </row>
    <row r="2461" spans="1:14">
      <c r="A2461" s="148"/>
      <c r="B2461" s="149"/>
      <c r="C2461" s="160"/>
      <c r="D2461" s="151"/>
      <c r="E2461" s="152"/>
      <c r="F2461" s="153"/>
      <c r="G2461" s="154"/>
      <c r="H2461" s="154"/>
      <c r="I2461" s="154"/>
      <c r="J2461" s="155"/>
      <c r="K2461" s="156"/>
      <c r="L2461" s="157"/>
      <c r="M2461" s="158" t="s">
        <v>28</v>
      </c>
      <c r="N2461" s="159" t="s">
        <v>29</v>
      </c>
    </row>
    <row r="2462" spans="1:14">
      <c r="A2462" s="148"/>
      <c r="B2462" s="149"/>
      <c r="C2462" s="160"/>
      <c r="D2462" s="151"/>
      <c r="E2462" s="152"/>
      <c r="F2462" s="153"/>
      <c r="G2462" s="154"/>
      <c r="H2462" s="154"/>
      <c r="I2462" s="154"/>
      <c r="J2462" s="155"/>
      <c r="K2462" s="156"/>
      <c r="L2462" s="157"/>
      <c r="M2462" s="158" t="s">
        <v>28</v>
      </c>
      <c r="N2462" s="159" t="s">
        <v>29</v>
      </c>
    </row>
    <row r="2463" spans="1:14">
      <c r="A2463" s="148"/>
      <c r="B2463" s="149"/>
      <c r="C2463" s="160"/>
      <c r="D2463" s="151"/>
      <c r="E2463" s="152"/>
      <c r="F2463" s="153"/>
      <c r="G2463" s="154"/>
      <c r="H2463" s="154"/>
      <c r="I2463" s="154"/>
      <c r="J2463" s="155"/>
      <c r="K2463" s="156"/>
      <c r="L2463" s="157"/>
      <c r="M2463" s="158" t="s">
        <v>28</v>
      </c>
      <c r="N2463" s="159" t="s">
        <v>29</v>
      </c>
    </row>
    <row r="2464" spans="1:14">
      <c r="A2464" s="148"/>
      <c r="B2464" s="149"/>
      <c r="C2464" s="160"/>
      <c r="D2464" s="151"/>
      <c r="E2464" s="152"/>
      <c r="F2464" s="153"/>
      <c r="G2464" s="154"/>
      <c r="H2464" s="154"/>
      <c r="I2464" s="154"/>
      <c r="J2464" s="155"/>
      <c r="K2464" s="156"/>
      <c r="L2464" s="157"/>
      <c r="M2464" s="158" t="s">
        <v>28</v>
      </c>
      <c r="N2464" s="159" t="s">
        <v>29</v>
      </c>
    </row>
    <row r="2465" spans="1:14">
      <c r="A2465" s="148"/>
      <c r="B2465" s="149"/>
      <c r="C2465" s="160"/>
      <c r="D2465" s="151"/>
      <c r="E2465" s="152"/>
      <c r="F2465" s="153"/>
      <c r="G2465" s="154"/>
      <c r="H2465" s="154"/>
      <c r="I2465" s="154"/>
      <c r="J2465" s="155"/>
      <c r="K2465" s="156"/>
      <c r="L2465" s="157"/>
      <c r="M2465" s="158" t="s">
        <v>28</v>
      </c>
      <c r="N2465" s="159" t="s">
        <v>29</v>
      </c>
    </row>
    <row r="2466" spans="1:14">
      <c r="A2466" s="148"/>
      <c r="B2466" s="149"/>
      <c r="C2466" s="160"/>
      <c r="D2466" s="151"/>
      <c r="E2466" s="152"/>
      <c r="F2466" s="153"/>
      <c r="G2466" s="154"/>
      <c r="H2466" s="154"/>
      <c r="I2466" s="154"/>
      <c r="J2466" s="155"/>
      <c r="K2466" s="156"/>
      <c r="L2466" s="157"/>
      <c r="M2466" s="158" t="s">
        <v>28</v>
      </c>
      <c r="N2466" s="159" t="s">
        <v>29</v>
      </c>
    </row>
    <row r="2467" spans="1:14">
      <c r="A2467" s="148"/>
      <c r="B2467" s="149"/>
      <c r="C2467" s="160"/>
      <c r="D2467" s="151"/>
      <c r="E2467" s="152"/>
      <c r="F2467" s="153"/>
      <c r="G2467" s="154"/>
      <c r="H2467" s="154"/>
      <c r="I2467" s="154"/>
      <c r="J2467" s="155"/>
      <c r="K2467" s="156"/>
      <c r="L2467" s="157"/>
      <c r="M2467" s="158" t="s">
        <v>28</v>
      </c>
      <c r="N2467" s="159" t="s">
        <v>29</v>
      </c>
    </row>
    <row r="2468" spans="1:14">
      <c r="A2468" s="148"/>
      <c r="B2468" s="149"/>
      <c r="C2468" s="160"/>
      <c r="D2468" s="151"/>
      <c r="E2468" s="152"/>
      <c r="F2468" s="153"/>
      <c r="G2468" s="154"/>
      <c r="H2468" s="154"/>
      <c r="I2468" s="154"/>
      <c r="J2468" s="155"/>
      <c r="K2468" s="156"/>
      <c r="L2468" s="157"/>
      <c r="M2468" s="158" t="s">
        <v>28</v>
      </c>
      <c r="N2468" s="159" t="s">
        <v>29</v>
      </c>
    </row>
    <row r="2469" spans="1:14">
      <c r="A2469" s="148"/>
      <c r="B2469" s="149"/>
      <c r="C2469" s="160"/>
      <c r="D2469" s="151"/>
      <c r="E2469" s="152"/>
      <c r="F2469" s="153"/>
      <c r="G2469" s="154"/>
      <c r="H2469" s="154"/>
      <c r="I2469" s="154"/>
      <c r="J2469" s="155"/>
      <c r="K2469" s="156"/>
      <c r="L2469" s="157"/>
      <c r="M2469" s="158" t="s">
        <v>28</v>
      </c>
      <c r="N2469" s="159" t="s">
        <v>29</v>
      </c>
    </row>
    <row r="2470" spans="1:14">
      <c r="A2470" s="148"/>
      <c r="B2470" s="149"/>
      <c r="C2470" s="160"/>
      <c r="D2470" s="151"/>
      <c r="E2470" s="152"/>
      <c r="F2470" s="153"/>
      <c r="G2470" s="154"/>
      <c r="H2470" s="154"/>
      <c r="I2470" s="154"/>
      <c r="J2470" s="155"/>
      <c r="K2470" s="156"/>
      <c r="L2470" s="157"/>
      <c r="M2470" s="158" t="s">
        <v>28</v>
      </c>
      <c r="N2470" s="159" t="s">
        <v>29</v>
      </c>
    </row>
    <row r="2471" spans="1:14">
      <c r="A2471" s="148"/>
      <c r="B2471" s="149"/>
      <c r="C2471" s="160"/>
      <c r="D2471" s="151"/>
      <c r="E2471" s="152"/>
      <c r="F2471" s="153"/>
      <c r="G2471" s="154"/>
      <c r="H2471" s="154"/>
      <c r="I2471" s="154"/>
      <c r="J2471" s="155"/>
      <c r="K2471" s="156"/>
      <c r="L2471" s="157"/>
      <c r="M2471" s="158" t="s">
        <v>28</v>
      </c>
      <c r="N2471" s="159" t="s">
        <v>29</v>
      </c>
    </row>
    <row r="2472" spans="1:14">
      <c r="A2472" s="148"/>
      <c r="B2472" s="149"/>
      <c r="C2472" s="160"/>
      <c r="D2472" s="151"/>
      <c r="E2472" s="152"/>
      <c r="F2472" s="153"/>
      <c r="G2472" s="154"/>
      <c r="H2472" s="154"/>
      <c r="I2472" s="154"/>
      <c r="J2472" s="155"/>
      <c r="K2472" s="156"/>
      <c r="L2472" s="157"/>
      <c r="M2472" s="158" t="s">
        <v>28</v>
      </c>
      <c r="N2472" s="159" t="s">
        <v>29</v>
      </c>
    </row>
    <row r="2473" spans="1:14">
      <c r="A2473" s="148"/>
      <c r="B2473" s="149"/>
      <c r="C2473" s="160"/>
      <c r="D2473" s="151"/>
      <c r="E2473" s="152"/>
      <c r="F2473" s="153"/>
      <c r="G2473" s="154"/>
      <c r="H2473" s="154"/>
      <c r="I2473" s="154"/>
      <c r="J2473" s="155"/>
      <c r="K2473" s="156"/>
      <c r="L2473" s="157"/>
      <c r="M2473" s="158" t="s">
        <v>28</v>
      </c>
      <c r="N2473" s="159" t="s">
        <v>29</v>
      </c>
    </row>
    <row r="2474" spans="1:14">
      <c r="A2474" s="148"/>
      <c r="B2474" s="149"/>
      <c r="C2474" s="160"/>
      <c r="D2474" s="151"/>
      <c r="E2474" s="152"/>
      <c r="F2474" s="153"/>
      <c r="G2474" s="154"/>
      <c r="H2474" s="154"/>
      <c r="I2474" s="154"/>
      <c r="J2474" s="155"/>
      <c r="K2474" s="156"/>
      <c r="L2474" s="157"/>
      <c r="M2474" s="158" t="s">
        <v>28</v>
      </c>
      <c r="N2474" s="159" t="s">
        <v>29</v>
      </c>
    </row>
    <row r="2475" spans="1:14">
      <c r="A2475" s="148"/>
      <c r="B2475" s="149"/>
      <c r="C2475" s="160"/>
      <c r="D2475" s="151"/>
      <c r="E2475" s="152"/>
      <c r="F2475" s="153"/>
      <c r="G2475" s="154"/>
      <c r="H2475" s="154"/>
      <c r="I2475" s="154"/>
      <c r="J2475" s="155"/>
      <c r="K2475" s="156"/>
      <c r="L2475" s="157"/>
      <c r="M2475" s="158" t="s">
        <v>28</v>
      </c>
      <c r="N2475" s="159" t="s">
        <v>29</v>
      </c>
    </row>
    <row r="2476" spans="1:14">
      <c r="A2476" s="148"/>
      <c r="B2476" s="149"/>
      <c r="C2476" s="160"/>
      <c r="D2476" s="151"/>
      <c r="E2476" s="152"/>
      <c r="F2476" s="153"/>
      <c r="G2476" s="154"/>
      <c r="H2476" s="154"/>
      <c r="I2476" s="154"/>
      <c r="J2476" s="155"/>
      <c r="K2476" s="156"/>
      <c r="L2476" s="157"/>
      <c r="M2476" s="158" t="s">
        <v>28</v>
      </c>
      <c r="N2476" s="159" t="s">
        <v>29</v>
      </c>
    </row>
    <row r="2477" spans="1:14">
      <c r="A2477" s="148"/>
      <c r="B2477" s="149"/>
      <c r="C2477" s="160"/>
      <c r="D2477" s="151"/>
      <c r="E2477" s="152"/>
      <c r="F2477" s="153"/>
      <c r="G2477" s="154"/>
      <c r="H2477" s="154"/>
      <c r="I2477" s="154"/>
      <c r="J2477" s="155"/>
      <c r="K2477" s="156"/>
      <c r="L2477" s="157"/>
      <c r="M2477" s="158" t="s">
        <v>28</v>
      </c>
      <c r="N2477" s="159" t="s">
        <v>29</v>
      </c>
    </row>
    <row r="2478" spans="1:14">
      <c r="A2478" s="148"/>
      <c r="B2478" s="149"/>
      <c r="C2478" s="160"/>
      <c r="D2478" s="151"/>
      <c r="E2478" s="152"/>
      <c r="F2478" s="153"/>
      <c r="G2478" s="154"/>
      <c r="H2478" s="154"/>
      <c r="I2478" s="154"/>
      <c r="J2478" s="155"/>
      <c r="K2478" s="156"/>
      <c r="L2478" s="157"/>
      <c r="M2478" s="158" t="s">
        <v>28</v>
      </c>
      <c r="N2478" s="159" t="s">
        <v>29</v>
      </c>
    </row>
    <row r="2479" spans="1:14">
      <c r="A2479" s="148"/>
      <c r="B2479" s="149"/>
      <c r="C2479" s="160"/>
      <c r="D2479" s="151"/>
      <c r="E2479" s="152"/>
      <c r="F2479" s="153"/>
      <c r="G2479" s="154"/>
      <c r="H2479" s="154"/>
      <c r="I2479" s="154"/>
      <c r="J2479" s="155"/>
      <c r="K2479" s="156"/>
      <c r="L2479" s="157"/>
      <c r="M2479" s="158" t="s">
        <v>28</v>
      </c>
      <c r="N2479" s="159" t="s">
        <v>29</v>
      </c>
    </row>
    <row r="2480" spans="1:14">
      <c r="A2480" s="148"/>
      <c r="B2480" s="149"/>
      <c r="C2480" s="160"/>
      <c r="D2480" s="151"/>
      <c r="E2480" s="152"/>
      <c r="F2480" s="153"/>
      <c r="G2480" s="154"/>
      <c r="H2480" s="154"/>
      <c r="I2480" s="154"/>
      <c r="J2480" s="155"/>
      <c r="K2480" s="156"/>
      <c r="L2480" s="157"/>
      <c r="M2480" s="158" t="s">
        <v>28</v>
      </c>
      <c r="N2480" s="159" t="s">
        <v>29</v>
      </c>
    </row>
    <row r="2481" spans="1:14">
      <c r="A2481" s="148"/>
      <c r="B2481" s="149"/>
      <c r="C2481" s="160"/>
      <c r="D2481" s="151"/>
      <c r="E2481" s="152"/>
      <c r="F2481" s="153"/>
      <c r="G2481" s="154"/>
      <c r="H2481" s="154"/>
      <c r="I2481" s="154"/>
      <c r="J2481" s="155"/>
      <c r="K2481" s="156"/>
      <c r="L2481" s="157"/>
      <c r="M2481" s="158" t="s">
        <v>28</v>
      </c>
      <c r="N2481" s="159" t="s">
        <v>29</v>
      </c>
    </row>
    <row r="2482" spans="1:14">
      <c r="A2482" s="148"/>
      <c r="B2482" s="149"/>
      <c r="C2482" s="160"/>
      <c r="D2482" s="151"/>
      <c r="E2482" s="152"/>
      <c r="F2482" s="153"/>
      <c r="G2482" s="154"/>
      <c r="H2482" s="154"/>
      <c r="I2482" s="154"/>
      <c r="J2482" s="155"/>
      <c r="K2482" s="156"/>
      <c r="L2482" s="157"/>
      <c r="M2482" s="158" t="s">
        <v>28</v>
      </c>
      <c r="N2482" s="159" t="s">
        <v>29</v>
      </c>
    </row>
    <row r="2483" spans="1:14">
      <c r="A2483" s="148"/>
      <c r="B2483" s="149"/>
      <c r="C2483" s="160"/>
      <c r="D2483" s="151"/>
      <c r="E2483" s="152"/>
      <c r="F2483" s="153"/>
      <c r="G2483" s="154"/>
      <c r="H2483" s="154"/>
      <c r="I2483" s="154"/>
      <c r="J2483" s="155"/>
      <c r="K2483" s="156"/>
      <c r="L2483" s="157"/>
      <c r="M2483" s="158" t="s">
        <v>28</v>
      </c>
      <c r="N2483" s="159" t="s">
        <v>29</v>
      </c>
    </row>
    <row r="2484" spans="1:14">
      <c r="A2484" s="148"/>
      <c r="B2484" s="149"/>
      <c r="C2484" s="160"/>
      <c r="D2484" s="151"/>
      <c r="E2484" s="152"/>
      <c r="F2484" s="153"/>
      <c r="G2484" s="154"/>
      <c r="H2484" s="154"/>
      <c r="I2484" s="154"/>
      <c r="J2484" s="155"/>
      <c r="K2484" s="156"/>
      <c r="L2484" s="157"/>
      <c r="M2484" s="158" t="s">
        <v>28</v>
      </c>
      <c r="N2484" s="159" t="s">
        <v>29</v>
      </c>
    </row>
    <row r="2485" spans="1:14">
      <c r="A2485" s="148"/>
      <c r="B2485" s="149"/>
      <c r="C2485" s="160"/>
      <c r="D2485" s="151"/>
      <c r="E2485" s="152"/>
      <c r="F2485" s="153"/>
      <c r="G2485" s="154"/>
      <c r="H2485" s="154"/>
      <c r="I2485" s="154"/>
      <c r="J2485" s="155"/>
      <c r="K2485" s="156"/>
      <c r="L2485" s="157"/>
      <c r="M2485" s="158" t="s">
        <v>28</v>
      </c>
      <c r="N2485" s="159" t="s">
        <v>29</v>
      </c>
    </row>
    <row r="2486" spans="1:14">
      <c r="A2486" s="148"/>
      <c r="B2486" s="149"/>
      <c r="C2486" s="160"/>
      <c r="D2486" s="151"/>
      <c r="E2486" s="152"/>
      <c r="F2486" s="153"/>
      <c r="G2486" s="154"/>
      <c r="H2486" s="154"/>
      <c r="I2486" s="154"/>
      <c r="J2486" s="155"/>
      <c r="K2486" s="156"/>
      <c r="L2486" s="157"/>
      <c r="M2486" s="158" t="s">
        <v>28</v>
      </c>
      <c r="N2486" s="159" t="s">
        <v>29</v>
      </c>
    </row>
    <row r="2487" spans="1:14">
      <c r="A2487" s="148"/>
      <c r="B2487" s="149"/>
      <c r="C2487" s="160"/>
      <c r="D2487" s="151"/>
      <c r="E2487" s="152"/>
      <c r="F2487" s="153"/>
      <c r="G2487" s="154"/>
      <c r="H2487" s="154"/>
      <c r="I2487" s="154"/>
      <c r="J2487" s="155"/>
      <c r="K2487" s="156"/>
      <c r="L2487" s="157"/>
      <c r="M2487" s="158" t="s">
        <v>28</v>
      </c>
      <c r="N2487" s="159" t="s">
        <v>29</v>
      </c>
    </row>
    <row r="2488" spans="1:14">
      <c r="A2488" s="148"/>
      <c r="B2488" s="149"/>
      <c r="C2488" s="160"/>
      <c r="D2488" s="151"/>
      <c r="E2488" s="152"/>
      <c r="F2488" s="153"/>
      <c r="G2488" s="154"/>
      <c r="H2488" s="154"/>
      <c r="I2488" s="154"/>
      <c r="J2488" s="155"/>
      <c r="K2488" s="156"/>
      <c r="L2488" s="157"/>
      <c r="M2488" s="158" t="s">
        <v>28</v>
      </c>
      <c r="N2488" s="159" t="s">
        <v>29</v>
      </c>
    </row>
    <row r="2489" spans="1:14">
      <c r="A2489" s="148"/>
      <c r="B2489" s="149"/>
      <c r="C2489" s="160"/>
      <c r="D2489" s="151"/>
      <c r="E2489" s="152"/>
      <c r="F2489" s="153"/>
      <c r="G2489" s="154"/>
      <c r="H2489" s="154"/>
      <c r="I2489" s="154"/>
      <c r="J2489" s="155"/>
      <c r="K2489" s="156"/>
      <c r="L2489" s="157"/>
      <c r="M2489" s="158" t="s">
        <v>28</v>
      </c>
      <c r="N2489" s="159" t="s">
        <v>29</v>
      </c>
    </row>
    <row r="2490" spans="1:14">
      <c r="A2490" s="148"/>
      <c r="B2490" s="149"/>
      <c r="C2490" s="160"/>
      <c r="D2490" s="151"/>
      <c r="E2490" s="152"/>
      <c r="F2490" s="153"/>
      <c r="G2490" s="154"/>
      <c r="H2490" s="154"/>
      <c r="I2490" s="154"/>
      <c r="J2490" s="155"/>
      <c r="K2490" s="156"/>
      <c r="L2490" s="157"/>
      <c r="M2490" s="158" t="s">
        <v>28</v>
      </c>
      <c r="N2490" s="159" t="s">
        <v>29</v>
      </c>
    </row>
    <row r="2491" spans="1:14">
      <c r="A2491" s="148"/>
      <c r="B2491" s="149"/>
      <c r="C2491" s="160"/>
      <c r="D2491" s="151"/>
      <c r="E2491" s="152"/>
      <c r="F2491" s="153"/>
      <c r="G2491" s="154"/>
      <c r="H2491" s="154"/>
      <c r="I2491" s="154"/>
      <c r="J2491" s="155"/>
      <c r="K2491" s="156"/>
      <c r="L2491" s="157"/>
      <c r="M2491" s="158" t="s">
        <v>28</v>
      </c>
      <c r="N2491" s="159" t="s">
        <v>29</v>
      </c>
    </row>
    <row r="2492" spans="1:14">
      <c r="A2492" s="148"/>
      <c r="B2492" s="149"/>
      <c r="C2492" s="160"/>
      <c r="D2492" s="151"/>
      <c r="E2492" s="152"/>
      <c r="F2492" s="153"/>
      <c r="G2492" s="154"/>
      <c r="H2492" s="154"/>
      <c r="I2492" s="154"/>
      <c r="J2492" s="155"/>
      <c r="K2492" s="156"/>
      <c r="L2492" s="157"/>
      <c r="M2492" s="158" t="s">
        <v>28</v>
      </c>
      <c r="N2492" s="159" t="s">
        <v>29</v>
      </c>
    </row>
    <row r="2493" spans="1:14">
      <c r="A2493" s="148"/>
      <c r="B2493" s="149"/>
      <c r="C2493" s="160"/>
      <c r="D2493" s="151"/>
      <c r="E2493" s="152"/>
      <c r="F2493" s="153"/>
      <c r="G2493" s="154"/>
      <c r="H2493" s="154"/>
      <c r="I2493" s="154"/>
      <c r="J2493" s="155"/>
      <c r="K2493" s="156"/>
      <c r="L2493" s="157"/>
      <c r="M2493" s="158" t="s">
        <v>28</v>
      </c>
      <c r="N2493" s="159" t="s">
        <v>29</v>
      </c>
    </row>
    <row r="2494" spans="1:14">
      <c r="A2494" s="148"/>
      <c r="B2494" s="149"/>
      <c r="C2494" s="160"/>
      <c r="D2494" s="151"/>
      <c r="E2494" s="152"/>
      <c r="F2494" s="153"/>
      <c r="G2494" s="154"/>
      <c r="H2494" s="154"/>
      <c r="I2494" s="154"/>
      <c r="J2494" s="155"/>
      <c r="K2494" s="156"/>
      <c r="L2494" s="157"/>
      <c r="M2494" s="158" t="s">
        <v>28</v>
      </c>
      <c r="N2494" s="159" t="s">
        <v>29</v>
      </c>
    </row>
    <row r="2495" spans="1:14">
      <c r="A2495" s="148"/>
      <c r="B2495" s="149"/>
      <c r="C2495" s="160"/>
      <c r="D2495" s="151"/>
      <c r="E2495" s="152"/>
      <c r="F2495" s="153"/>
      <c r="G2495" s="154"/>
      <c r="H2495" s="154"/>
      <c r="I2495" s="154"/>
      <c r="J2495" s="155"/>
      <c r="K2495" s="156"/>
      <c r="L2495" s="157"/>
      <c r="M2495" s="158" t="s">
        <v>28</v>
      </c>
      <c r="N2495" s="159" t="s">
        <v>29</v>
      </c>
    </row>
    <row r="2496" spans="1:14">
      <c r="A2496" s="148"/>
      <c r="B2496" s="149"/>
      <c r="C2496" s="160"/>
      <c r="D2496" s="151"/>
      <c r="E2496" s="152"/>
      <c r="F2496" s="153"/>
      <c r="G2496" s="154"/>
      <c r="H2496" s="154"/>
      <c r="I2496" s="154"/>
      <c r="J2496" s="155"/>
      <c r="K2496" s="156"/>
      <c r="L2496" s="157"/>
      <c r="M2496" s="158" t="s">
        <v>28</v>
      </c>
      <c r="N2496" s="159" t="s">
        <v>29</v>
      </c>
    </row>
    <row r="2497" spans="1:14">
      <c r="A2497" s="148"/>
      <c r="B2497" s="149"/>
      <c r="C2497" s="160"/>
      <c r="D2497" s="151"/>
      <c r="E2497" s="152"/>
      <c r="F2497" s="153"/>
      <c r="G2497" s="154"/>
      <c r="H2497" s="154"/>
      <c r="I2497" s="154"/>
      <c r="J2497" s="155"/>
      <c r="K2497" s="156"/>
      <c r="L2497" s="157"/>
      <c r="M2497" s="158" t="s">
        <v>28</v>
      </c>
      <c r="N2497" s="159" t="s">
        <v>29</v>
      </c>
    </row>
    <row r="2498" spans="1:14">
      <c r="A2498" s="148"/>
      <c r="B2498" s="149"/>
      <c r="C2498" s="160"/>
      <c r="D2498" s="151"/>
      <c r="E2498" s="152"/>
      <c r="F2498" s="153"/>
      <c r="G2498" s="154"/>
      <c r="H2498" s="154"/>
      <c r="I2498" s="154"/>
      <c r="J2498" s="155"/>
      <c r="K2498" s="156"/>
      <c r="L2498" s="157"/>
      <c r="M2498" s="158" t="s">
        <v>28</v>
      </c>
      <c r="N2498" s="159" t="s">
        <v>29</v>
      </c>
    </row>
    <row r="2499" spans="1:14">
      <c r="A2499" s="148"/>
      <c r="B2499" s="149"/>
      <c r="C2499" s="160"/>
      <c r="D2499" s="151"/>
      <c r="E2499" s="152"/>
      <c r="F2499" s="153"/>
      <c r="G2499" s="154"/>
      <c r="H2499" s="154"/>
      <c r="I2499" s="154"/>
      <c r="J2499" s="155"/>
      <c r="K2499" s="156"/>
      <c r="L2499" s="157"/>
      <c r="M2499" s="158" t="s">
        <v>28</v>
      </c>
      <c r="N2499" s="159" t="s">
        <v>29</v>
      </c>
    </row>
    <row r="2500" spans="1:14">
      <c r="A2500" s="148"/>
      <c r="B2500" s="149"/>
      <c r="C2500" s="160"/>
      <c r="D2500" s="151"/>
      <c r="E2500" s="152"/>
      <c r="F2500" s="153"/>
      <c r="G2500" s="154"/>
      <c r="H2500" s="154"/>
      <c r="I2500" s="154"/>
      <c r="J2500" s="155"/>
      <c r="K2500" s="156"/>
      <c r="L2500" s="157"/>
      <c r="M2500" s="158" t="s">
        <v>28</v>
      </c>
      <c r="N2500" s="159" t="s">
        <v>29</v>
      </c>
    </row>
    <row r="2501" spans="1:14">
      <c r="A2501" s="148"/>
      <c r="B2501" s="149"/>
      <c r="C2501" s="160"/>
      <c r="D2501" s="151"/>
      <c r="E2501" s="152"/>
      <c r="F2501" s="153"/>
      <c r="G2501" s="154"/>
      <c r="H2501" s="154"/>
      <c r="I2501" s="154"/>
      <c r="J2501" s="155"/>
      <c r="K2501" s="156"/>
      <c r="L2501" s="157"/>
      <c r="M2501" s="158" t="s">
        <v>28</v>
      </c>
      <c r="N2501" s="159" t="s">
        <v>29</v>
      </c>
    </row>
    <row r="2502" spans="1:14">
      <c r="A2502" s="148"/>
      <c r="B2502" s="149"/>
      <c r="C2502" s="160"/>
      <c r="D2502" s="151"/>
      <c r="E2502" s="152"/>
      <c r="F2502" s="153"/>
      <c r="G2502" s="154"/>
      <c r="H2502" s="154"/>
      <c r="I2502" s="154"/>
      <c r="J2502" s="155"/>
      <c r="K2502" s="156"/>
      <c r="L2502" s="157"/>
      <c r="M2502" s="158" t="s">
        <v>28</v>
      </c>
      <c r="N2502" s="159" t="s">
        <v>29</v>
      </c>
    </row>
    <row r="2503" spans="1:14">
      <c r="A2503" s="148"/>
      <c r="B2503" s="149"/>
      <c r="C2503" s="160"/>
      <c r="D2503" s="151"/>
      <c r="E2503" s="152"/>
      <c r="F2503" s="153"/>
      <c r="G2503" s="154"/>
      <c r="H2503" s="154"/>
      <c r="I2503" s="154"/>
      <c r="J2503" s="155"/>
      <c r="K2503" s="156"/>
      <c r="L2503" s="157"/>
      <c r="M2503" s="158" t="s">
        <v>28</v>
      </c>
      <c r="N2503" s="159" t="s">
        <v>29</v>
      </c>
    </row>
    <row r="2504" spans="1:14">
      <c r="A2504" s="148"/>
      <c r="B2504" s="149"/>
      <c r="C2504" s="160"/>
      <c r="D2504" s="151"/>
      <c r="E2504" s="152"/>
      <c r="F2504" s="153"/>
      <c r="G2504" s="154"/>
      <c r="H2504" s="154"/>
      <c r="I2504" s="154"/>
      <c r="J2504" s="155"/>
      <c r="K2504" s="156"/>
      <c r="L2504" s="157"/>
      <c r="M2504" s="158" t="s">
        <v>28</v>
      </c>
      <c r="N2504" s="159" t="s">
        <v>29</v>
      </c>
    </row>
    <row r="2505" spans="1:14">
      <c r="A2505" s="148"/>
      <c r="B2505" s="149"/>
      <c r="C2505" s="160"/>
      <c r="D2505" s="151"/>
      <c r="E2505" s="152"/>
      <c r="F2505" s="153"/>
      <c r="G2505" s="154"/>
      <c r="H2505" s="154"/>
      <c r="I2505" s="154"/>
      <c r="J2505" s="155"/>
      <c r="K2505" s="156"/>
      <c r="L2505" s="157"/>
      <c r="M2505" s="158" t="s">
        <v>28</v>
      </c>
      <c r="N2505" s="159" t="s">
        <v>29</v>
      </c>
    </row>
    <row r="2506" spans="1:14">
      <c r="A2506" s="148"/>
      <c r="B2506" s="149"/>
      <c r="C2506" s="160"/>
      <c r="D2506" s="151"/>
      <c r="E2506" s="152"/>
      <c r="F2506" s="153"/>
      <c r="G2506" s="154"/>
      <c r="H2506" s="154"/>
      <c r="I2506" s="154"/>
      <c r="J2506" s="155"/>
      <c r="K2506" s="156"/>
      <c r="L2506" s="157"/>
      <c r="M2506" s="158" t="s">
        <v>28</v>
      </c>
      <c r="N2506" s="159" t="s">
        <v>29</v>
      </c>
    </row>
    <row r="2507" spans="1:14">
      <c r="A2507" s="148"/>
      <c r="B2507" s="149"/>
      <c r="C2507" s="160"/>
      <c r="D2507" s="151"/>
      <c r="E2507" s="152"/>
      <c r="F2507" s="153"/>
      <c r="G2507" s="154"/>
      <c r="H2507" s="154"/>
      <c r="I2507" s="154"/>
      <c r="J2507" s="155"/>
      <c r="K2507" s="156"/>
      <c r="L2507" s="157"/>
      <c r="M2507" s="158" t="s">
        <v>28</v>
      </c>
      <c r="N2507" s="159" t="s">
        <v>29</v>
      </c>
    </row>
    <row r="2508" spans="1:14">
      <c r="A2508" s="148"/>
      <c r="B2508" s="149"/>
      <c r="C2508" s="160"/>
      <c r="D2508" s="151"/>
      <c r="E2508" s="152"/>
      <c r="F2508" s="153"/>
      <c r="G2508" s="154"/>
      <c r="H2508" s="154"/>
      <c r="I2508" s="154"/>
      <c r="J2508" s="155"/>
      <c r="K2508" s="156"/>
      <c r="L2508" s="157"/>
      <c r="M2508" s="158" t="s">
        <v>28</v>
      </c>
      <c r="N2508" s="159" t="s">
        <v>29</v>
      </c>
    </row>
    <row r="2509" spans="1:14">
      <c r="A2509" s="148"/>
      <c r="B2509" s="149"/>
      <c r="C2509" s="160"/>
      <c r="D2509" s="151"/>
      <c r="E2509" s="152"/>
      <c r="F2509" s="153"/>
      <c r="G2509" s="154"/>
      <c r="H2509" s="154"/>
      <c r="I2509" s="154"/>
      <c r="J2509" s="155"/>
      <c r="K2509" s="156"/>
      <c r="L2509" s="157"/>
      <c r="M2509" s="158" t="s">
        <v>28</v>
      </c>
      <c r="N2509" s="159" t="s">
        <v>29</v>
      </c>
    </row>
    <row r="2510" spans="1:14">
      <c r="A2510" s="148"/>
      <c r="B2510" s="149"/>
      <c r="C2510" s="160"/>
      <c r="D2510" s="151"/>
      <c r="E2510" s="152"/>
      <c r="F2510" s="153"/>
      <c r="G2510" s="154"/>
      <c r="H2510" s="154"/>
      <c r="I2510" s="154"/>
      <c r="J2510" s="155"/>
      <c r="K2510" s="156"/>
      <c r="L2510" s="157"/>
      <c r="M2510" s="158" t="s">
        <v>28</v>
      </c>
      <c r="N2510" s="159" t="s">
        <v>29</v>
      </c>
    </row>
    <row r="2511" spans="1:14">
      <c r="A2511" s="148"/>
      <c r="B2511" s="149"/>
      <c r="C2511" s="150"/>
      <c r="D2511" s="151"/>
      <c r="E2511" s="152"/>
      <c r="F2511" s="153"/>
      <c r="G2511" s="154"/>
      <c r="H2511" s="154"/>
      <c r="I2511" s="154"/>
      <c r="J2511" s="155"/>
      <c r="K2511" s="156"/>
      <c r="L2511" s="157"/>
      <c r="M2511" s="158" t="s">
        <v>28</v>
      </c>
      <c r="N2511" s="159" t="s">
        <v>29</v>
      </c>
    </row>
    <row r="2512" spans="1:14">
      <c r="A2512" s="148"/>
      <c r="B2512" s="149"/>
      <c r="C2512" s="150"/>
      <c r="D2512" s="151"/>
      <c r="E2512" s="152"/>
      <c r="F2512" s="153"/>
      <c r="G2512" s="154"/>
      <c r="H2512" s="154"/>
      <c r="I2512" s="154"/>
      <c r="J2512" s="155"/>
      <c r="K2512" s="156"/>
      <c r="L2512" s="157"/>
      <c r="M2512" s="158" t="s">
        <v>28</v>
      </c>
      <c r="N2512" s="159" t="s">
        <v>29</v>
      </c>
    </row>
    <row r="2513" spans="1:14">
      <c r="A2513" s="148"/>
      <c r="B2513" s="149"/>
      <c r="C2513" s="150"/>
      <c r="D2513" s="151"/>
      <c r="E2513" s="152"/>
      <c r="F2513" s="153"/>
      <c r="G2513" s="154"/>
      <c r="H2513" s="154"/>
      <c r="I2513" s="154"/>
      <c r="J2513" s="155"/>
      <c r="K2513" s="156"/>
      <c r="L2513" s="157"/>
      <c r="M2513" s="158" t="s">
        <v>28</v>
      </c>
      <c r="N2513" s="159" t="s">
        <v>29</v>
      </c>
    </row>
    <row r="2514" spans="1:14">
      <c r="A2514" s="148"/>
      <c r="B2514" s="149"/>
      <c r="C2514" s="150"/>
      <c r="D2514" s="151"/>
      <c r="E2514" s="152"/>
      <c r="F2514" s="153"/>
      <c r="G2514" s="154"/>
      <c r="H2514" s="154"/>
      <c r="I2514" s="154"/>
      <c r="J2514" s="155"/>
      <c r="K2514" s="156"/>
      <c r="L2514" s="157"/>
      <c r="M2514" s="158" t="s">
        <v>28</v>
      </c>
      <c r="N2514" s="159" t="s">
        <v>29</v>
      </c>
    </row>
    <row r="2515" spans="1:14">
      <c r="A2515" s="148"/>
      <c r="B2515" s="149"/>
      <c r="C2515" s="160"/>
      <c r="D2515" s="151"/>
      <c r="E2515" s="152"/>
      <c r="F2515" s="153"/>
      <c r="G2515" s="154"/>
      <c r="H2515" s="154"/>
      <c r="I2515" s="154"/>
      <c r="J2515" s="155"/>
      <c r="K2515" s="156"/>
      <c r="L2515" s="157"/>
      <c r="M2515" s="158" t="s">
        <v>28</v>
      </c>
      <c r="N2515" s="159" t="s">
        <v>29</v>
      </c>
    </row>
    <row r="2516" spans="1:14">
      <c r="A2516" s="148"/>
      <c r="B2516" s="149"/>
      <c r="C2516" s="160"/>
      <c r="D2516" s="151"/>
      <c r="E2516" s="152"/>
      <c r="F2516" s="153"/>
      <c r="G2516" s="154"/>
      <c r="H2516" s="154"/>
      <c r="I2516" s="154"/>
      <c r="J2516" s="155"/>
      <c r="K2516" s="156"/>
      <c r="L2516" s="157"/>
      <c r="M2516" s="158" t="s">
        <v>28</v>
      </c>
      <c r="N2516" s="159" t="s">
        <v>29</v>
      </c>
    </row>
    <row r="2517" spans="1:14">
      <c r="A2517" s="148"/>
      <c r="B2517" s="149"/>
      <c r="C2517" s="160"/>
      <c r="D2517" s="151"/>
      <c r="E2517" s="152"/>
      <c r="F2517" s="153"/>
      <c r="G2517" s="154"/>
      <c r="H2517" s="154"/>
      <c r="I2517" s="154"/>
      <c r="J2517" s="155"/>
      <c r="K2517" s="156"/>
      <c r="L2517" s="157"/>
      <c r="M2517" s="158" t="s">
        <v>28</v>
      </c>
      <c r="N2517" s="159" t="s">
        <v>29</v>
      </c>
    </row>
    <row r="2518" spans="1:14">
      <c r="A2518" s="148"/>
      <c r="B2518" s="149"/>
      <c r="C2518" s="160"/>
      <c r="D2518" s="151"/>
      <c r="E2518" s="152"/>
      <c r="F2518" s="153"/>
      <c r="G2518" s="154"/>
      <c r="H2518" s="154"/>
      <c r="I2518" s="154"/>
      <c r="J2518" s="155"/>
      <c r="K2518" s="156"/>
      <c r="L2518" s="157"/>
      <c r="M2518" s="158" t="s">
        <v>28</v>
      </c>
      <c r="N2518" s="159" t="s">
        <v>29</v>
      </c>
    </row>
    <row r="2519" spans="1:14">
      <c r="A2519" s="148"/>
      <c r="B2519" s="149"/>
      <c r="C2519" s="160"/>
      <c r="D2519" s="151"/>
      <c r="E2519" s="152"/>
      <c r="F2519" s="153"/>
      <c r="G2519" s="154"/>
      <c r="H2519" s="154"/>
      <c r="I2519" s="154"/>
      <c r="J2519" s="155"/>
      <c r="K2519" s="156"/>
      <c r="L2519" s="157"/>
      <c r="M2519" s="158" t="s">
        <v>28</v>
      </c>
      <c r="N2519" s="159" t="s">
        <v>29</v>
      </c>
    </row>
    <row r="2520" spans="1:14">
      <c r="A2520" s="148"/>
      <c r="B2520" s="149"/>
      <c r="C2520" s="160"/>
      <c r="D2520" s="151"/>
      <c r="E2520" s="152"/>
      <c r="F2520" s="153"/>
      <c r="G2520" s="154"/>
      <c r="H2520" s="154"/>
      <c r="I2520" s="154"/>
      <c r="J2520" s="155"/>
      <c r="K2520" s="156"/>
      <c r="L2520" s="157"/>
      <c r="M2520" s="158" t="s">
        <v>28</v>
      </c>
      <c r="N2520" s="159" t="s">
        <v>29</v>
      </c>
    </row>
    <row r="2521" spans="1:14">
      <c r="A2521" s="148"/>
      <c r="B2521" s="149"/>
      <c r="C2521" s="160"/>
      <c r="D2521" s="151"/>
      <c r="E2521" s="152"/>
      <c r="F2521" s="153"/>
      <c r="G2521" s="154"/>
      <c r="H2521" s="154"/>
      <c r="I2521" s="154"/>
      <c r="J2521" s="155"/>
      <c r="K2521" s="156"/>
      <c r="L2521" s="157"/>
      <c r="M2521" s="158" t="s">
        <v>28</v>
      </c>
      <c r="N2521" s="159" t="s">
        <v>29</v>
      </c>
    </row>
    <row r="2522" spans="1:14">
      <c r="A2522" s="148"/>
      <c r="B2522" s="149"/>
      <c r="C2522" s="160"/>
      <c r="D2522" s="151"/>
      <c r="E2522" s="152"/>
      <c r="F2522" s="153"/>
      <c r="G2522" s="154"/>
      <c r="H2522" s="154"/>
      <c r="I2522" s="154"/>
      <c r="J2522" s="155"/>
      <c r="K2522" s="156"/>
      <c r="L2522" s="157"/>
      <c r="M2522" s="158" t="s">
        <v>28</v>
      </c>
      <c r="N2522" s="159" t="s">
        <v>29</v>
      </c>
    </row>
    <row r="2523" spans="1:14">
      <c r="A2523" s="148"/>
      <c r="B2523" s="149"/>
      <c r="C2523" s="160"/>
      <c r="D2523" s="151"/>
      <c r="E2523" s="152"/>
      <c r="F2523" s="153"/>
      <c r="G2523" s="154"/>
      <c r="H2523" s="154"/>
      <c r="I2523" s="154"/>
      <c r="J2523" s="155"/>
      <c r="K2523" s="156"/>
      <c r="L2523" s="157"/>
      <c r="M2523" s="158" t="s">
        <v>28</v>
      </c>
      <c r="N2523" s="159" t="s">
        <v>29</v>
      </c>
    </row>
    <row r="2524" spans="1:14">
      <c r="A2524" s="148"/>
      <c r="B2524" s="149"/>
      <c r="C2524" s="160"/>
      <c r="D2524" s="151"/>
      <c r="E2524" s="152"/>
      <c r="F2524" s="153"/>
      <c r="G2524" s="154"/>
      <c r="H2524" s="154"/>
      <c r="I2524" s="154"/>
      <c r="J2524" s="155"/>
      <c r="K2524" s="156"/>
      <c r="L2524" s="157"/>
      <c r="M2524" s="158" t="s">
        <v>28</v>
      </c>
      <c r="N2524" s="159" t="s">
        <v>29</v>
      </c>
    </row>
    <row r="2525" spans="1:14">
      <c r="A2525" s="148"/>
      <c r="B2525" s="149"/>
      <c r="C2525" s="160"/>
      <c r="D2525" s="151"/>
      <c r="E2525" s="152"/>
      <c r="F2525" s="153"/>
      <c r="G2525" s="154"/>
      <c r="H2525" s="154"/>
      <c r="I2525" s="154"/>
      <c r="J2525" s="155"/>
      <c r="K2525" s="156"/>
      <c r="L2525" s="157"/>
      <c r="M2525" s="158" t="s">
        <v>28</v>
      </c>
      <c r="N2525" s="159" t="s">
        <v>29</v>
      </c>
    </row>
    <row r="2526" spans="1:14">
      <c r="A2526" s="148"/>
      <c r="B2526" s="149"/>
      <c r="C2526" s="160"/>
      <c r="D2526" s="151"/>
      <c r="E2526" s="152"/>
      <c r="F2526" s="153"/>
      <c r="G2526" s="154"/>
      <c r="H2526" s="154"/>
      <c r="I2526" s="154"/>
      <c r="J2526" s="155"/>
      <c r="K2526" s="156"/>
      <c r="L2526" s="157"/>
      <c r="M2526" s="158" t="s">
        <v>28</v>
      </c>
      <c r="N2526" s="159" t="s">
        <v>29</v>
      </c>
    </row>
    <row r="2527" spans="1:14">
      <c r="A2527" s="148"/>
      <c r="B2527" s="149"/>
      <c r="C2527" s="160"/>
      <c r="D2527" s="151"/>
      <c r="E2527" s="152"/>
      <c r="F2527" s="153"/>
      <c r="G2527" s="154"/>
      <c r="H2527" s="154"/>
      <c r="I2527" s="154"/>
      <c r="J2527" s="155"/>
      <c r="K2527" s="156"/>
      <c r="L2527" s="157"/>
      <c r="M2527" s="158" t="s">
        <v>28</v>
      </c>
      <c r="N2527" s="159" t="s">
        <v>29</v>
      </c>
    </row>
    <row r="2528" spans="1:14">
      <c r="A2528" s="148"/>
      <c r="B2528" s="149"/>
      <c r="C2528" s="160"/>
      <c r="D2528" s="151"/>
      <c r="E2528" s="152"/>
      <c r="F2528" s="153"/>
      <c r="G2528" s="154"/>
      <c r="H2528" s="154"/>
      <c r="I2528" s="154"/>
      <c r="J2528" s="155"/>
      <c r="K2528" s="156"/>
      <c r="L2528" s="157"/>
      <c r="M2528" s="158" t="s">
        <v>28</v>
      </c>
      <c r="N2528" s="159" t="s">
        <v>29</v>
      </c>
    </row>
    <row r="2529" spans="1:14">
      <c r="A2529" s="148"/>
      <c r="B2529" s="149"/>
      <c r="C2529" s="160"/>
      <c r="D2529" s="151"/>
      <c r="E2529" s="152"/>
      <c r="F2529" s="153"/>
      <c r="G2529" s="154"/>
      <c r="H2529" s="154"/>
      <c r="I2529" s="154"/>
      <c r="J2529" s="155"/>
      <c r="K2529" s="156"/>
      <c r="L2529" s="157"/>
      <c r="M2529" s="158" t="s">
        <v>28</v>
      </c>
      <c r="N2529" s="159" t="s">
        <v>29</v>
      </c>
    </row>
    <row r="2530" spans="1:14">
      <c r="A2530" s="148"/>
      <c r="B2530" s="149"/>
      <c r="C2530" s="160"/>
      <c r="D2530" s="151"/>
      <c r="E2530" s="152"/>
      <c r="F2530" s="153"/>
      <c r="G2530" s="154"/>
      <c r="H2530" s="154"/>
      <c r="I2530" s="154"/>
      <c r="J2530" s="155"/>
      <c r="K2530" s="156"/>
      <c r="L2530" s="157"/>
      <c r="M2530" s="158" t="s">
        <v>28</v>
      </c>
      <c r="N2530" s="159" t="s">
        <v>29</v>
      </c>
    </row>
    <row r="2531" spans="1:14">
      <c r="A2531" s="148"/>
      <c r="B2531" s="149"/>
      <c r="C2531" s="160"/>
      <c r="D2531" s="151"/>
      <c r="E2531" s="152"/>
      <c r="F2531" s="153"/>
      <c r="G2531" s="154"/>
      <c r="H2531" s="154"/>
      <c r="I2531" s="154"/>
      <c r="J2531" s="155"/>
      <c r="K2531" s="156"/>
      <c r="L2531" s="157"/>
      <c r="M2531" s="158" t="s">
        <v>28</v>
      </c>
      <c r="N2531" s="159" t="s">
        <v>29</v>
      </c>
    </row>
    <row r="2532" spans="1:14">
      <c r="A2532" s="148"/>
      <c r="B2532" s="149"/>
      <c r="C2532" s="160"/>
      <c r="D2532" s="151"/>
      <c r="E2532" s="152"/>
      <c r="F2532" s="153"/>
      <c r="G2532" s="154"/>
      <c r="H2532" s="154"/>
      <c r="I2532" s="154"/>
      <c r="J2532" s="155"/>
      <c r="K2532" s="156"/>
      <c r="L2532" s="157"/>
      <c r="M2532" s="158" t="s">
        <v>28</v>
      </c>
      <c r="N2532" s="159" t="s">
        <v>29</v>
      </c>
    </row>
    <row r="2533" spans="1:14">
      <c r="A2533" s="148"/>
      <c r="B2533" s="149"/>
      <c r="C2533" s="160"/>
      <c r="D2533" s="151"/>
      <c r="E2533" s="152"/>
      <c r="F2533" s="153"/>
      <c r="G2533" s="154"/>
      <c r="H2533" s="154"/>
      <c r="I2533" s="154"/>
      <c r="J2533" s="155"/>
      <c r="K2533" s="156"/>
      <c r="L2533" s="157"/>
      <c r="M2533" s="158" t="s">
        <v>28</v>
      </c>
      <c r="N2533" s="159" t="s">
        <v>29</v>
      </c>
    </row>
    <row r="2534" spans="1:14">
      <c r="A2534" s="148"/>
      <c r="B2534" s="149"/>
      <c r="C2534" s="160"/>
      <c r="D2534" s="151"/>
      <c r="E2534" s="152"/>
      <c r="F2534" s="153"/>
      <c r="G2534" s="154"/>
      <c r="H2534" s="154"/>
      <c r="I2534" s="154"/>
      <c r="J2534" s="155"/>
      <c r="K2534" s="156"/>
      <c r="L2534" s="157"/>
      <c r="M2534" s="158" t="s">
        <v>28</v>
      </c>
      <c r="N2534" s="159" t="s">
        <v>29</v>
      </c>
    </row>
    <row r="2535" spans="1:14">
      <c r="A2535" s="148"/>
      <c r="B2535" s="149"/>
      <c r="C2535" s="160"/>
      <c r="D2535" s="151"/>
      <c r="E2535" s="152"/>
      <c r="F2535" s="153"/>
      <c r="G2535" s="154"/>
      <c r="H2535" s="154"/>
      <c r="I2535" s="154"/>
      <c r="J2535" s="155"/>
      <c r="K2535" s="156"/>
      <c r="L2535" s="157"/>
      <c r="M2535" s="158" t="s">
        <v>28</v>
      </c>
      <c r="N2535" s="159" t="s">
        <v>29</v>
      </c>
    </row>
    <row r="2536" spans="1:14">
      <c r="A2536" s="148"/>
      <c r="B2536" s="149"/>
      <c r="C2536" s="160"/>
      <c r="D2536" s="151"/>
      <c r="E2536" s="152"/>
      <c r="F2536" s="153"/>
      <c r="G2536" s="154"/>
      <c r="H2536" s="154"/>
      <c r="I2536" s="154"/>
      <c r="J2536" s="155"/>
      <c r="K2536" s="156"/>
      <c r="L2536" s="157"/>
      <c r="M2536" s="158" t="s">
        <v>28</v>
      </c>
      <c r="N2536" s="159" t="s">
        <v>29</v>
      </c>
    </row>
    <row r="2537" spans="1:14">
      <c r="A2537" s="148"/>
      <c r="B2537" s="149"/>
      <c r="C2537" s="160"/>
      <c r="D2537" s="151"/>
      <c r="E2537" s="152"/>
      <c r="F2537" s="153"/>
      <c r="G2537" s="154"/>
      <c r="H2537" s="154"/>
      <c r="I2537" s="154"/>
      <c r="J2537" s="155"/>
      <c r="K2537" s="156"/>
      <c r="L2537" s="157"/>
      <c r="M2537" s="158" t="s">
        <v>28</v>
      </c>
      <c r="N2537" s="159" t="s">
        <v>29</v>
      </c>
    </row>
    <row r="2538" spans="1:14">
      <c r="A2538" s="148"/>
      <c r="B2538" s="149"/>
      <c r="C2538" s="160"/>
      <c r="D2538" s="151"/>
      <c r="E2538" s="152"/>
      <c r="F2538" s="153"/>
      <c r="G2538" s="154"/>
      <c r="H2538" s="154"/>
      <c r="I2538" s="154"/>
      <c r="J2538" s="155"/>
      <c r="K2538" s="156"/>
      <c r="L2538" s="157"/>
      <c r="M2538" s="158" t="s">
        <v>28</v>
      </c>
      <c r="N2538" s="159" t="s">
        <v>29</v>
      </c>
    </row>
    <row r="2539" spans="1:14">
      <c r="A2539" s="148"/>
      <c r="B2539" s="149"/>
      <c r="C2539" s="160"/>
      <c r="D2539" s="151"/>
      <c r="E2539" s="152"/>
      <c r="F2539" s="153"/>
      <c r="G2539" s="154"/>
      <c r="H2539" s="154"/>
      <c r="I2539" s="154"/>
      <c r="J2539" s="155"/>
      <c r="K2539" s="156"/>
      <c r="L2539" s="157"/>
      <c r="M2539" s="158" t="s">
        <v>28</v>
      </c>
      <c r="N2539" s="159" t="s">
        <v>29</v>
      </c>
    </row>
    <row r="2540" spans="1:14">
      <c r="A2540" s="148"/>
      <c r="B2540" s="149"/>
      <c r="C2540" s="160"/>
      <c r="D2540" s="151"/>
      <c r="E2540" s="152"/>
      <c r="F2540" s="153"/>
      <c r="G2540" s="154"/>
      <c r="H2540" s="154"/>
      <c r="I2540" s="154"/>
      <c r="J2540" s="155"/>
      <c r="K2540" s="156"/>
      <c r="L2540" s="157"/>
      <c r="M2540" s="158" t="s">
        <v>28</v>
      </c>
      <c r="N2540" s="159" t="s">
        <v>29</v>
      </c>
    </row>
    <row r="2541" spans="1:14">
      <c r="A2541" s="148"/>
      <c r="B2541" s="149"/>
      <c r="C2541" s="160"/>
      <c r="D2541" s="151"/>
      <c r="E2541" s="152"/>
      <c r="F2541" s="153"/>
      <c r="G2541" s="154"/>
      <c r="H2541" s="154"/>
      <c r="I2541" s="154"/>
      <c r="J2541" s="155"/>
      <c r="K2541" s="156"/>
      <c r="L2541" s="157"/>
      <c r="M2541" s="158" t="s">
        <v>28</v>
      </c>
      <c r="N2541" s="159" t="s">
        <v>29</v>
      </c>
    </row>
    <row r="2542" spans="1:14">
      <c r="A2542" s="148"/>
      <c r="B2542" s="149"/>
      <c r="C2542" s="160"/>
      <c r="D2542" s="151"/>
      <c r="E2542" s="152"/>
      <c r="F2542" s="153"/>
      <c r="G2542" s="154"/>
      <c r="H2542" s="154"/>
      <c r="I2542" s="154"/>
      <c r="J2542" s="155"/>
      <c r="K2542" s="156"/>
      <c r="L2542" s="157"/>
      <c r="M2542" s="158" t="s">
        <v>28</v>
      </c>
      <c r="N2542" s="159" t="s">
        <v>29</v>
      </c>
    </row>
    <row r="2543" spans="1:14">
      <c r="A2543" s="148"/>
      <c r="B2543" s="149"/>
      <c r="C2543" s="160"/>
      <c r="D2543" s="151"/>
      <c r="E2543" s="152"/>
      <c r="F2543" s="153"/>
      <c r="G2543" s="154"/>
      <c r="H2543" s="154"/>
      <c r="I2543" s="154"/>
      <c r="J2543" s="155"/>
      <c r="K2543" s="156"/>
      <c r="L2543" s="157"/>
      <c r="M2543" s="158" t="s">
        <v>28</v>
      </c>
      <c r="N2543" s="159" t="s">
        <v>29</v>
      </c>
    </row>
    <row r="2544" spans="1:14">
      <c r="A2544" s="148"/>
      <c r="B2544" s="149"/>
      <c r="C2544" s="160"/>
      <c r="D2544" s="151"/>
      <c r="E2544" s="152"/>
      <c r="F2544" s="153"/>
      <c r="G2544" s="154"/>
      <c r="H2544" s="154"/>
      <c r="I2544" s="154"/>
      <c r="J2544" s="155"/>
      <c r="K2544" s="156"/>
      <c r="L2544" s="157"/>
      <c r="M2544" s="158" t="s">
        <v>28</v>
      </c>
      <c r="N2544" s="159" t="s">
        <v>29</v>
      </c>
    </row>
    <row r="2545" spans="1:14">
      <c r="A2545" s="148"/>
      <c r="B2545" s="149"/>
      <c r="C2545" s="160"/>
      <c r="D2545" s="151"/>
      <c r="E2545" s="152"/>
      <c r="F2545" s="153"/>
      <c r="G2545" s="154"/>
      <c r="H2545" s="154"/>
      <c r="I2545" s="154"/>
      <c r="J2545" s="155"/>
      <c r="K2545" s="156"/>
      <c r="L2545" s="157"/>
      <c r="M2545" s="158" t="s">
        <v>28</v>
      </c>
      <c r="N2545" s="159" t="s">
        <v>29</v>
      </c>
    </row>
    <row r="2546" spans="1:14">
      <c r="A2546" s="148"/>
      <c r="B2546" s="149"/>
      <c r="C2546" s="160"/>
      <c r="D2546" s="151"/>
      <c r="E2546" s="152"/>
      <c r="F2546" s="153"/>
      <c r="G2546" s="154"/>
      <c r="H2546" s="154"/>
      <c r="I2546" s="154"/>
      <c r="J2546" s="155"/>
      <c r="K2546" s="156"/>
      <c r="L2546" s="157"/>
      <c r="M2546" s="158" t="s">
        <v>28</v>
      </c>
      <c r="N2546" s="159" t="s">
        <v>29</v>
      </c>
    </row>
    <row r="2547" spans="1:14">
      <c r="A2547" s="148"/>
      <c r="B2547" s="149"/>
      <c r="C2547" s="160"/>
      <c r="D2547" s="151"/>
      <c r="E2547" s="152"/>
      <c r="F2547" s="153"/>
      <c r="G2547" s="154"/>
      <c r="H2547" s="154"/>
      <c r="I2547" s="154"/>
      <c r="J2547" s="155"/>
      <c r="K2547" s="156"/>
      <c r="L2547" s="157"/>
      <c r="M2547" s="158" t="s">
        <v>28</v>
      </c>
      <c r="N2547" s="159" t="s">
        <v>29</v>
      </c>
    </row>
    <row r="2548" spans="1:14">
      <c r="A2548" s="148"/>
      <c r="B2548" s="149"/>
      <c r="C2548" s="160"/>
      <c r="D2548" s="151"/>
      <c r="E2548" s="152"/>
      <c r="F2548" s="153"/>
      <c r="G2548" s="154"/>
      <c r="H2548" s="154"/>
      <c r="I2548" s="154"/>
      <c r="J2548" s="155"/>
      <c r="K2548" s="156"/>
      <c r="L2548" s="157"/>
      <c r="M2548" s="158" t="s">
        <v>28</v>
      </c>
      <c r="N2548" s="159" t="s">
        <v>29</v>
      </c>
    </row>
    <row r="2549" spans="1:14">
      <c r="A2549" s="148"/>
      <c r="B2549" s="149"/>
      <c r="C2549" s="160"/>
      <c r="D2549" s="151"/>
      <c r="E2549" s="152"/>
      <c r="F2549" s="153"/>
      <c r="G2549" s="154"/>
      <c r="H2549" s="154"/>
      <c r="I2549" s="154"/>
      <c r="J2549" s="155"/>
      <c r="K2549" s="156"/>
      <c r="L2549" s="157"/>
      <c r="M2549" s="158" t="s">
        <v>28</v>
      </c>
      <c r="N2549" s="159" t="s">
        <v>29</v>
      </c>
    </row>
    <row r="2550" spans="1:14">
      <c r="A2550" s="148"/>
      <c r="B2550" s="149"/>
      <c r="C2550" s="160"/>
      <c r="D2550" s="151"/>
      <c r="E2550" s="152"/>
      <c r="F2550" s="153"/>
      <c r="G2550" s="154"/>
      <c r="H2550" s="154"/>
      <c r="I2550" s="154"/>
      <c r="J2550" s="155"/>
      <c r="K2550" s="156"/>
      <c r="L2550" s="157"/>
      <c r="M2550" s="158" t="s">
        <v>28</v>
      </c>
      <c r="N2550" s="159" t="s">
        <v>29</v>
      </c>
    </row>
    <row r="2551" spans="1:14">
      <c r="A2551" s="148"/>
      <c r="B2551" s="149"/>
      <c r="C2551" s="160"/>
      <c r="D2551" s="151"/>
      <c r="E2551" s="152"/>
      <c r="F2551" s="153"/>
      <c r="G2551" s="154"/>
      <c r="H2551" s="154"/>
      <c r="I2551" s="154"/>
      <c r="J2551" s="155"/>
      <c r="K2551" s="156"/>
      <c r="L2551" s="157"/>
      <c r="M2551" s="158" t="s">
        <v>28</v>
      </c>
      <c r="N2551" s="159" t="s">
        <v>29</v>
      </c>
    </row>
    <row r="2552" spans="1:14">
      <c r="A2552" s="148"/>
      <c r="B2552" s="149"/>
      <c r="C2552" s="160"/>
      <c r="D2552" s="151"/>
      <c r="E2552" s="152"/>
      <c r="F2552" s="153"/>
      <c r="G2552" s="154"/>
      <c r="H2552" s="154"/>
      <c r="I2552" s="154"/>
      <c r="J2552" s="155"/>
      <c r="K2552" s="156"/>
      <c r="L2552" s="157"/>
      <c r="M2552" s="158" t="s">
        <v>28</v>
      </c>
      <c r="N2552" s="159" t="s">
        <v>29</v>
      </c>
    </row>
    <row r="2553" spans="1:14">
      <c r="A2553" s="148"/>
      <c r="B2553" s="149"/>
      <c r="C2553" s="160"/>
      <c r="D2553" s="151"/>
      <c r="E2553" s="152"/>
      <c r="F2553" s="153"/>
      <c r="G2553" s="154"/>
      <c r="H2553" s="154"/>
      <c r="I2553" s="154"/>
      <c r="J2553" s="155"/>
      <c r="K2553" s="156"/>
      <c r="L2553" s="157"/>
      <c r="M2553" s="158" t="s">
        <v>28</v>
      </c>
      <c r="N2553" s="159" t="s">
        <v>29</v>
      </c>
    </row>
    <row r="2554" spans="1:14">
      <c r="A2554" s="148"/>
      <c r="B2554" s="149"/>
      <c r="C2554" s="160"/>
      <c r="D2554" s="151"/>
      <c r="E2554" s="152"/>
      <c r="F2554" s="153"/>
      <c r="G2554" s="154"/>
      <c r="H2554" s="154"/>
      <c r="I2554" s="154"/>
      <c r="J2554" s="155"/>
      <c r="K2554" s="156"/>
      <c r="L2554" s="157"/>
      <c r="M2554" s="158" t="s">
        <v>28</v>
      </c>
      <c r="N2554" s="159" t="s">
        <v>29</v>
      </c>
    </row>
    <row r="2555" spans="1:14">
      <c r="A2555" s="148"/>
      <c r="B2555" s="149"/>
      <c r="C2555" s="160"/>
      <c r="D2555" s="151"/>
      <c r="E2555" s="152"/>
      <c r="F2555" s="153"/>
      <c r="G2555" s="154"/>
      <c r="H2555" s="154"/>
      <c r="I2555" s="154"/>
      <c r="J2555" s="155"/>
      <c r="K2555" s="156"/>
      <c r="L2555" s="157"/>
      <c r="M2555" s="158" t="s">
        <v>28</v>
      </c>
      <c r="N2555" s="159" t="s">
        <v>29</v>
      </c>
    </row>
    <row r="2556" spans="1:14">
      <c r="A2556" s="148"/>
      <c r="B2556" s="149"/>
      <c r="C2556" s="160"/>
      <c r="D2556" s="151"/>
      <c r="E2556" s="152"/>
      <c r="F2556" s="153"/>
      <c r="G2556" s="154"/>
      <c r="H2556" s="154"/>
      <c r="I2556" s="154"/>
      <c r="J2556" s="155"/>
      <c r="K2556" s="156"/>
      <c r="L2556" s="157"/>
      <c r="M2556" s="158" t="s">
        <v>28</v>
      </c>
      <c r="N2556" s="159" t="s">
        <v>29</v>
      </c>
    </row>
    <row r="2557" spans="1:14">
      <c r="A2557" s="148"/>
      <c r="B2557" s="149"/>
      <c r="C2557" s="160"/>
      <c r="D2557" s="151"/>
      <c r="E2557" s="152"/>
      <c r="F2557" s="153"/>
      <c r="G2557" s="154"/>
      <c r="H2557" s="154"/>
      <c r="I2557" s="154"/>
      <c r="J2557" s="155"/>
      <c r="K2557" s="156"/>
      <c r="L2557" s="157"/>
      <c r="M2557" s="158" t="s">
        <v>28</v>
      </c>
      <c r="N2557" s="159" t="s">
        <v>29</v>
      </c>
    </row>
    <row r="2558" spans="1:14">
      <c r="A2558" s="148"/>
      <c r="B2558" s="149"/>
      <c r="C2558" s="160"/>
      <c r="D2558" s="151"/>
      <c r="E2558" s="152"/>
      <c r="F2558" s="153"/>
      <c r="G2558" s="154"/>
      <c r="H2558" s="154"/>
      <c r="I2558" s="154"/>
      <c r="J2558" s="155"/>
      <c r="K2558" s="156"/>
      <c r="L2558" s="157"/>
      <c r="M2558" s="158" t="s">
        <v>28</v>
      </c>
      <c r="N2558" s="159" t="s">
        <v>29</v>
      </c>
    </row>
    <row r="2559" spans="1:14">
      <c r="A2559" s="148"/>
      <c r="B2559" s="149"/>
      <c r="C2559" s="160"/>
      <c r="D2559" s="151"/>
      <c r="E2559" s="152"/>
      <c r="F2559" s="153"/>
      <c r="G2559" s="154"/>
      <c r="H2559" s="154"/>
      <c r="I2559" s="154"/>
      <c r="J2559" s="155"/>
      <c r="K2559" s="156"/>
      <c r="L2559" s="157"/>
      <c r="M2559" s="158" t="s">
        <v>28</v>
      </c>
      <c r="N2559" s="159" t="s">
        <v>29</v>
      </c>
    </row>
    <row r="2560" spans="1:14">
      <c r="A2560" s="148"/>
      <c r="B2560" s="149"/>
      <c r="C2560" s="160"/>
      <c r="D2560" s="151"/>
      <c r="E2560" s="152"/>
      <c r="F2560" s="153"/>
      <c r="G2560" s="154"/>
      <c r="H2560" s="154"/>
      <c r="I2560" s="154"/>
      <c r="J2560" s="155"/>
      <c r="K2560" s="156"/>
      <c r="L2560" s="157"/>
      <c r="M2560" s="158" t="s">
        <v>28</v>
      </c>
      <c r="N2560" s="159" t="s">
        <v>29</v>
      </c>
    </row>
    <row r="2561" spans="1:14">
      <c r="A2561" s="148"/>
      <c r="B2561" s="149"/>
      <c r="C2561" s="160"/>
      <c r="D2561" s="151"/>
      <c r="E2561" s="152"/>
      <c r="F2561" s="153"/>
      <c r="G2561" s="154"/>
      <c r="H2561" s="154"/>
      <c r="I2561" s="154"/>
      <c r="J2561" s="155"/>
      <c r="K2561" s="156"/>
      <c r="L2561" s="157"/>
      <c r="M2561" s="158" t="s">
        <v>28</v>
      </c>
      <c r="N2561" s="159" t="s">
        <v>29</v>
      </c>
    </row>
    <row r="2562" spans="1:14">
      <c r="A2562" s="148"/>
      <c r="B2562" s="149"/>
      <c r="C2562" s="160"/>
      <c r="D2562" s="151"/>
      <c r="E2562" s="152"/>
      <c r="F2562" s="153"/>
      <c r="G2562" s="154"/>
      <c r="H2562" s="154"/>
      <c r="I2562" s="154"/>
      <c r="J2562" s="155"/>
      <c r="K2562" s="156"/>
      <c r="L2562" s="157"/>
      <c r="M2562" s="158" t="s">
        <v>28</v>
      </c>
      <c r="N2562" s="159" t="s">
        <v>29</v>
      </c>
    </row>
    <row r="2563" spans="1:14">
      <c r="A2563" s="148"/>
      <c r="B2563" s="149"/>
      <c r="C2563" s="160"/>
      <c r="D2563" s="151"/>
      <c r="E2563" s="152"/>
      <c r="F2563" s="153"/>
      <c r="G2563" s="154"/>
      <c r="H2563" s="154"/>
      <c r="I2563" s="154"/>
      <c r="J2563" s="155"/>
      <c r="K2563" s="156"/>
      <c r="L2563" s="157"/>
      <c r="M2563" s="158" t="s">
        <v>28</v>
      </c>
      <c r="N2563" s="159" t="s">
        <v>29</v>
      </c>
    </row>
    <row r="2564" spans="1:14">
      <c r="A2564" s="148"/>
      <c r="B2564" s="149"/>
      <c r="C2564" s="160"/>
      <c r="D2564" s="151"/>
      <c r="E2564" s="152"/>
      <c r="F2564" s="153"/>
      <c r="G2564" s="154"/>
      <c r="H2564" s="154"/>
      <c r="I2564" s="154"/>
      <c r="J2564" s="155"/>
      <c r="K2564" s="156"/>
      <c r="L2564" s="157"/>
      <c r="M2564" s="158" t="s">
        <v>28</v>
      </c>
      <c r="N2564" s="159" t="s">
        <v>29</v>
      </c>
    </row>
    <row r="2565" spans="1:14">
      <c r="A2565" s="148"/>
      <c r="B2565" s="149"/>
      <c r="C2565" s="160"/>
      <c r="D2565" s="151"/>
      <c r="E2565" s="152"/>
      <c r="F2565" s="153"/>
      <c r="G2565" s="154"/>
      <c r="H2565" s="154"/>
      <c r="I2565" s="154"/>
      <c r="J2565" s="155"/>
      <c r="K2565" s="156"/>
      <c r="L2565" s="157"/>
      <c r="M2565" s="158" t="s">
        <v>28</v>
      </c>
      <c r="N2565" s="159" t="s">
        <v>29</v>
      </c>
    </row>
    <row r="2566" spans="1:14">
      <c r="A2566" s="148"/>
      <c r="B2566" s="149"/>
      <c r="C2566" s="160"/>
      <c r="D2566" s="151"/>
      <c r="E2566" s="152"/>
      <c r="F2566" s="153"/>
      <c r="G2566" s="154"/>
      <c r="H2566" s="154"/>
      <c r="I2566" s="154"/>
      <c r="J2566" s="155"/>
      <c r="K2566" s="156"/>
      <c r="L2566" s="157"/>
      <c r="M2566" s="158" t="s">
        <v>28</v>
      </c>
      <c r="N2566" s="159" t="s">
        <v>29</v>
      </c>
    </row>
    <row r="2567" spans="1:14">
      <c r="A2567" s="148"/>
      <c r="B2567" s="149"/>
      <c r="C2567" s="160"/>
      <c r="D2567" s="151"/>
      <c r="E2567" s="152"/>
      <c r="F2567" s="153"/>
      <c r="G2567" s="154"/>
      <c r="H2567" s="154"/>
      <c r="I2567" s="154"/>
      <c r="J2567" s="155"/>
      <c r="K2567" s="156"/>
      <c r="L2567" s="157"/>
      <c r="M2567" s="158" t="s">
        <v>28</v>
      </c>
      <c r="N2567" s="159" t="s">
        <v>29</v>
      </c>
    </row>
    <row r="2568" spans="1:14">
      <c r="A2568" s="148"/>
      <c r="B2568" s="149"/>
      <c r="C2568" s="160"/>
      <c r="D2568" s="151"/>
      <c r="E2568" s="152"/>
      <c r="F2568" s="153"/>
      <c r="G2568" s="154"/>
      <c r="H2568" s="154"/>
      <c r="I2568" s="154"/>
      <c r="J2568" s="155"/>
      <c r="K2568" s="156"/>
      <c r="L2568" s="157"/>
      <c r="M2568" s="158" t="s">
        <v>28</v>
      </c>
      <c r="N2568" s="159" t="s">
        <v>29</v>
      </c>
    </row>
    <row r="2569" spans="1:14">
      <c r="A2569" s="148"/>
      <c r="B2569" s="149"/>
      <c r="C2569" s="160"/>
      <c r="D2569" s="151"/>
      <c r="E2569" s="152"/>
      <c r="F2569" s="153"/>
      <c r="G2569" s="154"/>
      <c r="H2569" s="154"/>
      <c r="I2569" s="154"/>
      <c r="J2569" s="155"/>
      <c r="K2569" s="156"/>
      <c r="L2569" s="157"/>
      <c r="M2569" s="158" t="s">
        <v>28</v>
      </c>
      <c r="N2569" s="159" t="s">
        <v>29</v>
      </c>
    </row>
    <row r="2570" spans="1:14">
      <c r="A2570" s="148"/>
      <c r="B2570" s="149"/>
      <c r="C2570" s="160"/>
      <c r="D2570" s="151"/>
      <c r="E2570" s="152"/>
      <c r="F2570" s="153"/>
      <c r="G2570" s="154"/>
      <c r="H2570" s="154"/>
      <c r="I2570" s="154"/>
      <c r="J2570" s="155"/>
      <c r="K2570" s="156"/>
      <c r="L2570" s="157"/>
      <c r="M2570" s="158" t="s">
        <v>28</v>
      </c>
      <c r="N2570" s="159" t="s">
        <v>29</v>
      </c>
    </row>
    <row r="2571" spans="1:14">
      <c r="A2571" s="148"/>
      <c r="B2571" s="149"/>
      <c r="C2571" s="160"/>
      <c r="D2571" s="151"/>
      <c r="E2571" s="152"/>
      <c r="F2571" s="153"/>
      <c r="G2571" s="154"/>
      <c r="H2571" s="154"/>
      <c r="I2571" s="154"/>
      <c r="J2571" s="155"/>
      <c r="K2571" s="156"/>
      <c r="L2571" s="157"/>
      <c r="M2571" s="158" t="s">
        <v>28</v>
      </c>
      <c r="N2571" s="159" t="s">
        <v>29</v>
      </c>
    </row>
    <row r="2572" spans="1:14">
      <c r="A2572" s="148"/>
      <c r="B2572" s="149"/>
      <c r="C2572" s="160"/>
      <c r="D2572" s="151"/>
      <c r="E2572" s="152"/>
      <c r="F2572" s="153"/>
      <c r="G2572" s="154"/>
      <c r="H2572" s="154"/>
      <c r="I2572" s="154"/>
      <c r="J2572" s="155"/>
      <c r="K2572" s="156"/>
      <c r="L2572" s="157"/>
      <c r="M2572" s="158" t="s">
        <v>28</v>
      </c>
      <c r="N2572" s="159" t="s">
        <v>29</v>
      </c>
    </row>
    <row r="2573" spans="1:14">
      <c r="A2573" s="148"/>
      <c r="B2573" s="149"/>
      <c r="C2573" s="160"/>
      <c r="D2573" s="151"/>
      <c r="E2573" s="152"/>
      <c r="F2573" s="153"/>
      <c r="G2573" s="154"/>
      <c r="H2573" s="154"/>
      <c r="I2573" s="154"/>
      <c r="J2573" s="155"/>
      <c r="K2573" s="156"/>
      <c r="L2573" s="157"/>
      <c r="M2573" s="158" t="s">
        <v>28</v>
      </c>
      <c r="N2573" s="159" t="s">
        <v>29</v>
      </c>
    </row>
    <row r="2574" spans="1:14">
      <c r="A2574" s="148"/>
      <c r="B2574" s="149"/>
      <c r="C2574" s="160"/>
      <c r="D2574" s="151"/>
      <c r="E2574" s="152"/>
      <c r="F2574" s="153"/>
      <c r="G2574" s="154"/>
      <c r="H2574" s="154"/>
      <c r="I2574" s="154"/>
      <c r="J2574" s="155"/>
      <c r="K2574" s="156"/>
      <c r="L2574" s="157"/>
      <c r="M2574" s="158" t="s">
        <v>28</v>
      </c>
      <c r="N2574" s="159" t="s">
        <v>29</v>
      </c>
    </row>
    <row r="2575" spans="1:14">
      <c r="A2575" s="148"/>
      <c r="B2575" s="149"/>
      <c r="C2575" s="160"/>
      <c r="D2575" s="151"/>
      <c r="E2575" s="152"/>
      <c r="F2575" s="153"/>
      <c r="G2575" s="154"/>
      <c r="H2575" s="154"/>
      <c r="I2575" s="154"/>
      <c r="J2575" s="155"/>
      <c r="K2575" s="156"/>
      <c r="L2575" s="157"/>
      <c r="M2575" s="158" t="s">
        <v>28</v>
      </c>
      <c r="N2575" s="159" t="s">
        <v>29</v>
      </c>
    </row>
    <row r="2576" spans="1:14">
      <c r="A2576" s="148"/>
      <c r="B2576" s="149"/>
      <c r="C2576" s="160"/>
      <c r="D2576" s="151"/>
      <c r="E2576" s="152"/>
      <c r="F2576" s="153"/>
      <c r="G2576" s="154"/>
      <c r="H2576" s="154"/>
      <c r="I2576" s="154"/>
      <c r="J2576" s="155"/>
      <c r="K2576" s="156"/>
      <c r="L2576" s="157"/>
      <c r="M2576" s="158" t="s">
        <v>28</v>
      </c>
      <c r="N2576" s="159" t="s">
        <v>29</v>
      </c>
    </row>
    <row r="2577" spans="1:14">
      <c r="A2577" s="148"/>
      <c r="B2577" s="149"/>
      <c r="C2577" s="160"/>
      <c r="D2577" s="151"/>
      <c r="E2577" s="152"/>
      <c r="F2577" s="153"/>
      <c r="G2577" s="154"/>
      <c r="H2577" s="154"/>
      <c r="I2577" s="154"/>
      <c r="J2577" s="155"/>
      <c r="K2577" s="156"/>
      <c r="L2577" s="157"/>
      <c r="M2577" s="158" t="s">
        <v>28</v>
      </c>
      <c r="N2577" s="159" t="s">
        <v>29</v>
      </c>
    </row>
    <row r="2578" spans="1:14">
      <c r="A2578" s="148"/>
      <c r="B2578" s="149"/>
      <c r="C2578" s="160"/>
      <c r="D2578" s="151"/>
      <c r="E2578" s="152"/>
      <c r="F2578" s="153"/>
      <c r="G2578" s="154"/>
      <c r="H2578" s="154"/>
      <c r="I2578" s="154"/>
      <c r="J2578" s="155"/>
      <c r="K2578" s="156"/>
      <c r="L2578" s="157"/>
      <c r="M2578" s="158" t="s">
        <v>28</v>
      </c>
      <c r="N2578" s="159" t="s">
        <v>29</v>
      </c>
    </row>
    <row r="2579" spans="1:14">
      <c r="A2579" s="148"/>
      <c r="B2579" s="149"/>
      <c r="C2579" s="160"/>
      <c r="D2579" s="151"/>
      <c r="E2579" s="152"/>
      <c r="F2579" s="153"/>
      <c r="G2579" s="154"/>
      <c r="H2579" s="154"/>
      <c r="I2579" s="154"/>
      <c r="J2579" s="155"/>
      <c r="K2579" s="156"/>
      <c r="L2579" s="157"/>
      <c r="M2579" s="158" t="s">
        <v>28</v>
      </c>
      <c r="N2579" s="159" t="s">
        <v>29</v>
      </c>
    </row>
    <row r="2580" spans="1:14">
      <c r="A2580" s="148"/>
      <c r="B2580" s="149"/>
      <c r="C2580" s="160"/>
      <c r="D2580" s="151"/>
      <c r="E2580" s="152"/>
      <c r="F2580" s="153"/>
      <c r="G2580" s="154"/>
      <c r="H2580" s="154"/>
      <c r="I2580" s="154"/>
      <c r="J2580" s="155"/>
      <c r="K2580" s="156"/>
      <c r="L2580" s="157"/>
      <c r="M2580" s="158" t="s">
        <v>28</v>
      </c>
      <c r="N2580" s="159" t="s">
        <v>29</v>
      </c>
    </row>
    <row r="2581" spans="1:14">
      <c r="A2581" s="148"/>
      <c r="B2581" s="149"/>
      <c r="C2581" s="160"/>
      <c r="D2581" s="151"/>
      <c r="E2581" s="152"/>
      <c r="F2581" s="153"/>
      <c r="G2581" s="154"/>
      <c r="H2581" s="154"/>
      <c r="I2581" s="154"/>
      <c r="J2581" s="155"/>
      <c r="K2581" s="156"/>
      <c r="L2581" s="157"/>
      <c r="M2581" s="158" t="s">
        <v>28</v>
      </c>
      <c r="N2581" s="159" t="s">
        <v>29</v>
      </c>
    </row>
    <row r="2582" spans="1:14">
      <c r="A2582" s="148"/>
      <c r="B2582" s="149"/>
      <c r="C2582" s="160"/>
      <c r="D2582" s="151"/>
      <c r="E2582" s="152"/>
      <c r="F2582" s="153"/>
      <c r="G2582" s="154"/>
      <c r="H2582" s="154"/>
      <c r="I2582" s="154"/>
      <c r="J2582" s="155"/>
      <c r="K2582" s="156"/>
      <c r="L2582" s="157"/>
      <c r="M2582" s="158" t="s">
        <v>28</v>
      </c>
      <c r="N2582" s="159" t="s">
        <v>29</v>
      </c>
    </row>
    <row r="2583" spans="1:14">
      <c r="A2583" s="148"/>
      <c r="B2583" s="149"/>
      <c r="C2583" s="160"/>
      <c r="D2583" s="151"/>
      <c r="E2583" s="152"/>
      <c r="F2583" s="153"/>
      <c r="G2583" s="154"/>
      <c r="H2583" s="154"/>
      <c r="I2583" s="154"/>
      <c r="J2583" s="155"/>
      <c r="K2583" s="156"/>
      <c r="L2583" s="157"/>
      <c r="M2583" s="158" t="s">
        <v>28</v>
      </c>
      <c r="N2583" s="159" t="s">
        <v>29</v>
      </c>
    </row>
    <row r="2584" spans="1:14">
      <c r="A2584" s="148"/>
      <c r="B2584" s="149"/>
      <c r="C2584" s="160"/>
      <c r="D2584" s="151"/>
      <c r="E2584" s="152"/>
      <c r="F2584" s="153"/>
      <c r="G2584" s="154"/>
      <c r="H2584" s="154"/>
      <c r="I2584" s="154"/>
      <c r="J2584" s="155"/>
      <c r="K2584" s="156"/>
      <c r="L2584" s="157"/>
      <c r="M2584" s="158" t="s">
        <v>28</v>
      </c>
      <c r="N2584" s="159" t="s">
        <v>29</v>
      </c>
    </row>
    <row r="2585" spans="1:14">
      <c r="A2585" s="148"/>
      <c r="B2585" s="149"/>
      <c r="C2585" s="160"/>
      <c r="D2585" s="151"/>
      <c r="E2585" s="152"/>
      <c r="F2585" s="153"/>
      <c r="G2585" s="154"/>
      <c r="H2585" s="154"/>
      <c r="I2585" s="154"/>
      <c r="J2585" s="155"/>
      <c r="K2585" s="156"/>
      <c r="L2585" s="157"/>
      <c r="M2585" s="158" t="s">
        <v>28</v>
      </c>
      <c r="N2585" s="159" t="s">
        <v>29</v>
      </c>
    </row>
    <row r="2586" spans="1:14">
      <c r="A2586" s="148"/>
      <c r="B2586" s="149"/>
      <c r="C2586" s="160"/>
      <c r="D2586" s="151"/>
      <c r="E2586" s="152"/>
      <c r="F2586" s="153"/>
      <c r="G2586" s="154"/>
      <c r="H2586" s="154"/>
      <c r="I2586" s="154"/>
      <c r="J2586" s="155"/>
      <c r="K2586" s="156"/>
      <c r="L2586" s="157"/>
      <c r="M2586" s="158" t="s">
        <v>28</v>
      </c>
      <c r="N2586" s="159" t="s">
        <v>29</v>
      </c>
    </row>
    <row r="2587" spans="1:14">
      <c r="A2587" s="148"/>
      <c r="B2587" s="149"/>
      <c r="C2587" s="160"/>
      <c r="D2587" s="151"/>
      <c r="E2587" s="152"/>
      <c r="F2587" s="153"/>
      <c r="G2587" s="154"/>
      <c r="H2587" s="154"/>
      <c r="I2587" s="154"/>
      <c r="J2587" s="155"/>
      <c r="K2587" s="156"/>
      <c r="L2587" s="157"/>
      <c r="M2587" s="158" t="s">
        <v>28</v>
      </c>
      <c r="N2587" s="159" t="s">
        <v>29</v>
      </c>
    </row>
    <row r="2588" spans="1:14">
      <c r="A2588" s="148"/>
      <c r="B2588" s="149"/>
      <c r="C2588" s="160"/>
      <c r="D2588" s="151"/>
      <c r="E2588" s="152"/>
      <c r="F2588" s="153"/>
      <c r="G2588" s="154"/>
      <c r="H2588" s="154"/>
      <c r="I2588" s="154"/>
      <c r="J2588" s="155"/>
      <c r="K2588" s="156"/>
      <c r="L2588" s="157"/>
      <c r="M2588" s="158" t="s">
        <v>28</v>
      </c>
      <c r="N2588" s="159" t="s">
        <v>29</v>
      </c>
    </row>
    <row r="2589" spans="1:14">
      <c r="A2589" s="148"/>
      <c r="B2589" s="149"/>
      <c r="C2589" s="160"/>
      <c r="D2589" s="151"/>
      <c r="E2589" s="152"/>
      <c r="F2589" s="153"/>
      <c r="G2589" s="154"/>
      <c r="H2589" s="154"/>
      <c r="I2589" s="154"/>
      <c r="J2589" s="155"/>
      <c r="K2589" s="156"/>
      <c r="L2589" s="157"/>
      <c r="M2589" s="158" t="s">
        <v>28</v>
      </c>
      <c r="N2589" s="159" t="s">
        <v>29</v>
      </c>
    </row>
    <row r="2590" spans="1:14">
      <c r="A2590" s="148"/>
      <c r="B2590" s="149"/>
      <c r="C2590" s="160"/>
      <c r="D2590" s="151"/>
      <c r="E2590" s="152"/>
      <c r="F2590" s="153"/>
      <c r="G2590" s="154"/>
      <c r="H2590" s="154"/>
      <c r="I2590" s="154"/>
      <c r="J2590" s="155"/>
      <c r="K2590" s="156"/>
      <c r="L2590" s="157"/>
      <c r="M2590" s="158" t="s">
        <v>28</v>
      </c>
      <c r="N2590" s="159" t="s">
        <v>29</v>
      </c>
    </row>
    <row r="2591" spans="1:14">
      <c r="A2591" s="148"/>
      <c r="B2591" s="149"/>
      <c r="C2591" s="160"/>
      <c r="D2591" s="151"/>
      <c r="E2591" s="152"/>
      <c r="F2591" s="153"/>
      <c r="G2591" s="154"/>
      <c r="H2591" s="154"/>
      <c r="I2591" s="154"/>
      <c r="J2591" s="155"/>
      <c r="K2591" s="156"/>
      <c r="L2591" s="157"/>
      <c r="M2591" s="158" t="s">
        <v>28</v>
      </c>
      <c r="N2591" s="159" t="s">
        <v>29</v>
      </c>
    </row>
    <row r="2592" spans="1:14">
      <c r="A2592" s="148"/>
      <c r="B2592" s="149"/>
      <c r="C2592" s="160"/>
      <c r="D2592" s="151"/>
      <c r="E2592" s="152"/>
      <c r="F2592" s="153"/>
      <c r="G2592" s="154"/>
      <c r="H2592" s="154"/>
      <c r="I2592" s="154"/>
      <c r="J2592" s="155"/>
      <c r="K2592" s="156"/>
      <c r="L2592" s="157"/>
      <c r="M2592" s="158" t="s">
        <v>28</v>
      </c>
      <c r="N2592" s="159" t="s">
        <v>29</v>
      </c>
    </row>
    <row r="2593" spans="1:14">
      <c r="A2593" s="148"/>
      <c r="B2593" s="149"/>
      <c r="C2593" s="160"/>
      <c r="D2593" s="151"/>
      <c r="E2593" s="152"/>
      <c r="F2593" s="153"/>
      <c r="G2593" s="154"/>
      <c r="H2593" s="154"/>
      <c r="I2593" s="154"/>
      <c r="J2593" s="155"/>
      <c r="K2593" s="156"/>
      <c r="L2593" s="157"/>
      <c r="M2593" s="158" t="s">
        <v>28</v>
      </c>
      <c r="N2593" s="159" t="s">
        <v>29</v>
      </c>
    </row>
    <row r="2594" spans="1:14">
      <c r="A2594" s="148"/>
      <c r="B2594" s="149"/>
      <c r="C2594" s="160"/>
      <c r="D2594" s="151"/>
      <c r="E2594" s="152"/>
      <c r="F2594" s="153"/>
      <c r="G2594" s="154"/>
      <c r="H2594" s="154"/>
      <c r="I2594" s="154"/>
      <c r="J2594" s="155"/>
      <c r="K2594" s="156"/>
      <c r="L2594" s="157"/>
      <c r="M2594" s="158" t="s">
        <v>28</v>
      </c>
      <c r="N2594" s="159" t="s">
        <v>29</v>
      </c>
    </row>
    <row r="2595" spans="1:14">
      <c r="A2595" s="148"/>
      <c r="B2595" s="149"/>
      <c r="C2595" s="160"/>
      <c r="D2595" s="151"/>
      <c r="E2595" s="152"/>
      <c r="F2595" s="153"/>
      <c r="G2595" s="154"/>
      <c r="H2595" s="154"/>
      <c r="I2595" s="154"/>
      <c r="J2595" s="155"/>
      <c r="K2595" s="156"/>
      <c r="L2595" s="157"/>
      <c r="M2595" s="158" t="s">
        <v>28</v>
      </c>
      <c r="N2595" s="159" t="s">
        <v>29</v>
      </c>
    </row>
    <row r="2596" spans="1:14">
      <c r="A2596" s="148"/>
      <c r="B2596" s="149"/>
      <c r="C2596" s="160"/>
      <c r="D2596" s="151"/>
      <c r="E2596" s="152"/>
      <c r="F2596" s="153"/>
      <c r="G2596" s="154"/>
      <c r="H2596" s="154"/>
      <c r="I2596" s="154"/>
      <c r="J2596" s="155"/>
      <c r="K2596" s="156"/>
      <c r="L2596" s="157"/>
      <c r="M2596" s="158" t="s">
        <v>28</v>
      </c>
      <c r="N2596" s="159" t="s">
        <v>29</v>
      </c>
    </row>
    <row r="2597" spans="1:14">
      <c r="A2597" s="148"/>
      <c r="B2597" s="149"/>
      <c r="C2597" s="160"/>
      <c r="D2597" s="151"/>
      <c r="E2597" s="152"/>
      <c r="F2597" s="153"/>
      <c r="G2597" s="154"/>
      <c r="H2597" s="154"/>
      <c r="I2597" s="154"/>
      <c r="J2597" s="155"/>
      <c r="K2597" s="156"/>
      <c r="L2597" s="157"/>
      <c r="M2597" s="158" t="s">
        <v>28</v>
      </c>
      <c r="N2597" s="159" t="s">
        <v>29</v>
      </c>
    </row>
    <row r="2598" spans="1:14">
      <c r="A2598" s="148"/>
      <c r="B2598" s="149"/>
      <c r="C2598" s="160"/>
      <c r="D2598" s="151"/>
      <c r="E2598" s="152"/>
      <c r="F2598" s="153"/>
      <c r="G2598" s="154"/>
      <c r="H2598" s="154"/>
      <c r="I2598" s="154"/>
      <c r="J2598" s="155"/>
      <c r="K2598" s="156"/>
      <c r="L2598" s="157"/>
      <c r="M2598" s="158" t="s">
        <v>28</v>
      </c>
      <c r="N2598" s="159" t="s">
        <v>29</v>
      </c>
    </row>
    <row r="2599" spans="1:14">
      <c r="A2599" s="148"/>
      <c r="B2599" s="149"/>
      <c r="C2599" s="160"/>
      <c r="D2599" s="151"/>
      <c r="E2599" s="152"/>
      <c r="F2599" s="153"/>
      <c r="G2599" s="154"/>
      <c r="H2599" s="154"/>
      <c r="I2599" s="154"/>
      <c r="J2599" s="155"/>
      <c r="K2599" s="156"/>
      <c r="L2599" s="157"/>
      <c r="M2599" s="158" t="s">
        <v>28</v>
      </c>
      <c r="N2599" s="159" t="s">
        <v>29</v>
      </c>
    </row>
    <row r="2600" spans="1:14">
      <c r="A2600" s="148"/>
      <c r="B2600" s="149"/>
      <c r="C2600" s="160"/>
      <c r="D2600" s="151"/>
      <c r="E2600" s="152"/>
      <c r="F2600" s="153"/>
      <c r="G2600" s="154"/>
      <c r="H2600" s="154"/>
      <c r="I2600" s="154"/>
      <c r="J2600" s="155"/>
      <c r="K2600" s="156"/>
      <c r="L2600" s="157"/>
      <c r="M2600" s="158" t="s">
        <v>28</v>
      </c>
      <c r="N2600" s="159" t="s">
        <v>29</v>
      </c>
    </row>
    <row r="2601" spans="1:14">
      <c r="A2601" s="148"/>
      <c r="B2601" s="149"/>
      <c r="C2601" s="160"/>
      <c r="D2601" s="151"/>
      <c r="E2601" s="152"/>
      <c r="F2601" s="153"/>
      <c r="G2601" s="154"/>
      <c r="H2601" s="154"/>
      <c r="I2601" s="154"/>
      <c r="J2601" s="155"/>
      <c r="K2601" s="156"/>
      <c r="L2601" s="157"/>
      <c r="M2601" s="158" t="s">
        <v>28</v>
      </c>
      <c r="N2601" s="159" t="s">
        <v>29</v>
      </c>
    </row>
    <row r="2602" spans="1:14">
      <c r="A2602" s="148"/>
      <c r="B2602" s="149"/>
      <c r="C2602" s="160"/>
      <c r="D2602" s="151"/>
      <c r="E2602" s="152"/>
      <c r="F2602" s="153"/>
      <c r="G2602" s="154"/>
      <c r="H2602" s="154"/>
      <c r="I2602" s="154"/>
      <c r="J2602" s="155"/>
      <c r="K2602" s="156"/>
      <c r="L2602" s="157"/>
      <c r="M2602" s="158" t="s">
        <v>28</v>
      </c>
      <c r="N2602" s="159" t="s">
        <v>29</v>
      </c>
    </row>
    <row r="2603" spans="1:14">
      <c r="A2603" s="148"/>
      <c r="B2603" s="149"/>
      <c r="C2603" s="160"/>
      <c r="D2603" s="151"/>
      <c r="E2603" s="152"/>
      <c r="F2603" s="153"/>
      <c r="G2603" s="154"/>
      <c r="H2603" s="154"/>
      <c r="I2603" s="154"/>
      <c r="J2603" s="155"/>
      <c r="K2603" s="156"/>
      <c r="L2603" s="157"/>
      <c r="M2603" s="158" t="s">
        <v>28</v>
      </c>
      <c r="N2603" s="159" t="s">
        <v>29</v>
      </c>
    </row>
    <row r="2604" spans="1:14">
      <c r="A2604" s="148"/>
      <c r="B2604" s="149"/>
      <c r="C2604" s="160"/>
      <c r="D2604" s="151"/>
      <c r="E2604" s="152"/>
      <c r="F2604" s="153"/>
      <c r="G2604" s="154"/>
      <c r="H2604" s="154"/>
      <c r="I2604" s="154"/>
      <c r="J2604" s="155"/>
      <c r="K2604" s="156"/>
      <c r="L2604" s="157"/>
      <c r="M2604" s="158" t="s">
        <v>28</v>
      </c>
      <c r="N2604" s="159" t="s">
        <v>29</v>
      </c>
    </row>
    <row r="2605" spans="1:14">
      <c r="A2605" s="148"/>
      <c r="B2605" s="149"/>
      <c r="C2605" s="160"/>
      <c r="D2605" s="151"/>
      <c r="E2605" s="152"/>
      <c r="F2605" s="153"/>
      <c r="G2605" s="154"/>
      <c r="H2605" s="154"/>
      <c r="I2605" s="154"/>
      <c r="J2605" s="155"/>
      <c r="K2605" s="156"/>
      <c r="L2605" s="157"/>
      <c r="M2605" s="158" t="s">
        <v>28</v>
      </c>
      <c r="N2605" s="159" t="s">
        <v>29</v>
      </c>
    </row>
    <row r="2606" spans="1:14">
      <c r="A2606" s="148"/>
      <c r="B2606" s="149"/>
      <c r="C2606" s="160"/>
      <c r="D2606" s="151"/>
      <c r="E2606" s="152"/>
      <c r="F2606" s="153"/>
      <c r="G2606" s="154"/>
      <c r="H2606" s="154"/>
      <c r="I2606" s="154"/>
      <c r="J2606" s="155"/>
      <c r="K2606" s="156"/>
      <c r="L2606" s="157"/>
      <c r="M2606" s="158" t="s">
        <v>28</v>
      </c>
      <c r="N2606" s="159" t="s">
        <v>29</v>
      </c>
    </row>
    <row r="2607" spans="1:14">
      <c r="A2607" s="148"/>
      <c r="B2607" s="149"/>
      <c r="C2607" s="160"/>
      <c r="D2607" s="151"/>
      <c r="E2607" s="152"/>
      <c r="F2607" s="153"/>
      <c r="G2607" s="154"/>
      <c r="H2607" s="154"/>
      <c r="I2607" s="154"/>
      <c r="J2607" s="155"/>
      <c r="K2607" s="156"/>
      <c r="L2607" s="157"/>
      <c r="M2607" s="158" t="s">
        <v>28</v>
      </c>
      <c r="N2607" s="159" t="s">
        <v>29</v>
      </c>
    </row>
    <row r="2608" spans="1:14">
      <c r="A2608" s="148"/>
      <c r="B2608" s="149"/>
      <c r="C2608" s="160"/>
      <c r="D2608" s="151"/>
      <c r="E2608" s="152"/>
      <c r="F2608" s="153"/>
      <c r="G2608" s="154"/>
      <c r="H2608" s="154"/>
      <c r="I2608" s="154"/>
      <c r="J2608" s="155"/>
      <c r="K2608" s="156"/>
      <c r="L2608" s="157"/>
      <c r="M2608" s="158" t="s">
        <v>28</v>
      </c>
      <c r="N2608" s="159" t="s">
        <v>29</v>
      </c>
    </row>
    <row r="2609" spans="1:14">
      <c r="A2609" s="148"/>
      <c r="B2609" s="149"/>
      <c r="C2609" s="160"/>
      <c r="D2609" s="151"/>
      <c r="E2609" s="152"/>
      <c r="F2609" s="153"/>
      <c r="G2609" s="154"/>
      <c r="H2609" s="154"/>
      <c r="I2609" s="154"/>
      <c r="J2609" s="155"/>
      <c r="K2609" s="156"/>
      <c r="L2609" s="157"/>
      <c r="M2609" s="158" t="s">
        <v>28</v>
      </c>
      <c r="N2609" s="159" t="s">
        <v>29</v>
      </c>
    </row>
    <row r="2610" spans="1:14">
      <c r="A2610" s="148"/>
      <c r="B2610" s="149"/>
      <c r="C2610" s="160"/>
      <c r="D2610" s="151"/>
      <c r="E2610" s="152"/>
      <c r="F2610" s="153"/>
      <c r="G2610" s="154"/>
      <c r="H2610" s="154"/>
      <c r="I2610" s="154"/>
      <c r="J2610" s="155"/>
      <c r="K2610" s="156"/>
      <c r="L2610" s="157"/>
      <c r="M2610" s="158" t="s">
        <v>28</v>
      </c>
      <c r="N2610" s="159" t="s">
        <v>29</v>
      </c>
    </row>
    <row r="2611" spans="1:14">
      <c r="A2611" s="148"/>
      <c r="B2611" s="149"/>
      <c r="C2611" s="160"/>
      <c r="D2611" s="151"/>
      <c r="E2611" s="152"/>
      <c r="F2611" s="153"/>
      <c r="G2611" s="154"/>
      <c r="H2611" s="154"/>
      <c r="I2611" s="154"/>
      <c r="J2611" s="155"/>
      <c r="K2611" s="156"/>
      <c r="L2611" s="157"/>
      <c r="M2611" s="158" t="s">
        <v>28</v>
      </c>
      <c r="N2611" s="159" t="s">
        <v>29</v>
      </c>
    </row>
    <row r="2612" spans="1:14">
      <c r="A2612" s="148"/>
      <c r="B2612" s="149"/>
      <c r="C2612" s="160"/>
      <c r="D2612" s="151"/>
      <c r="E2612" s="152"/>
      <c r="F2612" s="153"/>
      <c r="G2612" s="154"/>
      <c r="H2612" s="154"/>
      <c r="I2612" s="154"/>
      <c r="J2612" s="155"/>
      <c r="K2612" s="156"/>
      <c r="L2612" s="157"/>
      <c r="M2612" s="158" t="s">
        <v>28</v>
      </c>
      <c r="N2612" s="159" t="s">
        <v>29</v>
      </c>
    </row>
    <row r="2613" spans="1:14">
      <c r="A2613" s="148"/>
      <c r="B2613" s="149"/>
      <c r="C2613" s="160"/>
      <c r="D2613" s="151"/>
      <c r="E2613" s="152"/>
      <c r="F2613" s="153"/>
      <c r="G2613" s="154"/>
      <c r="H2613" s="154"/>
      <c r="I2613" s="154"/>
      <c r="J2613" s="155"/>
      <c r="K2613" s="156"/>
      <c r="L2613" s="157"/>
      <c r="M2613" s="158" t="s">
        <v>28</v>
      </c>
      <c r="N2613" s="159" t="s">
        <v>29</v>
      </c>
    </row>
    <row r="2614" spans="1:14">
      <c r="A2614" s="148"/>
      <c r="B2614" s="149"/>
      <c r="C2614" s="160"/>
      <c r="D2614" s="151"/>
      <c r="E2614" s="152"/>
      <c r="F2614" s="153"/>
      <c r="G2614" s="154"/>
      <c r="H2614" s="154"/>
      <c r="I2614" s="154"/>
      <c r="J2614" s="155"/>
      <c r="K2614" s="156"/>
      <c r="L2614" s="157"/>
      <c r="M2614" s="158" t="s">
        <v>28</v>
      </c>
      <c r="N2614" s="159" t="s">
        <v>29</v>
      </c>
    </row>
    <row r="2615" spans="1:14">
      <c r="A2615" s="148"/>
      <c r="B2615" s="149"/>
      <c r="C2615" s="160"/>
      <c r="D2615" s="151"/>
      <c r="E2615" s="152"/>
      <c r="F2615" s="153"/>
      <c r="G2615" s="154"/>
      <c r="H2615" s="154"/>
      <c r="I2615" s="154"/>
      <c r="J2615" s="155"/>
      <c r="K2615" s="156"/>
      <c r="L2615" s="157"/>
      <c r="M2615" s="158" t="s">
        <v>28</v>
      </c>
      <c r="N2615" s="159" t="s">
        <v>29</v>
      </c>
    </row>
    <row r="2616" spans="1:14">
      <c r="A2616" s="148"/>
      <c r="B2616" s="149"/>
      <c r="C2616" s="160"/>
      <c r="D2616" s="151"/>
      <c r="E2616" s="152"/>
      <c r="F2616" s="153"/>
      <c r="G2616" s="154"/>
      <c r="H2616" s="154"/>
      <c r="I2616" s="154"/>
      <c r="J2616" s="155"/>
      <c r="K2616" s="156"/>
      <c r="L2616" s="157"/>
      <c r="M2616" s="158" t="s">
        <v>28</v>
      </c>
      <c r="N2616" s="159" t="s">
        <v>29</v>
      </c>
    </row>
    <row r="2617" spans="1:14">
      <c r="A2617" s="148"/>
      <c r="B2617" s="149"/>
      <c r="C2617" s="160"/>
      <c r="D2617" s="151"/>
      <c r="E2617" s="152"/>
      <c r="F2617" s="153"/>
      <c r="G2617" s="154"/>
      <c r="H2617" s="154"/>
      <c r="I2617" s="154"/>
      <c r="J2617" s="155"/>
      <c r="K2617" s="156"/>
      <c r="L2617" s="157"/>
      <c r="M2617" s="158" t="s">
        <v>28</v>
      </c>
      <c r="N2617" s="159" t="s">
        <v>29</v>
      </c>
    </row>
    <row r="2618" spans="1:14">
      <c r="A2618" s="148"/>
      <c r="B2618" s="149"/>
      <c r="C2618" s="160"/>
      <c r="D2618" s="151"/>
      <c r="E2618" s="152"/>
      <c r="F2618" s="153"/>
      <c r="G2618" s="154"/>
      <c r="H2618" s="154"/>
      <c r="I2618" s="154"/>
      <c r="J2618" s="155"/>
      <c r="K2618" s="156"/>
      <c r="L2618" s="157"/>
      <c r="M2618" s="158" t="s">
        <v>28</v>
      </c>
      <c r="N2618" s="159" t="s">
        <v>29</v>
      </c>
    </row>
    <row r="2619" spans="1:14">
      <c r="A2619" s="148"/>
      <c r="B2619" s="149"/>
      <c r="C2619" s="160"/>
      <c r="D2619" s="151"/>
      <c r="E2619" s="152"/>
      <c r="F2619" s="153"/>
      <c r="G2619" s="154"/>
      <c r="H2619" s="154"/>
      <c r="I2619" s="154"/>
      <c r="J2619" s="155"/>
      <c r="K2619" s="156"/>
      <c r="L2619" s="157"/>
      <c r="M2619" s="158" t="s">
        <v>28</v>
      </c>
      <c r="N2619" s="159" t="s">
        <v>29</v>
      </c>
    </row>
    <row r="2620" spans="1:14">
      <c r="A2620" s="148"/>
      <c r="B2620" s="149"/>
      <c r="C2620" s="160"/>
      <c r="D2620" s="151"/>
      <c r="E2620" s="152"/>
      <c r="F2620" s="153"/>
      <c r="G2620" s="154"/>
      <c r="H2620" s="154"/>
      <c r="I2620" s="154"/>
      <c r="J2620" s="155"/>
      <c r="K2620" s="156"/>
      <c r="L2620" s="157"/>
      <c r="M2620" s="158" t="s">
        <v>28</v>
      </c>
      <c r="N2620" s="159" t="s">
        <v>29</v>
      </c>
    </row>
    <row r="2621" spans="1:14">
      <c r="A2621" s="148"/>
      <c r="B2621" s="149"/>
      <c r="C2621" s="160"/>
      <c r="D2621" s="151"/>
      <c r="E2621" s="152"/>
      <c r="F2621" s="153"/>
      <c r="G2621" s="154"/>
      <c r="H2621" s="154"/>
      <c r="I2621" s="154"/>
      <c r="J2621" s="155"/>
      <c r="K2621" s="156"/>
      <c r="L2621" s="157"/>
      <c r="M2621" s="158" t="s">
        <v>28</v>
      </c>
      <c r="N2621" s="159" t="s">
        <v>29</v>
      </c>
    </row>
    <row r="2622" spans="1:14">
      <c r="A2622" s="148"/>
      <c r="B2622" s="149"/>
      <c r="C2622" s="160"/>
      <c r="D2622" s="151"/>
      <c r="E2622" s="152"/>
      <c r="F2622" s="153"/>
      <c r="G2622" s="154"/>
      <c r="H2622" s="154"/>
      <c r="I2622" s="154"/>
      <c r="J2622" s="155"/>
      <c r="K2622" s="156"/>
      <c r="L2622" s="157"/>
      <c r="M2622" s="158" t="s">
        <v>28</v>
      </c>
      <c r="N2622" s="159" t="s">
        <v>29</v>
      </c>
    </row>
    <row r="2623" spans="1:14">
      <c r="A2623" s="148"/>
      <c r="B2623" s="149"/>
      <c r="C2623" s="160"/>
      <c r="D2623" s="151"/>
      <c r="E2623" s="152"/>
      <c r="F2623" s="153"/>
      <c r="G2623" s="154"/>
      <c r="H2623" s="154"/>
      <c r="I2623" s="154"/>
      <c r="J2623" s="155"/>
      <c r="K2623" s="156"/>
      <c r="L2623" s="157"/>
      <c r="M2623" s="158" t="s">
        <v>28</v>
      </c>
      <c r="N2623" s="159" t="s">
        <v>29</v>
      </c>
    </row>
    <row r="2624" spans="1:14">
      <c r="A2624" s="148"/>
      <c r="B2624" s="149"/>
      <c r="C2624" s="160"/>
      <c r="D2624" s="151"/>
      <c r="E2624" s="152"/>
      <c r="F2624" s="153"/>
      <c r="G2624" s="154"/>
      <c r="H2624" s="154"/>
      <c r="I2624" s="154"/>
      <c r="J2624" s="155"/>
      <c r="K2624" s="156"/>
      <c r="L2624" s="157"/>
      <c r="M2624" s="158" t="s">
        <v>28</v>
      </c>
      <c r="N2624" s="159" t="s">
        <v>29</v>
      </c>
    </row>
    <row r="2625" spans="1:14">
      <c r="A2625" s="148"/>
      <c r="B2625" s="149"/>
      <c r="C2625" s="160"/>
      <c r="D2625" s="151"/>
      <c r="E2625" s="152"/>
      <c r="F2625" s="153"/>
      <c r="G2625" s="154"/>
      <c r="H2625" s="154"/>
      <c r="I2625" s="154"/>
      <c r="J2625" s="155"/>
      <c r="K2625" s="156"/>
      <c r="L2625" s="157"/>
      <c r="M2625" s="158" t="s">
        <v>28</v>
      </c>
      <c r="N2625" s="159" t="s">
        <v>29</v>
      </c>
    </row>
    <row r="2626" spans="1:14">
      <c r="A2626" s="148"/>
      <c r="B2626" s="149"/>
      <c r="C2626" s="160"/>
      <c r="D2626" s="151"/>
      <c r="E2626" s="152"/>
      <c r="F2626" s="153"/>
      <c r="G2626" s="154"/>
      <c r="H2626" s="154"/>
      <c r="I2626" s="154"/>
      <c r="J2626" s="155"/>
      <c r="K2626" s="156"/>
      <c r="L2626" s="157"/>
      <c r="M2626" s="158" t="s">
        <v>28</v>
      </c>
      <c r="N2626" s="159" t="s">
        <v>29</v>
      </c>
    </row>
    <row r="2627" spans="1:14">
      <c r="A2627" s="148"/>
      <c r="B2627" s="149"/>
      <c r="C2627" s="160"/>
      <c r="D2627" s="151"/>
      <c r="E2627" s="152"/>
      <c r="F2627" s="153"/>
      <c r="G2627" s="154"/>
      <c r="H2627" s="154"/>
      <c r="I2627" s="154"/>
      <c r="J2627" s="155"/>
      <c r="K2627" s="156"/>
      <c r="L2627" s="157"/>
      <c r="M2627" s="158" t="s">
        <v>28</v>
      </c>
      <c r="N2627" s="159" t="s">
        <v>29</v>
      </c>
    </row>
    <row r="2628" spans="1:14">
      <c r="A2628" s="148"/>
      <c r="B2628" s="149"/>
      <c r="C2628" s="160"/>
      <c r="D2628" s="151"/>
      <c r="E2628" s="152"/>
      <c r="F2628" s="153"/>
      <c r="G2628" s="154"/>
      <c r="H2628" s="154"/>
      <c r="I2628" s="154"/>
      <c r="J2628" s="155"/>
      <c r="K2628" s="156"/>
      <c r="L2628" s="157"/>
      <c r="M2628" s="158" t="s">
        <v>28</v>
      </c>
      <c r="N2628" s="159" t="s">
        <v>29</v>
      </c>
    </row>
    <row r="2629" spans="1:14">
      <c r="A2629" s="148"/>
      <c r="B2629" s="149"/>
      <c r="C2629" s="160"/>
      <c r="D2629" s="151"/>
      <c r="E2629" s="152"/>
      <c r="F2629" s="153"/>
      <c r="G2629" s="154"/>
      <c r="H2629" s="154"/>
      <c r="I2629" s="154"/>
      <c r="J2629" s="155"/>
      <c r="K2629" s="156"/>
      <c r="L2629" s="157"/>
      <c r="M2629" s="158" t="s">
        <v>28</v>
      </c>
      <c r="N2629" s="159" t="s">
        <v>29</v>
      </c>
    </row>
    <row r="2630" spans="1:14">
      <c r="A2630" s="148"/>
      <c r="B2630" s="149"/>
      <c r="C2630" s="160"/>
      <c r="D2630" s="151"/>
      <c r="E2630" s="152"/>
      <c r="F2630" s="153"/>
      <c r="G2630" s="154"/>
      <c r="H2630" s="154"/>
      <c r="I2630" s="154"/>
      <c r="J2630" s="155"/>
      <c r="K2630" s="156"/>
      <c r="L2630" s="157"/>
      <c r="M2630" s="158" t="s">
        <v>28</v>
      </c>
      <c r="N2630" s="159" t="s">
        <v>29</v>
      </c>
    </row>
    <row r="2631" spans="1:14">
      <c r="A2631" s="148"/>
      <c r="B2631" s="149"/>
      <c r="C2631" s="160"/>
      <c r="D2631" s="151"/>
      <c r="E2631" s="152"/>
      <c r="F2631" s="153"/>
      <c r="G2631" s="154"/>
      <c r="H2631" s="154"/>
      <c r="I2631" s="154"/>
      <c r="J2631" s="155"/>
      <c r="K2631" s="156"/>
      <c r="L2631" s="157"/>
      <c r="M2631" s="158" t="s">
        <v>28</v>
      </c>
      <c r="N2631" s="159" t="s">
        <v>29</v>
      </c>
    </row>
    <row r="2632" spans="1:14">
      <c r="A2632" s="148"/>
      <c r="B2632" s="149"/>
      <c r="C2632" s="160"/>
      <c r="D2632" s="151"/>
      <c r="E2632" s="152"/>
      <c r="F2632" s="153"/>
      <c r="G2632" s="154"/>
      <c r="H2632" s="154"/>
      <c r="I2632" s="154"/>
      <c r="J2632" s="155"/>
      <c r="K2632" s="156"/>
      <c r="L2632" s="157"/>
      <c r="M2632" s="158" t="s">
        <v>28</v>
      </c>
      <c r="N2632" s="159" t="s">
        <v>29</v>
      </c>
    </row>
    <row r="2633" spans="1:14">
      <c r="A2633" s="148"/>
      <c r="B2633" s="149"/>
      <c r="C2633" s="160"/>
      <c r="D2633" s="151"/>
      <c r="E2633" s="152"/>
      <c r="F2633" s="153"/>
      <c r="G2633" s="154"/>
      <c r="H2633" s="154"/>
      <c r="I2633" s="154"/>
      <c r="J2633" s="155"/>
      <c r="K2633" s="156"/>
      <c r="L2633" s="157"/>
      <c r="M2633" s="158" t="s">
        <v>28</v>
      </c>
      <c r="N2633" s="159" t="s">
        <v>29</v>
      </c>
    </row>
    <row r="2634" spans="1:14">
      <c r="A2634" s="148"/>
      <c r="B2634" s="149"/>
      <c r="C2634" s="160"/>
      <c r="D2634" s="151"/>
      <c r="E2634" s="152"/>
      <c r="F2634" s="153"/>
      <c r="G2634" s="154"/>
      <c r="H2634" s="154"/>
      <c r="I2634" s="154"/>
      <c r="J2634" s="155"/>
      <c r="K2634" s="156"/>
      <c r="L2634" s="157"/>
      <c r="M2634" s="158" t="s">
        <v>28</v>
      </c>
      <c r="N2634" s="159" t="s">
        <v>29</v>
      </c>
    </row>
    <row r="2635" spans="1:14">
      <c r="A2635" s="148"/>
      <c r="B2635" s="149"/>
      <c r="C2635" s="160"/>
      <c r="D2635" s="151"/>
      <c r="E2635" s="152"/>
      <c r="F2635" s="153"/>
      <c r="G2635" s="154"/>
      <c r="H2635" s="154"/>
      <c r="I2635" s="154"/>
      <c r="J2635" s="155"/>
      <c r="K2635" s="156"/>
      <c r="L2635" s="157"/>
      <c r="M2635" s="158" t="s">
        <v>28</v>
      </c>
      <c r="N2635" s="159" t="s">
        <v>29</v>
      </c>
    </row>
    <row r="2636" spans="1:14">
      <c r="A2636" s="148"/>
      <c r="B2636" s="149"/>
      <c r="C2636" s="160"/>
      <c r="D2636" s="151"/>
      <c r="E2636" s="152"/>
      <c r="F2636" s="153"/>
      <c r="G2636" s="154"/>
      <c r="H2636" s="154"/>
      <c r="I2636" s="154"/>
      <c r="J2636" s="155"/>
      <c r="K2636" s="156"/>
      <c r="L2636" s="157"/>
      <c r="M2636" s="158" t="s">
        <v>28</v>
      </c>
      <c r="N2636" s="159" t="s">
        <v>29</v>
      </c>
    </row>
    <row r="2637" spans="1:14">
      <c r="A2637" s="148"/>
      <c r="B2637" s="149"/>
      <c r="C2637" s="160"/>
      <c r="D2637" s="151"/>
      <c r="E2637" s="152"/>
      <c r="F2637" s="153"/>
      <c r="G2637" s="154"/>
      <c r="H2637" s="154"/>
      <c r="I2637" s="154"/>
      <c r="J2637" s="155"/>
      <c r="K2637" s="156"/>
      <c r="L2637" s="157"/>
      <c r="M2637" s="158" t="s">
        <v>28</v>
      </c>
      <c r="N2637" s="159" t="s">
        <v>29</v>
      </c>
    </row>
    <row r="2638" spans="1:14">
      <c r="A2638" s="148"/>
      <c r="B2638" s="149"/>
      <c r="C2638" s="160"/>
      <c r="D2638" s="151"/>
      <c r="E2638" s="152"/>
      <c r="F2638" s="153"/>
      <c r="G2638" s="154"/>
      <c r="H2638" s="154"/>
      <c r="I2638" s="154"/>
      <c r="J2638" s="155"/>
      <c r="K2638" s="156"/>
      <c r="L2638" s="157"/>
      <c r="M2638" s="158" t="s">
        <v>28</v>
      </c>
      <c r="N2638" s="159" t="s">
        <v>29</v>
      </c>
    </row>
    <row r="2639" spans="1:14">
      <c r="A2639" s="148"/>
      <c r="B2639" s="149"/>
      <c r="C2639" s="160"/>
      <c r="D2639" s="151"/>
      <c r="E2639" s="152"/>
      <c r="F2639" s="153"/>
      <c r="G2639" s="154"/>
      <c r="H2639" s="154"/>
      <c r="I2639" s="154"/>
      <c r="J2639" s="155"/>
      <c r="K2639" s="156"/>
      <c r="L2639" s="157"/>
      <c r="M2639" s="158" t="s">
        <v>28</v>
      </c>
      <c r="N2639" s="159" t="s">
        <v>29</v>
      </c>
    </row>
    <row r="2640" spans="1:14">
      <c r="A2640" s="148"/>
      <c r="B2640" s="149"/>
      <c r="C2640" s="160"/>
      <c r="D2640" s="151"/>
      <c r="E2640" s="152"/>
      <c r="F2640" s="153"/>
      <c r="G2640" s="154"/>
      <c r="H2640" s="154"/>
      <c r="I2640" s="154"/>
      <c r="J2640" s="155"/>
      <c r="K2640" s="156"/>
      <c r="L2640" s="157"/>
      <c r="M2640" s="158" t="s">
        <v>28</v>
      </c>
      <c r="N2640" s="159" t="s">
        <v>29</v>
      </c>
    </row>
    <row r="2641" spans="1:14">
      <c r="A2641" s="148"/>
      <c r="B2641" s="149"/>
      <c r="C2641" s="160"/>
      <c r="D2641" s="151"/>
      <c r="E2641" s="152"/>
      <c r="F2641" s="153"/>
      <c r="G2641" s="154"/>
      <c r="H2641" s="154"/>
      <c r="I2641" s="154"/>
      <c r="J2641" s="155"/>
      <c r="K2641" s="156"/>
      <c r="L2641" s="157"/>
      <c r="M2641" s="158" t="s">
        <v>28</v>
      </c>
      <c r="N2641" s="159" t="s">
        <v>29</v>
      </c>
    </row>
    <row r="2642" spans="1:14">
      <c r="A2642" s="148"/>
      <c r="B2642" s="149"/>
      <c r="C2642" s="160"/>
      <c r="D2642" s="151"/>
      <c r="E2642" s="152"/>
      <c r="F2642" s="153"/>
      <c r="G2642" s="154"/>
      <c r="H2642" s="154"/>
      <c r="I2642" s="154"/>
      <c r="J2642" s="155"/>
      <c r="K2642" s="156"/>
      <c r="L2642" s="157"/>
      <c r="M2642" s="158" t="s">
        <v>28</v>
      </c>
      <c r="N2642" s="159" t="s">
        <v>29</v>
      </c>
    </row>
    <row r="2643" spans="1:14">
      <c r="A2643" s="148"/>
      <c r="B2643" s="149"/>
      <c r="C2643" s="160"/>
      <c r="D2643" s="151"/>
      <c r="E2643" s="152"/>
      <c r="F2643" s="153"/>
      <c r="G2643" s="154"/>
      <c r="H2643" s="154"/>
      <c r="I2643" s="154"/>
      <c r="J2643" s="155"/>
      <c r="K2643" s="156"/>
      <c r="L2643" s="157"/>
      <c r="M2643" s="158" t="s">
        <v>28</v>
      </c>
      <c r="N2643" s="159" t="s">
        <v>29</v>
      </c>
    </row>
    <row r="2644" spans="1:14">
      <c r="A2644" s="148"/>
      <c r="B2644" s="149"/>
      <c r="C2644" s="150"/>
      <c r="D2644" s="151"/>
      <c r="E2644" s="152"/>
      <c r="F2644" s="153"/>
      <c r="G2644" s="154"/>
      <c r="H2644" s="154"/>
      <c r="I2644" s="154"/>
      <c r="J2644" s="155"/>
      <c r="K2644" s="156"/>
      <c r="L2644" s="157"/>
      <c r="M2644" s="158" t="s">
        <v>28</v>
      </c>
      <c r="N2644" s="159" t="s">
        <v>29</v>
      </c>
    </row>
    <row r="2645" spans="1:14">
      <c r="A2645" s="148"/>
      <c r="B2645" s="149"/>
      <c r="C2645" s="150"/>
      <c r="D2645" s="151"/>
      <c r="E2645" s="152"/>
      <c r="F2645" s="153"/>
      <c r="G2645" s="154"/>
      <c r="H2645" s="154"/>
      <c r="I2645" s="154"/>
      <c r="J2645" s="155"/>
      <c r="K2645" s="156"/>
      <c r="L2645" s="157"/>
      <c r="M2645" s="158" t="s">
        <v>28</v>
      </c>
      <c r="N2645" s="159" t="s">
        <v>29</v>
      </c>
    </row>
    <row r="2646" spans="1:14">
      <c r="A2646" s="148"/>
      <c r="B2646" s="149"/>
      <c r="C2646" s="150"/>
      <c r="D2646" s="151"/>
      <c r="E2646" s="152"/>
      <c r="F2646" s="153"/>
      <c r="G2646" s="154"/>
      <c r="H2646" s="154"/>
      <c r="I2646" s="154"/>
      <c r="J2646" s="155"/>
      <c r="K2646" s="156"/>
      <c r="L2646" s="157"/>
      <c r="M2646" s="158" t="s">
        <v>28</v>
      </c>
      <c r="N2646" s="159" t="s">
        <v>29</v>
      </c>
    </row>
    <row r="2647" spans="1:14">
      <c r="A2647" s="148"/>
      <c r="B2647" s="149"/>
      <c r="C2647" s="150"/>
      <c r="D2647" s="151"/>
      <c r="E2647" s="152"/>
      <c r="F2647" s="153"/>
      <c r="G2647" s="154"/>
      <c r="H2647" s="154"/>
      <c r="I2647" s="154"/>
      <c r="J2647" s="155"/>
      <c r="K2647" s="156"/>
      <c r="L2647" s="157"/>
      <c r="M2647" s="158" t="s">
        <v>28</v>
      </c>
      <c r="N2647" s="159" t="s">
        <v>29</v>
      </c>
    </row>
    <row r="2648" spans="1:14">
      <c r="A2648" s="148"/>
      <c r="B2648" s="149"/>
      <c r="C2648" s="150"/>
      <c r="D2648" s="151"/>
      <c r="E2648" s="152"/>
      <c r="F2648" s="153"/>
      <c r="G2648" s="154"/>
      <c r="H2648" s="154"/>
      <c r="I2648" s="154"/>
      <c r="J2648" s="155"/>
      <c r="K2648" s="156"/>
      <c r="L2648" s="157"/>
      <c r="M2648" s="158" t="s">
        <v>28</v>
      </c>
      <c r="N2648" s="159" t="s">
        <v>29</v>
      </c>
    </row>
    <row r="2649" spans="1:14">
      <c r="A2649" s="148"/>
      <c r="B2649" s="149"/>
      <c r="C2649" s="150"/>
      <c r="D2649" s="151"/>
      <c r="E2649" s="152"/>
      <c r="F2649" s="153"/>
      <c r="G2649" s="154"/>
      <c r="H2649" s="154"/>
      <c r="I2649" s="154"/>
      <c r="J2649" s="155"/>
      <c r="K2649" s="156"/>
      <c r="L2649" s="157"/>
      <c r="M2649" s="158" t="s">
        <v>28</v>
      </c>
      <c r="N2649" s="159" t="s">
        <v>29</v>
      </c>
    </row>
    <row r="2650" spans="1:14">
      <c r="A2650" s="148"/>
      <c r="B2650" s="149"/>
      <c r="C2650" s="150"/>
      <c r="D2650" s="151"/>
      <c r="E2650" s="152"/>
      <c r="F2650" s="153"/>
      <c r="G2650" s="154"/>
      <c r="H2650" s="154"/>
      <c r="I2650" s="154"/>
      <c r="J2650" s="155"/>
      <c r="K2650" s="156"/>
      <c r="L2650" s="157"/>
      <c r="M2650" s="158" t="s">
        <v>28</v>
      </c>
      <c r="N2650" s="159" t="s">
        <v>29</v>
      </c>
    </row>
    <row r="2651" spans="1:14">
      <c r="A2651" s="148"/>
      <c r="B2651" s="149"/>
      <c r="C2651" s="150"/>
      <c r="D2651" s="151"/>
      <c r="E2651" s="152"/>
      <c r="F2651" s="153"/>
      <c r="G2651" s="154"/>
      <c r="H2651" s="154"/>
      <c r="I2651" s="154"/>
      <c r="J2651" s="155"/>
      <c r="K2651" s="156"/>
      <c r="L2651" s="157"/>
      <c r="M2651" s="158" t="s">
        <v>28</v>
      </c>
      <c r="N2651" s="159" t="s">
        <v>29</v>
      </c>
    </row>
    <row r="2652" spans="1:14">
      <c r="A2652" s="148"/>
      <c r="B2652" s="149"/>
      <c r="C2652" s="150"/>
      <c r="D2652" s="151"/>
      <c r="E2652" s="152"/>
      <c r="F2652" s="153"/>
      <c r="G2652" s="154"/>
      <c r="H2652" s="154"/>
      <c r="I2652" s="154"/>
      <c r="J2652" s="155"/>
      <c r="K2652" s="156"/>
      <c r="L2652" s="157"/>
      <c r="M2652" s="158" t="s">
        <v>28</v>
      </c>
      <c r="N2652" s="159" t="s">
        <v>29</v>
      </c>
    </row>
    <row r="2653" spans="1:14">
      <c r="A2653" s="148"/>
      <c r="B2653" s="149"/>
      <c r="C2653" s="150"/>
      <c r="D2653" s="151"/>
      <c r="E2653" s="152"/>
      <c r="F2653" s="153"/>
      <c r="G2653" s="154"/>
      <c r="H2653" s="154"/>
      <c r="I2653" s="154"/>
      <c r="J2653" s="155"/>
      <c r="K2653" s="156"/>
      <c r="L2653" s="157"/>
      <c r="M2653" s="158" t="s">
        <v>28</v>
      </c>
      <c r="N2653" s="159" t="s">
        <v>29</v>
      </c>
    </row>
    <row r="2654" spans="1:14">
      <c r="A2654" s="148"/>
      <c r="B2654" s="149"/>
      <c r="C2654" s="150"/>
      <c r="D2654" s="151"/>
      <c r="E2654" s="152"/>
      <c r="F2654" s="153"/>
      <c r="G2654" s="154"/>
      <c r="H2654" s="154"/>
      <c r="I2654" s="154"/>
      <c r="J2654" s="155"/>
      <c r="K2654" s="156"/>
      <c r="L2654" s="157"/>
      <c r="M2654" s="158" t="s">
        <v>28</v>
      </c>
      <c r="N2654" s="159" t="s">
        <v>29</v>
      </c>
    </row>
    <row r="2655" spans="1:14">
      <c r="A2655" s="148"/>
      <c r="B2655" s="149"/>
      <c r="C2655" s="150"/>
      <c r="D2655" s="151"/>
      <c r="E2655" s="152"/>
      <c r="F2655" s="153"/>
      <c r="G2655" s="154"/>
      <c r="H2655" s="154"/>
      <c r="I2655" s="154"/>
      <c r="J2655" s="155"/>
      <c r="K2655" s="156"/>
      <c r="L2655" s="157"/>
      <c r="M2655" s="158" t="s">
        <v>28</v>
      </c>
      <c r="N2655" s="159" t="s">
        <v>29</v>
      </c>
    </row>
    <row r="2656" spans="1:14">
      <c r="A2656" s="148"/>
      <c r="B2656" s="149"/>
      <c r="C2656" s="150"/>
      <c r="D2656" s="151"/>
      <c r="E2656" s="152"/>
      <c r="F2656" s="153"/>
      <c r="G2656" s="154"/>
      <c r="H2656" s="154"/>
      <c r="I2656" s="154"/>
      <c r="J2656" s="155"/>
      <c r="K2656" s="156"/>
      <c r="L2656" s="157"/>
      <c r="M2656" s="158" t="s">
        <v>28</v>
      </c>
      <c r="N2656" s="159" t="s">
        <v>29</v>
      </c>
    </row>
    <row r="2657" spans="1:14">
      <c r="A2657" s="148"/>
      <c r="B2657" s="149"/>
      <c r="C2657" s="150"/>
      <c r="D2657" s="151"/>
      <c r="E2657" s="152"/>
      <c r="F2657" s="153"/>
      <c r="G2657" s="154"/>
      <c r="H2657" s="154"/>
      <c r="I2657" s="154"/>
      <c r="J2657" s="155"/>
      <c r="K2657" s="156"/>
      <c r="L2657" s="157"/>
      <c r="M2657" s="158" t="s">
        <v>28</v>
      </c>
      <c r="N2657" s="159" t="s">
        <v>29</v>
      </c>
    </row>
    <row r="2658" spans="1:14">
      <c r="A2658" s="148"/>
      <c r="B2658" s="149"/>
      <c r="C2658" s="150"/>
      <c r="D2658" s="151"/>
      <c r="E2658" s="152"/>
      <c r="F2658" s="153"/>
      <c r="G2658" s="154"/>
      <c r="H2658" s="154"/>
      <c r="I2658" s="154"/>
      <c r="J2658" s="155"/>
      <c r="K2658" s="156"/>
      <c r="L2658" s="157"/>
      <c r="M2658" s="158" t="s">
        <v>28</v>
      </c>
      <c r="N2658" s="159" t="s">
        <v>29</v>
      </c>
    </row>
    <row r="2659" spans="1:14">
      <c r="A2659" s="148"/>
      <c r="B2659" s="149"/>
      <c r="C2659" s="150"/>
      <c r="D2659" s="151"/>
      <c r="E2659" s="152"/>
      <c r="F2659" s="153"/>
      <c r="G2659" s="154"/>
      <c r="H2659" s="154"/>
      <c r="I2659" s="154"/>
      <c r="J2659" s="155"/>
      <c r="K2659" s="156"/>
      <c r="L2659" s="157"/>
      <c r="M2659" s="158" t="s">
        <v>28</v>
      </c>
      <c r="N2659" s="159" t="s">
        <v>29</v>
      </c>
    </row>
    <row r="2660" spans="1:14">
      <c r="A2660" s="148"/>
      <c r="B2660" s="149"/>
      <c r="C2660" s="150"/>
      <c r="D2660" s="151"/>
      <c r="E2660" s="152"/>
      <c r="F2660" s="153"/>
      <c r="G2660" s="154"/>
      <c r="H2660" s="154"/>
      <c r="I2660" s="154"/>
      <c r="J2660" s="155"/>
      <c r="K2660" s="156"/>
      <c r="L2660" s="157"/>
      <c r="M2660" s="158" t="s">
        <v>28</v>
      </c>
      <c r="N2660" s="159" t="s">
        <v>29</v>
      </c>
    </row>
    <row r="2661" spans="1:14">
      <c r="A2661" s="148"/>
      <c r="B2661" s="149"/>
      <c r="C2661" s="150"/>
      <c r="D2661" s="151"/>
      <c r="E2661" s="152"/>
      <c r="F2661" s="153"/>
      <c r="G2661" s="154"/>
      <c r="H2661" s="154"/>
      <c r="I2661" s="154"/>
      <c r="J2661" s="155"/>
      <c r="K2661" s="156"/>
      <c r="L2661" s="157"/>
      <c r="M2661" s="158" t="s">
        <v>28</v>
      </c>
      <c r="N2661" s="159" t="s">
        <v>29</v>
      </c>
    </row>
    <row r="2662" spans="1:14">
      <c r="A2662" s="148"/>
      <c r="B2662" s="149"/>
      <c r="C2662" s="150"/>
      <c r="D2662" s="151"/>
      <c r="E2662" s="152"/>
      <c r="F2662" s="153"/>
      <c r="G2662" s="154"/>
      <c r="H2662" s="154"/>
      <c r="I2662" s="154"/>
      <c r="J2662" s="155"/>
      <c r="K2662" s="156"/>
      <c r="L2662" s="157"/>
      <c r="M2662" s="158" t="s">
        <v>28</v>
      </c>
      <c r="N2662" s="159" t="s">
        <v>29</v>
      </c>
    </row>
    <row r="2663" spans="1:14">
      <c r="A2663" s="148"/>
      <c r="B2663" s="149"/>
      <c r="C2663" s="150"/>
      <c r="D2663" s="151"/>
      <c r="E2663" s="152"/>
      <c r="F2663" s="153"/>
      <c r="G2663" s="154"/>
      <c r="H2663" s="154"/>
      <c r="I2663" s="154"/>
      <c r="J2663" s="155"/>
      <c r="K2663" s="156"/>
      <c r="L2663" s="157"/>
      <c r="M2663" s="158" t="s">
        <v>28</v>
      </c>
      <c r="N2663" s="159" t="s">
        <v>29</v>
      </c>
    </row>
    <row r="2664" spans="1:14">
      <c r="A2664" s="148"/>
      <c r="B2664" s="149"/>
      <c r="C2664" s="150"/>
      <c r="D2664" s="151"/>
      <c r="E2664" s="152"/>
      <c r="F2664" s="153"/>
      <c r="G2664" s="154"/>
      <c r="H2664" s="154"/>
      <c r="I2664" s="154"/>
      <c r="J2664" s="155"/>
      <c r="K2664" s="156"/>
      <c r="L2664" s="157"/>
      <c r="M2664" s="158" t="s">
        <v>28</v>
      </c>
      <c r="N2664" s="159" t="s">
        <v>29</v>
      </c>
    </row>
    <row r="2665" spans="1:14">
      <c r="A2665" s="148"/>
      <c r="B2665" s="149"/>
      <c r="C2665" s="150"/>
      <c r="D2665" s="151"/>
      <c r="E2665" s="152"/>
      <c r="F2665" s="153"/>
      <c r="G2665" s="154"/>
      <c r="H2665" s="154"/>
      <c r="I2665" s="154"/>
      <c r="J2665" s="155"/>
      <c r="K2665" s="156"/>
      <c r="L2665" s="157"/>
      <c r="M2665" s="158" t="s">
        <v>28</v>
      </c>
      <c r="N2665" s="159" t="s">
        <v>29</v>
      </c>
    </row>
    <row r="2666" spans="1:14">
      <c r="A2666" s="148"/>
      <c r="B2666" s="149"/>
      <c r="C2666" s="150"/>
      <c r="D2666" s="151"/>
      <c r="E2666" s="152"/>
      <c r="F2666" s="153"/>
      <c r="G2666" s="154"/>
      <c r="H2666" s="154"/>
      <c r="I2666" s="154"/>
      <c r="J2666" s="155"/>
      <c r="K2666" s="156"/>
      <c r="L2666" s="157"/>
      <c r="M2666" s="158" t="s">
        <v>28</v>
      </c>
      <c r="N2666" s="159" t="s">
        <v>29</v>
      </c>
    </row>
    <row r="2667" spans="1:14">
      <c r="A2667" s="148"/>
      <c r="B2667" s="149"/>
      <c r="C2667" s="150"/>
      <c r="D2667" s="151"/>
      <c r="E2667" s="152"/>
      <c r="F2667" s="153"/>
      <c r="G2667" s="154"/>
      <c r="H2667" s="154"/>
      <c r="I2667" s="154"/>
      <c r="J2667" s="155"/>
      <c r="K2667" s="156"/>
      <c r="L2667" s="157"/>
      <c r="M2667" s="158" t="s">
        <v>28</v>
      </c>
      <c r="N2667" s="159" t="s">
        <v>29</v>
      </c>
    </row>
    <row r="2668" spans="1:14">
      <c r="A2668" s="148"/>
      <c r="B2668" s="149"/>
      <c r="C2668" s="150"/>
      <c r="D2668" s="151"/>
      <c r="E2668" s="152"/>
      <c r="F2668" s="153"/>
      <c r="G2668" s="154"/>
      <c r="H2668" s="154"/>
      <c r="I2668" s="154"/>
      <c r="J2668" s="155"/>
      <c r="K2668" s="156"/>
      <c r="L2668" s="157"/>
      <c r="M2668" s="158" t="s">
        <v>28</v>
      </c>
      <c r="N2668" s="159" t="s">
        <v>29</v>
      </c>
    </row>
    <row r="2669" spans="1:14">
      <c r="A2669" s="148"/>
      <c r="B2669" s="149"/>
      <c r="C2669" s="160"/>
      <c r="D2669" s="151"/>
      <c r="E2669" s="152"/>
      <c r="F2669" s="153"/>
      <c r="G2669" s="154"/>
      <c r="H2669" s="154"/>
      <c r="I2669" s="154"/>
      <c r="J2669" s="155"/>
      <c r="K2669" s="156"/>
      <c r="L2669" s="157"/>
      <c r="M2669" s="158" t="s">
        <v>28</v>
      </c>
      <c r="N2669" s="159" t="s">
        <v>29</v>
      </c>
    </row>
    <row r="2670" spans="1:14">
      <c r="A2670" s="148"/>
      <c r="B2670" s="149"/>
      <c r="C2670" s="160"/>
      <c r="D2670" s="151"/>
      <c r="E2670" s="152"/>
      <c r="F2670" s="153"/>
      <c r="G2670" s="154"/>
      <c r="H2670" s="154"/>
      <c r="I2670" s="154"/>
      <c r="J2670" s="155"/>
      <c r="K2670" s="156"/>
      <c r="L2670" s="157"/>
      <c r="M2670" s="158" t="s">
        <v>28</v>
      </c>
      <c r="N2670" s="159" t="s">
        <v>29</v>
      </c>
    </row>
    <row r="2671" spans="1:14">
      <c r="A2671" s="148"/>
      <c r="B2671" s="149"/>
      <c r="C2671" s="160"/>
      <c r="D2671" s="151"/>
      <c r="E2671" s="152"/>
      <c r="F2671" s="153"/>
      <c r="G2671" s="154"/>
      <c r="H2671" s="154"/>
      <c r="I2671" s="154"/>
      <c r="J2671" s="155"/>
      <c r="K2671" s="156"/>
      <c r="L2671" s="157"/>
      <c r="M2671" s="158" t="s">
        <v>28</v>
      </c>
      <c r="N2671" s="159" t="s">
        <v>29</v>
      </c>
    </row>
    <row r="2672" spans="1:14">
      <c r="A2672" s="148"/>
      <c r="B2672" s="149"/>
      <c r="C2672" s="160"/>
      <c r="D2672" s="151"/>
      <c r="E2672" s="152"/>
      <c r="F2672" s="153"/>
      <c r="G2672" s="154"/>
      <c r="H2672" s="154"/>
      <c r="I2672" s="154"/>
      <c r="J2672" s="155"/>
      <c r="K2672" s="156"/>
      <c r="L2672" s="157"/>
      <c r="M2672" s="158" t="s">
        <v>28</v>
      </c>
      <c r="N2672" s="159" t="s">
        <v>29</v>
      </c>
    </row>
    <row r="2673" spans="1:14">
      <c r="A2673" s="148"/>
      <c r="B2673" s="149"/>
      <c r="C2673" s="160"/>
      <c r="D2673" s="151"/>
      <c r="E2673" s="152"/>
      <c r="F2673" s="153"/>
      <c r="G2673" s="154"/>
      <c r="H2673" s="154"/>
      <c r="I2673" s="154"/>
      <c r="J2673" s="155"/>
      <c r="K2673" s="156"/>
      <c r="L2673" s="157"/>
      <c r="M2673" s="158" t="s">
        <v>28</v>
      </c>
      <c r="N2673" s="159" t="s">
        <v>29</v>
      </c>
    </row>
    <row r="2674" spans="1:14">
      <c r="A2674" s="148"/>
      <c r="B2674" s="149"/>
      <c r="C2674" s="160"/>
      <c r="D2674" s="151"/>
      <c r="E2674" s="152"/>
      <c r="F2674" s="153"/>
      <c r="G2674" s="154"/>
      <c r="H2674" s="154"/>
      <c r="I2674" s="154"/>
      <c r="J2674" s="155"/>
      <c r="K2674" s="156"/>
      <c r="L2674" s="157"/>
      <c r="M2674" s="158" t="s">
        <v>28</v>
      </c>
      <c r="N2674" s="159" t="s">
        <v>29</v>
      </c>
    </row>
    <row r="2675" spans="1:14">
      <c r="A2675" s="148"/>
      <c r="B2675" s="149"/>
      <c r="C2675" s="160"/>
      <c r="D2675" s="151"/>
      <c r="E2675" s="152"/>
      <c r="F2675" s="153"/>
      <c r="G2675" s="154"/>
      <c r="H2675" s="154"/>
      <c r="I2675" s="154"/>
      <c r="J2675" s="155"/>
      <c r="K2675" s="156"/>
      <c r="L2675" s="157"/>
      <c r="M2675" s="158" t="s">
        <v>28</v>
      </c>
      <c r="N2675" s="159" t="s">
        <v>29</v>
      </c>
    </row>
    <row r="2676" spans="1:14">
      <c r="A2676" s="148"/>
      <c r="B2676" s="149"/>
      <c r="C2676" s="160"/>
      <c r="D2676" s="151"/>
      <c r="E2676" s="152"/>
      <c r="F2676" s="153"/>
      <c r="G2676" s="154"/>
      <c r="H2676" s="154"/>
      <c r="I2676" s="154"/>
      <c r="J2676" s="155"/>
      <c r="K2676" s="156"/>
      <c r="L2676" s="157"/>
      <c r="M2676" s="158" t="s">
        <v>28</v>
      </c>
      <c r="N2676" s="159" t="s">
        <v>29</v>
      </c>
    </row>
    <row r="2677" spans="1:14">
      <c r="A2677" s="148"/>
      <c r="B2677" s="149"/>
      <c r="C2677" s="160"/>
      <c r="D2677" s="151"/>
      <c r="E2677" s="152"/>
      <c r="F2677" s="153"/>
      <c r="G2677" s="154"/>
      <c r="H2677" s="154"/>
      <c r="I2677" s="154"/>
      <c r="J2677" s="155"/>
      <c r="K2677" s="156"/>
      <c r="L2677" s="157"/>
      <c r="M2677" s="158" t="s">
        <v>28</v>
      </c>
      <c r="N2677" s="159" t="s">
        <v>29</v>
      </c>
    </row>
    <row r="2678" spans="1:14">
      <c r="A2678" s="148"/>
      <c r="B2678" s="149"/>
      <c r="C2678" s="160"/>
      <c r="D2678" s="151"/>
      <c r="E2678" s="152"/>
      <c r="F2678" s="153"/>
      <c r="G2678" s="154"/>
      <c r="H2678" s="154"/>
      <c r="I2678" s="154"/>
      <c r="J2678" s="155"/>
      <c r="K2678" s="156"/>
      <c r="L2678" s="157"/>
      <c r="M2678" s="158" t="s">
        <v>28</v>
      </c>
      <c r="N2678" s="159" t="s">
        <v>29</v>
      </c>
    </row>
    <row r="2679" spans="1:14">
      <c r="A2679" s="148"/>
      <c r="B2679" s="149"/>
      <c r="C2679" s="160"/>
      <c r="D2679" s="151"/>
      <c r="E2679" s="152"/>
      <c r="F2679" s="153"/>
      <c r="G2679" s="154"/>
      <c r="H2679" s="154"/>
      <c r="I2679" s="154"/>
      <c r="J2679" s="155"/>
      <c r="K2679" s="156"/>
      <c r="L2679" s="157"/>
      <c r="M2679" s="158" t="s">
        <v>28</v>
      </c>
      <c r="N2679" s="159" t="s">
        <v>29</v>
      </c>
    </row>
    <row r="2680" spans="1:14">
      <c r="A2680" s="148"/>
      <c r="B2680" s="149"/>
      <c r="C2680" s="160"/>
      <c r="D2680" s="151"/>
      <c r="E2680" s="152"/>
      <c r="F2680" s="153"/>
      <c r="G2680" s="154"/>
      <c r="H2680" s="154"/>
      <c r="I2680" s="154"/>
      <c r="J2680" s="155"/>
      <c r="K2680" s="156"/>
      <c r="L2680" s="157"/>
      <c r="M2680" s="158" t="s">
        <v>28</v>
      </c>
      <c r="N2680" s="159" t="s">
        <v>29</v>
      </c>
    </row>
    <row r="2681" spans="1:14">
      <c r="A2681" s="148"/>
      <c r="B2681" s="149"/>
      <c r="C2681" s="160"/>
      <c r="D2681" s="151"/>
      <c r="E2681" s="152"/>
      <c r="F2681" s="153"/>
      <c r="G2681" s="154"/>
      <c r="H2681" s="154"/>
      <c r="I2681" s="154"/>
      <c r="J2681" s="155"/>
      <c r="K2681" s="156"/>
      <c r="L2681" s="157"/>
      <c r="M2681" s="158" t="s">
        <v>28</v>
      </c>
      <c r="N2681" s="159" t="s">
        <v>29</v>
      </c>
    </row>
    <row r="2682" spans="1:14">
      <c r="A2682" s="148"/>
      <c r="B2682" s="149"/>
      <c r="C2682" s="160"/>
      <c r="D2682" s="151"/>
      <c r="E2682" s="152"/>
      <c r="F2682" s="153"/>
      <c r="G2682" s="154"/>
      <c r="H2682" s="154"/>
      <c r="I2682" s="154"/>
      <c r="J2682" s="155"/>
      <c r="K2682" s="156"/>
      <c r="L2682" s="157"/>
      <c r="M2682" s="158" t="s">
        <v>28</v>
      </c>
      <c r="N2682" s="159" t="s">
        <v>29</v>
      </c>
    </row>
    <row r="2683" spans="1:14">
      <c r="A2683" s="148"/>
      <c r="B2683" s="149"/>
      <c r="C2683" s="160"/>
      <c r="D2683" s="151"/>
      <c r="E2683" s="152"/>
      <c r="F2683" s="153"/>
      <c r="G2683" s="154"/>
      <c r="H2683" s="154"/>
      <c r="I2683" s="154"/>
      <c r="J2683" s="155"/>
      <c r="K2683" s="156"/>
      <c r="L2683" s="157"/>
      <c r="M2683" s="158" t="s">
        <v>28</v>
      </c>
      <c r="N2683" s="159" t="s">
        <v>29</v>
      </c>
    </row>
    <row r="2684" spans="1:14">
      <c r="A2684" s="148"/>
      <c r="B2684" s="149"/>
      <c r="C2684" s="160"/>
      <c r="D2684" s="151"/>
      <c r="E2684" s="152"/>
      <c r="F2684" s="153"/>
      <c r="G2684" s="154"/>
      <c r="H2684" s="154"/>
      <c r="I2684" s="154"/>
      <c r="J2684" s="155"/>
      <c r="K2684" s="156"/>
      <c r="L2684" s="157"/>
      <c r="M2684" s="158" t="s">
        <v>28</v>
      </c>
      <c r="N2684" s="159" t="s">
        <v>29</v>
      </c>
    </row>
    <row r="2685" spans="1:14">
      <c r="A2685" s="148"/>
      <c r="B2685" s="149"/>
      <c r="C2685" s="160"/>
      <c r="D2685" s="151"/>
      <c r="E2685" s="152"/>
      <c r="F2685" s="153"/>
      <c r="G2685" s="154"/>
      <c r="H2685" s="154"/>
      <c r="I2685" s="154"/>
      <c r="J2685" s="155"/>
      <c r="K2685" s="156"/>
      <c r="L2685" s="157"/>
      <c r="M2685" s="158" t="s">
        <v>28</v>
      </c>
      <c r="N2685" s="159" t="s">
        <v>29</v>
      </c>
    </row>
    <row r="2686" spans="1:14">
      <c r="A2686" s="148"/>
      <c r="B2686" s="149"/>
      <c r="C2686" s="160"/>
      <c r="D2686" s="151"/>
      <c r="E2686" s="152"/>
      <c r="F2686" s="153"/>
      <c r="G2686" s="154"/>
      <c r="H2686" s="154"/>
      <c r="I2686" s="154"/>
      <c r="J2686" s="155"/>
      <c r="K2686" s="156"/>
      <c r="L2686" s="157"/>
      <c r="M2686" s="158" t="s">
        <v>28</v>
      </c>
      <c r="N2686" s="159" t="s">
        <v>29</v>
      </c>
    </row>
    <row r="2687" spans="1:14">
      <c r="A2687" s="148"/>
      <c r="B2687" s="149"/>
      <c r="C2687" s="160"/>
      <c r="D2687" s="151"/>
      <c r="E2687" s="152"/>
      <c r="F2687" s="153"/>
      <c r="G2687" s="154"/>
      <c r="H2687" s="154"/>
      <c r="I2687" s="154"/>
      <c r="J2687" s="155"/>
      <c r="K2687" s="156"/>
      <c r="L2687" s="157"/>
      <c r="M2687" s="158" t="s">
        <v>28</v>
      </c>
      <c r="N2687" s="159" t="s">
        <v>29</v>
      </c>
    </row>
    <row r="2688" spans="1:14">
      <c r="A2688" s="148"/>
      <c r="B2688" s="149"/>
      <c r="C2688" s="160"/>
      <c r="D2688" s="151"/>
      <c r="E2688" s="152"/>
      <c r="F2688" s="153"/>
      <c r="G2688" s="154"/>
      <c r="H2688" s="154"/>
      <c r="I2688" s="154"/>
      <c r="J2688" s="155"/>
      <c r="K2688" s="156"/>
      <c r="L2688" s="157"/>
      <c r="M2688" s="158" t="s">
        <v>28</v>
      </c>
      <c r="N2688" s="159" t="s">
        <v>29</v>
      </c>
    </row>
    <row r="2689" spans="1:14">
      <c r="A2689" s="148"/>
      <c r="B2689" s="149"/>
      <c r="C2689" s="160"/>
      <c r="D2689" s="151"/>
      <c r="E2689" s="152"/>
      <c r="F2689" s="153"/>
      <c r="G2689" s="154"/>
      <c r="H2689" s="154"/>
      <c r="I2689" s="154"/>
      <c r="J2689" s="155"/>
      <c r="K2689" s="156"/>
      <c r="L2689" s="157"/>
      <c r="M2689" s="158" t="s">
        <v>28</v>
      </c>
      <c r="N2689" s="159" t="s">
        <v>29</v>
      </c>
    </row>
    <row r="2690" spans="1:14">
      <c r="A2690" s="148"/>
      <c r="B2690" s="149"/>
      <c r="C2690" s="160"/>
      <c r="D2690" s="151"/>
      <c r="E2690" s="152"/>
      <c r="F2690" s="153"/>
      <c r="G2690" s="154"/>
      <c r="H2690" s="154"/>
      <c r="I2690" s="154"/>
      <c r="J2690" s="155"/>
      <c r="K2690" s="156"/>
      <c r="L2690" s="157"/>
      <c r="M2690" s="158" t="s">
        <v>28</v>
      </c>
      <c r="N2690" s="159" t="s">
        <v>29</v>
      </c>
    </row>
    <row r="2691" spans="1:14">
      <c r="A2691" s="148"/>
      <c r="B2691" s="149"/>
      <c r="C2691" s="160"/>
      <c r="D2691" s="151"/>
      <c r="E2691" s="152"/>
      <c r="F2691" s="153"/>
      <c r="G2691" s="154"/>
      <c r="H2691" s="154"/>
      <c r="I2691" s="154"/>
      <c r="J2691" s="155"/>
      <c r="K2691" s="156"/>
      <c r="L2691" s="157"/>
      <c r="M2691" s="158" t="s">
        <v>28</v>
      </c>
      <c r="N2691" s="159" t="s">
        <v>29</v>
      </c>
    </row>
    <row r="2692" spans="1:14">
      <c r="A2692" s="148"/>
      <c r="B2692" s="149"/>
      <c r="C2692" s="160"/>
      <c r="D2692" s="151"/>
      <c r="E2692" s="152"/>
      <c r="F2692" s="153"/>
      <c r="G2692" s="154"/>
      <c r="H2692" s="154"/>
      <c r="I2692" s="154"/>
      <c r="J2692" s="155"/>
      <c r="K2692" s="156"/>
      <c r="L2692" s="157"/>
      <c r="M2692" s="158" t="s">
        <v>28</v>
      </c>
      <c r="N2692" s="159" t="s">
        <v>29</v>
      </c>
    </row>
    <row r="2693" spans="1:14">
      <c r="A2693" s="148"/>
      <c r="B2693" s="149"/>
      <c r="C2693" s="160"/>
      <c r="D2693" s="151"/>
      <c r="E2693" s="152"/>
      <c r="F2693" s="153"/>
      <c r="G2693" s="154"/>
      <c r="H2693" s="154"/>
      <c r="I2693" s="154"/>
      <c r="J2693" s="155"/>
      <c r="K2693" s="156"/>
      <c r="L2693" s="157"/>
      <c r="M2693" s="158" t="s">
        <v>28</v>
      </c>
      <c r="N2693" s="159" t="s">
        <v>29</v>
      </c>
    </row>
    <row r="2694" spans="1:14">
      <c r="A2694" s="148"/>
      <c r="B2694" s="149"/>
      <c r="C2694" s="160"/>
      <c r="D2694" s="151"/>
      <c r="E2694" s="152"/>
      <c r="F2694" s="153"/>
      <c r="G2694" s="154"/>
      <c r="H2694" s="154"/>
      <c r="I2694" s="154"/>
      <c r="J2694" s="155"/>
      <c r="K2694" s="156"/>
      <c r="L2694" s="157"/>
      <c r="M2694" s="158" t="s">
        <v>28</v>
      </c>
      <c r="N2694" s="159" t="s">
        <v>29</v>
      </c>
    </row>
    <row r="2695" spans="1:14">
      <c r="A2695" s="164"/>
      <c r="B2695" s="149"/>
      <c r="C2695" s="150"/>
      <c r="D2695" s="165"/>
      <c r="E2695" s="168"/>
      <c r="F2695" s="150"/>
      <c r="G2695" s="149"/>
      <c r="H2695" s="149"/>
      <c r="I2695" s="149"/>
      <c r="J2695" s="149"/>
      <c r="K2695" s="156"/>
      <c r="L2695" s="157"/>
      <c r="M2695" s="158" t="s">
        <v>28</v>
      </c>
      <c r="N2695" s="159" t="s">
        <v>29</v>
      </c>
    </row>
    <row r="2696" spans="1:14">
      <c r="A2696" s="164"/>
      <c r="B2696" s="149"/>
      <c r="C2696" s="150"/>
      <c r="D2696" s="165"/>
      <c r="E2696" s="168"/>
      <c r="F2696" s="150"/>
      <c r="G2696" s="149"/>
      <c r="H2696" s="149"/>
      <c r="I2696" s="149"/>
      <c r="J2696" s="149"/>
      <c r="K2696" s="156"/>
      <c r="L2696" s="157"/>
      <c r="M2696" s="158" t="s">
        <v>28</v>
      </c>
      <c r="N2696" s="159" t="s">
        <v>29</v>
      </c>
    </row>
    <row r="2697" spans="1:14">
      <c r="A2697" s="164"/>
      <c r="B2697" s="149"/>
      <c r="C2697" s="150"/>
      <c r="D2697" s="165"/>
      <c r="E2697" s="168"/>
      <c r="F2697" s="150"/>
      <c r="G2697" s="149"/>
      <c r="H2697" s="149"/>
      <c r="I2697" s="149"/>
      <c r="J2697" s="149"/>
      <c r="K2697" s="156"/>
      <c r="L2697" s="157"/>
      <c r="M2697" s="158" t="s">
        <v>28</v>
      </c>
      <c r="N2697" s="159" t="s">
        <v>29</v>
      </c>
    </row>
    <row r="2698" spans="1:14">
      <c r="A2698" s="164"/>
      <c r="B2698" s="149"/>
      <c r="C2698" s="150"/>
      <c r="D2698" s="165"/>
      <c r="E2698" s="168"/>
      <c r="F2698" s="150"/>
      <c r="G2698" s="149"/>
      <c r="H2698" s="149"/>
      <c r="I2698" s="149"/>
      <c r="J2698" s="149"/>
      <c r="K2698" s="156"/>
      <c r="L2698" s="157"/>
      <c r="M2698" s="158" t="s">
        <v>28</v>
      </c>
      <c r="N2698" s="159" t="s">
        <v>29</v>
      </c>
    </row>
    <row r="2699" spans="1:14">
      <c r="A2699" s="148"/>
      <c r="B2699" s="149"/>
      <c r="C2699" s="150"/>
      <c r="D2699" s="151"/>
      <c r="E2699" s="152"/>
      <c r="F2699" s="153"/>
      <c r="G2699" s="154"/>
      <c r="H2699" s="154"/>
      <c r="I2699" s="154"/>
      <c r="J2699" s="155"/>
      <c r="K2699" s="156"/>
      <c r="L2699" s="157"/>
      <c r="M2699" s="158" t="s">
        <v>28</v>
      </c>
      <c r="N2699" s="159" t="s">
        <v>29</v>
      </c>
    </row>
    <row r="2700" spans="1:14">
      <c r="A2700" s="148"/>
      <c r="B2700" s="149"/>
      <c r="C2700" s="150"/>
      <c r="D2700" s="151"/>
      <c r="E2700" s="152"/>
      <c r="F2700" s="153"/>
      <c r="G2700" s="154"/>
      <c r="H2700" s="154"/>
      <c r="I2700" s="154"/>
      <c r="J2700" s="155"/>
      <c r="K2700" s="156"/>
      <c r="L2700" s="157"/>
      <c r="M2700" s="158" t="s">
        <v>28</v>
      </c>
      <c r="N2700" s="159" t="s">
        <v>29</v>
      </c>
    </row>
    <row r="2701" spans="1:14">
      <c r="A2701" s="148"/>
      <c r="B2701" s="149"/>
      <c r="C2701" s="150"/>
      <c r="D2701" s="151"/>
      <c r="E2701" s="152"/>
      <c r="F2701" s="153"/>
      <c r="G2701" s="154"/>
      <c r="H2701" s="154"/>
      <c r="I2701" s="154"/>
      <c r="J2701" s="155"/>
      <c r="K2701" s="156"/>
      <c r="L2701" s="157"/>
      <c r="M2701" s="158" t="s">
        <v>28</v>
      </c>
      <c r="N2701" s="159" t="s">
        <v>29</v>
      </c>
    </row>
    <row r="2702" spans="1:14">
      <c r="A2702" s="148"/>
      <c r="B2702" s="149"/>
      <c r="C2702" s="160"/>
      <c r="D2702" s="151"/>
      <c r="E2702" s="152"/>
      <c r="F2702" s="153"/>
      <c r="G2702" s="154"/>
      <c r="H2702" s="154"/>
      <c r="I2702" s="154"/>
      <c r="J2702" s="155"/>
      <c r="K2702" s="156"/>
      <c r="L2702" s="157"/>
      <c r="M2702" s="158" t="s">
        <v>28</v>
      </c>
      <c r="N2702" s="159" t="s">
        <v>29</v>
      </c>
    </row>
    <row r="2703" spans="1:14">
      <c r="A2703" s="148"/>
      <c r="B2703" s="149"/>
      <c r="C2703" s="160"/>
      <c r="D2703" s="151"/>
      <c r="E2703" s="152"/>
      <c r="F2703" s="153"/>
      <c r="G2703" s="154"/>
      <c r="H2703" s="154"/>
      <c r="I2703" s="154"/>
      <c r="J2703" s="155"/>
      <c r="K2703" s="156"/>
      <c r="L2703" s="157"/>
      <c r="M2703" s="158" t="s">
        <v>28</v>
      </c>
      <c r="N2703" s="159" t="s">
        <v>29</v>
      </c>
    </row>
    <row r="2704" spans="1:14">
      <c r="A2704" s="148"/>
      <c r="B2704" s="149"/>
      <c r="C2704" s="160"/>
      <c r="D2704" s="151"/>
      <c r="E2704" s="152"/>
      <c r="F2704" s="153"/>
      <c r="G2704" s="154"/>
      <c r="H2704" s="154"/>
      <c r="I2704" s="154"/>
      <c r="J2704" s="155"/>
      <c r="K2704" s="156"/>
      <c r="L2704" s="157"/>
      <c r="M2704" s="158" t="s">
        <v>28</v>
      </c>
      <c r="N2704" s="159" t="s">
        <v>29</v>
      </c>
    </row>
    <row r="2705" spans="1:14">
      <c r="A2705" s="148"/>
      <c r="B2705" s="149"/>
      <c r="C2705" s="160"/>
      <c r="D2705" s="151"/>
      <c r="E2705" s="152"/>
      <c r="F2705" s="153"/>
      <c r="G2705" s="154"/>
      <c r="H2705" s="154"/>
      <c r="I2705" s="154"/>
      <c r="J2705" s="155"/>
      <c r="K2705" s="156"/>
      <c r="L2705" s="157"/>
      <c r="M2705" s="158" t="s">
        <v>28</v>
      </c>
      <c r="N2705" s="159" t="s">
        <v>29</v>
      </c>
    </row>
    <row r="2706" spans="1:14">
      <c r="A2706" s="148"/>
      <c r="B2706" s="149"/>
      <c r="C2706" s="160"/>
      <c r="D2706" s="151"/>
      <c r="E2706" s="152"/>
      <c r="F2706" s="153"/>
      <c r="G2706" s="154"/>
      <c r="H2706" s="154"/>
      <c r="I2706" s="154"/>
      <c r="J2706" s="155"/>
      <c r="K2706" s="156"/>
      <c r="L2706" s="157"/>
      <c r="M2706" s="158" t="s">
        <v>28</v>
      </c>
      <c r="N2706" s="159" t="s">
        <v>29</v>
      </c>
    </row>
    <row r="2707" spans="1:14">
      <c r="A2707" s="148"/>
      <c r="B2707" s="149"/>
      <c r="C2707" s="160"/>
      <c r="D2707" s="151"/>
      <c r="E2707" s="152"/>
      <c r="F2707" s="153"/>
      <c r="G2707" s="154"/>
      <c r="H2707" s="154"/>
      <c r="I2707" s="154"/>
      <c r="J2707" s="155"/>
      <c r="K2707" s="156"/>
      <c r="L2707" s="157"/>
      <c r="M2707" s="158" t="s">
        <v>28</v>
      </c>
      <c r="N2707" s="159" t="s">
        <v>29</v>
      </c>
    </row>
    <row r="2708" spans="1:14">
      <c r="A2708" s="148"/>
      <c r="B2708" s="149"/>
      <c r="C2708" s="160"/>
      <c r="D2708" s="151"/>
      <c r="E2708" s="152"/>
      <c r="F2708" s="153"/>
      <c r="G2708" s="154"/>
      <c r="H2708" s="154"/>
      <c r="I2708" s="154"/>
      <c r="J2708" s="155"/>
      <c r="K2708" s="156"/>
      <c r="L2708" s="157"/>
      <c r="M2708" s="158" t="s">
        <v>28</v>
      </c>
      <c r="N2708" s="159" t="s">
        <v>29</v>
      </c>
    </row>
    <row r="2709" spans="1:14">
      <c r="A2709" s="148"/>
      <c r="B2709" s="149"/>
      <c r="C2709" s="160"/>
      <c r="D2709" s="151"/>
      <c r="E2709" s="152"/>
      <c r="F2709" s="153"/>
      <c r="G2709" s="154"/>
      <c r="H2709" s="154"/>
      <c r="I2709" s="154"/>
      <c r="J2709" s="155"/>
      <c r="K2709" s="156"/>
      <c r="L2709" s="157"/>
      <c r="M2709" s="158" t="s">
        <v>28</v>
      </c>
      <c r="N2709" s="159" t="s">
        <v>29</v>
      </c>
    </row>
    <row r="2710" spans="1:14">
      <c r="A2710" s="148"/>
      <c r="B2710" s="149"/>
      <c r="C2710" s="160"/>
      <c r="D2710" s="151"/>
      <c r="E2710" s="152"/>
      <c r="F2710" s="153"/>
      <c r="G2710" s="154"/>
      <c r="H2710" s="154"/>
      <c r="I2710" s="154"/>
      <c r="J2710" s="155"/>
      <c r="K2710" s="156"/>
      <c r="L2710" s="157"/>
      <c r="M2710" s="158" t="s">
        <v>28</v>
      </c>
      <c r="N2710" s="159" t="s">
        <v>29</v>
      </c>
    </row>
    <row r="2711" spans="1:14">
      <c r="A2711" s="148"/>
      <c r="B2711" s="149"/>
      <c r="C2711" s="160"/>
      <c r="D2711" s="151"/>
      <c r="E2711" s="152"/>
      <c r="F2711" s="153"/>
      <c r="G2711" s="154"/>
      <c r="H2711" s="154"/>
      <c r="I2711" s="154"/>
      <c r="J2711" s="155"/>
      <c r="K2711" s="156"/>
      <c r="L2711" s="157"/>
      <c r="M2711" s="158" t="s">
        <v>28</v>
      </c>
      <c r="N2711" s="159" t="s">
        <v>29</v>
      </c>
    </row>
    <row r="2712" spans="1:14">
      <c r="A2712" s="148"/>
      <c r="B2712" s="149"/>
      <c r="C2712" s="160"/>
      <c r="D2712" s="151"/>
      <c r="E2712" s="152"/>
      <c r="F2712" s="153"/>
      <c r="G2712" s="154"/>
      <c r="H2712" s="154"/>
      <c r="I2712" s="154"/>
      <c r="J2712" s="155"/>
      <c r="K2712" s="156"/>
      <c r="L2712" s="157"/>
      <c r="M2712" s="158" t="s">
        <v>28</v>
      </c>
      <c r="N2712" s="159" t="s">
        <v>29</v>
      </c>
    </row>
    <row r="2713" spans="1:14">
      <c r="A2713" s="148"/>
      <c r="B2713" s="149"/>
      <c r="C2713" s="160"/>
      <c r="D2713" s="151"/>
      <c r="E2713" s="152"/>
      <c r="F2713" s="153"/>
      <c r="G2713" s="154"/>
      <c r="H2713" s="154"/>
      <c r="I2713" s="154"/>
      <c r="J2713" s="155"/>
      <c r="K2713" s="156"/>
      <c r="L2713" s="157"/>
      <c r="M2713" s="158" t="s">
        <v>28</v>
      </c>
      <c r="N2713" s="159" t="s">
        <v>29</v>
      </c>
    </row>
    <row r="2714" spans="1:14">
      <c r="A2714" s="148"/>
      <c r="B2714" s="149"/>
      <c r="C2714" s="160"/>
      <c r="D2714" s="151"/>
      <c r="E2714" s="152"/>
      <c r="F2714" s="153"/>
      <c r="G2714" s="154"/>
      <c r="H2714" s="154"/>
      <c r="I2714" s="154"/>
      <c r="J2714" s="155"/>
      <c r="K2714" s="156"/>
      <c r="L2714" s="157"/>
      <c r="M2714" s="158" t="s">
        <v>28</v>
      </c>
      <c r="N2714" s="159" t="s">
        <v>29</v>
      </c>
    </row>
    <row r="2715" spans="1:14">
      <c r="A2715" s="148"/>
      <c r="B2715" s="149"/>
      <c r="C2715" s="160"/>
      <c r="D2715" s="151"/>
      <c r="E2715" s="152"/>
      <c r="F2715" s="153"/>
      <c r="G2715" s="154"/>
      <c r="H2715" s="154"/>
      <c r="I2715" s="154"/>
      <c r="J2715" s="155"/>
      <c r="K2715" s="156"/>
      <c r="L2715" s="157"/>
      <c r="M2715" s="158" t="s">
        <v>28</v>
      </c>
      <c r="N2715" s="159" t="s">
        <v>29</v>
      </c>
    </row>
    <row r="2716" spans="1:14">
      <c r="A2716" s="148"/>
      <c r="B2716" s="149"/>
      <c r="C2716" s="160"/>
      <c r="D2716" s="151"/>
      <c r="E2716" s="152"/>
      <c r="F2716" s="153"/>
      <c r="G2716" s="154"/>
      <c r="H2716" s="154"/>
      <c r="I2716" s="154"/>
      <c r="J2716" s="155"/>
      <c r="K2716" s="156"/>
      <c r="L2716" s="157"/>
      <c r="M2716" s="158" t="s">
        <v>28</v>
      </c>
      <c r="N2716" s="159" t="s">
        <v>29</v>
      </c>
    </row>
    <row r="2717" spans="1:14">
      <c r="A2717" s="148"/>
      <c r="B2717" s="149"/>
      <c r="C2717" s="160"/>
      <c r="D2717" s="151"/>
      <c r="E2717" s="152"/>
      <c r="F2717" s="153"/>
      <c r="G2717" s="154"/>
      <c r="H2717" s="154"/>
      <c r="I2717" s="154"/>
      <c r="J2717" s="155"/>
      <c r="K2717" s="156"/>
      <c r="L2717" s="157"/>
      <c r="M2717" s="158" t="s">
        <v>28</v>
      </c>
      <c r="N2717" s="159" t="s">
        <v>29</v>
      </c>
    </row>
    <row r="2718" spans="1:14">
      <c r="A2718" s="148"/>
      <c r="B2718" s="149"/>
      <c r="C2718" s="160"/>
      <c r="D2718" s="151"/>
      <c r="E2718" s="152"/>
      <c r="F2718" s="153"/>
      <c r="G2718" s="154"/>
      <c r="H2718" s="154"/>
      <c r="I2718" s="154"/>
      <c r="J2718" s="155"/>
      <c r="K2718" s="156"/>
      <c r="L2718" s="157"/>
      <c r="M2718" s="158" t="s">
        <v>28</v>
      </c>
      <c r="N2718" s="159" t="s">
        <v>29</v>
      </c>
    </row>
    <row r="2719" spans="1:14">
      <c r="A2719" s="148"/>
      <c r="B2719" s="149"/>
      <c r="C2719" s="160"/>
      <c r="D2719" s="151"/>
      <c r="E2719" s="152"/>
      <c r="F2719" s="153"/>
      <c r="G2719" s="154"/>
      <c r="H2719" s="154"/>
      <c r="I2719" s="154"/>
      <c r="J2719" s="155"/>
      <c r="K2719" s="156"/>
      <c r="L2719" s="157"/>
      <c r="M2719" s="158" t="s">
        <v>28</v>
      </c>
      <c r="N2719" s="159" t="s">
        <v>29</v>
      </c>
    </row>
    <row r="2720" spans="1:14">
      <c r="A2720" s="148"/>
      <c r="B2720" s="149"/>
      <c r="C2720" s="160"/>
      <c r="D2720" s="151"/>
      <c r="E2720" s="152"/>
      <c r="F2720" s="153"/>
      <c r="G2720" s="154"/>
      <c r="H2720" s="154"/>
      <c r="I2720" s="154"/>
      <c r="J2720" s="155"/>
      <c r="K2720" s="156"/>
      <c r="L2720" s="157"/>
      <c r="M2720" s="158" t="s">
        <v>28</v>
      </c>
      <c r="N2720" s="159" t="s">
        <v>29</v>
      </c>
    </row>
    <row r="2721" spans="1:14">
      <c r="A2721" s="148"/>
      <c r="B2721" s="149"/>
      <c r="C2721" s="160"/>
      <c r="D2721" s="151"/>
      <c r="E2721" s="152"/>
      <c r="F2721" s="153"/>
      <c r="G2721" s="154"/>
      <c r="H2721" s="154"/>
      <c r="I2721" s="154"/>
      <c r="J2721" s="155"/>
      <c r="K2721" s="156"/>
      <c r="L2721" s="157"/>
      <c r="M2721" s="158" t="s">
        <v>28</v>
      </c>
      <c r="N2721" s="159" t="s">
        <v>29</v>
      </c>
    </row>
    <row r="2722" spans="1:14">
      <c r="A2722" s="148"/>
      <c r="B2722" s="149"/>
      <c r="C2722" s="160"/>
      <c r="D2722" s="151"/>
      <c r="E2722" s="152"/>
      <c r="F2722" s="153"/>
      <c r="G2722" s="154"/>
      <c r="H2722" s="154"/>
      <c r="I2722" s="154"/>
      <c r="J2722" s="155"/>
      <c r="K2722" s="156"/>
      <c r="L2722" s="157"/>
      <c r="M2722" s="158" t="s">
        <v>28</v>
      </c>
      <c r="N2722" s="159" t="s">
        <v>29</v>
      </c>
    </row>
    <row r="2723" spans="1:14">
      <c r="A2723" s="148"/>
      <c r="B2723" s="149"/>
      <c r="C2723" s="160"/>
      <c r="D2723" s="151"/>
      <c r="E2723" s="152"/>
      <c r="F2723" s="153"/>
      <c r="G2723" s="154"/>
      <c r="H2723" s="154"/>
      <c r="I2723" s="154"/>
      <c r="J2723" s="155"/>
      <c r="K2723" s="156"/>
      <c r="L2723" s="157"/>
      <c r="M2723" s="158" t="s">
        <v>28</v>
      </c>
      <c r="N2723" s="159" t="s">
        <v>29</v>
      </c>
    </row>
    <row r="2724" spans="1:14">
      <c r="A2724" s="148"/>
      <c r="B2724" s="149"/>
      <c r="C2724" s="160"/>
      <c r="D2724" s="151"/>
      <c r="E2724" s="152"/>
      <c r="F2724" s="153"/>
      <c r="G2724" s="154"/>
      <c r="H2724" s="154"/>
      <c r="I2724" s="154"/>
      <c r="J2724" s="155"/>
      <c r="K2724" s="156"/>
      <c r="L2724" s="157"/>
      <c r="M2724" s="158" t="s">
        <v>28</v>
      </c>
      <c r="N2724" s="159" t="s">
        <v>29</v>
      </c>
    </row>
    <row r="2725" spans="1:14">
      <c r="A2725" s="148"/>
      <c r="B2725" s="149"/>
      <c r="C2725" s="160"/>
      <c r="D2725" s="151"/>
      <c r="E2725" s="152"/>
      <c r="F2725" s="153"/>
      <c r="G2725" s="154"/>
      <c r="H2725" s="154"/>
      <c r="I2725" s="154"/>
      <c r="J2725" s="155"/>
      <c r="K2725" s="156"/>
      <c r="L2725" s="157"/>
      <c r="M2725" s="158" t="s">
        <v>28</v>
      </c>
      <c r="N2725" s="159" t="s">
        <v>29</v>
      </c>
    </row>
    <row r="2726" spans="1:14">
      <c r="A2726" s="148"/>
      <c r="B2726" s="149"/>
      <c r="C2726" s="160"/>
      <c r="D2726" s="151"/>
      <c r="E2726" s="152"/>
      <c r="F2726" s="153"/>
      <c r="G2726" s="154"/>
      <c r="H2726" s="154"/>
      <c r="I2726" s="154"/>
      <c r="J2726" s="155"/>
      <c r="K2726" s="156"/>
      <c r="L2726" s="157"/>
      <c r="M2726" s="158" t="s">
        <v>28</v>
      </c>
      <c r="N2726" s="159" t="s">
        <v>29</v>
      </c>
    </row>
    <row r="2727" spans="1:14">
      <c r="A2727" s="148"/>
      <c r="B2727" s="149"/>
      <c r="C2727" s="160"/>
      <c r="D2727" s="151"/>
      <c r="E2727" s="152"/>
      <c r="F2727" s="153"/>
      <c r="G2727" s="154"/>
      <c r="H2727" s="154"/>
      <c r="I2727" s="154"/>
      <c r="J2727" s="155"/>
      <c r="K2727" s="156"/>
      <c r="L2727" s="157"/>
      <c r="M2727" s="158" t="s">
        <v>28</v>
      </c>
      <c r="N2727" s="159" t="s">
        <v>29</v>
      </c>
    </row>
    <row r="2728" spans="1:14">
      <c r="A2728" s="148"/>
      <c r="B2728" s="149"/>
      <c r="C2728" s="160"/>
      <c r="D2728" s="151"/>
      <c r="E2728" s="152"/>
      <c r="F2728" s="153"/>
      <c r="G2728" s="154"/>
      <c r="H2728" s="154"/>
      <c r="I2728" s="154"/>
      <c r="J2728" s="155"/>
      <c r="K2728" s="156"/>
      <c r="L2728" s="157"/>
      <c r="M2728" s="158" t="s">
        <v>28</v>
      </c>
      <c r="N2728" s="159" t="s">
        <v>29</v>
      </c>
    </row>
    <row r="2729" spans="1:14">
      <c r="A2729" s="148"/>
      <c r="B2729" s="149"/>
      <c r="C2729" s="160"/>
      <c r="D2729" s="151"/>
      <c r="E2729" s="152"/>
      <c r="F2729" s="153"/>
      <c r="G2729" s="154"/>
      <c r="H2729" s="154"/>
      <c r="I2729" s="154"/>
      <c r="J2729" s="155"/>
      <c r="K2729" s="156"/>
      <c r="L2729" s="157"/>
      <c r="M2729" s="158" t="s">
        <v>28</v>
      </c>
      <c r="N2729" s="159" t="s">
        <v>29</v>
      </c>
    </row>
    <row r="2730" spans="1:14">
      <c r="A2730" s="148"/>
      <c r="B2730" s="149"/>
      <c r="C2730" s="160"/>
      <c r="D2730" s="151"/>
      <c r="E2730" s="152"/>
      <c r="F2730" s="153"/>
      <c r="G2730" s="154"/>
      <c r="H2730" s="154"/>
      <c r="I2730" s="154"/>
      <c r="J2730" s="155"/>
      <c r="K2730" s="156"/>
      <c r="L2730" s="157"/>
      <c r="M2730" s="158" t="s">
        <v>28</v>
      </c>
      <c r="N2730" s="159" t="s">
        <v>29</v>
      </c>
    </row>
    <row r="2731" spans="1:14">
      <c r="A2731" s="148"/>
      <c r="B2731" s="149"/>
      <c r="C2731" s="160"/>
      <c r="D2731" s="151"/>
      <c r="E2731" s="152"/>
      <c r="F2731" s="153"/>
      <c r="G2731" s="154"/>
      <c r="H2731" s="154"/>
      <c r="I2731" s="154"/>
      <c r="J2731" s="155"/>
      <c r="K2731" s="156"/>
      <c r="L2731" s="157"/>
      <c r="M2731" s="158" t="s">
        <v>28</v>
      </c>
      <c r="N2731" s="159" t="s">
        <v>29</v>
      </c>
    </row>
    <row r="2732" spans="1:14">
      <c r="A2732" s="148"/>
      <c r="B2732" s="149"/>
      <c r="C2732" s="150"/>
      <c r="D2732" s="151"/>
      <c r="E2732" s="152"/>
      <c r="F2732" s="153"/>
      <c r="G2732" s="154"/>
      <c r="H2732" s="154"/>
      <c r="I2732" s="154"/>
      <c r="J2732" s="155"/>
      <c r="K2732" s="156"/>
      <c r="L2732" s="157"/>
      <c r="M2732" s="158" t="s">
        <v>28</v>
      </c>
      <c r="N2732" s="159" t="s">
        <v>29</v>
      </c>
    </row>
    <row r="2733" spans="1:14">
      <c r="A2733" s="148"/>
      <c r="B2733" s="149"/>
      <c r="C2733" s="160"/>
      <c r="D2733" s="151"/>
      <c r="E2733" s="152"/>
      <c r="F2733" s="153"/>
      <c r="G2733" s="154"/>
      <c r="H2733" s="154"/>
      <c r="I2733" s="154"/>
      <c r="J2733" s="155"/>
      <c r="K2733" s="156"/>
      <c r="L2733" s="157"/>
      <c r="M2733" s="158" t="s">
        <v>28</v>
      </c>
      <c r="N2733" s="159" t="s">
        <v>29</v>
      </c>
    </row>
    <row r="2734" spans="1:14">
      <c r="A2734" s="148"/>
      <c r="B2734" s="149"/>
      <c r="C2734" s="160"/>
      <c r="D2734" s="151"/>
      <c r="E2734" s="152"/>
      <c r="F2734" s="153"/>
      <c r="G2734" s="154"/>
      <c r="H2734" s="154"/>
      <c r="I2734" s="154"/>
      <c r="J2734" s="155"/>
      <c r="K2734" s="156"/>
      <c r="L2734" s="157"/>
      <c r="M2734" s="158" t="s">
        <v>28</v>
      </c>
      <c r="N2734" s="159" t="s">
        <v>29</v>
      </c>
    </row>
    <row r="2735" spans="1:14">
      <c r="A2735" s="148"/>
      <c r="B2735" s="149"/>
      <c r="C2735" s="160"/>
      <c r="D2735" s="151"/>
      <c r="E2735" s="152"/>
      <c r="F2735" s="153"/>
      <c r="G2735" s="154"/>
      <c r="H2735" s="154"/>
      <c r="I2735" s="154"/>
      <c r="J2735" s="155"/>
      <c r="K2735" s="156"/>
      <c r="L2735" s="157"/>
      <c r="M2735" s="158" t="s">
        <v>28</v>
      </c>
      <c r="N2735" s="159" t="s">
        <v>29</v>
      </c>
    </row>
    <row r="2736" spans="1:14">
      <c r="A2736" s="148"/>
      <c r="B2736" s="149"/>
      <c r="C2736" s="160"/>
      <c r="D2736" s="151"/>
      <c r="E2736" s="152"/>
      <c r="F2736" s="153"/>
      <c r="G2736" s="154"/>
      <c r="H2736" s="154"/>
      <c r="I2736" s="154"/>
      <c r="J2736" s="155"/>
      <c r="K2736" s="156"/>
      <c r="L2736" s="157"/>
      <c r="M2736" s="158" t="s">
        <v>28</v>
      </c>
      <c r="N2736" s="159" t="s">
        <v>29</v>
      </c>
    </row>
    <row r="2737" spans="1:14">
      <c r="A2737" s="148"/>
      <c r="B2737" s="149"/>
      <c r="C2737" s="160"/>
      <c r="D2737" s="151"/>
      <c r="E2737" s="152"/>
      <c r="F2737" s="153"/>
      <c r="G2737" s="154"/>
      <c r="H2737" s="154"/>
      <c r="I2737" s="154"/>
      <c r="J2737" s="155"/>
      <c r="K2737" s="156"/>
      <c r="L2737" s="157"/>
      <c r="M2737" s="158" t="s">
        <v>28</v>
      </c>
      <c r="N2737" s="159" t="s">
        <v>29</v>
      </c>
    </row>
    <row r="2738" spans="1:14">
      <c r="A2738" s="148"/>
      <c r="B2738" s="149"/>
      <c r="C2738" s="160"/>
      <c r="D2738" s="151"/>
      <c r="E2738" s="152"/>
      <c r="F2738" s="153"/>
      <c r="G2738" s="154"/>
      <c r="H2738" s="154"/>
      <c r="I2738" s="154"/>
      <c r="J2738" s="155"/>
      <c r="K2738" s="156"/>
      <c r="L2738" s="157"/>
      <c r="M2738" s="158" t="s">
        <v>28</v>
      </c>
      <c r="N2738" s="159" t="s">
        <v>29</v>
      </c>
    </row>
    <row r="2739" spans="1:14">
      <c r="A2739" s="148"/>
      <c r="B2739" s="149"/>
      <c r="C2739" s="160"/>
      <c r="D2739" s="151"/>
      <c r="E2739" s="152"/>
      <c r="F2739" s="153"/>
      <c r="G2739" s="154"/>
      <c r="H2739" s="154"/>
      <c r="I2739" s="154"/>
      <c r="J2739" s="155"/>
      <c r="K2739" s="156"/>
      <c r="L2739" s="157"/>
      <c r="M2739" s="158" t="s">
        <v>28</v>
      </c>
      <c r="N2739" s="159" t="s">
        <v>29</v>
      </c>
    </row>
    <row r="2740" spans="1:14">
      <c r="A2740" s="148"/>
      <c r="B2740" s="149"/>
      <c r="C2740" s="160"/>
      <c r="D2740" s="151"/>
      <c r="E2740" s="152"/>
      <c r="F2740" s="153"/>
      <c r="G2740" s="154"/>
      <c r="H2740" s="154"/>
      <c r="I2740" s="154"/>
      <c r="J2740" s="155"/>
      <c r="K2740" s="156"/>
      <c r="L2740" s="157"/>
      <c r="M2740" s="158" t="s">
        <v>28</v>
      </c>
      <c r="N2740" s="159" t="s">
        <v>29</v>
      </c>
    </row>
    <row r="2741" spans="1:14">
      <c r="A2741" s="148"/>
      <c r="B2741" s="149"/>
      <c r="C2741" s="160"/>
      <c r="D2741" s="151"/>
      <c r="E2741" s="152"/>
      <c r="F2741" s="153"/>
      <c r="G2741" s="154"/>
      <c r="H2741" s="154"/>
      <c r="I2741" s="154"/>
      <c r="J2741" s="155"/>
      <c r="K2741" s="156"/>
      <c r="L2741" s="157"/>
      <c r="M2741" s="158" t="s">
        <v>28</v>
      </c>
      <c r="N2741" s="159" t="s">
        <v>29</v>
      </c>
    </row>
    <row r="2742" spans="1:14">
      <c r="A2742" s="148"/>
      <c r="B2742" s="149"/>
      <c r="C2742" s="160"/>
      <c r="D2742" s="151"/>
      <c r="E2742" s="152"/>
      <c r="F2742" s="153"/>
      <c r="G2742" s="154"/>
      <c r="H2742" s="154"/>
      <c r="I2742" s="154"/>
      <c r="J2742" s="155"/>
      <c r="K2742" s="156"/>
      <c r="L2742" s="157"/>
      <c r="M2742" s="158" t="s">
        <v>28</v>
      </c>
      <c r="N2742" s="159" t="s">
        <v>29</v>
      </c>
    </row>
    <row r="2743" spans="1:14">
      <c r="A2743" s="148"/>
      <c r="B2743" s="149"/>
      <c r="C2743" s="160"/>
      <c r="D2743" s="151"/>
      <c r="E2743" s="152"/>
      <c r="F2743" s="153"/>
      <c r="G2743" s="154"/>
      <c r="H2743" s="154"/>
      <c r="I2743" s="154"/>
      <c r="J2743" s="155"/>
      <c r="K2743" s="156"/>
      <c r="L2743" s="157"/>
      <c r="M2743" s="158" t="s">
        <v>28</v>
      </c>
      <c r="N2743" s="159" t="s">
        <v>29</v>
      </c>
    </row>
    <row r="2744" spans="1:14">
      <c r="A2744" s="148"/>
      <c r="B2744" s="149"/>
      <c r="C2744" s="160"/>
      <c r="D2744" s="151"/>
      <c r="E2744" s="152"/>
      <c r="F2744" s="153"/>
      <c r="G2744" s="154"/>
      <c r="H2744" s="154"/>
      <c r="I2744" s="154"/>
      <c r="J2744" s="155"/>
      <c r="K2744" s="156"/>
      <c r="L2744" s="157"/>
      <c r="M2744" s="158" t="s">
        <v>28</v>
      </c>
      <c r="N2744" s="159" t="s">
        <v>29</v>
      </c>
    </row>
    <row r="2745" spans="1:14">
      <c r="A2745" s="148"/>
      <c r="B2745" s="149"/>
      <c r="C2745" s="160"/>
      <c r="D2745" s="151"/>
      <c r="E2745" s="152"/>
      <c r="F2745" s="153"/>
      <c r="G2745" s="154"/>
      <c r="H2745" s="154"/>
      <c r="I2745" s="154"/>
      <c r="J2745" s="155"/>
      <c r="K2745" s="156"/>
      <c r="L2745" s="157"/>
      <c r="M2745" s="158" t="s">
        <v>28</v>
      </c>
      <c r="N2745" s="159" t="s">
        <v>29</v>
      </c>
    </row>
    <row r="2746" spans="1:14">
      <c r="A2746" s="148"/>
      <c r="B2746" s="149"/>
      <c r="C2746" s="160"/>
      <c r="D2746" s="151"/>
      <c r="E2746" s="152"/>
      <c r="F2746" s="153"/>
      <c r="G2746" s="154"/>
      <c r="H2746" s="154"/>
      <c r="I2746" s="154"/>
      <c r="J2746" s="155"/>
      <c r="K2746" s="156"/>
      <c r="L2746" s="157"/>
      <c r="M2746" s="158" t="s">
        <v>28</v>
      </c>
      <c r="N2746" s="159" t="s">
        <v>29</v>
      </c>
    </row>
    <row r="2747" spans="1:14">
      <c r="A2747" s="148"/>
      <c r="B2747" s="149"/>
      <c r="C2747" s="160"/>
      <c r="D2747" s="151"/>
      <c r="E2747" s="152"/>
      <c r="F2747" s="153"/>
      <c r="G2747" s="154"/>
      <c r="H2747" s="154"/>
      <c r="I2747" s="154"/>
      <c r="J2747" s="155"/>
      <c r="K2747" s="156"/>
      <c r="L2747" s="157"/>
      <c r="M2747" s="158" t="s">
        <v>28</v>
      </c>
      <c r="N2747" s="159" t="s">
        <v>29</v>
      </c>
    </row>
    <row r="2748" spans="1:14">
      <c r="A2748" s="148"/>
      <c r="B2748" s="149"/>
      <c r="C2748" s="160"/>
      <c r="D2748" s="151"/>
      <c r="E2748" s="152"/>
      <c r="F2748" s="153"/>
      <c r="G2748" s="154"/>
      <c r="H2748" s="154"/>
      <c r="I2748" s="154"/>
      <c r="J2748" s="155"/>
      <c r="K2748" s="156"/>
      <c r="L2748" s="157"/>
      <c r="M2748" s="158" t="s">
        <v>28</v>
      </c>
      <c r="N2748" s="159" t="s">
        <v>29</v>
      </c>
    </row>
    <row r="2749" spans="1:14">
      <c r="A2749" s="148"/>
      <c r="B2749" s="149"/>
      <c r="C2749" s="160"/>
      <c r="D2749" s="151"/>
      <c r="E2749" s="152"/>
      <c r="F2749" s="153"/>
      <c r="G2749" s="154"/>
      <c r="H2749" s="154"/>
      <c r="I2749" s="154"/>
      <c r="J2749" s="155"/>
      <c r="K2749" s="156"/>
      <c r="L2749" s="157"/>
      <c r="M2749" s="158" t="s">
        <v>28</v>
      </c>
      <c r="N2749" s="159" t="s">
        <v>29</v>
      </c>
    </row>
    <row r="2750" spans="1:14">
      <c r="A2750" s="148"/>
      <c r="B2750" s="149"/>
      <c r="C2750" s="160"/>
      <c r="D2750" s="151"/>
      <c r="E2750" s="152"/>
      <c r="F2750" s="153"/>
      <c r="G2750" s="154"/>
      <c r="H2750" s="154"/>
      <c r="I2750" s="154"/>
      <c r="J2750" s="155"/>
      <c r="K2750" s="156"/>
      <c r="L2750" s="157"/>
      <c r="M2750" s="158" t="s">
        <v>28</v>
      </c>
      <c r="N2750" s="159" t="s">
        <v>29</v>
      </c>
    </row>
    <row r="2751" spans="1:14">
      <c r="A2751" s="148"/>
      <c r="B2751" s="149"/>
      <c r="C2751" s="160"/>
      <c r="D2751" s="151"/>
      <c r="E2751" s="152"/>
      <c r="F2751" s="153"/>
      <c r="G2751" s="154"/>
      <c r="H2751" s="154"/>
      <c r="I2751" s="154"/>
      <c r="J2751" s="155"/>
      <c r="K2751" s="156"/>
      <c r="L2751" s="157"/>
      <c r="M2751" s="158" t="s">
        <v>28</v>
      </c>
      <c r="N2751" s="159" t="s">
        <v>29</v>
      </c>
    </row>
    <row r="2752" spans="1:14">
      <c r="A2752" s="148"/>
      <c r="B2752" s="149"/>
      <c r="C2752" s="160"/>
      <c r="D2752" s="151"/>
      <c r="E2752" s="152"/>
      <c r="F2752" s="153"/>
      <c r="G2752" s="154"/>
      <c r="H2752" s="154"/>
      <c r="I2752" s="154"/>
      <c r="J2752" s="155"/>
      <c r="K2752" s="156"/>
      <c r="L2752" s="157"/>
      <c r="M2752" s="158" t="s">
        <v>28</v>
      </c>
      <c r="N2752" s="159" t="s">
        <v>29</v>
      </c>
    </row>
    <row r="2753" spans="1:14">
      <c r="A2753" s="148"/>
      <c r="B2753" s="149"/>
      <c r="C2753" s="160"/>
      <c r="D2753" s="151"/>
      <c r="E2753" s="152"/>
      <c r="F2753" s="153"/>
      <c r="G2753" s="154"/>
      <c r="H2753" s="154"/>
      <c r="I2753" s="154"/>
      <c r="J2753" s="155"/>
      <c r="K2753" s="156"/>
      <c r="L2753" s="157"/>
      <c r="M2753" s="158" t="s">
        <v>28</v>
      </c>
      <c r="N2753" s="159" t="s">
        <v>29</v>
      </c>
    </row>
    <row r="2754" spans="1:14">
      <c r="A2754" s="148"/>
      <c r="B2754" s="149"/>
      <c r="C2754" s="160"/>
      <c r="D2754" s="151"/>
      <c r="E2754" s="152"/>
      <c r="F2754" s="153"/>
      <c r="G2754" s="154"/>
      <c r="H2754" s="154"/>
      <c r="I2754" s="154"/>
      <c r="J2754" s="155"/>
      <c r="K2754" s="156"/>
      <c r="L2754" s="157"/>
      <c r="M2754" s="158" t="s">
        <v>28</v>
      </c>
      <c r="N2754" s="159" t="s">
        <v>29</v>
      </c>
    </row>
    <row r="2755" spans="1:14">
      <c r="A2755" s="148"/>
      <c r="B2755" s="149"/>
      <c r="C2755" s="160"/>
      <c r="D2755" s="151"/>
      <c r="E2755" s="152"/>
      <c r="F2755" s="153"/>
      <c r="G2755" s="154"/>
      <c r="H2755" s="154"/>
      <c r="I2755" s="154"/>
      <c r="J2755" s="155"/>
      <c r="K2755" s="156"/>
      <c r="L2755" s="157"/>
      <c r="M2755" s="158" t="s">
        <v>28</v>
      </c>
      <c r="N2755" s="159" t="s">
        <v>29</v>
      </c>
    </row>
    <row r="2756" spans="1:14">
      <c r="A2756" s="148"/>
      <c r="B2756" s="149"/>
      <c r="C2756" s="160"/>
      <c r="D2756" s="151"/>
      <c r="E2756" s="152"/>
      <c r="F2756" s="153"/>
      <c r="G2756" s="154"/>
      <c r="H2756" s="154"/>
      <c r="I2756" s="154"/>
      <c r="J2756" s="155"/>
      <c r="K2756" s="156"/>
      <c r="L2756" s="157"/>
      <c r="M2756" s="158" t="s">
        <v>28</v>
      </c>
      <c r="N2756" s="159" t="s">
        <v>29</v>
      </c>
    </row>
    <row r="2757" spans="1:14">
      <c r="A2757" s="148"/>
      <c r="B2757" s="149"/>
      <c r="C2757" s="160"/>
      <c r="D2757" s="151"/>
      <c r="E2757" s="152"/>
      <c r="F2757" s="153"/>
      <c r="G2757" s="154"/>
      <c r="H2757" s="154"/>
      <c r="I2757" s="154"/>
      <c r="J2757" s="155"/>
      <c r="K2757" s="156"/>
      <c r="L2757" s="157"/>
      <c r="M2757" s="158" t="s">
        <v>28</v>
      </c>
      <c r="N2757" s="159" t="s">
        <v>29</v>
      </c>
    </row>
    <row r="2758" spans="1:14">
      <c r="A2758" s="148"/>
      <c r="B2758" s="149"/>
      <c r="C2758" s="160"/>
      <c r="D2758" s="151"/>
      <c r="E2758" s="152"/>
      <c r="F2758" s="153"/>
      <c r="G2758" s="154"/>
      <c r="H2758" s="154"/>
      <c r="I2758" s="154"/>
      <c r="J2758" s="155"/>
      <c r="K2758" s="156"/>
      <c r="L2758" s="157"/>
      <c r="M2758" s="158" t="s">
        <v>28</v>
      </c>
      <c r="N2758" s="159" t="s">
        <v>29</v>
      </c>
    </row>
    <row r="2759" spans="1:14">
      <c r="A2759" s="148"/>
      <c r="B2759" s="149"/>
      <c r="C2759" s="160"/>
      <c r="D2759" s="151"/>
      <c r="E2759" s="152"/>
      <c r="F2759" s="153"/>
      <c r="G2759" s="154"/>
      <c r="H2759" s="154"/>
      <c r="I2759" s="154"/>
      <c r="J2759" s="155"/>
      <c r="K2759" s="156"/>
      <c r="L2759" s="157"/>
      <c r="M2759" s="158" t="s">
        <v>28</v>
      </c>
      <c r="N2759" s="159" t="s">
        <v>29</v>
      </c>
    </row>
    <row r="2760" spans="1:14">
      <c r="A2760" s="148"/>
      <c r="B2760" s="149"/>
      <c r="C2760" s="160"/>
      <c r="D2760" s="151"/>
      <c r="E2760" s="152"/>
      <c r="F2760" s="153"/>
      <c r="G2760" s="154"/>
      <c r="H2760" s="154"/>
      <c r="I2760" s="154"/>
      <c r="J2760" s="155"/>
      <c r="K2760" s="156"/>
      <c r="L2760" s="157"/>
      <c r="M2760" s="158" t="s">
        <v>28</v>
      </c>
      <c r="N2760" s="159" t="s">
        <v>29</v>
      </c>
    </row>
    <row r="2761" spans="1:14">
      <c r="A2761" s="148"/>
      <c r="B2761" s="149"/>
      <c r="C2761" s="160"/>
      <c r="D2761" s="151"/>
      <c r="E2761" s="152"/>
      <c r="F2761" s="153"/>
      <c r="G2761" s="154"/>
      <c r="H2761" s="154"/>
      <c r="I2761" s="154"/>
      <c r="J2761" s="155"/>
      <c r="K2761" s="156"/>
      <c r="L2761" s="157"/>
      <c r="M2761" s="158" t="s">
        <v>28</v>
      </c>
      <c r="N2761" s="159" t="s">
        <v>29</v>
      </c>
    </row>
    <row r="2762" spans="1:14">
      <c r="A2762" s="148"/>
      <c r="B2762" s="149"/>
      <c r="C2762" s="160"/>
      <c r="D2762" s="151"/>
      <c r="E2762" s="152"/>
      <c r="F2762" s="153"/>
      <c r="G2762" s="154"/>
      <c r="H2762" s="154"/>
      <c r="I2762" s="154"/>
      <c r="J2762" s="155"/>
      <c r="K2762" s="156"/>
      <c r="L2762" s="157"/>
      <c r="M2762" s="158" t="s">
        <v>28</v>
      </c>
      <c r="N2762" s="159" t="s">
        <v>29</v>
      </c>
    </row>
    <row r="2763" spans="1:14">
      <c r="A2763" s="148"/>
      <c r="B2763" s="149"/>
      <c r="C2763" s="160"/>
      <c r="D2763" s="151"/>
      <c r="E2763" s="152"/>
      <c r="F2763" s="153"/>
      <c r="G2763" s="154"/>
      <c r="H2763" s="154"/>
      <c r="I2763" s="154"/>
      <c r="J2763" s="155"/>
      <c r="K2763" s="156"/>
      <c r="L2763" s="157"/>
      <c r="M2763" s="158" t="s">
        <v>28</v>
      </c>
      <c r="N2763" s="159" t="s">
        <v>29</v>
      </c>
    </row>
    <row r="2764" spans="1:14">
      <c r="A2764" s="148"/>
      <c r="B2764" s="149"/>
      <c r="C2764" s="160"/>
      <c r="D2764" s="151"/>
      <c r="E2764" s="152"/>
      <c r="F2764" s="153"/>
      <c r="G2764" s="154"/>
      <c r="H2764" s="154"/>
      <c r="I2764" s="154"/>
      <c r="J2764" s="155"/>
      <c r="K2764" s="156"/>
      <c r="L2764" s="157"/>
      <c r="M2764" s="158" t="s">
        <v>28</v>
      </c>
      <c r="N2764" s="159" t="s">
        <v>29</v>
      </c>
    </row>
    <row r="2765" spans="1:14">
      <c r="A2765" s="148"/>
      <c r="B2765" s="149"/>
      <c r="C2765" s="160"/>
      <c r="D2765" s="151"/>
      <c r="E2765" s="152"/>
      <c r="F2765" s="153"/>
      <c r="G2765" s="154"/>
      <c r="H2765" s="154"/>
      <c r="I2765" s="154"/>
      <c r="J2765" s="155"/>
      <c r="K2765" s="156"/>
      <c r="L2765" s="157"/>
      <c r="M2765" s="158" t="s">
        <v>28</v>
      </c>
      <c r="N2765" s="159" t="s">
        <v>29</v>
      </c>
    </row>
    <row r="2766" spans="1:14">
      <c r="A2766" s="148"/>
      <c r="B2766" s="149"/>
      <c r="C2766" s="160"/>
      <c r="D2766" s="151"/>
      <c r="E2766" s="152"/>
      <c r="F2766" s="153"/>
      <c r="G2766" s="154"/>
      <c r="H2766" s="154"/>
      <c r="I2766" s="154"/>
      <c r="J2766" s="155"/>
      <c r="K2766" s="156"/>
      <c r="L2766" s="157"/>
      <c r="M2766" s="158" t="s">
        <v>28</v>
      </c>
      <c r="N2766" s="159" t="s">
        <v>29</v>
      </c>
    </row>
    <row r="2767" spans="1:14">
      <c r="A2767" s="148"/>
      <c r="B2767" s="149"/>
      <c r="C2767" s="160"/>
      <c r="D2767" s="151"/>
      <c r="E2767" s="152"/>
      <c r="F2767" s="153"/>
      <c r="G2767" s="154"/>
      <c r="H2767" s="154"/>
      <c r="I2767" s="154"/>
      <c r="J2767" s="155"/>
      <c r="K2767" s="156"/>
      <c r="L2767" s="157"/>
      <c r="M2767" s="158" t="s">
        <v>28</v>
      </c>
      <c r="N2767" s="159" t="s">
        <v>29</v>
      </c>
    </row>
    <row r="2768" spans="1:14">
      <c r="A2768" s="148"/>
      <c r="B2768" s="149"/>
      <c r="C2768" s="160"/>
      <c r="D2768" s="151"/>
      <c r="E2768" s="152"/>
      <c r="F2768" s="153"/>
      <c r="G2768" s="154"/>
      <c r="H2768" s="154"/>
      <c r="I2768" s="154"/>
      <c r="J2768" s="155"/>
      <c r="K2768" s="156"/>
      <c r="L2768" s="157"/>
      <c r="M2768" s="158" t="s">
        <v>28</v>
      </c>
      <c r="N2768" s="159" t="s">
        <v>29</v>
      </c>
    </row>
    <row r="2769" spans="1:14">
      <c r="A2769" s="148"/>
      <c r="B2769" s="149"/>
      <c r="C2769" s="160"/>
      <c r="D2769" s="151"/>
      <c r="E2769" s="152"/>
      <c r="F2769" s="153"/>
      <c r="G2769" s="154"/>
      <c r="H2769" s="154"/>
      <c r="I2769" s="154"/>
      <c r="J2769" s="155"/>
      <c r="K2769" s="156"/>
      <c r="L2769" s="157"/>
      <c r="M2769" s="158" t="s">
        <v>28</v>
      </c>
      <c r="N2769" s="159" t="s">
        <v>29</v>
      </c>
    </row>
    <row r="2770" spans="1:14">
      <c r="A2770" s="148"/>
      <c r="B2770" s="149"/>
      <c r="C2770" s="160"/>
      <c r="D2770" s="151"/>
      <c r="E2770" s="152"/>
      <c r="F2770" s="153"/>
      <c r="G2770" s="154"/>
      <c r="H2770" s="154"/>
      <c r="I2770" s="154"/>
      <c r="J2770" s="155"/>
      <c r="K2770" s="156"/>
      <c r="L2770" s="157"/>
      <c r="M2770" s="158" t="s">
        <v>28</v>
      </c>
      <c r="N2770" s="159" t="s">
        <v>29</v>
      </c>
    </row>
    <row r="2771" spans="1:14">
      <c r="A2771" s="148"/>
      <c r="B2771" s="149"/>
      <c r="C2771" s="160"/>
      <c r="D2771" s="151"/>
      <c r="E2771" s="152"/>
      <c r="F2771" s="153"/>
      <c r="G2771" s="154"/>
      <c r="H2771" s="154"/>
      <c r="I2771" s="154"/>
      <c r="J2771" s="155"/>
      <c r="K2771" s="156"/>
      <c r="L2771" s="157"/>
      <c r="M2771" s="158" t="s">
        <v>28</v>
      </c>
      <c r="N2771" s="159" t="s">
        <v>29</v>
      </c>
    </row>
    <row r="2772" spans="1:14">
      <c r="A2772" s="148"/>
      <c r="B2772" s="149"/>
      <c r="C2772" s="160"/>
      <c r="D2772" s="151"/>
      <c r="E2772" s="152"/>
      <c r="F2772" s="153"/>
      <c r="G2772" s="154"/>
      <c r="H2772" s="154"/>
      <c r="I2772" s="154"/>
      <c r="J2772" s="155"/>
      <c r="K2772" s="156"/>
      <c r="L2772" s="157"/>
      <c r="M2772" s="158" t="s">
        <v>28</v>
      </c>
      <c r="N2772" s="159" t="s">
        <v>29</v>
      </c>
    </row>
    <row r="2773" spans="1:14">
      <c r="A2773" s="148"/>
      <c r="B2773" s="149"/>
      <c r="C2773" s="160"/>
      <c r="D2773" s="151"/>
      <c r="E2773" s="152"/>
      <c r="F2773" s="153"/>
      <c r="G2773" s="154"/>
      <c r="H2773" s="154"/>
      <c r="I2773" s="154"/>
      <c r="J2773" s="155"/>
      <c r="K2773" s="156"/>
      <c r="L2773" s="157"/>
      <c r="M2773" s="158" t="s">
        <v>28</v>
      </c>
      <c r="N2773" s="159" t="s">
        <v>29</v>
      </c>
    </row>
    <row r="2774" spans="1:14">
      <c r="A2774" s="148"/>
      <c r="B2774" s="149"/>
      <c r="C2774" s="160"/>
      <c r="D2774" s="151"/>
      <c r="E2774" s="152"/>
      <c r="F2774" s="153"/>
      <c r="G2774" s="154"/>
      <c r="H2774" s="154"/>
      <c r="I2774" s="154"/>
      <c r="J2774" s="155"/>
      <c r="K2774" s="156"/>
      <c r="L2774" s="157"/>
      <c r="M2774" s="158" t="s">
        <v>28</v>
      </c>
      <c r="N2774" s="159" t="s">
        <v>29</v>
      </c>
    </row>
    <row r="2775" spans="1:14">
      <c r="A2775" s="148"/>
      <c r="B2775" s="149"/>
      <c r="C2775" s="160"/>
      <c r="D2775" s="151"/>
      <c r="E2775" s="152"/>
      <c r="F2775" s="153"/>
      <c r="G2775" s="154"/>
      <c r="H2775" s="154"/>
      <c r="I2775" s="154"/>
      <c r="J2775" s="155"/>
      <c r="K2775" s="156"/>
      <c r="L2775" s="157"/>
      <c r="M2775" s="158" t="s">
        <v>28</v>
      </c>
      <c r="N2775" s="159" t="s">
        <v>29</v>
      </c>
    </row>
    <row r="2776" spans="1:14">
      <c r="A2776" s="148"/>
      <c r="B2776" s="149"/>
      <c r="C2776" s="160"/>
      <c r="D2776" s="151"/>
      <c r="E2776" s="152"/>
      <c r="F2776" s="153"/>
      <c r="G2776" s="154"/>
      <c r="H2776" s="154"/>
      <c r="I2776" s="154"/>
      <c r="J2776" s="155"/>
      <c r="K2776" s="156"/>
      <c r="L2776" s="157"/>
      <c r="M2776" s="158" t="s">
        <v>28</v>
      </c>
      <c r="N2776" s="159" t="s">
        <v>29</v>
      </c>
    </row>
    <row r="2777" spans="1:14">
      <c r="A2777" s="148"/>
      <c r="B2777" s="149"/>
      <c r="C2777" s="160"/>
      <c r="D2777" s="151"/>
      <c r="E2777" s="152"/>
      <c r="F2777" s="153"/>
      <c r="G2777" s="154"/>
      <c r="H2777" s="154"/>
      <c r="I2777" s="154"/>
      <c r="J2777" s="155"/>
      <c r="K2777" s="156"/>
      <c r="L2777" s="157"/>
      <c r="M2777" s="158" t="s">
        <v>28</v>
      </c>
      <c r="N2777" s="159" t="s">
        <v>29</v>
      </c>
    </row>
    <row r="2778" spans="1:14">
      <c r="A2778" s="148"/>
      <c r="B2778" s="149"/>
      <c r="C2778" s="160"/>
      <c r="D2778" s="151"/>
      <c r="E2778" s="152"/>
      <c r="F2778" s="153"/>
      <c r="G2778" s="154"/>
      <c r="H2778" s="154"/>
      <c r="I2778" s="154"/>
      <c r="J2778" s="155"/>
      <c r="K2778" s="156"/>
      <c r="L2778" s="157"/>
      <c r="M2778" s="158" t="s">
        <v>28</v>
      </c>
      <c r="N2778" s="159" t="s">
        <v>29</v>
      </c>
    </row>
    <row r="2779" spans="1:14">
      <c r="A2779" s="148"/>
      <c r="B2779" s="149"/>
      <c r="C2779" s="160"/>
      <c r="D2779" s="151"/>
      <c r="E2779" s="152"/>
      <c r="F2779" s="153"/>
      <c r="G2779" s="154"/>
      <c r="H2779" s="154"/>
      <c r="I2779" s="154"/>
      <c r="J2779" s="155"/>
      <c r="K2779" s="156"/>
      <c r="L2779" s="157"/>
      <c r="M2779" s="158" t="s">
        <v>28</v>
      </c>
      <c r="N2779" s="159" t="s">
        <v>29</v>
      </c>
    </row>
    <row r="2780" spans="1:14">
      <c r="A2780" s="148"/>
      <c r="B2780" s="149"/>
      <c r="C2780" s="160"/>
      <c r="D2780" s="151"/>
      <c r="E2780" s="152"/>
      <c r="F2780" s="153"/>
      <c r="G2780" s="154"/>
      <c r="H2780" s="154"/>
      <c r="I2780" s="154"/>
      <c r="J2780" s="155"/>
      <c r="K2780" s="156"/>
      <c r="L2780" s="157"/>
      <c r="M2780" s="158" t="s">
        <v>28</v>
      </c>
      <c r="N2780" s="159" t="s">
        <v>29</v>
      </c>
    </row>
    <row r="2781" spans="1:14">
      <c r="A2781" s="148"/>
      <c r="B2781" s="149"/>
      <c r="C2781" s="160"/>
      <c r="D2781" s="151"/>
      <c r="E2781" s="152"/>
      <c r="F2781" s="153"/>
      <c r="G2781" s="154"/>
      <c r="H2781" s="154"/>
      <c r="I2781" s="154"/>
      <c r="J2781" s="155"/>
      <c r="K2781" s="156"/>
      <c r="L2781" s="157"/>
      <c r="M2781" s="158" t="s">
        <v>28</v>
      </c>
      <c r="N2781" s="159" t="s">
        <v>29</v>
      </c>
    </row>
    <row r="2782" spans="1:14">
      <c r="A2782" s="148"/>
      <c r="B2782" s="149"/>
      <c r="C2782" s="160"/>
      <c r="D2782" s="151"/>
      <c r="E2782" s="152"/>
      <c r="F2782" s="153"/>
      <c r="G2782" s="154"/>
      <c r="H2782" s="154"/>
      <c r="I2782" s="154"/>
      <c r="J2782" s="155"/>
      <c r="K2782" s="156"/>
      <c r="L2782" s="157"/>
      <c r="M2782" s="158" t="s">
        <v>28</v>
      </c>
      <c r="N2782" s="159" t="s">
        <v>29</v>
      </c>
    </row>
    <row r="2783" spans="1:14">
      <c r="A2783" s="148"/>
      <c r="B2783" s="149"/>
      <c r="C2783" s="160"/>
      <c r="D2783" s="151"/>
      <c r="E2783" s="152"/>
      <c r="F2783" s="153"/>
      <c r="G2783" s="154"/>
      <c r="H2783" s="154"/>
      <c r="I2783" s="154"/>
      <c r="J2783" s="155"/>
      <c r="K2783" s="156"/>
      <c r="L2783" s="157"/>
      <c r="M2783" s="158" t="s">
        <v>28</v>
      </c>
      <c r="N2783" s="159" t="s">
        <v>29</v>
      </c>
    </row>
    <row r="2784" spans="1:14">
      <c r="A2784" s="148"/>
      <c r="B2784" s="149"/>
      <c r="C2784" s="160"/>
      <c r="D2784" s="151"/>
      <c r="E2784" s="152"/>
      <c r="F2784" s="153"/>
      <c r="G2784" s="154"/>
      <c r="H2784" s="154"/>
      <c r="I2784" s="154"/>
      <c r="J2784" s="155"/>
      <c r="K2784" s="156"/>
      <c r="L2784" s="157"/>
      <c r="M2784" s="158" t="s">
        <v>28</v>
      </c>
      <c r="N2784" s="159" t="s">
        <v>29</v>
      </c>
    </row>
    <row r="2785" spans="1:14">
      <c r="A2785" s="148"/>
      <c r="B2785" s="149"/>
      <c r="C2785" s="160"/>
      <c r="D2785" s="151"/>
      <c r="E2785" s="152"/>
      <c r="F2785" s="153"/>
      <c r="G2785" s="154"/>
      <c r="H2785" s="154"/>
      <c r="I2785" s="154"/>
      <c r="J2785" s="155"/>
      <c r="K2785" s="156"/>
      <c r="L2785" s="157"/>
      <c r="M2785" s="158" t="s">
        <v>28</v>
      </c>
      <c r="N2785" s="159" t="s">
        <v>29</v>
      </c>
    </row>
    <row r="2786" spans="1:14">
      <c r="A2786" s="148"/>
      <c r="B2786" s="149"/>
      <c r="C2786" s="160"/>
      <c r="D2786" s="151"/>
      <c r="E2786" s="152"/>
      <c r="F2786" s="153"/>
      <c r="G2786" s="154"/>
      <c r="H2786" s="154"/>
      <c r="I2786" s="154"/>
      <c r="J2786" s="155"/>
      <c r="K2786" s="156"/>
      <c r="L2786" s="157"/>
      <c r="M2786" s="158" t="s">
        <v>28</v>
      </c>
      <c r="N2786" s="159" t="s">
        <v>29</v>
      </c>
    </row>
    <row r="2787" spans="1:14">
      <c r="A2787" s="148"/>
      <c r="B2787" s="149"/>
      <c r="C2787" s="160"/>
      <c r="D2787" s="151"/>
      <c r="E2787" s="152"/>
      <c r="F2787" s="153"/>
      <c r="G2787" s="154"/>
      <c r="H2787" s="154"/>
      <c r="I2787" s="154"/>
      <c r="J2787" s="155"/>
      <c r="K2787" s="156"/>
      <c r="L2787" s="157"/>
      <c r="M2787" s="158" t="s">
        <v>28</v>
      </c>
      <c r="N2787" s="159" t="s">
        <v>29</v>
      </c>
    </row>
    <row r="2788" spans="1:14">
      <c r="A2788" s="148"/>
      <c r="B2788" s="149"/>
      <c r="C2788" s="160"/>
      <c r="D2788" s="151"/>
      <c r="E2788" s="152"/>
      <c r="F2788" s="153"/>
      <c r="G2788" s="154"/>
      <c r="H2788" s="154"/>
      <c r="I2788" s="154"/>
      <c r="J2788" s="155"/>
      <c r="K2788" s="156"/>
      <c r="L2788" s="157"/>
      <c r="M2788" s="158" t="s">
        <v>28</v>
      </c>
      <c r="N2788" s="159" t="s">
        <v>29</v>
      </c>
    </row>
    <row r="2789" spans="1:14">
      <c r="A2789" s="148"/>
      <c r="B2789" s="149"/>
      <c r="C2789" s="160"/>
      <c r="D2789" s="151"/>
      <c r="E2789" s="152"/>
      <c r="F2789" s="153"/>
      <c r="G2789" s="154"/>
      <c r="H2789" s="154"/>
      <c r="I2789" s="154"/>
      <c r="J2789" s="155"/>
      <c r="K2789" s="156"/>
      <c r="L2789" s="157"/>
      <c r="M2789" s="158" t="s">
        <v>28</v>
      </c>
      <c r="N2789" s="159" t="s">
        <v>29</v>
      </c>
    </row>
    <row r="2790" spans="1:14">
      <c r="A2790" s="148"/>
      <c r="B2790" s="149"/>
      <c r="C2790" s="160"/>
      <c r="D2790" s="151"/>
      <c r="E2790" s="152"/>
      <c r="F2790" s="153"/>
      <c r="G2790" s="154"/>
      <c r="H2790" s="154"/>
      <c r="I2790" s="154"/>
      <c r="J2790" s="155"/>
      <c r="K2790" s="156"/>
      <c r="L2790" s="157"/>
      <c r="M2790" s="158" t="s">
        <v>28</v>
      </c>
      <c r="N2790" s="159" t="s">
        <v>29</v>
      </c>
    </row>
    <row r="2791" spans="1:14">
      <c r="A2791" s="148"/>
      <c r="B2791" s="149"/>
      <c r="C2791" s="160"/>
      <c r="D2791" s="151"/>
      <c r="E2791" s="152"/>
      <c r="F2791" s="153"/>
      <c r="G2791" s="154"/>
      <c r="H2791" s="154"/>
      <c r="I2791" s="154"/>
      <c r="J2791" s="155"/>
      <c r="K2791" s="156"/>
      <c r="L2791" s="157"/>
      <c r="M2791" s="158" t="s">
        <v>28</v>
      </c>
      <c r="N2791" s="159" t="s">
        <v>29</v>
      </c>
    </row>
    <row r="2792" spans="1:14">
      <c r="A2792" s="148"/>
      <c r="B2792" s="149"/>
      <c r="C2792" s="160"/>
      <c r="D2792" s="151"/>
      <c r="E2792" s="152"/>
      <c r="F2792" s="153"/>
      <c r="G2792" s="154"/>
      <c r="H2792" s="154"/>
      <c r="I2792" s="154"/>
      <c r="J2792" s="155"/>
      <c r="K2792" s="156"/>
      <c r="L2792" s="157"/>
      <c r="M2792" s="158" t="s">
        <v>28</v>
      </c>
      <c r="N2792" s="159" t="s">
        <v>29</v>
      </c>
    </row>
    <row r="2793" spans="1:14">
      <c r="A2793" s="148"/>
      <c r="B2793" s="149"/>
      <c r="C2793" s="160"/>
      <c r="D2793" s="151"/>
      <c r="E2793" s="152"/>
      <c r="F2793" s="153"/>
      <c r="G2793" s="154"/>
      <c r="H2793" s="154"/>
      <c r="I2793" s="154"/>
      <c r="J2793" s="155"/>
      <c r="K2793" s="156"/>
      <c r="L2793" s="157"/>
      <c r="M2793" s="158" t="s">
        <v>28</v>
      </c>
      <c r="N2793" s="159" t="s">
        <v>29</v>
      </c>
    </row>
    <row r="2794" spans="1:14">
      <c r="A2794" s="148"/>
      <c r="B2794" s="149"/>
      <c r="C2794" s="160"/>
      <c r="D2794" s="151"/>
      <c r="E2794" s="152"/>
      <c r="F2794" s="153"/>
      <c r="G2794" s="154"/>
      <c r="H2794" s="154"/>
      <c r="I2794" s="154"/>
      <c r="J2794" s="155"/>
      <c r="K2794" s="156"/>
      <c r="L2794" s="157"/>
      <c r="M2794" s="158" t="s">
        <v>28</v>
      </c>
      <c r="N2794" s="159" t="s">
        <v>29</v>
      </c>
    </row>
    <row r="2795" spans="1:14">
      <c r="A2795" s="148"/>
      <c r="B2795" s="149"/>
      <c r="C2795" s="160"/>
      <c r="D2795" s="151"/>
      <c r="E2795" s="152"/>
      <c r="F2795" s="153"/>
      <c r="G2795" s="154"/>
      <c r="H2795" s="154"/>
      <c r="I2795" s="154"/>
      <c r="J2795" s="155"/>
      <c r="K2795" s="156"/>
      <c r="L2795" s="157"/>
      <c r="M2795" s="158" t="s">
        <v>28</v>
      </c>
      <c r="N2795" s="159" t="s">
        <v>29</v>
      </c>
    </row>
    <row r="2796" spans="1:14">
      <c r="A2796" s="148"/>
      <c r="B2796" s="149"/>
      <c r="C2796" s="160"/>
      <c r="D2796" s="151"/>
      <c r="E2796" s="152"/>
      <c r="F2796" s="153"/>
      <c r="G2796" s="154"/>
      <c r="H2796" s="154"/>
      <c r="I2796" s="154"/>
      <c r="J2796" s="155"/>
      <c r="K2796" s="156"/>
      <c r="L2796" s="157"/>
      <c r="M2796" s="158" t="s">
        <v>28</v>
      </c>
      <c r="N2796" s="159" t="s">
        <v>29</v>
      </c>
    </row>
    <row r="2797" spans="1:14">
      <c r="A2797" s="148"/>
      <c r="B2797" s="149"/>
      <c r="C2797" s="160"/>
      <c r="D2797" s="151"/>
      <c r="E2797" s="152"/>
      <c r="F2797" s="153"/>
      <c r="G2797" s="154"/>
      <c r="H2797" s="154"/>
      <c r="I2797" s="154"/>
      <c r="J2797" s="155"/>
      <c r="K2797" s="156"/>
      <c r="L2797" s="157"/>
      <c r="M2797" s="158" t="s">
        <v>28</v>
      </c>
      <c r="N2797" s="159" t="s">
        <v>29</v>
      </c>
    </row>
    <row r="2798" spans="1:14">
      <c r="A2798" s="148"/>
      <c r="B2798" s="149"/>
      <c r="C2798" s="160"/>
      <c r="D2798" s="151"/>
      <c r="E2798" s="152"/>
      <c r="F2798" s="153"/>
      <c r="G2798" s="154"/>
      <c r="H2798" s="154"/>
      <c r="I2798" s="154"/>
      <c r="J2798" s="155"/>
      <c r="K2798" s="156"/>
      <c r="L2798" s="157"/>
      <c r="M2798" s="158" t="s">
        <v>28</v>
      </c>
      <c r="N2798" s="159" t="s">
        <v>29</v>
      </c>
    </row>
    <row r="2799" spans="1:14">
      <c r="A2799" s="148"/>
      <c r="B2799" s="149"/>
      <c r="C2799" s="160"/>
      <c r="D2799" s="151"/>
      <c r="E2799" s="152"/>
      <c r="F2799" s="153"/>
      <c r="G2799" s="154"/>
      <c r="H2799" s="154"/>
      <c r="I2799" s="154"/>
      <c r="J2799" s="155"/>
      <c r="K2799" s="156"/>
      <c r="L2799" s="157"/>
      <c r="M2799" s="158" t="s">
        <v>28</v>
      </c>
      <c r="N2799" s="159" t="s">
        <v>29</v>
      </c>
    </row>
    <row r="2800" spans="1:14">
      <c r="A2800" s="148"/>
      <c r="B2800" s="149"/>
      <c r="C2800" s="160"/>
      <c r="D2800" s="151"/>
      <c r="E2800" s="152"/>
      <c r="F2800" s="153"/>
      <c r="G2800" s="154"/>
      <c r="H2800" s="154"/>
      <c r="I2800" s="154"/>
      <c r="J2800" s="155"/>
      <c r="K2800" s="156"/>
      <c r="L2800" s="157"/>
      <c r="M2800" s="158" t="s">
        <v>28</v>
      </c>
      <c r="N2800" s="159" t="s">
        <v>29</v>
      </c>
    </row>
    <row r="2801" spans="1:14">
      <c r="A2801" s="148"/>
      <c r="B2801" s="149"/>
      <c r="C2801" s="160"/>
      <c r="D2801" s="151"/>
      <c r="E2801" s="152"/>
      <c r="F2801" s="153"/>
      <c r="G2801" s="154"/>
      <c r="H2801" s="154"/>
      <c r="I2801" s="154"/>
      <c r="J2801" s="155"/>
      <c r="K2801" s="156"/>
      <c r="L2801" s="157"/>
      <c r="M2801" s="158" t="s">
        <v>28</v>
      </c>
      <c r="N2801" s="159" t="s">
        <v>29</v>
      </c>
    </row>
    <row r="2802" spans="1:14">
      <c r="A2802" s="148"/>
      <c r="B2802" s="149"/>
      <c r="C2802" s="160"/>
      <c r="D2802" s="151"/>
      <c r="E2802" s="152"/>
      <c r="F2802" s="153"/>
      <c r="G2802" s="154"/>
      <c r="H2802" s="154"/>
      <c r="I2802" s="154"/>
      <c r="J2802" s="155"/>
      <c r="K2802" s="156"/>
      <c r="L2802" s="157"/>
      <c r="M2802" s="158" t="s">
        <v>28</v>
      </c>
      <c r="N2802" s="159" t="s">
        <v>29</v>
      </c>
    </row>
    <row r="2803" spans="1:14">
      <c r="A2803" s="148"/>
      <c r="B2803" s="149"/>
      <c r="C2803" s="160"/>
      <c r="D2803" s="151"/>
      <c r="E2803" s="152"/>
      <c r="F2803" s="153"/>
      <c r="G2803" s="154"/>
      <c r="H2803" s="154"/>
      <c r="I2803" s="154"/>
      <c r="J2803" s="155"/>
      <c r="K2803" s="156"/>
      <c r="L2803" s="157"/>
      <c r="M2803" s="158" t="s">
        <v>28</v>
      </c>
      <c r="N2803" s="159" t="s">
        <v>29</v>
      </c>
    </row>
    <row r="2804" spans="1:14">
      <c r="A2804" s="148"/>
      <c r="B2804" s="149"/>
      <c r="C2804" s="160"/>
      <c r="D2804" s="151"/>
      <c r="E2804" s="152"/>
      <c r="F2804" s="153"/>
      <c r="G2804" s="154"/>
      <c r="H2804" s="154"/>
      <c r="I2804" s="154"/>
      <c r="J2804" s="155"/>
      <c r="K2804" s="156"/>
      <c r="L2804" s="157"/>
      <c r="M2804" s="158" t="s">
        <v>28</v>
      </c>
      <c r="N2804" s="159" t="s">
        <v>29</v>
      </c>
    </row>
    <row r="2805" spans="1:14">
      <c r="A2805" s="148"/>
      <c r="B2805" s="149"/>
      <c r="C2805" s="160"/>
      <c r="D2805" s="151"/>
      <c r="E2805" s="152"/>
      <c r="F2805" s="153"/>
      <c r="G2805" s="154"/>
      <c r="H2805" s="154"/>
      <c r="I2805" s="154"/>
      <c r="J2805" s="155"/>
      <c r="K2805" s="156"/>
      <c r="L2805" s="157"/>
      <c r="M2805" s="158" t="s">
        <v>28</v>
      </c>
      <c r="N2805" s="159" t="s">
        <v>29</v>
      </c>
    </row>
    <row r="2806" spans="1:14">
      <c r="A2806" s="148"/>
      <c r="B2806" s="149"/>
      <c r="C2806" s="160"/>
      <c r="D2806" s="151"/>
      <c r="E2806" s="152"/>
      <c r="F2806" s="153"/>
      <c r="G2806" s="154"/>
      <c r="H2806" s="154"/>
      <c r="I2806" s="154"/>
      <c r="J2806" s="155"/>
      <c r="K2806" s="156"/>
      <c r="L2806" s="157"/>
      <c r="M2806" s="158" t="s">
        <v>28</v>
      </c>
      <c r="N2806" s="159" t="s">
        <v>29</v>
      </c>
    </row>
    <row r="2807" spans="1:14">
      <c r="A2807" s="148"/>
      <c r="B2807" s="149"/>
      <c r="C2807" s="160"/>
      <c r="D2807" s="151"/>
      <c r="E2807" s="152"/>
      <c r="F2807" s="153"/>
      <c r="G2807" s="154"/>
      <c r="H2807" s="154"/>
      <c r="I2807" s="154"/>
      <c r="J2807" s="155"/>
      <c r="K2807" s="156"/>
      <c r="L2807" s="157"/>
      <c r="M2807" s="158" t="s">
        <v>28</v>
      </c>
      <c r="N2807" s="159" t="s">
        <v>29</v>
      </c>
    </row>
    <row r="2808" spans="1:14">
      <c r="A2808" s="148"/>
      <c r="B2808" s="149"/>
      <c r="C2808" s="160"/>
      <c r="D2808" s="151"/>
      <c r="E2808" s="152"/>
      <c r="F2808" s="153"/>
      <c r="G2808" s="154"/>
      <c r="H2808" s="154"/>
      <c r="I2808" s="154"/>
      <c r="J2808" s="155"/>
      <c r="K2808" s="156"/>
      <c r="L2808" s="157"/>
      <c r="M2808" s="158" t="s">
        <v>28</v>
      </c>
      <c r="N2808" s="159" t="s">
        <v>29</v>
      </c>
    </row>
    <row r="2809" spans="1:14">
      <c r="A2809" s="148"/>
      <c r="B2809" s="149"/>
      <c r="C2809" s="160"/>
      <c r="D2809" s="151"/>
      <c r="E2809" s="152"/>
      <c r="F2809" s="153"/>
      <c r="G2809" s="154"/>
      <c r="H2809" s="154"/>
      <c r="I2809" s="154"/>
      <c r="J2809" s="155"/>
      <c r="K2809" s="156"/>
      <c r="L2809" s="157"/>
      <c r="M2809" s="158" t="s">
        <v>28</v>
      </c>
      <c r="N2809" s="159" t="s">
        <v>29</v>
      </c>
    </row>
    <row r="2810" spans="1:14">
      <c r="A2810" s="148"/>
      <c r="B2810" s="149"/>
      <c r="C2810" s="160"/>
      <c r="D2810" s="151"/>
      <c r="E2810" s="152"/>
      <c r="F2810" s="153"/>
      <c r="G2810" s="154"/>
      <c r="H2810" s="154"/>
      <c r="I2810" s="154"/>
      <c r="J2810" s="155"/>
      <c r="K2810" s="156"/>
      <c r="L2810" s="157"/>
      <c r="M2810" s="158" t="s">
        <v>28</v>
      </c>
      <c r="N2810" s="159" t="s">
        <v>29</v>
      </c>
    </row>
    <row r="2811" spans="1:14">
      <c r="A2811" s="148"/>
      <c r="B2811" s="149"/>
      <c r="C2811" s="160"/>
      <c r="D2811" s="151"/>
      <c r="E2811" s="152"/>
      <c r="F2811" s="153"/>
      <c r="G2811" s="154"/>
      <c r="H2811" s="154"/>
      <c r="I2811" s="154"/>
      <c r="J2811" s="155"/>
      <c r="K2811" s="156"/>
      <c r="L2811" s="157"/>
      <c r="M2811" s="158" t="s">
        <v>28</v>
      </c>
      <c r="N2811" s="159" t="s">
        <v>29</v>
      </c>
    </row>
    <row r="2812" spans="1:14">
      <c r="A2812" s="148"/>
      <c r="B2812" s="149"/>
      <c r="C2812" s="160"/>
      <c r="D2812" s="151"/>
      <c r="E2812" s="152"/>
      <c r="F2812" s="153"/>
      <c r="G2812" s="154"/>
      <c r="H2812" s="154"/>
      <c r="I2812" s="154"/>
      <c r="J2812" s="155"/>
      <c r="K2812" s="156"/>
      <c r="L2812" s="157"/>
      <c r="M2812" s="158" t="s">
        <v>28</v>
      </c>
      <c r="N2812" s="159" t="s">
        <v>29</v>
      </c>
    </row>
    <row r="2813" spans="1:14">
      <c r="A2813" s="148"/>
      <c r="B2813" s="149"/>
      <c r="C2813" s="160"/>
      <c r="D2813" s="151"/>
      <c r="E2813" s="152"/>
      <c r="F2813" s="153"/>
      <c r="G2813" s="154"/>
      <c r="H2813" s="154"/>
      <c r="I2813" s="154"/>
      <c r="J2813" s="155"/>
      <c r="K2813" s="156"/>
      <c r="L2813" s="157"/>
      <c r="M2813" s="158" t="s">
        <v>28</v>
      </c>
      <c r="N2813" s="159" t="s">
        <v>29</v>
      </c>
    </row>
    <row r="2814" spans="1:14">
      <c r="A2814" s="148"/>
      <c r="B2814" s="149"/>
      <c r="C2814" s="160"/>
      <c r="D2814" s="151"/>
      <c r="E2814" s="152"/>
      <c r="F2814" s="153"/>
      <c r="G2814" s="154"/>
      <c r="H2814" s="154"/>
      <c r="I2814" s="154"/>
      <c r="J2814" s="155"/>
      <c r="K2814" s="156"/>
      <c r="L2814" s="157"/>
      <c r="M2814" s="158" t="s">
        <v>28</v>
      </c>
      <c r="N2814" s="159" t="s">
        <v>29</v>
      </c>
    </row>
    <row r="2815" spans="1:14">
      <c r="A2815" s="148"/>
      <c r="B2815" s="149"/>
      <c r="C2815" s="160"/>
      <c r="D2815" s="151"/>
      <c r="E2815" s="152"/>
      <c r="F2815" s="153"/>
      <c r="G2815" s="154"/>
      <c r="H2815" s="154"/>
      <c r="I2815" s="154"/>
      <c r="J2815" s="155"/>
      <c r="K2815" s="156"/>
      <c r="L2815" s="157"/>
      <c r="M2815" s="158" t="s">
        <v>28</v>
      </c>
      <c r="N2815" s="159" t="s">
        <v>29</v>
      </c>
    </row>
    <row r="2816" spans="1:14">
      <c r="A2816" s="148"/>
      <c r="B2816" s="149"/>
      <c r="C2816" s="160"/>
      <c r="D2816" s="151"/>
      <c r="E2816" s="152"/>
      <c r="F2816" s="153"/>
      <c r="G2816" s="154"/>
      <c r="H2816" s="154"/>
      <c r="I2816" s="154"/>
      <c r="J2816" s="155"/>
      <c r="K2816" s="156"/>
      <c r="L2816" s="157"/>
      <c r="M2816" s="158" t="s">
        <v>28</v>
      </c>
      <c r="N2816" s="159" t="s">
        <v>29</v>
      </c>
    </row>
    <row r="2817" spans="1:14">
      <c r="A2817" s="148"/>
      <c r="B2817" s="149"/>
      <c r="C2817" s="160"/>
      <c r="D2817" s="151"/>
      <c r="E2817" s="152"/>
      <c r="F2817" s="153"/>
      <c r="G2817" s="154"/>
      <c r="H2817" s="154"/>
      <c r="I2817" s="154"/>
      <c r="J2817" s="155"/>
      <c r="K2817" s="156"/>
      <c r="L2817" s="157"/>
      <c r="M2817" s="158" t="s">
        <v>28</v>
      </c>
      <c r="N2817" s="159" t="s">
        <v>29</v>
      </c>
    </row>
    <row r="2818" spans="1:14">
      <c r="A2818" s="148"/>
      <c r="B2818" s="149"/>
      <c r="C2818" s="160"/>
      <c r="D2818" s="151"/>
      <c r="E2818" s="152"/>
      <c r="F2818" s="153"/>
      <c r="G2818" s="154"/>
      <c r="H2818" s="154"/>
      <c r="I2818" s="154"/>
      <c r="J2818" s="155"/>
      <c r="K2818" s="156"/>
      <c r="L2818" s="157"/>
      <c r="M2818" s="158" t="s">
        <v>28</v>
      </c>
      <c r="N2818" s="159" t="s">
        <v>29</v>
      </c>
    </row>
    <row r="2819" spans="1:14">
      <c r="A2819" s="148"/>
      <c r="B2819" s="149"/>
      <c r="C2819" s="160"/>
      <c r="D2819" s="151"/>
      <c r="E2819" s="152"/>
      <c r="F2819" s="153"/>
      <c r="G2819" s="154"/>
      <c r="H2819" s="154"/>
      <c r="I2819" s="154"/>
      <c r="J2819" s="155"/>
      <c r="K2819" s="156"/>
      <c r="L2819" s="157"/>
      <c r="M2819" s="158" t="s">
        <v>28</v>
      </c>
      <c r="N2819" s="159" t="s">
        <v>29</v>
      </c>
    </row>
    <row r="2820" spans="1:14">
      <c r="A2820" s="148"/>
      <c r="B2820" s="149"/>
      <c r="C2820" s="160"/>
      <c r="D2820" s="151"/>
      <c r="E2820" s="152"/>
      <c r="F2820" s="153"/>
      <c r="G2820" s="154"/>
      <c r="H2820" s="154"/>
      <c r="I2820" s="154"/>
      <c r="J2820" s="155"/>
      <c r="K2820" s="156"/>
      <c r="L2820" s="157"/>
      <c r="M2820" s="158" t="s">
        <v>28</v>
      </c>
      <c r="N2820" s="159" t="s">
        <v>29</v>
      </c>
    </row>
    <row r="2821" spans="1:14">
      <c r="A2821" s="148"/>
      <c r="B2821" s="149"/>
      <c r="C2821" s="160"/>
      <c r="D2821" s="151"/>
      <c r="E2821" s="152"/>
      <c r="F2821" s="153"/>
      <c r="G2821" s="154"/>
      <c r="H2821" s="154"/>
      <c r="I2821" s="154"/>
      <c r="J2821" s="155"/>
      <c r="K2821" s="156"/>
      <c r="L2821" s="157"/>
      <c r="M2821" s="158" t="s">
        <v>28</v>
      </c>
      <c r="N2821" s="159" t="s">
        <v>29</v>
      </c>
    </row>
    <row r="2822" spans="1:14">
      <c r="A2822" s="148"/>
      <c r="B2822" s="149"/>
      <c r="C2822" s="160"/>
      <c r="D2822" s="151"/>
      <c r="E2822" s="152"/>
      <c r="F2822" s="153"/>
      <c r="G2822" s="154"/>
      <c r="H2822" s="154"/>
      <c r="I2822" s="154"/>
      <c r="J2822" s="155"/>
      <c r="K2822" s="156"/>
      <c r="L2822" s="157"/>
      <c r="M2822" s="158" t="s">
        <v>28</v>
      </c>
      <c r="N2822" s="159" t="s">
        <v>29</v>
      </c>
    </row>
    <row r="2823" spans="1:14">
      <c r="A2823" s="148"/>
      <c r="B2823" s="149"/>
      <c r="C2823" s="160"/>
      <c r="D2823" s="151"/>
      <c r="E2823" s="152"/>
      <c r="F2823" s="153"/>
      <c r="G2823" s="154"/>
      <c r="H2823" s="154"/>
      <c r="I2823" s="154"/>
      <c r="J2823" s="155"/>
      <c r="K2823" s="156"/>
      <c r="L2823" s="157"/>
      <c r="M2823" s="158" t="s">
        <v>28</v>
      </c>
      <c r="N2823" s="159" t="s">
        <v>29</v>
      </c>
    </row>
    <row r="2824" spans="1:14">
      <c r="A2824" s="148"/>
      <c r="B2824" s="149"/>
      <c r="C2824" s="160"/>
      <c r="D2824" s="151"/>
      <c r="E2824" s="152"/>
      <c r="F2824" s="153"/>
      <c r="G2824" s="154"/>
      <c r="H2824" s="154"/>
      <c r="I2824" s="154"/>
      <c r="J2824" s="155"/>
      <c r="K2824" s="156"/>
      <c r="L2824" s="157"/>
      <c r="M2824" s="158" t="s">
        <v>28</v>
      </c>
      <c r="N2824" s="159" t="s">
        <v>29</v>
      </c>
    </row>
    <row r="2825" spans="1:14">
      <c r="A2825" s="148"/>
      <c r="B2825" s="149"/>
      <c r="C2825" s="160"/>
      <c r="D2825" s="151"/>
      <c r="E2825" s="152"/>
      <c r="F2825" s="153"/>
      <c r="G2825" s="154"/>
      <c r="H2825" s="154"/>
      <c r="I2825" s="154"/>
      <c r="J2825" s="155"/>
      <c r="K2825" s="156"/>
      <c r="L2825" s="157"/>
      <c r="M2825" s="158" t="s">
        <v>28</v>
      </c>
      <c r="N2825" s="159" t="s">
        <v>29</v>
      </c>
    </row>
    <row r="2826" spans="1:14">
      <c r="A2826" s="148"/>
      <c r="B2826" s="149"/>
      <c r="C2826" s="160"/>
      <c r="D2826" s="151"/>
      <c r="E2826" s="152"/>
      <c r="F2826" s="153"/>
      <c r="G2826" s="154"/>
      <c r="H2826" s="154"/>
      <c r="I2826" s="154"/>
      <c r="J2826" s="155"/>
      <c r="K2826" s="156"/>
      <c r="L2826" s="157"/>
      <c r="M2826" s="158" t="s">
        <v>28</v>
      </c>
      <c r="N2826" s="159" t="s">
        <v>29</v>
      </c>
    </row>
    <row r="2827" spans="1:14">
      <c r="A2827" s="148"/>
      <c r="B2827" s="149"/>
      <c r="C2827" s="160"/>
      <c r="D2827" s="151"/>
      <c r="E2827" s="152"/>
      <c r="F2827" s="153"/>
      <c r="G2827" s="154"/>
      <c r="H2827" s="154"/>
      <c r="I2827" s="154"/>
      <c r="J2827" s="155"/>
      <c r="K2827" s="156"/>
      <c r="L2827" s="157"/>
      <c r="M2827" s="158" t="s">
        <v>28</v>
      </c>
      <c r="N2827" s="159" t="s">
        <v>29</v>
      </c>
    </row>
    <row r="2828" spans="1:14">
      <c r="A2828" s="148"/>
      <c r="B2828" s="149"/>
      <c r="C2828" s="160"/>
      <c r="D2828" s="151"/>
      <c r="E2828" s="152"/>
      <c r="F2828" s="153"/>
      <c r="G2828" s="154"/>
      <c r="H2828" s="154"/>
      <c r="I2828" s="154"/>
      <c r="J2828" s="155"/>
      <c r="K2828" s="156"/>
      <c r="L2828" s="157"/>
      <c r="M2828" s="158" t="s">
        <v>28</v>
      </c>
      <c r="N2828" s="159" t="s">
        <v>29</v>
      </c>
    </row>
    <row r="2829" spans="1:14">
      <c r="A2829" s="148"/>
      <c r="B2829" s="149"/>
      <c r="C2829" s="160"/>
      <c r="D2829" s="151"/>
      <c r="E2829" s="152"/>
      <c r="F2829" s="153"/>
      <c r="G2829" s="154"/>
      <c r="H2829" s="154"/>
      <c r="I2829" s="154"/>
      <c r="J2829" s="155"/>
      <c r="K2829" s="156"/>
      <c r="L2829" s="157"/>
      <c r="M2829" s="158" t="s">
        <v>28</v>
      </c>
      <c r="N2829" s="159" t="s">
        <v>29</v>
      </c>
    </row>
    <row r="2830" spans="1:14">
      <c r="A2830" s="148"/>
      <c r="B2830" s="149"/>
      <c r="C2830" s="160"/>
      <c r="D2830" s="151"/>
      <c r="E2830" s="152"/>
      <c r="F2830" s="153"/>
      <c r="G2830" s="154"/>
      <c r="H2830" s="154"/>
      <c r="I2830" s="154"/>
      <c r="J2830" s="155"/>
      <c r="K2830" s="156"/>
      <c r="L2830" s="157"/>
      <c r="M2830" s="158" t="s">
        <v>28</v>
      </c>
      <c r="N2830" s="159" t="s">
        <v>29</v>
      </c>
    </row>
    <row r="2831" spans="1:14">
      <c r="A2831" s="148"/>
      <c r="B2831" s="149"/>
      <c r="C2831" s="160"/>
      <c r="D2831" s="151"/>
      <c r="E2831" s="152"/>
      <c r="F2831" s="153"/>
      <c r="G2831" s="154"/>
      <c r="H2831" s="154"/>
      <c r="I2831" s="154"/>
      <c r="J2831" s="155"/>
      <c r="K2831" s="156"/>
      <c r="L2831" s="157"/>
      <c r="M2831" s="158" t="s">
        <v>28</v>
      </c>
      <c r="N2831" s="159" t="s">
        <v>29</v>
      </c>
    </row>
    <row r="2832" spans="1:14">
      <c r="A2832" s="148"/>
      <c r="B2832" s="149"/>
      <c r="C2832" s="160"/>
      <c r="D2832" s="151"/>
      <c r="E2832" s="152"/>
      <c r="F2832" s="153"/>
      <c r="G2832" s="154"/>
      <c r="H2832" s="154"/>
      <c r="I2832" s="154"/>
      <c r="J2832" s="155"/>
      <c r="K2832" s="156"/>
      <c r="L2832" s="157"/>
      <c r="M2832" s="158" t="s">
        <v>28</v>
      </c>
      <c r="N2832" s="159" t="s">
        <v>29</v>
      </c>
    </row>
    <row r="2833" spans="1:14">
      <c r="A2833" s="148"/>
      <c r="B2833" s="149"/>
      <c r="C2833" s="160"/>
      <c r="D2833" s="151"/>
      <c r="E2833" s="152"/>
      <c r="F2833" s="153"/>
      <c r="G2833" s="154"/>
      <c r="H2833" s="154"/>
      <c r="I2833" s="154"/>
      <c r="J2833" s="155"/>
      <c r="K2833" s="156"/>
      <c r="L2833" s="157"/>
      <c r="M2833" s="158" t="s">
        <v>28</v>
      </c>
      <c r="N2833" s="159" t="s">
        <v>29</v>
      </c>
    </row>
    <row r="2834" spans="1:14">
      <c r="A2834" s="148"/>
      <c r="B2834" s="149"/>
      <c r="C2834" s="160"/>
      <c r="D2834" s="151"/>
      <c r="E2834" s="152"/>
      <c r="F2834" s="153"/>
      <c r="G2834" s="154"/>
      <c r="H2834" s="154"/>
      <c r="I2834" s="154"/>
      <c r="J2834" s="155"/>
      <c r="K2834" s="156"/>
      <c r="L2834" s="157"/>
      <c r="M2834" s="158" t="s">
        <v>28</v>
      </c>
      <c r="N2834" s="159" t="s">
        <v>29</v>
      </c>
    </row>
    <row r="2835" spans="1:14">
      <c r="A2835" s="148"/>
      <c r="B2835" s="149"/>
      <c r="C2835" s="160"/>
      <c r="D2835" s="151"/>
      <c r="E2835" s="152"/>
      <c r="F2835" s="153"/>
      <c r="G2835" s="154"/>
      <c r="H2835" s="154"/>
      <c r="I2835" s="154"/>
      <c r="J2835" s="155"/>
      <c r="K2835" s="156"/>
      <c r="L2835" s="157"/>
      <c r="M2835" s="158" t="s">
        <v>28</v>
      </c>
      <c r="N2835" s="159" t="s">
        <v>29</v>
      </c>
    </row>
    <row r="2836" spans="1:14">
      <c r="A2836" s="148"/>
      <c r="B2836" s="149"/>
      <c r="C2836" s="160"/>
      <c r="D2836" s="151"/>
      <c r="E2836" s="152"/>
      <c r="F2836" s="153"/>
      <c r="G2836" s="154"/>
      <c r="H2836" s="154"/>
      <c r="I2836" s="154"/>
      <c r="J2836" s="155"/>
      <c r="K2836" s="156"/>
      <c r="L2836" s="157"/>
      <c r="M2836" s="158" t="s">
        <v>28</v>
      </c>
      <c r="N2836" s="159" t="s">
        <v>29</v>
      </c>
    </row>
    <row r="2837" spans="1:14">
      <c r="A2837" s="148"/>
      <c r="B2837" s="149"/>
      <c r="C2837" s="160"/>
      <c r="D2837" s="151"/>
      <c r="E2837" s="152"/>
      <c r="F2837" s="153"/>
      <c r="G2837" s="154"/>
      <c r="H2837" s="154"/>
      <c r="I2837" s="154"/>
      <c r="J2837" s="155"/>
      <c r="K2837" s="156"/>
      <c r="L2837" s="157"/>
      <c r="M2837" s="158" t="s">
        <v>28</v>
      </c>
      <c r="N2837" s="159" t="s">
        <v>29</v>
      </c>
    </row>
    <row r="2838" spans="1:14">
      <c r="A2838" s="148"/>
      <c r="B2838" s="149"/>
      <c r="C2838" s="160"/>
      <c r="D2838" s="151"/>
      <c r="E2838" s="152"/>
      <c r="F2838" s="153"/>
      <c r="G2838" s="154"/>
      <c r="H2838" s="154"/>
      <c r="I2838" s="154"/>
      <c r="J2838" s="155"/>
      <c r="K2838" s="156"/>
      <c r="L2838" s="157"/>
      <c r="M2838" s="158" t="s">
        <v>28</v>
      </c>
      <c r="N2838" s="159" t="s">
        <v>29</v>
      </c>
    </row>
    <row r="2839" spans="1:14">
      <c r="A2839" s="148"/>
      <c r="B2839" s="149"/>
      <c r="C2839" s="160"/>
      <c r="D2839" s="151"/>
      <c r="E2839" s="152"/>
      <c r="F2839" s="153"/>
      <c r="G2839" s="154"/>
      <c r="H2839" s="154"/>
      <c r="I2839" s="154"/>
      <c r="J2839" s="155"/>
      <c r="K2839" s="156"/>
      <c r="L2839" s="157"/>
      <c r="M2839" s="158" t="s">
        <v>28</v>
      </c>
      <c r="N2839" s="159" t="s">
        <v>29</v>
      </c>
    </row>
    <row r="2840" spans="1:14">
      <c r="A2840" s="148"/>
      <c r="B2840" s="149"/>
      <c r="C2840" s="160"/>
      <c r="D2840" s="151"/>
      <c r="E2840" s="152"/>
      <c r="F2840" s="153"/>
      <c r="G2840" s="154"/>
      <c r="H2840" s="154"/>
      <c r="I2840" s="154"/>
      <c r="J2840" s="155"/>
      <c r="K2840" s="156"/>
      <c r="L2840" s="157"/>
      <c r="M2840" s="158" t="s">
        <v>28</v>
      </c>
      <c r="N2840" s="159" t="s">
        <v>29</v>
      </c>
    </row>
    <row r="2841" spans="1:14">
      <c r="A2841" s="148"/>
      <c r="B2841" s="149"/>
      <c r="C2841" s="160"/>
      <c r="D2841" s="151"/>
      <c r="E2841" s="152"/>
      <c r="F2841" s="153"/>
      <c r="G2841" s="154"/>
      <c r="H2841" s="154"/>
      <c r="I2841" s="154"/>
      <c r="J2841" s="155"/>
      <c r="K2841" s="156"/>
      <c r="L2841" s="157"/>
      <c r="M2841" s="158" t="s">
        <v>28</v>
      </c>
      <c r="N2841" s="159" t="s">
        <v>29</v>
      </c>
    </row>
    <row r="2842" spans="1:14">
      <c r="A2842" s="148"/>
      <c r="B2842" s="149"/>
      <c r="C2842" s="160"/>
      <c r="D2842" s="151"/>
      <c r="E2842" s="152"/>
      <c r="F2842" s="153"/>
      <c r="G2842" s="154"/>
      <c r="H2842" s="154"/>
      <c r="I2842" s="154"/>
      <c r="J2842" s="155"/>
      <c r="K2842" s="156"/>
      <c r="L2842" s="157"/>
      <c r="M2842" s="158" t="s">
        <v>28</v>
      </c>
      <c r="N2842" s="159" t="s">
        <v>29</v>
      </c>
    </row>
    <row r="2843" spans="1:14">
      <c r="A2843" s="148"/>
      <c r="B2843" s="149"/>
      <c r="C2843" s="160"/>
      <c r="D2843" s="151"/>
      <c r="E2843" s="152"/>
      <c r="F2843" s="153"/>
      <c r="G2843" s="154"/>
      <c r="H2843" s="154"/>
      <c r="I2843" s="154"/>
      <c r="J2843" s="155"/>
      <c r="K2843" s="156"/>
      <c r="L2843" s="157"/>
      <c r="M2843" s="158" t="s">
        <v>28</v>
      </c>
      <c r="N2843" s="159" t="s">
        <v>29</v>
      </c>
    </row>
    <row r="2844" spans="1:14">
      <c r="A2844" s="148"/>
      <c r="B2844" s="149"/>
      <c r="C2844" s="160"/>
      <c r="D2844" s="151"/>
      <c r="E2844" s="152"/>
      <c r="F2844" s="153"/>
      <c r="G2844" s="154"/>
      <c r="H2844" s="154"/>
      <c r="I2844" s="154"/>
      <c r="J2844" s="155"/>
      <c r="K2844" s="156"/>
      <c r="L2844" s="157"/>
      <c r="M2844" s="158" t="s">
        <v>28</v>
      </c>
      <c r="N2844" s="159" t="s">
        <v>29</v>
      </c>
    </row>
    <row r="2845" spans="1:14">
      <c r="A2845" s="148"/>
      <c r="B2845" s="149"/>
      <c r="C2845" s="160"/>
      <c r="D2845" s="151"/>
      <c r="E2845" s="152"/>
      <c r="F2845" s="153"/>
      <c r="G2845" s="154"/>
      <c r="H2845" s="154"/>
      <c r="I2845" s="154"/>
      <c r="J2845" s="155"/>
      <c r="K2845" s="156"/>
      <c r="L2845" s="157"/>
      <c r="M2845" s="158" t="s">
        <v>28</v>
      </c>
      <c r="N2845" s="159" t="s">
        <v>29</v>
      </c>
    </row>
    <row r="2846" spans="1:14">
      <c r="A2846" s="148"/>
      <c r="B2846" s="149"/>
      <c r="C2846" s="160"/>
      <c r="D2846" s="151"/>
      <c r="E2846" s="152"/>
      <c r="F2846" s="153"/>
      <c r="G2846" s="154"/>
      <c r="H2846" s="154"/>
      <c r="I2846" s="154"/>
      <c r="J2846" s="155"/>
      <c r="K2846" s="156"/>
      <c r="L2846" s="157"/>
      <c r="M2846" s="158" t="s">
        <v>28</v>
      </c>
      <c r="N2846" s="159" t="s">
        <v>29</v>
      </c>
    </row>
    <row r="2847" spans="1:14">
      <c r="A2847" s="148"/>
      <c r="B2847" s="149"/>
      <c r="C2847" s="160"/>
      <c r="D2847" s="151"/>
      <c r="E2847" s="152"/>
      <c r="F2847" s="153"/>
      <c r="G2847" s="154"/>
      <c r="H2847" s="154"/>
      <c r="I2847" s="154"/>
      <c r="J2847" s="155"/>
      <c r="K2847" s="156"/>
      <c r="L2847" s="157"/>
      <c r="M2847" s="158" t="s">
        <v>28</v>
      </c>
      <c r="N2847" s="159" t="s">
        <v>29</v>
      </c>
    </row>
    <row r="2848" spans="1:14">
      <c r="A2848" s="148"/>
      <c r="B2848" s="149"/>
      <c r="C2848" s="160"/>
      <c r="D2848" s="151"/>
      <c r="E2848" s="152"/>
      <c r="F2848" s="153"/>
      <c r="G2848" s="154"/>
      <c r="H2848" s="154"/>
      <c r="I2848" s="154"/>
      <c r="J2848" s="155"/>
      <c r="K2848" s="156"/>
      <c r="L2848" s="157"/>
      <c r="M2848" s="158" t="s">
        <v>28</v>
      </c>
      <c r="N2848" s="159" t="s">
        <v>29</v>
      </c>
    </row>
    <row r="2849" spans="1:14">
      <c r="A2849" s="148"/>
      <c r="B2849" s="149"/>
      <c r="C2849" s="160"/>
      <c r="D2849" s="151"/>
      <c r="E2849" s="152"/>
      <c r="F2849" s="153"/>
      <c r="G2849" s="154"/>
      <c r="H2849" s="154"/>
      <c r="I2849" s="154"/>
      <c r="J2849" s="155"/>
      <c r="K2849" s="156"/>
      <c r="L2849" s="157"/>
      <c r="M2849" s="158" t="s">
        <v>28</v>
      </c>
      <c r="N2849" s="159" t="s">
        <v>29</v>
      </c>
    </row>
    <row r="2850" spans="1:14">
      <c r="A2850" s="148"/>
      <c r="B2850" s="149"/>
      <c r="C2850" s="160"/>
      <c r="D2850" s="151"/>
      <c r="E2850" s="152"/>
      <c r="F2850" s="153"/>
      <c r="G2850" s="154"/>
      <c r="H2850" s="154"/>
      <c r="I2850" s="154"/>
      <c r="J2850" s="155"/>
      <c r="K2850" s="156"/>
      <c r="L2850" s="157"/>
      <c r="M2850" s="158" t="s">
        <v>28</v>
      </c>
      <c r="N2850" s="159" t="s">
        <v>29</v>
      </c>
    </row>
    <row r="2851" spans="1:14">
      <c r="A2851" s="148"/>
      <c r="B2851" s="149"/>
      <c r="C2851" s="160"/>
      <c r="D2851" s="151"/>
      <c r="E2851" s="152"/>
      <c r="F2851" s="153"/>
      <c r="G2851" s="154"/>
      <c r="H2851" s="154"/>
      <c r="I2851" s="154"/>
      <c r="J2851" s="155"/>
      <c r="K2851" s="156"/>
      <c r="L2851" s="157"/>
      <c r="M2851" s="158" t="s">
        <v>28</v>
      </c>
      <c r="N2851" s="159" t="s">
        <v>29</v>
      </c>
    </row>
    <row r="2852" spans="1:14">
      <c r="A2852" s="148"/>
      <c r="B2852" s="149"/>
      <c r="C2852" s="160"/>
      <c r="D2852" s="151"/>
      <c r="E2852" s="152"/>
      <c r="F2852" s="153"/>
      <c r="G2852" s="154"/>
      <c r="H2852" s="154"/>
      <c r="I2852" s="154"/>
      <c r="J2852" s="155"/>
      <c r="K2852" s="156"/>
      <c r="L2852" s="157"/>
      <c r="M2852" s="158" t="s">
        <v>28</v>
      </c>
      <c r="N2852" s="159" t="s">
        <v>29</v>
      </c>
    </row>
    <row r="2853" spans="1:14">
      <c r="A2853" s="148"/>
      <c r="B2853" s="149"/>
      <c r="C2853" s="160"/>
      <c r="D2853" s="151"/>
      <c r="E2853" s="152"/>
      <c r="F2853" s="153"/>
      <c r="G2853" s="154"/>
      <c r="H2853" s="154"/>
      <c r="I2853" s="154"/>
      <c r="J2853" s="155"/>
      <c r="K2853" s="156"/>
      <c r="L2853" s="157"/>
      <c r="M2853" s="158" t="s">
        <v>28</v>
      </c>
      <c r="N2853" s="159" t="s">
        <v>29</v>
      </c>
    </row>
    <row r="2854" spans="1:14">
      <c r="A2854" s="148"/>
      <c r="B2854" s="149"/>
      <c r="C2854" s="160"/>
      <c r="D2854" s="151"/>
      <c r="E2854" s="152"/>
      <c r="F2854" s="153"/>
      <c r="G2854" s="154"/>
      <c r="H2854" s="154"/>
      <c r="I2854" s="154"/>
      <c r="J2854" s="155"/>
      <c r="K2854" s="156"/>
      <c r="L2854" s="157"/>
      <c r="M2854" s="158" t="s">
        <v>28</v>
      </c>
      <c r="N2854" s="159" t="s">
        <v>29</v>
      </c>
    </row>
    <row r="2855" spans="1:14">
      <c r="A2855" s="148"/>
      <c r="B2855" s="149"/>
      <c r="C2855" s="160"/>
      <c r="D2855" s="151"/>
      <c r="E2855" s="152"/>
      <c r="F2855" s="153"/>
      <c r="G2855" s="154"/>
      <c r="H2855" s="154"/>
      <c r="I2855" s="154"/>
      <c r="J2855" s="155"/>
      <c r="K2855" s="156"/>
      <c r="L2855" s="157"/>
      <c r="M2855" s="158" t="s">
        <v>28</v>
      </c>
      <c r="N2855" s="159" t="s">
        <v>29</v>
      </c>
    </row>
    <row r="2856" spans="1:14">
      <c r="A2856" s="148"/>
      <c r="B2856" s="149"/>
      <c r="C2856" s="160"/>
      <c r="D2856" s="151"/>
      <c r="E2856" s="152"/>
      <c r="F2856" s="153"/>
      <c r="G2856" s="154"/>
      <c r="H2856" s="154"/>
      <c r="I2856" s="154"/>
      <c r="J2856" s="155"/>
      <c r="K2856" s="156"/>
      <c r="L2856" s="157"/>
      <c r="M2856" s="158" t="s">
        <v>28</v>
      </c>
      <c r="N2856" s="159" t="s">
        <v>29</v>
      </c>
    </row>
    <row r="2857" spans="1:14">
      <c r="A2857" s="148"/>
      <c r="B2857" s="149"/>
      <c r="C2857" s="160"/>
      <c r="D2857" s="151"/>
      <c r="E2857" s="152"/>
      <c r="F2857" s="153"/>
      <c r="G2857" s="154"/>
      <c r="H2857" s="154"/>
      <c r="I2857" s="154"/>
      <c r="J2857" s="155"/>
      <c r="K2857" s="156"/>
      <c r="L2857" s="157"/>
      <c r="M2857" s="158" t="s">
        <v>28</v>
      </c>
      <c r="N2857" s="159" t="s">
        <v>29</v>
      </c>
    </row>
    <row r="2858" spans="1:14">
      <c r="A2858" s="148"/>
      <c r="B2858" s="149"/>
      <c r="C2858" s="160"/>
      <c r="D2858" s="151"/>
      <c r="E2858" s="152"/>
      <c r="F2858" s="153"/>
      <c r="G2858" s="154"/>
      <c r="H2858" s="154"/>
      <c r="I2858" s="154"/>
      <c r="J2858" s="155"/>
      <c r="K2858" s="156"/>
      <c r="L2858" s="157"/>
      <c r="M2858" s="158" t="s">
        <v>28</v>
      </c>
      <c r="N2858" s="159" t="s">
        <v>29</v>
      </c>
    </row>
    <row r="2859" spans="1:14">
      <c r="A2859" s="148"/>
      <c r="B2859" s="149"/>
      <c r="C2859" s="160"/>
      <c r="D2859" s="151"/>
      <c r="E2859" s="152"/>
      <c r="F2859" s="153"/>
      <c r="G2859" s="154"/>
      <c r="H2859" s="154"/>
      <c r="I2859" s="154"/>
      <c r="J2859" s="155"/>
      <c r="K2859" s="156"/>
      <c r="L2859" s="157"/>
      <c r="M2859" s="158" t="s">
        <v>28</v>
      </c>
      <c r="N2859" s="159" t="s">
        <v>29</v>
      </c>
    </row>
    <row r="2860" spans="1:14">
      <c r="A2860" s="148"/>
      <c r="B2860" s="149"/>
      <c r="C2860" s="160"/>
      <c r="D2860" s="151"/>
      <c r="E2860" s="152"/>
      <c r="F2860" s="153"/>
      <c r="G2860" s="154"/>
      <c r="H2860" s="154"/>
      <c r="I2860" s="154"/>
      <c r="J2860" s="155"/>
      <c r="K2860" s="156"/>
      <c r="L2860" s="157"/>
      <c r="M2860" s="158" t="s">
        <v>28</v>
      </c>
      <c r="N2860" s="159" t="s">
        <v>29</v>
      </c>
    </row>
    <row r="2861" spans="1:14">
      <c r="A2861" s="148"/>
      <c r="B2861" s="149"/>
      <c r="C2861" s="160"/>
      <c r="D2861" s="151"/>
      <c r="E2861" s="152"/>
      <c r="F2861" s="153"/>
      <c r="G2861" s="154"/>
      <c r="H2861" s="154"/>
      <c r="I2861" s="154"/>
      <c r="J2861" s="155"/>
      <c r="K2861" s="156"/>
      <c r="L2861" s="157"/>
      <c r="M2861" s="158" t="s">
        <v>28</v>
      </c>
      <c r="N2861" s="159" t="s">
        <v>29</v>
      </c>
    </row>
    <row r="2862" spans="1:14">
      <c r="A2862" s="148"/>
      <c r="B2862" s="149"/>
      <c r="C2862" s="160"/>
      <c r="D2862" s="151"/>
      <c r="E2862" s="152"/>
      <c r="F2862" s="153"/>
      <c r="G2862" s="154"/>
      <c r="H2862" s="154"/>
      <c r="I2862" s="154"/>
      <c r="J2862" s="155"/>
      <c r="K2862" s="156"/>
      <c r="L2862" s="157"/>
      <c r="M2862" s="158" t="s">
        <v>28</v>
      </c>
      <c r="N2862" s="159" t="s">
        <v>29</v>
      </c>
    </row>
    <row r="2863" spans="1:14">
      <c r="A2863" s="148"/>
      <c r="B2863" s="149"/>
      <c r="C2863" s="160"/>
      <c r="D2863" s="151"/>
      <c r="E2863" s="152"/>
      <c r="F2863" s="153"/>
      <c r="G2863" s="154"/>
      <c r="H2863" s="154"/>
      <c r="I2863" s="154"/>
      <c r="J2863" s="155"/>
      <c r="K2863" s="156"/>
      <c r="L2863" s="157"/>
      <c r="M2863" s="158" t="s">
        <v>28</v>
      </c>
      <c r="N2863" s="159" t="s">
        <v>29</v>
      </c>
    </row>
    <row r="2864" spans="1:14">
      <c r="A2864" s="148"/>
      <c r="B2864" s="149"/>
      <c r="C2864" s="160"/>
      <c r="D2864" s="151"/>
      <c r="E2864" s="152"/>
      <c r="F2864" s="153"/>
      <c r="G2864" s="154"/>
      <c r="H2864" s="154"/>
      <c r="I2864" s="154"/>
      <c r="J2864" s="155"/>
      <c r="K2864" s="156"/>
      <c r="L2864" s="157"/>
      <c r="M2864" s="158" t="s">
        <v>28</v>
      </c>
      <c r="N2864" s="159" t="s">
        <v>29</v>
      </c>
    </row>
    <row r="2865" spans="1:14">
      <c r="A2865" s="148"/>
      <c r="B2865" s="149"/>
      <c r="C2865" s="160"/>
      <c r="D2865" s="151"/>
      <c r="E2865" s="152"/>
      <c r="F2865" s="153"/>
      <c r="G2865" s="154"/>
      <c r="H2865" s="154"/>
      <c r="I2865" s="154"/>
      <c r="J2865" s="155"/>
      <c r="K2865" s="156"/>
      <c r="L2865" s="157"/>
      <c r="M2865" s="158" t="s">
        <v>28</v>
      </c>
      <c r="N2865" s="159" t="s">
        <v>29</v>
      </c>
    </row>
    <row r="2866" spans="1:14">
      <c r="A2866" s="148"/>
      <c r="B2866" s="149"/>
      <c r="C2866" s="160"/>
      <c r="D2866" s="151"/>
      <c r="E2866" s="152"/>
      <c r="F2866" s="153"/>
      <c r="G2866" s="154"/>
      <c r="H2866" s="154"/>
      <c r="I2866" s="154"/>
      <c r="J2866" s="155"/>
      <c r="K2866" s="156"/>
      <c r="L2866" s="157"/>
      <c r="M2866" s="158" t="s">
        <v>28</v>
      </c>
      <c r="N2866" s="159" t="s">
        <v>29</v>
      </c>
    </row>
    <row r="2867" spans="1:14">
      <c r="A2867" s="148"/>
      <c r="B2867" s="149"/>
      <c r="C2867" s="160"/>
      <c r="D2867" s="151"/>
      <c r="E2867" s="152"/>
      <c r="F2867" s="153"/>
      <c r="G2867" s="154"/>
      <c r="H2867" s="154"/>
      <c r="I2867" s="154"/>
      <c r="J2867" s="155"/>
      <c r="K2867" s="156"/>
      <c r="L2867" s="157"/>
      <c r="M2867" s="158" t="s">
        <v>28</v>
      </c>
      <c r="N2867" s="159" t="s">
        <v>29</v>
      </c>
    </row>
    <row r="2868" spans="1:14">
      <c r="A2868" s="148"/>
      <c r="B2868" s="149"/>
      <c r="C2868" s="160"/>
      <c r="D2868" s="151"/>
      <c r="E2868" s="152"/>
      <c r="F2868" s="153"/>
      <c r="G2868" s="154"/>
      <c r="H2868" s="154"/>
      <c r="I2868" s="154"/>
      <c r="J2868" s="155"/>
      <c r="K2868" s="156"/>
      <c r="L2868" s="157"/>
      <c r="M2868" s="158" t="s">
        <v>28</v>
      </c>
      <c r="N2868" s="159" t="s">
        <v>29</v>
      </c>
    </row>
    <row r="2869" spans="1:14">
      <c r="A2869" s="148"/>
      <c r="B2869" s="149"/>
      <c r="C2869" s="160"/>
      <c r="D2869" s="151"/>
      <c r="E2869" s="152"/>
      <c r="F2869" s="153"/>
      <c r="G2869" s="154"/>
      <c r="H2869" s="154"/>
      <c r="I2869" s="154"/>
      <c r="J2869" s="155"/>
      <c r="K2869" s="156"/>
      <c r="L2869" s="157"/>
      <c r="M2869" s="158" t="s">
        <v>28</v>
      </c>
      <c r="N2869" s="159" t="s">
        <v>29</v>
      </c>
    </row>
    <row r="2870" spans="1:14">
      <c r="A2870" s="148"/>
      <c r="B2870" s="149"/>
      <c r="C2870" s="160"/>
      <c r="D2870" s="151"/>
      <c r="E2870" s="152"/>
      <c r="F2870" s="153"/>
      <c r="G2870" s="154"/>
      <c r="H2870" s="154"/>
      <c r="I2870" s="154"/>
      <c r="J2870" s="155"/>
      <c r="K2870" s="156"/>
      <c r="L2870" s="157"/>
      <c r="M2870" s="158" t="s">
        <v>28</v>
      </c>
      <c r="N2870" s="159" t="s">
        <v>29</v>
      </c>
    </row>
    <row r="2871" spans="1:14">
      <c r="A2871" s="148"/>
      <c r="B2871" s="149"/>
      <c r="C2871" s="160"/>
      <c r="D2871" s="151"/>
      <c r="E2871" s="152"/>
      <c r="F2871" s="153"/>
      <c r="G2871" s="154"/>
      <c r="H2871" s="154"/>
      <c r="I2871" s="154"/>
      <c r="J2871" s="155"/>
      <c r="K2871" s="156"/>
      <c r="L2871" s="157"/>
      <c r="M2871" s="158" t="s">
        <v>28</v>
      </c>
      <c r="N2871" s="159" t="s">
        <v>29</v>
      </c>
    </row>
    <row r="2872" spans="1:14">
      <c r="A2872" s="148"/>
      <c r="B2872" s="149"/>
      <c r="C2872" s="160"/>
      <c r="D2872" s="151"/>
      <c r="E2872" s="152"/>
      <c r="F2872" s="153"/>
      <c r="G2872" s="154"/>
      <c r="H2872" s="154"/>
      <c r="I2872" s="154"/>
      <c r="J2872" s="155"/>
      <c r="K2872" s="156"/>
      <c r="L2872" s="157"/>
      <c r="M2872" s="158" t="s">
        <v>28</v>
      </c>
      <c r="N2872" s="159" t="s">
        <v>29</v>
      </c>
    </row>
    <row r="2873" spans="1:14">
      <c r="A2873" s="148"/>
      <c r="B2873" s="149"/>
      <c r="C2873" s="160"/>
      <c r="D2873" s="151"/>
      <c r="E2873" s="152"/>
      <c r="F2873" s="153"/>
      <c r="G2873" s="154"/>
      <c r="H2873" s="154"/>
      <c r="I2873" s="154"/>
      <c r="J2873" s="155"/>
      <c r="K2873" s="156"/>
      <c r="L2873" s="157"/>
      <c r="M2873" s="158" t="s">
        <v>28</v>
      </c>
      <c r="N2873" s="159" t="s">
        <v>29</v>
      </c>
    </row>
    <row r="2874" spans="1:14">
      <c r="A2874" s="148"/>
      <c r="B2874" s="149"/>
      <c r="C2874" s="160"/>
      <c r="D2874" s="151"/>
      <c r="E2874" s="152"/>
      <c r="F2874" s="153"/>
      <c r="G2874" s="154"/>
      <c r="H2874" s="154"/>
      <c r="I2874" s="154"/>
      <c r="J2874" s="155"/>
      <c r="K2874" s="156"/>
      <c r="L2874" s="157"/>
      <c r="M2874" s="158" t="s">
        <v>28</v>
      </c>
      <c r="N2874" s="159" t="s">
        <v>29</v>
      </c>
    </row>
    <row r="2875" spans="1:14">
      <c r="A2875" s="148"/>
      <c r="B2875" s="149"/>
      <c r="C2875" s="160"/>
      <c r="D2875" s="151"/>
      <c r="E2875" s="152"/>
      <c r="F2875" s="153"/>
      <c r="G2875" s="154"/>
      <c r="H2875" s="154"/>
      <c r="I2875" s="154"/>
      <c r="J2875" s="155"/>
      <c r="K2875" s="156"/>
      <c r="L2875" s="157"/>
      <c r="M2875" s="158" t="s">
        <v>28</v>
      </c>
      <c r="N2875" s="159" t="s">
        <v>29</v>
      </c>
    </row>
    <row r="2876" spans="1:14">
      <c r="A2876" s="148"/>
      <c r="B2876" s="149"/>
      <c r="C2876" s="160"/>
      <c r="D2876" s="151"/>
      <c r="E2876" s="152"/>
      <c r="F2876" s="153"/>
      <c r="G2876" s="154"/>
      <c r="H2876" s="154"/>
      <c r="I2876" s="154"/>
      <c r="J2876" s="155"/>
      <c r="K2876" s="156"/>
      <c r="L2876" s="157"/>
      <c r="M2876" s="158" t="s">
        <v>28</v>
      </c>
      <c r="N2876" s="159" t="s">
        <v>29</v>
      </c>
    </row>
    <row r="2877" spans="1:14">
      <c r="A2877" s="148"/>
      <c r="B2877" s="149"/>
      <c r="C2877" s="160"/>
      <c r="D2877" s="151"/>
      <c r="E2877" s="152"/>
      <c r="F2877" s="153"/>
      <c r="G2877" s="154"/>
      <c r="H2877" s="154"/>
      <c r="I2877" s="154"/>
      <c r="J2877" s="155"/>
      <c r="K2877" s="156"/>
      <c r="L2877" s="157"/>
      <c r="M2877" s="158" t="s">
        <v>28</v>
      </c>
      <c r="N2877" s="159" t="s">
        <v>29</v>
      </c>
    </row>
    <row r="2878" spans="1:14">
      <c r="A2878" s="148"/>
      <c r="B2878" s="149"/>
      <c r="C2878" s="160"/>
      <c r="D2878" s="151"/>
      <c r="E2878" s="152"/>
      <c r="F2878" s="153"/>
      <c r="G2878" s="154"/>
      <c r="H2878" s="154"/>
      <c r="I2878" s="154"/>
      <c r="J2878" s="155"/>
      <c r="K2878" s="156"/>
      <c r="L2878" s="157"/>
      <c r="M2878" s="158" t="s">
        <v>28</v>
      </c>
      <c r="N2878" s="159" t="s">
        <v>29</v>
      </c>
    </row>
    <row r="2879" spans="1:14">
      <c r="A2879" s="148"/>
      <c r="B2879" s="149"/>
      <c r="C2879" s="160"/>
      <c r="D2879" s="151"/>
      <c r="E2879" s="152"/>
      <c r="F2879" s="153"/>
      <c r="G2879" s="154"/>
      <c r="H2879" s="154"/>
      <c r="I2879" s="154"/>
      <c r="J2879" s="155"/>
      <c r="K2879" s="156"/>
      <c r="L2879" s="157"/>
      <c r="M2879" s="158" t="s">
        <v>28</v>
      </c>
      <c r="N2879" s="159" t="s">
        <v>29</v>
      </c>
    </row>
    <row r="2880" spans="1:14">
      <c r="A2880" s="148"/>
      <c r="B2880" s="149"/>
      <c r="C2880" s="160"/>
      <c r="D2880" s="151"/>
      <c r="E2880" s="152"/>
      <c r="F2880" s="153"/>
      <c r="G2880" s="154"/>
      <c r="H2880" s="154"/>
      <c r="I2880" s="154"/>
      <c r="J2880" s="155"/>
      <c r="K2880" s="156"/>
      <c r="L2880" s="157"/>
      <c r="M2880" s="158" t="s">
        <v>28</v>
      </c>
      <c r="N2880" s="159" t="s">
        <v>29</v>
      </c>
    </row>
    <row r="2881" spans="1:14">
      <c r="A2881" s="148"/>
      <c r="B2881" s="149"/>
      <c r="C2881" s="160"/>
      <c r="D2881" s="151"/>
      <c r="E2881" s="152"/>
      <c r="F2881" s="153"/>
      <c r="G2881" s="154"/>
      <c r="H2881" s="154"/>
      <c r="I2881" s="154"/>
      <c r="J2881" s="155"/>
      <c r="K2881" s="156"/>
      <c r="L2881" s="157"/>
      <c r="M2881" s="158" t="s">
        <v>28</v>
      </c>
      <c r="N2881" s="159" t="s">
        <v>29</v>
      </c>
    </row>
    <row r="2882" spans="1:14">
      <c r="A2882" s="148"/>
      <c r="B2882" s="149"/>
      <c r="C2882" s="160"/>
      <c r="D2882" s="151"/>
      <c r="E2882" s="152"/>
      <c r="F2882" s="153"/>
      <c r="G2882" s="154"/>
      <c r="H2882" s="154"/>
      <c r="I2882" s="154"/>
      <c r="J2882" s="155"/>
      <c r="K2882" s="156"/>
      <c r="L2882" s="157"/>
      <c r="M2882" s="158" t="s">
        <v>28</v>
      </c>
      <c r="N2882" s="159" t="s">
        <v>29</v>
      </c>
    </row>
    <row r="2883" spans="1:14">
      <c r="A2883" s="148"/>
      <c r="B2883" s="149"/>
      <c r="C2883" s="160"/>
      <c r="D2883" s="151"/>
      <c r="E2883" s="152"/>
      <c r="F2883" s="153"/>
      <c r="G2883" s="154"/>
      <c r="H2883" s="154"/>
      <c r="I2883" s="154"/>
      <c r="J2883" s="155"/>
      <c r="K2883" s="156"/>
      <c r="L2883" s="157"/>
      <c r="M2883" s="158" t="s">
        <v>28</v>
      </c>
      <c r="N2883" s="159" t="s">
        <v>29</v>
      </c>
    </row>
    <row r="2884" spans="1:14">
      <c r="A2884" s="148"/>
      <c r="B2884" s="149"/>
      <c r="C2884" s="160"/>
      <c r="D2884" s="151"/>
      <c r="E2884" s="152"/>
      <c r="F2884" s="153"/>
      <c r="G2884" s="154"/>
      <c r="H2884" s="154"/>
      <c r="I2884" s="154"/>
      <c r="J2884" s="155"/>
      <c r="K2884" s="156"/>
      <c r="L2884" s="157"/>
      <c r="M2884" s="158" t="s">
        <v>28</v>
      </c>
      <c r="N2884" s="159" t="s">
        <v>29</v>
      </c>
    </row>
    <row r="2885" spans="1:14">
      <c r="A2885" s="148"/>
      <c r="B2885" s="149"/>
      <c r="C2885" s="160"/>
      <c r="D2885" s="151"/>
      <c r="E2885" s="152"/>
      <c r="F2885" s="153"/>
      <c r="G2885" s="154"/>
      <c r="H2885" s="154"/>
      <c r="I2885" s="154"/>
      <c r="J2885" s="155"/>
      <c r="K2885" s="156"/>
      <c r="L2885" s="157"/>
      <c r="M2885" s="158" t="s">
        <v>28</v>
      </c>
      <c r="N2885" s="159" t="s">
        <v>29</v>
      </c>
    </row>
    <row r="2886" spans="1:14">
      <c r="A2886" s="148"/>
      <c r="B2886" s="149"/>
      <c r="C2886" s="160"/>
      <c r="D2886" s="151"/>
      <c r="E2886" s="152"/>
      <c r="F2886" s="153"/>
      <c r="G2886" s="154"/>
      <c r="H2886" s="154"/>
      <c r="I2886" s="154"/>
      <c r="J2886" s="155"/>
      <c r="K2886" s="156"/>
      <c r="L2886" s="157"/>
      <c r="M2886" s="158" t="s">
        <v>28</v>
      </c>
      <c r="N2886" s="159" t="s">
        <v>29</v>
      </c>
    </row>
    <row r="2887" spans="1:14">
      <c r="A2887" s="148"/>
      <c r="B2887" s="149"/>
      <c r="C2887" s="160"/>
      <c r="D2887" s="151"/>
      <c r="E2887" s="152"/>
      <c r="F2887" s="153"/>
      <c r="G2887" s="154"/>
      <c r="H2887" s="154"/>
      <c r="I2887" s="154"/>
      <c r="J2887" s="155"/>
      <c r="K2887" s="156"/>
      <c r="L2887" s="157"/>
      <c r="M2887" s="158" t="s">
        <v>28</v>
      </c>
      <c r="N2887" s="159" t="s">
        <v>29</v>
      </c>
    </row>
    <row r="2888" spans="1:14">
      <c r="A2888" s="148"/>
      <c r="B2888" s="149"/>
      <c r="C2888" s="160"/>
      <c r="D2888" s="151"/>
      <c r="E2888" s="152"/>
      <c r="F2888" s="153"/>
      <c r="G2888" s="154"/>
      <c r="H2888" s="154"/>
      <c r="I2888" s="154"/>
      <c r="J2888" s="155"/>
      <c r="K2888" s="156"/>
      <c r="L2888" s="157"/>
      <c r="M2888" s="158" t="s">
        <v>28</v>
      </c>
      <c r="N2888" s="159" t="s">
        <v>29</v>
      </c>
    </row>
    <row r="2889" spans="1:14">
      <c r="A2889" s="148"/>
      <c r="B2889" s="149"/>
      <c r="C2889" s="160"/>
      <c r="D2889" s="151"/>
      <c r="E2889" s="152"/>
      <c r="F2889" s="153"/>
      <c r="G2889" s="154"/>
      <c r="H2889" s="154"/>
      <c r="I2889" s="154"/>
      <c r="J2889" s="155"/>
      <c r="K2889" s="156"/>
      <c r="L2889" s="157"/>
      <c r="M2889" s="158" t="s">
        <v>28</v>
      </c>
      <c r="N2889" s="159" t="s">
        <v>29</v>
      </c>
    </row>
    <row r="2890" spans="1:14">
      <c r="A2890" s="148"/>
      <c r="B2890" s="149"/>
      <c r="C2890" s="160"/>
      <c r="D2890" s="151"/>
      <c r="E2890" s="152"/>
      <c r="F2890" s="153"/>
      <c r="G2890" s="154"/>
      <c r="H2890" s="154"/>
      <c r="I2890" s="154"/>
      <c r="J2890" s="155"/>
      <c r="K2890" s="156"/>
      <c r="L2890" s="157"/>
      <c r="M2890" s="158" t="s">
        <v>28</v>
      </c>
      <c r="N2890" s="159" t="s">
        <v>29</v>
      </c>
    </row>
    <row r="2891" spans="1:14">
      <c r="A2891" s="148"/>
      <c r="B2891" s="149"/>
      <c r="C2891" s="160"/>
      <c r="D2891" s="151"/>
      <c r="E2891" s="152"/>
      <c r="F2891" s="153"/>
      <c r="G2891" s="154"/>
      <c r="H2891" s="154"/>
      <c r="I2891" s="154"/>
      <c r="J2891" s="155"/>
      <c r="K2891" s="156"/>
      <c r="L2891" s="157"/>
      <c r="M2891" s="158" t="s">
        <v>28</v>
      </c>
      <c r="N2891" s="159" t="s">
        <v>29</v>
      </c>
    </row>
    <row r="2892" spans="1:14">
      <c r="A2892" s="148"/>
      <c r="B2892" s="149"/>
      <c r="C2892" s="160"/>
      <c r="D2892" s="151"/>
      <c r="E2892" s="152"/>
      <c r="F2892" s="153"/>
      <c r="G2892" s="154"/>
      <c r="H2892" s="154"/>
      <c r="I2892" s="154"/>
      <c r="J2892" s="155"/>
      <c r="K2892" s="156"/>
      <c r="L2892" s="157"/>
      <c r="M2892" s="158" t="s">
        <v>28</v>
      </c>
      <c r="N2892" s="159" t="s">
        <v>29</v>
      </c>
    </row>
    <row r="2893" spans="1:14">
      <c r="A2893" s="148"/>
      <c r="B2893" s="149"/>
      <c r="C2893" s="160"/>
      <c r="D2893" s="151"/>
      <c r="E2893" s="152"/>
      <c r="F2893" s="153"/>
      <c r="G2893" s="154"/>
      <c r="H2893" s="154"/>
      <c r="I2893" s="154"/>
      <c r="J2893" s="155"/>
      <c r="K2893" s="156"/>
      <c r="L2893" s="157"/>
      <c r="M2893" s="158" t="s">
        <v>28</v>
      </c>
      <c r="N2893" s="159" t="s">
        <v>29</v>
      </c>
    </row>
    <row r="2894" spans="1:14">
      <c r="A2894" s="148"/>
      <c r="B2894" s="149"/>
      <c r="C2894" s="160"/>
      <c r="D2894" s="151"/>
      <c r="E2894" s="152"/>
      <c r="F2894" s="153"/>
      <c r="G2894" s="154"/>
      <c r="H2894" s="154"/>
      <c r="I2894" s="154"/>
      <c r="J2894" s="155"/>
      <c r="K2894" s="156"/>
      <c r="L2894" s="157"/>
      <c r="M2894" s="158" t="s">
        <v>28</v>
      </c>
      <c r="N2894" s="159" t="s">
        <v>29</v>
      </c>
    </row>
    <row r="2895" spans="1:14">
      <c r="A2895" s="148"/>
      <c r="B2895" s="149"/>
      <c r="C2895" s="160"/>
      <c r="D2895" s="151"/>
      <c r="E2895" s="152"/>
      <c r="F2895" s="153"/>
      <c r="G2895" s="154"/>
      <c r="H2895" s="154"/>
      <c r="I2895" s="154"/>
      <c r="J2895" s="155"/>
      <c r="K2895" s="156"/>
      <c r="L2895" s="157"/>
      <c r="M2895" s="158" t="s">
        <v>28</v>
      </c>
      <c r="N2895" s="159" t="s">
        <v>29</v>
      </c>
    </row>
    <row r="2896" spans="1:14">
      <c r="A2896" s="148"/>
      <c r="B2896" s="149"/>
      <c r="C2896" s="160"/>
      <c r="D2896" s="151"/>
      <c r="E2896" s="152"/>
      <c r="F2896" s="153"/>
      <c r="G2896" s="154"/>
      <c r="H2896" s="154"/>
      <c r="I2896" s="154"/>
      <c r="J2896" s="155"/>
      <c r="K2896" s="156"/>
      <c r="L2896" s="157"/>
      <c r="M2896" s="158" t="s">
        <v>28</v>
      </c>
      <c r="N2896" s="159" t="s">
        <v>29</v>
      </c>
    </row>
    <row r="2897" spans="1:14">
      <c r="A2897" s="148"/>
      <c r="B2897" s="149"/>
      <c r="C2897" s="160"/>
      <c r="D2897" s="151"/>
      <c r="E2897" s="152"/>
      <c r="F2897" s="153"/>
      <c r="G2897" s="154"/>
      <c r="H2897" s="154"/>
      <c r="I2897" s="154"/>
      <c r="J2897" s="155"/>
      <c r="K2897" s="156"/>
      <c r="L2897" s="157"/>
      <c r="M2897" s="158" t="s">
        <v>28</v>
      </c>
      <c r="N2897" s="159" t="s">
        <v>29</v>
      </c>
    </row>
    <row r="2898" spans="1:14">
      <c r="A2898" s="148"/>
      <c r="B2898" s="149"/>
      <c r="C2898" s="160"/>
      <c r="D2898" s="151"/>
      <c r="E2898" s="152"/>
      <c r="F2898" s="153"/>
      <c r="G2898" s="154"/>
      <c r="H2898" s="154"/>
      <c r="I2898" s="154"/>
      <c r="J2898" s="155"/>
      <c r="K2898" s="156"/>
      <c r="L2898" s="157"/>
      <c r="M2898" s="158" t="s">
        <v>28</v>
      </c>
      <c r="N2898" s="159" t="s">
        <v>29</v>
      </c>
    </row>
    <row r="2899" spans="1:14">
      <c r="A2899" s="148"/>
      <c r="B2899" s="149"/>
      <c r="C2899" s="160"/>
      <c r="D2899" s="151"/>
      <c r="E2899" s="152"/>
      <c r="F2899" s="153"/>
      <c r="G2899" s="154"/>
      <c r="H2899" s="154"/>
      <c r="I2899" s="154"/>
      <c r="J2899" s="155"/>
      <c r="K2899" s="156"/>
      <c r="L2899" s="157"/>
      <c r="M2899" s="158" t="s">
        <v>28</v>
      </c>
      <c r="N2899" s="159" t="s">
        <v>29</v>
      </c>
    </row>
    <row r="2900" spans="1:14">
      <c r="A2900" s="148"/>
      <c r="B2900" s="149"/>
      <c r="C2900" s="160"/>
      <c r="D2900" s="151"/>
      <c r="E2900" s="152"/>
      <c r="F2900" s="153"/>
      <c r="G2900" s="154"/>
      <c r="H2900" s="154"/>
      <c r="I2900" s="154"/>
      <c r="J2900" s="155"/>
      <c r="K2900" s="156"/>
      <c r="L2900" s="157"/>
      <c r="M2900" s="158" t="s">
        <v>28</v>
      </c>
      <c r="N2900" s="159" t="s">
        <v>29</v>
      </c>
    </row>
    <row r="2901" spans="1:14">
      <c r="A2901" s="148"/>
      <c r="B2901" s="149"/>
      <c r="C2901" s="160"/>
      <c r="D2901" s="151"/>
      <c r="E2901" s="152"/>
      <c r="F2901" s="153"/>
      <c r="G2901" s="154"/>
      <c r="H2901" s="154"/>
      <c r="I2901" s="154"/>
      <c r="J2901" s="155"/>
      <c r="K2901" s="156"/>
      <c r="L2901" s="157"/>
      <c r="M2901" s="158" t="s">
        <v>28</v>
      </c>
      <c r="N2901" s="159" t="s">
        <v>29</v>
      </c>
    </row>
    <row r="2902" spans="1:14">
      <c r="A2902" s="148"/>
      <c r="B2902" s="149"/>
      <c r="C2902" s="160"/>
      <c r="D2902" s="151"/>
      <c r="E2902" s="152"/>
      <c r="F2902" s="153"/>
      <c r="G2902" s="154"/>
      <c r="H2902" s="154"/>
      <c r="I2902" s="154"/>
      <c r="J2902" s="155"/>
      <c r="K2902" s="156"/>
      <c r="L2902" s="157"/>
      <c r="M2902" s="158" t="s">
        <v>28</v>
      </c>
      <c r="N2902" s="159" t="s">
        <v>29</v>
      </c>
    </row>
    <row r="2903" spans="1:14">
      <c r="A2903" s="148"/>
      <c r="B2903" s="149"/>
      <c r="C2903" s="160"/>
      <c r="D2903" s="151"/>
      <c r="E2903" s="152"/>
      <c r="F2903" s="153"/>
      <c r="G2903" s="154"/>
      <c r="H2903" s="154"/>
      <c r="I2903" s="154"/>
      <c r="J2903" s="155"/>
      <c r="K2903" s="156"/>
      <c r="L2903" s="157"/>
      <c r="M2903" s="158" t="s">
        <v>28</v>
      </c>
      <c r="N2903" s="159" t="s">
        <v>29</v>
      </c>
    </row>
    <row r="2904" spans="1:14">
      <c r="A2904" s="148"/>
      <c r="B2904" s="149"/>
      <c r="C2904" s="160"/>
      <c r="D2904" s="151"/>
      <c r="E2904" s="152"/>
      <c r="F2904" s="153"/>
      <c r="G2904" s="154"/>
      <c r="H2904" s="154"/>
      <c r="I2904" s="154"/>
      <c r="J2904" s="155"/>
      <c r="K2904" s="156"/>
      <c r="L2904" s="157"/>
      <c r="M2904" s="158" t="s">
        <v>28</v>
      </c>
      <c r="N2904" s="159" t="s">
        <v>29</v>
      </c>
    </row>
    <row r="2905" spans="1:14">
      <c r="A2905" s="148"/>
      <c r="B2905" s="149"/>
      <c r="C2905" s="160"/>
      <c r="D2905" s="151"/>
      <c r="E2905" s="152"/>
      <c r="F2905" s="153"/>
      <c r="G2905" s="154"/>
      <c r="H2905" s="154"/>
      <c r="I2905" s="154"/>
      <c r="J2905" s="155"/>
      <c r="K2905" s="156"/>
      <c r="L2905" s="157"/>
      <c r="M2905" s="158" t="s">
        <v>28</v>
      </c>
      <c r="N2905" s="159" t="s">
        <v>29</v>
      </c>
    </row>
    <row r="2906" spans="1:14">
      <c r="A2906" s="148"/>
      <c r="B2906" s="149"/>
      <c r="C2906" s="160"/>
      <c r="D2906" s="151"/>
      <c r="E2906" s="152"/>
      <c r="F2906" s="153"/>
      <c r="G2906" s="154"/>
      <c r="H2906" s="154"/>
      <c r="I2906" s="154"/>
      <c r="J2906" s="155"/>
      <c r="K2906" s="156"/>
      <c r="L2906" s="157"/>
      <c r="M2906" s="158" t="s">
        <v>28</v>
      </c>
      <c r="N2906" s="159" t="s">
        <v>29</v>
      </c>
    </row>
    <row r="2907" spans="1:14">
      <c r="A2907" s="148"/>
      <c r="B2907" s="149"/>
      <c r="C2907" s="160"/>
      <c r="D2907" s="151"/>
      <c r="E2907" s="152"/>
      <c r="F2907" s="153"/>
      <c r="G2907" s="154"/>
      <c r="H2907" s="154"/>
      <c r="I2907" s="154"/>
      <c r="J2907" s="155"/>
      <c r="K2907" s="156"/>
      <c r="L2907" s="157"/>
      <c r="M2907" s="158" t="s">
        <v>28</v>
      </c>
      <c r="N2907" s="159" t="s">
        <v>29</v>
      </c>
    </row>
    <row r="2908" spans="1:14">
      <c r="A2908" s="148"/>
      <c r="B2908" s="149"/>
      <c r="C2908" s="160"/>
      <c r="D2908" s="151"/>
      <c r="E2908" s="152"/>
      <c r="F2908" s="153"/>
      <c r="G2908" s="154"/>
      <c r="H2908" s="154"/>
      <c r="I2908" s="154"/>
      <c r="J2908" s="155"/>
      <c r="K2908" s="156"/>
      <c r="L2908" s="157"/>
      <c r="M2908" s="158" t="s">
        <v>28</v>
      </c>
      <c r="N2908" s="159" t="s">
        <v>29</v>
      </c>
    </row>
    <row r="2909" spans="1:14">
      <c r="A2909" s="148"/>
      <c r="B2909" s="149"/>
      <c r="C2909" s="160"/>
      <c r="D2909" s="151"/>
      <c r="E2909" s="152"/>
      <c r="F2909" s="153"/>
      <c r="G2909" s="154"/>
      <c r="H2909" s="154"/>
      <c r="I2909" s="154"/>
      <c r="J2909" s="155"/>
      <c r="K2909" s="156"/>
      <c r="L2909" s="157"/>
      <c r="M2909" s="158" t="s">
        <v>28</v>
      </c>
      <c r="N2909" s="159" t="s">
        <v>29</v>
      </c>
    </row>
    <row r="2910" spans="1:14">
      <c r="A2910" s="148"/>
      <c r="B2910" s="149"/>
      <c r="C2910" s="160"/>
      <c r="D2910" s="151"/>
      <c r="E2910" s="152"/>
      <c r="F2910" s="153"/>
      <c r="G2910" s="154"/>
      <c r="H2910" s="154"/>
      <c r="I2910" s="154"/>
      <c r="J2910" s="155"/>
      <c r="K2910" s="156"/>
      <c r="L2910" s="157"/>
      <c r="M2910" s="158" t="s">
        <v>28</v>
      </c>
      <c r="N2910" s="159" t="s">
        <v>29</v>
      </c>
    </row>
    <row r="2911" spans="1:14">
      <c r="A2911" s="148"/>
      <c r="B2911" s="149"/>
      <c r="C2911" s="160"/>
      <c r="D2911" s="151"/>
      <c r="E2911" s="152"/>
      <c r="F2911" s="153"/>
      <c r="G2911" s="154"/>
      <c r="H2911" s="154"/>
      <c r="I2911" s="154"/>
      <c r="J2911" s="155"/>
      <c r="K2911" s="156"/>
      <c r="L2911" s="157"/>
      <c r="M2911" s="158" t="s">
        <v>28</v>
      </c>
      <c r="N2911" s="159" t="s">
        <v>29</v>
      </c>
    </row>
    <row r="2912" spans="1:14">
      <c r="A2912" s="148"/>
      <c r="B2912" s="149"/>
      <c r="C2912" s="160"/>
      <c r="D2912" s="151"/>
      <c r="E2912" s="152"/>
      <c r="F2912" s="153"/>
      <c r="G2912" s="154"/>
      <c r="H2912" s="154"/>
      <c r="I2912" s="154"/>
      <c r="J2912" s="155"/>
      <c r="K2912" s="156"/>
      <c r="L2912" s="157"/>
      <c r="M2912" s="158" t="s">
        <v>28</v>
      </c>
      <c r="N2912" s="159" t="s">
        <v>29</v>
      </c>
    </row>
    <row r="2913" spans="1:14">
      <c r="A2913" s="148"/>
      <c r="B2913" s="149"/>
      <c r="C2913" s="160"/>
      <c r="D2913" s="151"/>
      <c r="E2913" s="152"/>
      <c r="F2913" s="153"/>
      <c r="G2913" s="154"/>
      <c r="H2913" s="154"/>
      <c r="I2913" s="154"/>
      <c r="J2913" s="155"/>
      <c r="K2913" s="156"/>
      <c r="L2913" s="157"/>
      <c r="M2913" s="158" t="s">
        <v>28</v>
      </c>
      <c r="N2913" s="159" t="s">
        <v>29</v>
      </c>
    </row>
    <row r="2914" spans="1:14">
      <c r="A2914" s="148"/>
      <c r="B2914" s="149"/>
      <c r="C2914" s="160"/>
      <c r="D2914" s="151"/>
      <c r="E2914" s="152"/>
      <c r="F2914" s="153"/>
      <c r="G2914" s="154"/>
      <c r="H2914" s="154"/>
      <c r="I2914" s="154"/>
      <c r="J2914" s="155"/>
      <c r="K2914" s="156"/>
      <c r="L2914" s="157"/>
      <c r="M2914" s="158" t="s">
        <v>28</v>
      </c>
      <c r="N2914" s="159" t="s">
        <v>29</v>
      </c>
    </row>
    <row r="2915" spans="1:14">
      <c r="A2915" s="148"/>
      <c r="B2915" s="149"/>
      <c r="C2915" s="160"/>
      <c r="D2915" s="151"/>
      <c r="E2915" s="152"/>
      <c r="F2915" s="153"/>
      <c r="G2915" s="154"/>
      <c r="H2915" s="154"/>
      <c r="I2915" s="154"/>
      <c r="J2915" s="155"/>
      <c r="K2915" s="156"/>
      <c r="L2915" s="157"/>
      <c r="M2915" s="158" t="s">
        <v>28</v>
      </c>
      <c r="N2915" s="159" t="s">
        <v>29</v>
      </c>
    </row>
    <row r="2916" spans="1:14">
      <c r="A2916" s="148"/>
      <c r="B2916" s="149"/>
      <c r="C2916" s="160"/>
      <c r="D2916" s="151"/>
      <c r="E2916" s="152"/>
      <c r="F2916" s="153"/>
      <c r="G2916" s="154"/>
      <c r="H2916" s="154"/>
      <c r="I2916" s="154"/>
      <c r="J2916" s="155"/>
      <c r="K2916" s="156"/>
      <c r="L2916" s="157"/>
      <c r="M2916" s="158" t="s">
        <v>28</v>
      </c>
      <c r="N2916" s="159" t="s">
        <v>29</v>
      </c>
    </row>
    <row r="2917" spans="1:14">
      <c r="A2917" s="148"/>
      <c r="B2917" s="149"/>
      <c r="C2917" s="160"/>
      <c r="D2917" s="151"/>
      <c r="E2917" s="152"/>
      <c r="F2917" s="153"/>
      <c r="G2917" s="154"/>
      <c r="H2917" s="154"/>
      <c r="I2917" s="154"/>
      <c r="J2917" s="155"/>
      <c r="K2917" s="156"/>
      <c r="L2917" s="157"/>
      <c r="M2917" s="158" t="s">
        <v>28</v>
      </c>
      <c r="N2917" s="159" t="s">
        <v>29</v>
      </c>
    </row>
    <row r="2918" spans="1:14">
      <c r="A2918" s="148"/>
      <c r="B2918" s="149"/>
      <c r="C2918" s="160"/>
      <c r="D2918" s="151"/>
      <c r="E2918" s="152"/>
      <c r="F2918" s="153"/>
      <c r="G2918" s="154"/>
      <c r="H2918" s="154"/>
      <c r="I2918" s="154"/>
      <c r="J2918" s="155"/>
      <c r="K2918" s="156"/>
      <c r="L2918" s="157"/>
      <c r="M2918" s="158" t="s">
        <v>28</v>
      </c>
      <c r="N2918" s="159" t="s">
        <v>29</v>
      </c>
    </row>
    <row r="2919" spans="1:14">
      <c r="A2919" s="148"/>
      <c r="B2919" s="149"/>
      <c r="C2919" s="160"/>
      <c r="D2919" s="151"/>
      <c r="E2919" s="152"/>
      <c r="F2919" s="153"/>
      <c r="G2919" s="154"/>
      <c r="H2919" s="154"/>
      <c r="I2919" s="154"/>
      <c r="J2919" s="155"/>
      <c r="K2919" s="156"/>
      <c r="L2919" s="157"/>
      <c r="M2919" s="158" t="s">
        <v>28</v>
      </c>
      <c r="N2919" s="159" t="s">
        <v>29</v>
      </c>
    </row>
    <row r="2920" spans="1:14">
      <c r="A2920" s="148"/>
      <c r="B2920" s="149"/>
      <c r="C2920" s="160"/>
      <c r="D2920" s="151"/>
      <c r="E2920" s="152"/>
      <c r="F2920" s="153"/>
      <c r="G2920" s="154"/>
      <c r="H2920" s="154"/>
      <c r="I2920" s="154"/>
      <c r="J2920" s="155"/>
      <c r="K2920" s="156"/>
      <c r="L2920" s="157"/>
      <c r="M2920" s="158" t="s">
        <v>28</v>
      </c>
      <c r="N2920" s="159" t="s">
        <v>29</v>
      </c>
    </row>
    <row r="2921" spans="1:14">
      <c r="A2921" s="148"/>
      <c r="B2921" s="149"/>
      <c r="C2921" s="160"/>
      <c r="D2921" s="151"/>
      <c r="E2921" s="152"/>
      <c r="F2921" s="153"/>
      <c r="G2921" s="154"/>
      <c r="H2921" s="154"/>
      <c r="I2921" s="154"/>
      <c r="J2921" s="155"/>
      <c r="K2921" s="156"/>
      <c r="L2921" s="157"/>
      <c r="M2921" s="158" t="s">
        <v>28</v>
      </c>
      <c r="N2921" s="159" t="s">
        <v>29</v>
      </c>
    </row>
    <row r="2922" spans="1:14">
      <c r="A2922" s="148"/>
      <c r="B2922" s="149"/>
      <c r="C2922" s="160"/>
      <c r="D2922" s="151"/>
      <c r="E2922" s="152"/>
      <c r="F2922" s="153"/>
      <c r="G2922" s="154"/>
      <c r="H2922" s="154"/>
      <c r="I2922" s="154"/>
      <c r="J2922" s="155"/>
      <c r="K2922" s="156"/>
      <c r="L2922" s="157"/>
      <c r="M2922" s="158" t="s">
        <v>28</v>
      </c>
      <c r="N2922" s="159" t="s">
        <v>29</v>
      </c>
    </row>
    <row r="2923" spans="1:14">
      <c r="A2923" s="148"/>
      <c r="B2923" s="149"/>
      <c r="C2923" s="160"/>
      <c r="D2923" s="151"/>
      <c r="E2923" s="152"/>
      <c r="F2923" s="153"/>
      <c r="G2923" s="154"/>
      <c r="H2923" s="154"/>
      <c r="I2923" s="154"/>
      <c r="J2923" s="155"/>
      <c r="K2923" s="156"/>
      <c r="L2923" s="157"/>
      <c r="M2923" s="158" t="s">
        <v>28</v>
      </c>
      <c r="N2923" s="159" t="s">
        <v>29</v>
      </c>
    </row>
    <row r="2924" spans="1:14">
      <c r="A2924" s="148"/>
      <c r="B2924" s="149"/>
      <c r="C2924" s="160"/>
      <c r="D2924" s="151"/>
      <c r="E2924" s="152"/>
      <c r="F2924" s="153"/>
      <c r="G2924" s="154"/>
      <c r="H2924" s="154"/>
      <c r="I2924" s="154"/>
      <c r="J2924" s="155"/>
      <c r="K2924" s="156"/>
      <c r="L2924" s="157"/>
      <c r="M2924" s="158" t="s">
        <v>28</v>
      </c>
      <c r="N2924" s="159" t="s">
        <v>29</v>
      </c>
    </row>
    <row r="2925" spans="1:14">
      <c r="A2925" s="148"/>
      <c r="B2925" s="149"/>
      <c r="C2925" s="160"/>
      <c r="D2925" s="151"/>
      <c r="E2925" s="152"/>
      <c r="F2925" s="153"/>
      <c r="G2925" s="154"/>
      <c r="H2925" s="154"/>
      <c r="I2925" s="154"/>
      <c r="J2925" s="155"/>
      <c r="K2925" s="156"/>
      <c r="L2925" s="157"/>
      <c r="M2925" s="158" t="s">
        <v>28</v>
      </c>
      <c r="N2925" s="159" t="s">
        <v>29</v>
      </c>
    </row>
    <row r="2926" spans="1:14">
      <c r="A2926" s="148"/>
      <c r="B2926" s="149"/>
      <c r="C2926" s="160"/>
      <c r="D2926" s="151"/>
      <c r="E2926" s="152"/>
      <c r="F2926" s="153"/>
      <c r="G2926" s="154"/>
      <c r="H2926" s="154"/>
      <c r="I2926" s="154"/>
      <c r="J2926" s="155"/>
      <c r="K2926" s="156"/>
      <c r="L2926" s="157"/>
      <c r="M2926" s="158" t="s">
        <v>28</v>
      </c>
      <c r="N2926" s="159" t="s">
        <v>29</v>
      </c>
    </row>
    <row r="2927" spans="1:14">
      <c r="A2927" s="148"/>
      <c r="B2927" s="149"/>
      <c r="C2927" s="160"/>
      <c r="D2927" s="151"/>
      <c r="E2927" s="152"/>
      <c r="F2927" s="153"/>
      <c r="G2927" s="154"/>
      <c r="H2927" s="154"/>
      <c r="I2927" s="154"/>
      <c r="J2927" s="155"/>
      <c r="K2927" s="156"/>
      <c r="L2927" s="157"/>
      <c r="M2927" s="158" t="s">
        <v>28</v>
      </c>
      <c r="N2927" s="159" t="s">
        <v>29</v>
      </c>
    </row>
    <row r="2928" spans="1:14">
      <c r="A2928" s="148"/>
      <c r="B2928" s="149"/>
      <c r="C2928" s="160"/>
      <c r="D2928" s="151"/>
      <c r="E2928" s="152"/>
      <c r="F2928" s="153"/>
      <c r="G2928" s="154"/>
      <c r="H2928" s="154"/>
      <c r="I2928" s="154"/>
      <c r="J2928" s="155"/>
      <c r="K2928" s="156"/>
      <c r="L2928" s="157"/>
      <c r="M2928" s="158" t="s">
        <v>28</v>
      </c>
      <c r="N2928" s="159" t="s">
        <v>29</v>
      </c>
    </row>
    <row r="2929" spans="1:14">
      <c r="A2929" s="148"/>
      <c r="B2929" s="149"/>
      <c r="C2929" s="160"/>
      <c r="D2929" s="151"/>
      <c r="E2929" s="152"/>
      <c r="F2929" s="153"/>
      <c r="G2929" s="154"/>
      <c r="H2929" s="154"/>
      <c r="I2929" s="154"/>
      <c r="J2929" s="155"/>
      <c r="K2929" s="156"/>
      <c r="L2929" s="157"/>
      <c r="M2929" s="158" t="s">
        <v>28</v>
      </c>
      <c r="N2929" s="159" t="s">
        <v>29</v>
      </c>
    </row>
    <row r="2930" spans="1:14">
      <c r="A2930" s="148"/>
      <c r="B2930" s="149"/>
      <c r="C2930" s="160"/>
      <c r="D2930" s="151"/>
      <c r="E2930" s="152"/>
      <c r="F2930" s="153"/>
      <c r="G2930" s="154"/>
      <c r="H2930" s="154"/>
      <c r="I2930" s="154"/>
      <c r="J2930" s="155"/>
      <c r="K2930" s="156"/>
      <c r="L2930" s="157"/>
      <c r="M2930" s="158" t="s">
        <v>28</v>
      </c>
      <c r="N2930" s="159" t="s">
        <v>29</v>
      </c>
    </row>
    <row r="2931" spans="1:14">
      <c r="A2931" s="148"/>
      <c r="B2931" s="149"/>
      <c r="C2931" s="160"/>
      <c r="D2931" s="151"/>
      <c r="E2931" s="152"/>
      <c r="F2931" s="153"/>
      <c r="G2931" s="154"/>
      <c r="H2931" s="154"/>
      <c r="I2931" s="154"/>
      <c r="J2931" s="155"/>
      <c r="K2931" s="156"/>
      <c r="L2931" s="157"/>
      <c r="M2931" s="158" t="s">
        <v>28</v>
      </c>
      <c r="N2931" s="159" t="s">
        <v>29</v>
      </c>
    </row>
    <row r="2932" spans="1:14">
      <c r="A2932" s="148"/>
      <c r="B2932" s="149"/>
      <c r="C2932" s="160"/>
      <c r="D2932" s="151"/>
      <c r="E2932" s="152"/>
      <c r="F2932" s="153"/>
      <c r="G2932" s="154"/>
      <c r="H2932" s="154"/>
      <c r="I2932" s="154"/>
      <c r="J2932" s="155"/>
      <c r="K2932" s="156"/>
      <c r="L2932" s="157"/>
      <c r="M2932" s="158" t="s">
        <v>28</v>
      </c>
      <c r="N2932" s="159" t="s">
        <v>29</v>
      </c>
    </row>
    <row r="2933" spans="1:14">
      <c r="A2933" s="148"/>
      <c r="B2933" s="149"/>
      <c r="C2933" s="160"/>
      <c r="D2933" s="151"/>
      <c r="E2933" s="152"/>
      <c r="F2933" s="153"/>
      <c r="G2933" s="154"/>
      <c r="H2933" s="154"/>
      <c r="I2933" s="154"/>
      <c r="J2933" s="155"/>
      <c r="K2933" s="156"/>
      <c r="L2933" s="157"/>
      <c r="M2933" s="158" t="s">
        <v>28</v>
      </c>
      <c r="N2933" s="159" t="s">
        <v>29</v>
      </c>
    </row>
    <row r="2934" spans="1:14">
      <c r="A2934" s="148"/>
      <c r="B2934" s="149"/>
      <c r="C2934" s="160"/>
      <c r="D2934" s="151"/>
      <c r="E2934" s="152"/>
      <c r="F2934" s="153"/>
      <c r="G2934" s="154"/>
      <c r="H2934" s="154"/>
      <c r="I2934" s="154"/>
      <c r="J2934" s="155"/>
      <c r="K2934" s="156"/>
      <c r="L2934" s="157"/>
      <c r="M2934" s="158" t="s">
        <v>28</v>
      </c>
      <c r="N2934" s="159" t="s">
        <v>29</v>
      </c>
    </row>
    <row r="2935" spans="1:14">
      <c r="A2935" s="148"/>
      <c r="B2935" s="149"/>
      <c r="C2935" s="160"/>
      <c r="D2935" s="151"/>
      <c r="E2935" s="152"/>
      <c r="F2935" s="153"/>
      <c r="G2935" s="154"/>
      <c r="H2935" s="154"/>
      <c r="I2935" s="154"/>
      <c r="J2935" s="155"/>
      <c r="K2935" s="156"/>
      <c r="L2935" s="157"/>
      <c r="M2935" s="158" t="s">
        <v>28</v>
      </c>
      <c r="N2935" s="159" t="s">
        <v>29</v>
      </c>
    </row>
    <row r="2936" spans="1:14">
      <c r="A2936" s="148"/>
      <c r="B2936" s="149"/>
      <c r="C2936" s="160"/>
      <c r="D2936" s="151"/>
      <c r="E2936" s="152"/>
      <c r="F2936" s="153"/>
      <c r="G2936" s="154"/>
      <c r="H2936" s="154"/>
      <c r="I2936" s="154"/>
      <c r="J2936" s="155"/>
      <c r="K2936" s="156"/>
      <c r="L2936" s="157"/>
      <c r="M2936" s="158" t="s">
        <v>28</v>
      </c>
      <c r="N2936" s="159" t="s">
        <v>29</v>
      </c>
    </row>
    <row r="2937" spans="1:14">
      <c r="A2937" s="148"/>
      <c r="B2937" s="149"/>
      <c r="C2937" s="160"/>
      <c r="D2937" s="151"/>
      <c r="E2937" s="152"/>
      <c r="F2937" s="153"/>
      <c r="G2937" s="154"/>
      <c r="H2937" s="154"/>
      <c r="I2937" s="154"/>
      <c r="J2937" s="155"/>
      <c r="K2937" s="156"/>
      <c r="L2937" s="157"/>
      <c r="M2937" s="158" t="s">
        <v>28</v>
      </c>
      <c r="N2937" s="159" t="s">
        <v>29</v>
      </c>
    </row>
    <row r="2938" spans="1:14">
      <c r="A2938" s="148"/>
      <c r="B2938" s="149"/>
      <c r="C2938" s="160"/>
      <c r="D2938" s="151"/>
      <c r="E2938" s="152"/>
      <c r="F2938" s="153"/>
      <c r="G2938" s="154"/>
      <c r="H2938" s="154"/>
      <c r="I2938" s="154"/>
      <c r="J2938" s="155"/>
      <c r="K2938" s="156"/>
      <c r="L2938" s="157"/>
      <c r="M2938" s="158" t="s">
        <v>28</v>
      </c>
      <c r="N2938" s="159" t="s">
        <v>29</v>
      </c>
    </row>
    <row r="2939" spans="1:14">
      <c r="A2939" s="148"/>
      <c r="B2939" s="149"/>
      <c r="C2939" s="160"/>
      <c r="D2939" s="151"/>
      <c r="E2939" s="152"/>
      <c r="F2939" s="153"/>
      <c r="G2939" s="154"/>
      <c r="H2939" s="154"/>
      <c r="I2939" s="154"/>
      <c r="J2939" s="155"/>
      <c r="K2939" s="156"/>
      <c r="L2939" s="157"/>
      <c r="M2939" s="158" t="s">
        <v>28</v>
      </c>
      <c r="N2939" s="159" t="s">
        <v>29</v>
      </c>
    </row>
    <row r="2940" spans="1:14">
      <c r="A2940" s="148"/>
      <c r="B2940" s="149"/>
      <c r="C2940" s="160"/>
      <c r="D2940" s="151"/>
      <c r="E2940" s="152"/>
      <c r="F2940" s="153"/>
      <c r="G2940" s="154"/>
      <c r="H2940" s="154"/>
      <c r="I2940" s="154"/>
      <c r="J2940" s="155"/>
      <c r="K2940" s="156"/>
      <c r="L2940" s="157"/>
      <c r="M2940" s="158" t="s">
        <v>28</v>
      </c>
      <c r="N2940" s="159" t="s">
        <v>29</v>
      </c>
    </row>
    <row r="2941" spans="1:14">
      <c r="A2941" s="148"/>
      <c r="B2941" s="149"/>
      <c r="C2941" s="160"/>
      <c r="D2941" s="151"/>
      <c r="E2941" s="152"/>
      <c r="F2941" s="153"/>
      <c r="G2941" s="154"/>
      <c r="H2941" s="154"/>
      <c r="I2941" s="154"/>
      <c r="J2941" s="155"/>
      <c r="K2941" s="156"/>
      <c r="L2941" s="157"/>
      <c r="M2941" s="158" t="s">
        <v>28</v>
      </c>
      <c r="N2941" s="159" t="s">
        <v>29</v>
      </c>
    </row>
    <row r="2942" spans="1:14">
      <c r="A2942" s="148"/>
      <c r="B2942" s="149"/>
      <c r="C2942" s="160"/>
      <c r="D2942" s="151"/>
      <c r="E2942" s="152"/>
      <c r="F2942" s="153"/>
      <c r="G2942" s="154"/>
      <c r="H2942" s="154"/>
      <c r="I2942" s="154"/>
      <c r="J2942" s="155"/>
      <c r="K2942" s="156"/>
      <c r="L2942" s="157"/>
      <c r="M2942" s="158" t="s">
        <v>28</v>
      </c>
      <c r="N2942" s="159" t="s">
        <v>29</v>
      </c>
    </row>
    <row r="2943" spans="1:14">
      <c r="A2943" s="148"/>
      <c r="B2943" s="149"/>
      <c r="C2943" s="160"/>
      <c r="D2943" s="151"/>
      <c r="E2943" s="152"/>
      <c r="F2943" s="153"/>
      <c r="G2943" s="154"/>
      <c r="H2943" s="154"/>
      <c r="I2943" s="154"/>
      <c r="J2943" s="155"/>
      <c r="K2943" s="156"/>
      <c r="L2943" s="157"/>
      <c r="M2943" s="158" t="s">
        <v>28</v>
      </c>
      <c r="N2943" s="159" t="s">
        <v>29</v>
      </c>
    </row>
    <row r="2944" spans="1:14">
      <c r="A2944" s="148"/>
      <c r="B2944" s="149"/>
      <c r="C2944" s="160"/>
      <c r="D2944" s="151"/>
      <c r="E2944" s="152"/>
      <c r="F2944" s="153"/>
      <c r="G2944" s="154"/>
      <c r="H2944" s="154"/>
      <c r="I2944" s="154"/>
      <c r="J2944" s="155"/>
      <c r="K2944" s="156"/>
      <c r="L2944" s="157"/>
      <c r="M2944" s="158" t="s">
        <v>28</v>
      </c>
      <c r="N2944" s="159" t="s">
        <v>29</v>
      </c>
    </row>
    <row r="2945" spans="1:14">
      <c r="A2945" s="148"/>
      <c r="B2945" s="149"/>
      <c r="C2945" s="160"/>
      <c r="D2945" s="151"/>
      <c r="E2945" s="152"/>
      <c r="F2945" s="153"/>
      <c r="G2945" s="154"/>
      <c r="H2945" s="154"/>
      <c r="I2945" s="154"/>
      <c r="J2945" s="155"/>
      <c r="K2945" s="156"/>
      <c r="L2945" s="157"/>
      <c r="M2945" s="158" t="s">
        <v>28</v>
      </c>
      <c r="N2945" s="159" t="s">
        <v>29</v>
      </c>
    </row>
    <row r="2946" spans="1:14">
      <c r="A2946" s="148"/>
      <c r="B2946" s="149"/>
      <c r="C2946" s="160"/>
      <c r="D2946" s="151"/>
      <c r="E2946" s="152"/>
      <c r="F2946" s="153"/>
      <c r="G2946" s="154"/>
      <c r="H2946" s="154"/>
      <c r="I2946" s="154"/>
      <c r="J2946" s="155"/>
      <c r="K2946" s="156"/>
      <c r="L2946" s="157"/>
      <c r="M2946" s="158" t="s">
        <v>28</v>
      </c>
      <c r="N2946" s="159" t="s">
        <v>29</v>
      </c>
    </row>
    <row r="2947" spans="1:14">
      <c r="A2947" s="148"/>
      <c r="B2947" s="149"/>
      <c r="C2947" s="160"/>
      <c r="D2947" s="151"/>
      <c r="E2947" s="152"/>
      <c r="F2947" s="153"/>
      <c r="G2947" s="154"/>
      <c r="H2947" s="154"/>
      <c r="I2947" s="154"/>
      <c r="J2947" s="155"/>
      <c r="K2947" s="156"/>
      <c r="L2947" s="157"/>
      <c r="M2947" s="158" t="s">
        <v>28</v>
      </c>
      <c r="N2947" s="159" t="s">
        <v>29</v>
      </c>
    </row>
    <row r="2948" spans="1:14">
      <c r="A2948" s="148"/>
      <c r="B2948" s="149"/>
      <c r="C2948" s="160"/>
      <c r="D2948" s="151"/>
      <c r="E2948" s="152"/>
      <c r="F2948" s="153"/>
      <c r="G2948" s="154"/>
      <c r="H2948" s="154"/>
      <c r="I2948" s="154"/>
      <c r="J2948" s="155"/>
      <c r="K2948" s="156"/>
      <c r="L2948" s="157"/>
      <c r="M2948" s="158" t="s">
        <v>28</v>
      </c>
      <c r="N2948" s="159" t="s">
        <v>29</v>
      </c>
    </row>
    <row r="2949" spans="1:14">
      <c r="A2949" s="148"/>
      <c r="B2949" s="149"/>
      <c r="C2949" s="160"/>
      <c r="D2949" s="151"/>
      <c r="E2949" s="152"/>
      <c r="F2949" s="153"/>
      <c r="G2949" s="154"/>
      <c r="H2949" s="154"/>
      <c r="I2949" s="154"/>
      <c r="J2949" s="155"/>
      <c r="K2949" s="156"/>
      <c r="L2949" s="157"/>
      <c r="M2949" s="158" t="s">
        <v>28</v>
      </c>
      <c r="N2949" s="159" t="s">
        <v>29</v>
      </c>
    </row>
    <row r="2950" spans="1:14">
      <c r="A2950" s="148"/>
      <c r="B2950" s="149"/>
      <c r="C2950" s="160"/>
      <c r="D2950" s="151"/>
      <c r="E2950" s="152"/>
      <c r="F2950" s="153"/>
      <c r="G2950" s="154"/>
      <c r="H2950" s="154"/>
      <c r="I2950" s="154"/>
      <c r="J2950" s="155"/>
      <c r="K2950" s="156"/>
      <c r="L2950" s="157"/>
      <c r="M2950" s="158" t="s">
        <v>28</v>
      </c>
      <c r="N2950" s="159" t="s">
        <v>29</v>
      </c>
    </row>
    <row r="2951" spans="1:14">
      <c r="A2951" s="148"/>
      <c r="B2951" s="149"/>
      <c r="C2951" s="160"/>
      <c r="D2951" s="151"/>
      <c r="E2951" s="152"/>
      <c r="F2951" s="153"/>
      <c r="G2951" s="154"/>
      <c r="H2951" s="154"/>
      <c r="I2951" s="154"/>
      <c r="J2951" s="155"/>
      <c r="K2951" s="156"/>
      <c r="L2951" s="157"/>
      <c r="M2951" s="158" t="s">
        <v>28</v>
      </c>
      <c r="N2951" s="159" t="s">
        <v>29</v>
      </c>
    </row>
    <row r="2952" spans="1:14">
      <c r="A2952" s="148"/>
      <c r="B2952" s="149"/>
      <c r="C2952" s="160"/>
      <c r="D2952" s="151"/>
      <c r="E2952" s="152"/>
      <c r="F2952" s="153"/>
      <c r="G2952" s="154"/>
      <c r="H2952" s="154"/>
      <c r="I2952" s="154"/>
      <c r="J2952" s="155"/>
      <c r="K2952" s="156"/>
      <c r="L2952" s="157"/>
      <c r="M2952" s="158" t="s">
        <v>28</v>
      </c>
      <c r="N2952" s="159" t="s">
        <v>29</v>
      </c>
    </row>
    <row r="2953" spans="1:14">
      <c r="A2953" s="148"/>
      <c r="B2953" s="149"/>
      <c r="C2953" s="160"/>
      <c r="D2953" s="151"/>
      <c r="E2953" s="152"/>
      <c r="F2953" s="153"/>
      <c r="G2953" s="154"/>
      <c r="H2953" s="154"/>
      <c r="I2953" s="154"/>
      <c r="J2953" s="155"/>
      <c r="K2953" s="156"/>
      <c r="L2953" s="157"/>
      <c r="M2953" s="158" t="s">
        <v>28</v>
      </c>
      <c r="N2953" s="159" t="s">
        <v>29</v>
      </c>
    </row>
    <row r="2954" spans="1:14">
      <c r="A2954" s="148"/>
      <c r="B2954" s="149"/>
      <c r="C2954" s="160"/>
      <c r="D2954" s="151"/>
      <c r="E2954" s="152"/>
      <c r="F2954" s="153"/>
      <c r="G2954" s="154"/>
      <c r="H2954" s="154"/>
      <c r="I2954" s="154"/>
      <c r="J2954" s="155"/>
      <c r="K2954" s="156"/>
      <c r="L2954" s="157"/>
      <c r="M2954" s="158" t="s">
        <v>28</v>
      </c>
      <c r="N2954" s="159" t="s">
        <v>29</v>
      </c>
    </row>
    <row r="2955" spans="1:14">
      <c r="A2955" s="148"/>
      <c r="B2955" s="149"/>
      <c r="C2955" s="160"/>
      <c r="D2955" s="151"/>
      <c r="E2955" s="152"/>
      <c r="F2955" s="153"/>
      <c r="G2955" s="154"/>
      <c r="H2955" s="154"/>
      <c r="I2955" s="154"/>
      <c r="J2955" s="155"/>
      <c r="K2955" s="156"/>
      <c r="L2955" s="157"/>
      <c r="M2955" s="158" t="s">
        <v>28</v>
      </c>
      <c r="N2955" s="159" t="s">
        <v>29</v>
      </c>
    </row>
    <row r="2956" spans="1:14">
      <c r="A2956" s="148"/>
      <c r="B2956" s="149"/>
      <c r="C2956" s="160"/>
      <c r="D2956" s="151"/>
      <c r="E2956" s="152"/>
      <c r="F2956" s="153"/>
      <c r="G2956" s="154"/>
      <c r="H2956" s="154"/>
      <c r="I2956" s="154"/>
      <c r="J2956" s="155"/>
      <c r="K2956" s="156"/>
      <c r="L2956" s="157"/>
      <c r="M2956" s="158" t="s">
        <v>28</v>
      </c>
      <c r="N2956" s="159" t="s">
        <v>29</v>
      </c>
    </row>
    <row r="2957" spans="1:14">
      <c r="A2957" s="148"/>
      <c r="B2957" s="149"/>
      <c r="C2957" s="160"/>
      <c r="D2957" s="151"/>
      <c r="E2957" s="152"/>
      <c r="F2957" s="153"/>
      <c r="G2957" s="154"/>
      <c r="H2957" s="154"/>
      <c r="I2957" s="154"/>
      <c r="J2957" s="155"/>
      <c r="K2957" s="156"/>
      <c r="L2957" s="157"/>
      <c r="M2957" s="158" t="s">
        <v>28</v>
      </c>
      <c r="N2957" s="159" t="s">
        <v>29</v>
      </c>
    </row>
    <row r="2958" spans="1:14">
      <c r="A2958" s="148"/>
      <c r="B2958" s="149"/>
      <c r="C2958" s="160"/>
      <c r="D2958" s="151"/>
      <c r="E2958" s="152"/>
      <c r="F2958" s="153"/>
      <c r="G2958" s="154"/>
      <c r="H2958" s="154"/>
      <c r="I2958" s="154"/>
      <c r="J2958" s="155"/>
      <c r="K2958" s="156"/>
      <c r="L2958" s="157"/>
      <c r="M2958" s="158" t="s">
        <v>28</v>
      </c>
      <c r="N2958" s="159" t="s">
        <v>29</v>
      </c>
    </row>
    <row r="2959" spans="1:14">
      <c r="A2959" s="148"/>
      <c r="B2959" s="149"/>
      <c r="C2959" s="160"/>
      <c r="D2959" s="151"/>
      <c r="E2959" s="152"/>
      <c r="F2959" s="153"/>
      <c r="G2959" s="154"/>
      <c r="H2959" s="154"/>
      <c r="I2959" s="154"/>
      <c r="J2959" s="155"/>
      <c r="K2959" s="156"/>
      <c r="L2959" s="157"/>
      <c r="M2959" s="158" t="s">
        <v>28</v>
      </c>
      <c r="N2959" s="159" t="s">
        <v>29</v>
      </c>
    </row>
    <row r="2960" spans="1:14">
      <c r="A2960" s="148"/>
      <c r="B2960" s="149"/>
      <c r="C2960" s="160"/>
      <c r="D2960" s="151"/>
      <c r="E2960" s="152"/>
      <c r="F2960" s="153"/>
      <c r="G2960" s="154"/>
      <c r="H2960" s="154"/>
      <c r="I2960" s="154"/>
      <c r="J2960" s="155"/>
      <c r="K2960" s="156"/>
      <c r="L2960" s="157"/>
      <c r="M2960" s="158" t="s">
        <v>28</v>
      </c>
      <c r="N2960" s="159" t="s">
        <v>29</v>
      </c>
    </row>
    <row r="2961" spans="1:14">
      <c r="A2961" s="148"/>
      <c r="B2961" s="149"/>
      <c r="C2961" s="160"/>
      <c r="D2961" s="151"/>
      <c r="E2961" s="152"/>
      <c r="F2961" s="153"/>
      <c r="G2961" s="154"/>
      <c r="H2961" s="154"/>
      <c r="I2961" s="154"/>
      <c r="J2961" s="155"/>
      <c r="K2961" s="156"/>
      <c r="L2961" s="157"/>
      <c r="M2961" s="158" t="s">
        <v>28</v>
      </c>
      <c r="N2961" s="159" t="s">
        <v>29</v>
      </c>
    </row>
    <row r="2962" spans="1:14">
      <c r="A2962" s="148"/>
      <c r="B2962" s="149"/>
      <c r="C2962" s="160"/>
      <c r="D2962" s="151"/>
      <c r="E2962" s="152"/>
      <c r="F2962" s="153"/>
      <c r="G2962" s="154"/>
      <c r="H2962" s="154"/>
      <c r="I2962" s="154"/>
      <c r="J2962" s="155"/>
      <c r="K2962" s="156"/>
      <c r="L2962" s="157"/>
      <c r="M2962" s="158" t="s">
        <v>28</v>
      </c>
      <c r="N2962" s="159" t="s">
        <v>29</v>
      </c>
    </row>
    <row r="2963" spans="1:14">
      <c r="A2963" s="148"/>
      <c r="B2963" s="149"/>
      <c r="C2963" s="160"/>
      <c r="D2963" s="151"/>
      <c r="E2963" s="152"/>
      <c r="F2963" s="153"/>
      <c r="G2963" s="154"/>
      <c r="H2963" s="154"/>
      <c r="I2963" s="154"/>
      <c r="J2963" s="155"/>
      <c r="K2963" s="156"/>
      <c r="L2963" s="157"/>
      <c r="M2963" s="158" t="s">
        <v>28</v>
      </c>
      <c r="N2963" s="159" t="s">
        <v>29</v>
      </c>
    </row>
    <row r="2964" spans="1:14">
      <c r="A2964" s="148"/>
      <c r="B2964" s="149"/>
      <c r="C2964" s="160"/>
      <c r="D2964" s="151"/>
      <c r="E2964" s="152"/>
      <c r="F2964" s="153"/>
      <c r="G2964" s="154"/>
      <c r="H2964" s="154"/>
      <c r="I2964" s="154"/>
      <c r="J2964" s="155"/>
      <c r="K2964" s="156"/>
      <c r="L2964" s="157"/>
      <c r="M2964" s="158" t="s">
        <v>28</v>
      </c>
      <c r="N2964" s="159" t="s">
        <v>29</v>
      </c>
    </row>
    <row r="2965" spans="1:14">
      <c r="A2965" s="148"/>
      <c r="B2965" s="149"/>
      <c r="C2965" s="160"/>
      <c r="D2965" s="151"/>
      <c r="E2965" s="152"/>
      <c r="F2965" s="153"/>
      <c r="G2965" s="154"/>
      <c r="H2965" s="154"/>
      <c r="I2965" s="154"/>
      <c r="J2965" s="155"/>
      <c r="K2965" s="156"/>
      <c r="L2965" s="157"/>
      <c r="M2965" s="158" t="s">
        <v>28</v>
      </c>
      <c r="N2965" s="159" t="s">
        <v>29</v>
      </c>
    </row>
    <row r="2966" spans="1:14">
      <c r="A2966" s="148"/>
      <c r="B2966" s="149"/>
      <c r="C2966" s="160"/>
      <c r="D2966" s="151"/>
      <c r="E2966" s="152"/>
      <c r="F2966" s="153"/>
      <c r="G2966" s="154"/>
      <c r="H2966" s="154"/>
      <c r="I2966" s="154"/>
      <c r="J2966" s="155"/>
      <c r="K2966" s="156"/>
      <c r="L2966" s="157"/>
      <c r="M2966" s="158" t="s">
        <v>28</v>
      </c>
      <c r="N2966" s="159" t="s">
        <v>29</v>
      </c>
    </row>
    <row r="2967" spans="1:14">
      <c r="A2967" s="148"/>
      <c r="B2967" s="149"/>
      <c r="C2967" s="160"/>
      <c r="D2967" s="151"/>
      <c r="E2967" s="152"/>
      <c r="F2967" s="153"/>
      <c r="G2967" s="154"/>
      <c r="H2967" s="154"/>
      <c r="I2967" s="154"/>
      <c r="J2967" s="155"/>
      <c r="K2967" s="156"/>
      <c r="L2967" s="157"/>
      <c r="M2967" s="158" t="s">
        <v>28</v>
      </c>
      <c r="N2967" s="159" t="s">
        <v>29</v>
      </c>
    </row>
    <row r="2968" spans="1:14">
      <c r="A2968" s="148"/>
      <c r="B2968" s="149"/>
      <c r="C2968" s="160"/>
      <c r="D2968" s="151"/>
      <c r="E2968" s="152"/>
      <c r="F2968" s="153"/>
      <c r="G2968" s="154"/>
      <c r="H2968" s="154"/>
      <c r="I2968" s="154"/>
      <c r="J2968" s="155"/>
      <c r="K2968" s="156"/>
      <c r="L2968" s="157"/>
      <c r="M2968" s="158" t="s">
        <v>28</v>
      </c>
      <c r="N2968" s="159" t="s">
        <v>29</v>
      </c>
    </row>
    <row r="2969" spans="1:14">
      <c r="A2969" s="148"/>
      <c r="B2969" s="149"/>
      <c r="C2969" s="160"/>
      <c r="D2969" s="151"/>
      <c r="E2969" s="152"/>
      <c r="F2969" s="153"/>
      <c r="G2969" s="154"/>
      <c r="H2969" s="154"/>
      <c r="I2969" s="154"/>
      <c r="J2969" s="155"/>
      <c r="K2969" s="156"/>
      <c r="L2969" s="157"/>
      <c r="M2969" s="158" t="s">
        <v>28</v>
      </c>
      <c r="N2969" s="159" t="s">
        <v>29</v>
      </c>
    </row>
    <row r="2970" spans="1:14">
      <c r="A2970" s="148"/>
      <c r="B2970" s="149"/>
      <c r="C2970" s="160"/>
      <c r="D2970" s="151"/>
      <c r="E2970" s="152"/>
      <c r="F2970" s="153"/>
      <c r="G2970" s="154"/>
      <c r="H2970" s="154"/>
      <c r="I2970" s="154"/>
      <c r="J2970" s="155"/>
      <c r="K2970" s="156"/>
      <c r="L2970" s="157"/>
      <c r="M2970" s="158" t="s">
        <v>28</v>
      </c>
      <c r="N2970" s="159" t="s">
        <v>29</v>
      </c>
    </row>
    <row r="2971" spans="1:14">
      <c r="A2971" s="148"/>
      <c r="B2971" s="149"/>
      <c r="C2971" s="160"/>
      <c r="D2971" s="151"/>
      <c r="E2971" s="152"/>
      <c r="F2971" s="153"/>
      <c r="G2971" s="154"/>
      <c r="H2971" s="154"/>
      <c r="I2971" s="154"/>
      <c r="J2971" s="155"/>
      <c r="K2971" s="156"/>
      <c r="L2971" s="157"/>
      <c r="M2971" s="158" t="s">
        <v>28</v>
      </c>
      <c r="N2971" s="159" t="s">
        <v>29</v>
      </c>
    </row>
    <row r="2972" spans="1:14">
      <c r="A2972" s="148"/>
      <c r="B2972" s="149"/>
      <c r="C2972" s="160"/>
      <c r="D2972" s="151"/>
      <c r="E2972" s="152"/>
      <c r="F2972" s="153"/>
      <c r="G2972" s="154"/>
      <c r="H2972" s="154"/>
      <c r="I2972" s="154"/>
      <c r="J2972" s="155"/>
      <c r="K2972" s="156"/>
      <c r="L2972" s="157"/>
      <c r="M2972" s="158" t="s">
        <v>28</v>
      </c>
      <c r="N2972" s="159" t="s">
        <v>29</v>
      </c>
    </row>
    <row r="2973" spans="1:14">
      <c r="A2973" s="148"/>
      <c r="B2973" s="149"/>
      <c r="C2973" s="160"/>
      <c r="D2973" s="151"/>
      <c r="E2973" s="152"/>
      <c r="F2973" s="153"/>
      <c r="G2973" s="154"/>
      <c r="H2973" s="154"/>
      <c r="I2973" s="154"/>
      <c r="J2973" s="155"/>
      <c r="K2973" s="156"/>
      <c r="L2973" s="157"/>
      <c r="M2973" s="158" t="s">
        <v>28</v>
      </c>
      <c r="N2973" s="159" t="s">
        <v>29</v>
      </c>
    </row>
    <row r="2974" spans="1:14">
      <c r="A2974" s="148"/>
      <c r="B2974" s="149"/>
      <c r="C2974" s="160"/>
      <c r="D2974" s="151"/>
      <c r="E2974" s="152"/>
      <c r="F2974" s="153"/>
      <c r="G2974" s="154"/>
      <c r="H2974" s="154"/>
      <c r="I2974" s="154"/>
      <c r="J2974" s="155"/>
      <c r="K2974" s="156"/>
      <c r="L2974" s="157"/>
      <c r="M2974" s="158" t="s">
        <v>28</v>
      </c>
      <c r="N2974" s="159" t="s">
        <v>29</v>
      </c>
    </row>
    <row r="2975" spans="1:14">
      <c r="A2975" s="148"/>
      <c r="B2975" s="149"/>
      <c r="C2975" s="160"/>
      <c r="D2975" s="151"/>
      <c r="E2975" s="152"/>
      <c r="F2975" s="153"/>
      <c r="G2975" s="154"/>
      <c r="H2975" s="154"/>
      <c r="I2975" s="154"/>
      <c r="J2975" s="155"/>
      <c r="K2975" s="156"/>
      <c r="L2975" s="157"/>
      <c r="M2975" s="158" t="s">
        <v>28</v>
      </c>
      <c r="N2975" s="159" t="s">
        <v>29</v>
      </c>
    </row>
    <row r="2976" spans="1:14">
      <c r="A2976" s="148"/>
      <c r="B2976" s="149"/>
      <c r="C2976" s="160"/>
      <c r="D2976" s="151"/>
      <c r="E2976" s="152"/>
      <c r="F2976" s="153"/>
      <c r="G2976" s="154"/>
      <c r="H2976" s="154"/>
      <c r="I2976" s="154"/>
      <c r="J2976" s="155"/>
      <c r="K2976" s="156"/>
      <c r="L2976" s="157"/>
      <c r="M2976" s="158" t="s">
        <v>28</v>
      </c>
      <c r="N2976" s="159" t="s">
        <v>29</v>
      </c>
    </row>
    <row r="2977" spans="1:14">
      <c r="A2977" s="148"/>
      <c r="B2977" s="149"/>
      <c r="C2977" s="160"/>
      <c r="D2977" s="151"/>
      <c r="E2977" s="152"/>
      <c r="F2977" s="153"/>
      <c r="G2977" s="154"/>
      <c r="H2977" s="154"/>
      <c r="I2977" s="154"/>
      <c r="J2977" s="155"/>
      <c r="K2977" s="156"/>
      <c r="L2977" s="157"/>
      <c r="M2977" s="158" t="s">
        <v>28</v>
      </c>
      <c r="N2977" s="159" t="s">
        <v>29</v>
      </c>
    </row>
    <row r="2978" spans="1:14">
      <c r="A2978" s="148"/>
      <c r="B2978" s="149"/>
      <c r="C2978" s="160"/>
      <c r="D2978" s="151"/>
      <c r="E2978" s="152"/>
      <c r="F2978" s="153"/>
      <c r="G2978" s="154"/>
      <c r="H2978" s="154"/>
      <c r="I2978" s="154"/>
      <c r="J2978" s="155"/>
      <c r="K2978" s="156"/>
      <c r="L2978" s="157"/>
      <c r="M2978" s="158" t="s">
        <v>28</v>
      </c>
      <c r="N2978" s="159" t="s">
        <v>29</v>
      </c>
    </row>
    <row r="2979" spans="1:14">
      <c r="A2979" s="148"/>
      <c r="B2979" s="149"/>
      <c r="C2979" s="160"/>
      <c r="D2979" s="151"/>
      <c r="E2979" s="152"/>
      <c r="F2979" s="153"/>
      <c r="G2979" s="154"/>
      <c r="H2979" s="154"/>
      <c r="I2979" s="154"/>
      <c r="J2979" s="155"/>
      <c r="K2979" s="156"/>
      <c r="L2979" s="157"/>
      <c r="M2979" s="158" t="s">
        <v>28</v>
      </c>
      <c r="N2979" s="159" t="s">
        <v>29</v>
      </c>
    </row>
    <row r="2980" spans="1:14">
      <c r="A2980" s="148"/>
      <c r="B2980" s="149"/>
      <c r="C2980" s="160"/>
      <c r="D2980" s="151"/>
      <c r="E2980" s="152"/>
      <c r="F2980" s="153"/>
      <c r="G2980" s="154"/>
      <c r="H2980" s="154"/>
      <c r="I2980" s="154"/>
      <c r="J2980" s="155"/>
      <c r="K2980" s="156"/>
      <c r="L2980" s="157"/>
      <c r="M2980" s="158" t="s">
        <v>28</v>
      </c>
      <c r="N2980" s="159" t="s">
        <v>29</v>
      </c>
    </row>
    <row r="2981" spans="1:14">
      <c r="A2981" s="148"/>
      <c r="B2981" s="149"/>
      <c r="C2981" s="160"/>
      <c r="D2981" s="151"/>
      <c r="E2981" s="152"/>
      <c r="F2981" s="153"/>
      <c r="G2981" s="154"/>
      <c r="H2981" s="154"/>
      <c r="I2981" s="154"/>
      <c r="J2981" s="155"/>
      <c r="K2981" s="156"/>
      <c r="L2981" s="157"/>
      <c r="M2981" s="158" t="s">
        <v>28</v>
      </c>
      <c r="N2981" s="159" t="s">
        <v>29</v>
      </c>
    </row>
    <row r="2982" spans="1:14">
      <c r="A2982" s="148"/>
      <c r="B2982" s="149"/>
      <c r="C2982" s="160"/>
      <c r="D2982" s="151"/>
      <c r="E2982" s="152"/>
      <c r="F2982" s="153"/>
      <c r="G2982" s="154"/>
      <c r="H2982" s="154"/>
      <c r="I2982" s="154"/>
      <c r="J2982" s="155"/>
      <c r="K2982" s="156"/>
      <c r="L2982" s="157"/>
      <c r="M2982" s="158" t="s">
        <v>28</v>
      </c>
      <c r="N2982" s="159" t="s">
        <v>29</v>
      </c>
    </row>
    <row r="2983" spans="1:14">
      <c r="A2983" s="148"/>
      <c r="B2983" s="149"/>
      <c r="C2983" s="160"/>
      <c r="D2983" s="151"/>
      <c r="E2983" s="152"/>
      <c r="F2983" s="153"/>
      <c r="G2983" s="154"/>
      <c r="H2983" s="154"/>
      <c r="I2983" s="154"/>
      <c r="J2983" s="155"/>
      <c r="K2983" s="156"/>
      <c r="L2983" s="157"/>
      <c r="M2983" s="158" t="s">
        <v>28</v>
      </c>
      <c r="N2983" s="159" t="s">
        <v>29</v>
      </c>
    </row>
    <row r="2984" spans="1:14">
      <c r="A2984" s="148"/>
      <c r="B2984" s="149"/>
      <c r="C2984" s="160"/>
      <c r="D2984" s="151"/>
      <c r="E2984" s="152"/>
      <c r="F2984" s="153"/>
      <c r="G2984" s="154"/>
      <c r="H2984" s="154"/>
      <c r="I2984" s="154"/>
      <c r="J2984" s="155"/>
      <c r="K2984" s="156"/>
      <c r="L2984" s="157"/>
      <c r="M2984" s="158" t="s">
        <v>28</v>
      </c>
      <c r="N2984" s="159" t="s">
        <v>29</v>
      </c>
    </row>
    <row r="2985" spans="1:14">
      <c r="A2985" s="148"/>
      <c r="B2985" s="149"/>
      <c r="C2985" s="160"/>
      <c r="D2985" s="151"/>
      <c r="E2985" s="152"/>
      <c r="F2985" s="153"/>
      <c r="G2985" s="154"/>
      <c r="H2985" s="154"/>
      <c r="I2985" s="154"/>
      <c r="J2985" s="155"/>
      <c r="K2985" s="156"/>
      <c r="L2985" s="157"/>
      <c r="M2985" s="158" t="s">
        <v>28</v>
      </c>
      <c r="N2985" s="159" t="s">
        <v>29</v>
      </c>
    </row>
    <row r="2986" spans="1:14">
      <c r="A2986" s="148"/>
      <c r="B2986" s="149"/>
      <c r="C2986" s="160"/>
      <c r="D2986" s="151"/>
      <c r="E2986" s="152"/>
      <c r="F2986" s="153"/>
      <c r="G2986" s="154"/>
      <c r="H2986" s="154"/>
      <c r="I2986" s="154"/>
      <c r="J2986" s="155"/>
      <c r="K2986" s="156"/>
      <c r="L2986" s="157"/>
      <c r="M2986" s="158" t="s">
        <v>28</v>
      </c>
      <c r="N2986" s="159" t="s">
        <v>29</v>
      </c>
    </row>
    <row r="2987" spans="1:14">
      <c r="A2987" s="148"/>
      <c r="B2987" s="149"/>
      <c r="C2987" s="160"/>
      <c r="D2987" s="151"/>
      <c r="E2987" s="152"/>
      <c r="F2987" s="153"/>
      <c r="G2987" s="154"/>
      <c r="H2987" s="154"/>
      <c r="I2987" s="154"/>
      <c r="J2987" s="155"/>
      <c r="K2987" s="156"/>
      <c r="L2987" s="157"/>
      <c r="M2987" s="158" t="s">
        <v>28</v>
      </c>
      <c r="N2987" s="159" t="s">
        <v>29</v>
      </c>
    </row>
    <row r="2988" spans="1:14">
      <c r="A2988" s="148"/>
      <c r="B2988" s="149"/>
      <c r="C2988" s="160"/>
      <c r="D2988" s="151"/>
      <c r="E2988" s="152"/>
      <c r="F2988" s="153"/>
      <c r="G2988" s="154"/>
      <c r="H2988" s="154"/>
      <c r="I2988" s="154"/>
      <c r="J2988" s="155"/>
      <c r="K2988" s="156"/>
      <c r="L2988" s="157"/>
      <c r="M2988" s="158" t="s">
        <v>28</v>
      </c>
      <c r="N2988" s="159" t="s">
        <v>29</v>
      </c>
    </row>
    <row r="2989" spans="1:14">
      <c r="A2989" s="148"/>
      <c r="B2989" s="149"/>
      <c r="C2989" s="160"/>
      <c r="D2989" s="151"/>
      <c r="E2989" s="152"/>
      <c r="F2989" s="153"/>
      <c r="G2989" s="154"/>
      <c r="H2989" s="154"/>
      <c r="I2989" s="154"/>
      <c r="J2989" s="155"/>
      <c r="K2989" s="156"/>
      <c r="L2989" s="157"/>
      <c r="M2989" s="158" t="s">
        <v>28</v>
      </c>
      <c r="N2989" s="159" t="s">
        <v>29</v>
      </c>
    </row>
    <row r="2990" spans="1:14">
      <c r="A2990" s="148"/>
      <c r="B2990" s="149"/>
      <c r="C2990" s="160"/>
      <c r="D2990" s="151"/>
      <c r="E2990" s="152"/>
      <c r="F2990" s="153"/>
      <c r="G2990" s="154"/>
      <c r="H2990" s="154"/>
      <c r="I2990" s="154"/>
      <c r="J2990" s="155"/>
      <c r="K2990" s="156"/>
      <c r="L2990" s="157"/>
      <c r="M2990" s="158" t="s">
        <v>28</v>
      </c>
      <c r="N2990" s="159" t="s">
        <v>29</v>
      </c>
    </row>
    <row r="2991" spans="1:14">
      <c r="A2991" s="148"/>
      <c r="B2991" s="149"/>
      <c r="C2991" s="160"/>
      <c r="D2991" s="151"/>
      <c r="E2991" s="152"/>
      <c r="F2991" s="153"/>
      <c r="G2991" s="154"/>
      <c r="H2991" s="154"/>
      <c r="I2991" s="154"/>
      <c r="J2991" s="155"/>
      <c r="K2991" s="156"/>
      <c r="L2991" s="157"/>
      <c r="M2991" s="158" t="s">
        <v>28</v>
      </c>
      <c r="N2991" s="159" t="s">
        <v>29</v>
      </c>
    </row>
    <row r="2992" spans="1:14">
      <c r="A2992" s="148"/>
      <c r="B2992" s="149"/>
      <c r="C2992" s="160"/>
      <c r="D2992" s="151"/>
      <c r="E2992" s="152"/>
      <c r="F2992" s="153"/>
      <c r="G2992" s="154"/>
      <c r="H2992" s="154"/>
      <c r="I2992" s="154"/>
      <c r="J2992" s="155"/>
      <c r="K2992" s="156"/>
      <c r="L2992" s="157"/>
      <c r="M2992" s="158" t="s">
        <v>28</v>
      </c>
      <c r="N2992" s="159" t="s">
        <v>29</v>
      </c>
    </row>
    <row r="2993" spans="1:14">
      <c r="A2993" s="148"/>
      <c r="B2993" s="149"/>
      <c r="C2993" s="160"/>
      <c r="D2993" s="151"/>
      <c r="E2993" s="152"/>
      <c r="F2993" s="153"/>
      <c r="G2993" s="154"/>
      <c r="H2993" s="154"/>
      <c r="I2993" s="154"/>
      <c r="J2993" s="155"/>
      <c r="K2993" s="156"/>
      <c r="L2993" s="157"/>
      <c r="M2993" s="158" t="s">
        <v>28</v>
      </c>
      <c r="N2993" s="159" t="s">
        <v>29</v>
      </c>
    </row>
    <row r="2994" spans="1:14">
      <c r="A2994" s="148"/>
      <c r="B2994" s="149"/>
      <c r="C2994" s="160"/>
      <c r="D2994" s="151"/>
      <c r="E2994" s="152"/>
      <c r="F2994" s="153"/>
      <c r="G2994" s="154"/>
      <c r="H2994" s="154"/>
      <c r="I2994" s="154"/>
      <c r="J2994" s="155"/>
      <c r="K2994" s="156"/>
      <c r="L2994" s="157"/>
      <c r="M2994" s="158" t="s">
        <v>28</v>
      </c>
      <c r="N2994" s="159" t="s">
        <v>29</v>
      </c>
    </row>
    <row r="2995" spans="1:14">
      <c r="A2995" s="148"/>
      <c r="B2995" s="149"/>
      <c r="C2995" s="160"/>
      <c r="D2995" s="151"/>
      <c r="E2995" s="152"/>
      <c r="F2995" s="153"/>
      <c r="G2995" s="154"/>
      <c r="H2995" s="154"/>
      <c r="I2995" s="154"/>
      <c r="J2995" s="155"/>
      <c r="K2995" s="156"/>
      <c r="L2995" s="157"/>
      <c r="M2995" s="158" t="s">
        <v>28</v>
      </c>
      <c r="N2995" s="159" t="s">
        <v>29</v>
      </c>
    </row>
    <row r="2996" spans="1:14">
      <c r="A2996" s="148"/>
      <c r="B2996" s="149"/>
      <c r="C2996" s="160"/>
      <c r="D2996" s="151"/>
      <c r="E2996" s="152"/>
      <c r="F2996" s="153"/>
      <c r="G2996" s="154"/>
      <c r="H2996" s="154"/>
      <c r="I2996" s="154"/>
      <c r="J2996" s="155"/>
      <c r="K2996" s="156"/>
      <c r="L2996" s="157"/>
      <c r="M2996" s="158" t="s">
        <v>28</v>
      </c>
      <c r="N2996" s="159" t="s">
        <v>29</v>
      </c>
    </row>
    <row r="2997" spans="1:14">
      <c r="A2997" s="148"/>
      <c r="B2997" s="149"/>
      <c r="C2997" s="160"/>
      <c r="D2997" s="151"/>
      <c r="E2997" s="152"/>
      <c r="F2997" s="153"/>
      <c r="G2997" s="154"/>
      <c r="H2997" s="154"/>
      <c r="I2997" s="154"/>
      <c r="J2997" s="155"/>
      <c r="K2997" s="156"/>
      <c r="L2997" s="157"/>
      <c r="M2997" s="158" t="s">
        <v>28</v>
      </c>
      <c r="N2997" s="159" t="s">
        <v>29</v>
      </c>
    </row>
    <row r="2998" spans="1:14">
      <c r="A2998" s="148"/>
      <c r="B2998" s="149"/>
      <c r="C2998" s="160"/>
      <c r="D2998" s="151"/>
      <c r="E2998" s="152"/>
      <c r="F2998" s="153"/>
      <c r="G2998" s="154"/>
      <c r="H2998" s="154"/>
      <c r="I2998" s="154"/>
      <c r="J2998" s="155"/>
      <c r="K2998" s="156"/>
      <c r="L2998" s="157"/>
      <c r="M2998" s="158" t="s">
        <v>28</v>
      </c>
      <c r="N2998" s="159" t="s">
        <v>29</v>
      </c>
    </row>
    <row r="2999" spans="1:14">
      <c r="A2999" s="148"/>
      <c r="B2999" s="149"/>
      <c r="C2999" s="160"/>
      <c r="D2999" s="151"/>
      <c r="E2999" s="152"/>
      <c r="F2999" s="153"/>
      <c r="G2999" s="154"/>
      <c r="H2999" s="154"/>
      <c r="I2999" s="154"/>
      <c r="J2999" s="155"/>
      <c r="K2999" s="156"/>
      <c r="L2999" s="157"/>
      <c r="M2999" s="158" t="s">
        <v>28</v>
      </c>
      <c r="N2999" s="159" t="s">
        <v>29</v>
      </c>
    </row>
    <row r="3000" spans="1:14">
      <c r="A3000" s="148"/>
      <c r="B3000" s="149"/>
      <c r="C3000" s="160"/>
      <c r="D3000" s="151"/>
      <c r="E3000" s="152"/>
      <c r="F3000" s="153"/>
      <c r="G3000" s="154"/>
      <c r="H3000" s="154"/>
      <c r="I3000" s="154"/>
      <c r="J3000" s="155"/>
      <c r="K3000" s="156"/>
      <c r="L3000" s="157"/>
      <c r="M3000" s="158" t="s">
        <v>28</v>
      </c>
      <c r="N3000" s="159" t="s">
        <v>29</v>
      </c>
    </row>
    <row r="3001" spans="1:14">
      <c r="A3001" s="148"/>
      <c r="B3001" s="149"/>
      <c r="C3001" s="160"/>
      <c r="D3001" s="151"/>
      <c r="E3001" s="152"/>
      <c r="F3001" s="153"/>
      <c r="G3001" s="154"/>
      <c r="H3001" s="154"/>
      <c r="I3001" s="154"/>
      <c r="J3001" s="155"/>
      <c r="K3001" s="156"/>
      <c r="L3001" s="157"/>
      <c r="M3001" s="158" t="s">
        <v>28</v>
      </c>
      <c r="N3001" s="159" t="s">
        <v>29</v>
      </c>
    </row>
    <row r="3002" spans="1:14">
      <c r="A3002" s="148"/>
      <c r="B3002" s="149"/>
      <c r="C3002" s="160"/>
      <c r="D3002" s="151"/>
      <c r="E3002" s="152"/>
      <c r="F3002" s="153"/>
      <c r="G3002" s="154"/>
      <c r="H3002" s="154"/>
      <c r="I3002" s="154"/>
      <c r="J3002" s="155"/>
      <c r="K3002" s="156"/>
      <c r="L3002" s="157"/>
      <c r="M3002" s="158" t="s">
        <v>28</v>
      </c>
      <c r="N3002" s="159" t="s">
        <v>29</v>
      </c>
    </row>
    <row r="3003" spans="1:14">
      <c r="A3003" s="148"/>
      <c r="B3003" s="149"/>
      <c r="C3003" s="160"/>
      <c r="D3003" s="151"/>
      <c r="E3003" s="152"/>
      <c r="F3003" s="153"/>
      <c r="G3003" s="154"/>
      <c r="H3003" s="154"/>
      <c r="I3003" s="154"/>
      <c r="J3003" s="155"/>
      <c r="K3003" s="156"/>
      <c r="L3003" s="157"/>
      <c r="M3003" s="158" t="s">
        <v>28</v>
      </c>
      <c r="N3003" s="159" t="s">
        <v>29</v>
      </c>
    </row>
    <row r="3004" spans="1:14">
      <c r="A3004" s="148"/>
      <c r="B3004" s="149"/>
      <c r="C3004" s="160"/>
      <c r="D3004" s="151"/>
      <c r="E3004" s="152"/>
      <c r="F3004" s="153"/>
      <c r="G3004" s="154"/>
      <c r="H3004" s="154"/>
      <c r="I3004" s="154"/>
      <c r="J3004" s="155"/>
      <c r="K3004" s="156"/>
      <c r="L3004" s="157"/>
      <c r="M3004" s="158" t="s">
        <v>28</v>
      </c>
      <c r="N3004" s="159" t="s">
        <v>29</v>
      </c>
    </row>
    <row r="3005" spans="1:14">
      <c r="A3005" s="148"/>
      <c r="B3005" s="149"/>
      <c r="C3005" s="160"/>
      <c r="D3005" s="151"/>
      <c r="E3005" s="152"/>
      <c r="F3005" s="153"/>
      <c r="G3005" s="154"/>
      <c r="H3005" s="154"/>
      <c r="I3005" s="154"/>
      <c r="J3005" s="155"/>
      <c r="K3005" s="156"/>
      <c r="L3005" s="157"/>
      <c r="M3005" s="158" t="s">
        <v>28</v>
      </c>
      <c r="N3005" s="159" t="s">
        <v>29</v>
      </c>
    </row>
    <row r="3006" spans="1:14">
      <c r="A3006" s="148"/>
      <c r="B3006" s="149"/>
      <c r="C3006" s="160"/>
      <c r="D3006" s="151"/>
      <c r="E3006" s="152"/>
      <c r="F3006" s="153"/>
      <c r="G3006" s="154"/>
      <c r="H3006" s="154"/>
      <c r="I3006" s="154"/>
      <c r="J3006" s="155"/>
      <c r="K3006" s="156"/>
      <c r="L3006" s="157"/>
      <c r="M3006" s="158" t="s">
        <v>28</v>
      </c>
      <c r="N3006" s="159" t="s">
        <v>29</v>
      </c>
    </row>
    <row r="3007" spans="1:14">
      <c r="A3007" s="148"/>
      <c r="B3007" s="149"/>
      <c r="C3007" s="160"/>
      <c r="D3007" s="151"/>
      <c r="E3007" s="152"/>
      <c r="F3007" s="153"/>
      <c r="G3007" s="154"/>
      <c r="H3007" s="154"/>
      <c r="I3007" s="154"/>
      <c r="J3007" s="155"/>
      <c r="K3007" s="156"/>
      <c r="L3007" s="157"/>
      <c r="M3007" s="158" t="s">
        <v>28</v>
      </c>
      <c r="N3007" s="159" t="s">
        <v>29</v>
      </c>
    </row>
    <row r="3008" spans="1:14">
      <c r="A3008" s="148"/>
      <c r="B3008" s="149"/>
      <c r="C3008" s="160"/>
      <c r="D3008" s="151"/>
      <c r="E3008" s="152"/>
      <c r="F3008" s="153"/>
      <c r="G3008" s="154"/>
      <c r="H3008" s="154"/>
      <c r="I3008" s="154"/>
      <c r="J3008" s="155"/>
      <c r="K3008" s="156"/>
      <c r="L3008" s="157"/>
      <c r="M3008" s="158" t="s">
        <v>28</v>
      </c>
      <c r="N3008" s="159" t="s">
        <v>29</v>
      </c>
    </row>
    <row r="3009" spans="1:14">
      <c r="A3009" s="148"/>
      <c r="B3009" s="149"/>
      <c r="C3009" s="160"/>
      <c r="D3009" s="151"/>
      <c r="E3009" s="152"/>
      <c r="F3009" s="153"/>
      <c r="G3009" s="154"/>
      <c r="H3009" s="154"/>
      <c r="I3009" s="154"/>
      <c r="J3009" s="155"/>
      <c r="K3009" s="156"/>
      <c r="L3009" s="157"/>
      <c r="M3009" s="158" t="s">
        <v>28</v>
      </c>
      <c r="N3009" s="159" t="s">
        <v>29</v>
      </c>
    </row>
    <row r="3010" spans="1:14">
      <c r="A3010" s="148"/>
      <c r="B3010" s="149"/>
      <c r="C3010" s="160"/>
      <c r="D3010" s="151"/>
      <c r="E3010" s="152"/>
      <c r="F3010" s="153"/>
      <c r="G3010" s="154"/>
      <c r="H3010" s="154"/>
      <c r="I3010" s="154"/>
      <c r="J3010" s="155"/>
      <c r="K3010" s="156"/>
      <c r="L3010" s="157"/>
      <c r="M3010" s="158" t="s">
        <v>28</v>
      </c>
      <c r="N3010" s="159" t="s">
        <v>29</v>
      </c>
    </row>
    <row r="3011" spans="1:14">
      <c r="A3011" s="148"/>
      <c r="B3011" s="149"/>
      <c r="C3011" s="160"/>
      <c r="D3011" s="151"/>
      <c r="E3011" s="152"/>
      <c r="F3011" s="153"/>
      <c r="G3011" s="154"/>
      <c r="H3011" s="154"/>
      <c r="I3011" s="154"/>
      <c r="J3011" s="155"/>
      <c r="K3011" s="156"/>
      <c r="L3011" s="157"/>
      <c r="M3011" s="158" t="s">
        <v>28</v>
      </c>
      <c r="N3011" s="159" t="s">
        <v>29</v>
      </c>
    </row>
    <row r="3012" spans="1:14">
      <c r="A3012" s="148"/>
      <c r="B3012" s="149"/>
      <c r="C3012" s="160"/>
      <c r="D3012" s="151"/>
      <c r="E3012" s="152"/>
      <c r="F3012" s="153"/>
      <c r="G3012" s="154"/>
      <c r="H3012" s="154"/>
      <c r="I3012" s="154"/>
      <c r="J3012" s="155"/>
      <c r="K3012" s="156"/>
      <c r="L3012" s="157"/>
      <c r="M3012" s="158" t="s">
        <v>28</v>
      </c>
      <c r="N3012" s="159" t="s">
        <v>29</v>
      </c>
    </row>
    <row r="3013" spans="1:14">
      <c r="A3013" s="148"/>
      <c r="B3013" s="149"/>
      <c r="C3013" s="160"/>
      <c r="D3013" s="151"/>
      <c r="E3013" s="152"/>
      <c r="F3013" s="153"/>
      <c r="G3013" s="154"/>
      <c r="H3013" s="154"/>
      <c r="I3013" s="154"/>
      <c r="J3013" s="155"/>
      <c r="K3013" s="156"/>
      <c r="L3013" s="157"/>
      <c r="M3013" s="158" t="s">
        <v>28</v>
      </c>
      <c r="N3013" s="159" t="s">
        <v>29</v>
      </c>
    </row>
    <row r="3014" spans="1:14">
      <c r="A3014" s="148"/>
      <c r="B3014" s="149"/>
      <c r="C3014" s="160"/>
      <c r="D3014" s="151"/>
      <c r="E3014" s="152"/>
      <c r="F3014" s="153"/>
      <c r="G3014" s="154"/>
      <c r="H3014" s="154"/>
      <c r="I3014" s="154"/>
      <c r="J3014" s="155"/>
      <c r="K3014" s="156"/>
      <c r="L3014" s="157"/>
      <c r="M3014" s="158" t="s">
        <v>28</v>
      </c>
      <c r="N3014" s="159" t="s">
        <v>29</v>
      </c>
    </row>
    <row r="3015" spans="1:14">
      <c r="A3015" s="148"/>
      <c r="B3015" s="149"/>
      <c r="C3015" s="160"/>
      <c r="D3015" s="151"/>
      <c r="E3015" s="152"/>
      <c r="F3015" s="153"/>
      <c r="G3015" s="154"/>
      <c r="H3015" s="154"/>
      <c r="I3015" s="154"/>
      <c r="J3015" s="155"/>
      <c r="K3015" s="156"/>
      <c r="L3015" s="157"/>
      <c r="M3015" s="158" t="s">
        <v>28</v>
      </c>
      <c r="N3015" s="159" t="s">
        <v>29</v>
      </c>
    </row>
    <row r="3016" spans="1:14">
      <c r="A3016" s="148"/>
      <c r="B3016" s="149"/>
      <c r="C3016" s="160"/>
      <c r="D3016" s="151"/>
      <c r="E3016" s="152"/>
      <c r="F3016" s="153"/>
      <c r="G3016" s="154"/>
      <c r="H3016" s="154"/>
      <c r="I3016" s="154"/>
      <c r="J3016" s="155"/>
      <c r="K3016" s="156"/>
      <c r="L3016" s="157"/>
      <c r="M3016" s="158" t="s">
        <v>28</v>
      </c>
      <c r="N3016" s="159" t="s">
        <v>29</v>
      </c>
    </row>
    <row r="3017" spans="1:14">
      <c r="A3017" s="148"/>
      <c r="B3017" s="149"/>
      <c r="C3017" s="160"/>
      <c r="D3017" s="151"/>
      <c r="E3017" s="152"/>
      <c r="F3017" s="153"/>
      <c r="G3017" s="154"/>
      <c r="H3017" s="154"/>
      <c r="I3017" s="154"/>
      <c r="J3017" s="155"/>
      <c r="K3017" s="156"/>
      <c r="L3017" s="157"/>
      <c r="M3017" s="158" t="s">
        <v>28</v>
      </c>
      <c r="N3017" s="159" t="s">
        <v>29</v>
      </c>
    </row>
    <row r="3018" spans="1:14">
      <c r="A3018" s="148"/>
      <c r="B3018" s="149"/>
      <c r="C3018" s="160"/>
      <c r="D3018" s="151"/>
      <c r="E3018" s="152"/>
      <c r="F3018" s="153"/>
      <c r="G3018" s="154"/>
      <c r="H3018" s="154"/>
      <c r="I3018" s="154"/>
      <c r="J3018" s="155"/>
      <c r="K3018" s="156"/>
      <c r="L3018" s="157"/>
      <c r="M3018" s="158" t="s">
        <v>28</v>
      </c>
      <c r="N3018" s="159" t="s">
        <v>29</v>
      </c>
    </row>
    <row r="3019" spans="1:14">
      <c r="A3019" s="148"/>
      <c r="B3019" s="149"/>
      <c r="C3019" s="160"/>
      <c r="D3019" s="151"/>
      <c r="E3019" s="152"/>
      <c r="F3019" s="153"/>
      <c r="G3019" s="154"/>
      <c r="H3019" s="154"/>
      <c r="I3019" s="154"/>
      <c r="J3019" s="155"/>
      <c r="K3019" s="156"/>
      <c r="L3019" s="157"/>
      <c r="M3019" s="158" t="s">
        <v>28</v>
      </c>
      <c r="N3019" s="159" t="s">
        <v>29</v>
      </c>
    </row>
    <row r="3020" spans="1:14">
      <c r="A3020" s="148"/>
      <c r="B3020" s="149"/>
      <c r="C3020" s="160"/>
      <c r="D3020" s="151"/>
      <c r="E3020" s="152"/>
      <c r="F3020" s="153"/>
      <c r="G3020" s="154"/>
      <c r="H3020" s="154"/>
      <c r="I3020" s="154"/>
      <c r="J3020" s="155"/>
      <c r="K3020" s="156"/>
      <c r="L3020" s="157"/>
      <c r="M3020" s="158" t="s">
        <v>28</v>
      </c>
      <c r="N3020" s="159" t="s">
        <v>29</v>
      </c>
    </row>
    <row r="3021" spans="1:14">
      <c r="A3021" s="148"/>
      <c r="B3021" s="149"/>
      <c r="C3021" s="160"/>
      <c r="D3021" s="151"/>
      <c r="E3021" s="152"/>
      <c r="F3021" s="153"/>
      <c r="G3021" s="154"/>
      <c r="H3021" s="154"/>
      <c r="I3021" s="154"/>
      <c r="J3021" s="155"/>
      <c r="K3021" s="156"/>
      <c r="L3021" s="157"/>
      <c r="M3021" s="158" t="s">
        <v>28</v>
      </c>
      <c r="N3021" s="159" t="s">
        <v>29</v>
      </c>
    </row>
    <row r="3022" spans="1:14">
      <c r="A3022" s="148"/>
      <c r="B3022" s="149"/>
      <c r="C3022" s="160"/>
      <c r="D3022" s="151"/>
      <c r="E3022" s="152"/>
      <c r="F3022" s="153"/>
      <c r="G3022" s="154"/>
      <c r="H3022" s="154"/>
      <c r="I3022" s="154"/>
      <c r="J3022" s="155"/>
      <c r="K3022" s="156"/>
      <c r="L3022" s="157"/>
      <c r="M3022" s="158" t="s">
        <v>28</v>
      </c>
      <c r="N3022" s="159" t="s">
        <v>29</v>
      </c>
    </row>
    <row r="3023" spans="1:14">
      <c r="A3023" s="148"/>
      <c r="B3023" s="149"/>
      <c r="C3023" s="160"/>
      <c r="D3023" s="151"/>
      <c r="E3023" s="152"/>
      <c r="F3023" s="153"/>
      <c r="G3023" s="154"/>
      <c r="H3023" s="154"/>
      <c r="I3023" s="154"/>
      <c r="J3023" s="155"/>
      <c r="K3023" s="156"/>
      <c r="L3023" s="157"/>
      <c r="M3023" s="158" t="s">
        <v>28</v>
      </c>
      <c r="N3023" s="159" t="s">
        <v>29</v>
      </c>
    </row>
    <row r="3024" spans="1:14">
      <c r="A3024" s="148"/>
      <c r="B3024" s="149"/>
      <c r="C3024" s="160"/>
      <c r="D3024" s="151"/>
      <c r="E3024" s="152"/>
      <c r="F3024" s="153"/>
      <c r="G3024" s="154"/>
      <c r="H3024" s="154"/>
      <c r="I3024" s="154"/>
      <c r="J3024" s="155"/>
      <c r="K3024" s="156"/>
      <c r="L3024" s="157"/>
      <c r="M3024" s="158" t="s">
        <v>28</v>
      </c>
      <c r="N3024" s="159" t="s">
        <v>29</v>
      </c>
    </row>
    <row r="3025" spans="1:14">
      <c r="A3025" s="148"/>
      <c r="B3025" s="149"/>
      <c r="C3025" s="160"/>
      <c r="D3025" s="151"/>
      <c r="E3025" s="152"/>
      <c r="F3025" s="153"/>
      <c r="G3025" s="154"/>
      <c r="H3025" s="154"/>
      <c r="I3025" s="154"/>
      <c r="J3025" s="155"/>
      <c r="K3025" s="156"/>
      <c r="L3025" s="157"/>
      <c r="M3025" s="158" t="s">
        <v>28</v>
      </c>
      <c r="N3025" s="159" t="s">
        <v>29</v>
      </c>
    </row>
    <row r="3026" spans="1:14">
      <c r="A3026" s="148"/>
      <c r="B3026" s="149"/>
      <c r="C3026" s="160"/>
      <c r="D3026" s="151"/>
      <c r="E3026" s="152"/>
      <c r="F3026" s="153"/>
      <c r="G3026" s="154"/>
      <c r="H3026" s="154"/>
      <c r="I3026" s="154"/>
      <c r="J3026" s="155"/>
      <c r="K3026" s="156"/>
      <c r="L3026" s="157"/>
      <c r="M3026" s="158" t="s">
        <v>28</v>
      </c>
      <c r="N3026" s="159" t="s">
        <v>29</v>
      </c>
    </row>
    <row r="3027" spans="1:14">
      <c r="A3027" s="148"/>
      <c r="B3027" s="149"/>
      <c r="C3027" s="160"/>
      <c r="D3027" s="151"/>
      <c r="E3027" s="152"/>
      <c r="F3027" s="153"/>
      <c r="G3027" s="154"/>
      <c r="H3027" s="154"/>
      <c r="I3027" s="154"/>
      <c r="J3027" s="155"/>
      <c r="K3027" s="156"/>
      <c r="L3027" s="157"/>
      <c r="M3027" s="158" t="s">
        <v>28</v>
      </c>
      <c r="N3027" s="159" t="s">
        <v>29</v>
      </c>
    </row>
    <row r="3028" spans="1:14">
      <c r="A3028" s="148"/>
      <c r="B3028" s="149"/>
      <c r="C3028" s="160"/>
      <c r="D3028" s="151"/>
      <c r="E3028" s="152"/>
      <c r="F3028" s="153"/>
      <c r="G3028" s="154"/>
      <c r="H3028" s="154"/>
      <c r="I3028" s="154"/>
      <c r="J3028" s="155"/>
      <c r="K3028" s="156"/>
      <c r="L3028" s="157"/>
      <c r="M3028" s="158" t="s">
        <v>28</v>
      </c>
      <c r="N3028" s="159" t="s">
        <v>29</v>
      </c>
    </row>
    <row r="3029" spans="1:14">
      <c r="A3029" s="148"/>
      <c r="B3029" s="149"/>
      <c r="C3029" s="160"/>
      <c r="D3029" s="151"/>
      <c r="E3029" s="152"/>
      <c r="F3029" s="153"/>
      <c r="G3029" s="154"/>
      <c r="H3029" s="154"/>
      <c r="I3029" s="154"/>
      <c r="J3029" s="155"/>
      <c r="K3029" s="156"/>
      <c r="L3029" s="157"/>
      <c r="M3029" s="158" t="s">
        <v>28</v>
      </c>
      <c r="N3029" s="159" t="s">
        <v>29</v>
      </c>
    </row>
    <row r="3030" spans="1:14">
      <c r="A3030" s="148"/>
      <c r="B3030" s="149"/>
      <c r="C3030" s="160"/>
      <c r="D3030" s="151"/>
      <c r="E3030" s="152"/>
      <c r="F3030" s="153"/>
      <c r="G3030" s="154"/>
      <c r="H3030" s="154"/>
      <c r="I3030" s="154"/>
      <c r="J3030" s="155"/>
      <c r="K3030" s="156"/>
      <c r="L3030" s="157"/>
      <c r="M3030" s="158" t="s">
        <v>28</v>
      </c>
      <c r="N3030" s="159" t="s">
        <v>29</v>
      </c>
    </row>
    <row r="3031" spans="1:14">
      <c r="A3031" s="148"/>
      <c r="B3031" s="149"/>
      <c r="C3031" s="160"/>
      <c r="D3031" s="151"/>
      <c r="E3031" s="152"/>
      <c r="F3031" s="153"/>
      <c r="G3031" s="154"/>
      <c r="H3031" s="154"/>
      <c r="I3031" s="154"/>
      <c r="J3031" s="155"/>
      <c r="K3031" s="156"/>
      <c r="L3031" s="157"/>
      <c r="M3031" s="158" t="s">
        <v>28</v>
      </c>
      <c r="N3031" s="159" t="s">
        <v>29</v>
      </c>
    </row>
    <row r="3032" spans="1:14">
      <c r="A3032" s="148"/>
      <c r="B3032" s="149"/>
      <c r="C3032" s="160"/>
      <c r="D3032" s="151"/>
      <c r="E3032" s="152"/>
      <c r="F3032" s="153"/>
      <c r="G3032" s="154"/>
      <c r="H3032" s="154"/>
      <c r="I3032" s="154"/>
      <c r="J3032" s="155"/>
      <c r="K3032" s="156"/>
      <c r="L3032" s="157"/>
      <c r="M3032" s="158" t="s">
        <v>28</v>
      </c>
      <c r="N3032" s="159" t="s">
        <v>29</v>
      </c>
    </row>
    <row r="3033" spans="1:14">
      <c r="A3033" s="148"/>
      <c r="B3033" s="149"/>
      <c r="C3033" s="160"/>
      <c r="D3033" s="151"/>
      <c r="E3033" s="152"/>
      <c r="F3033" s="153"/>
      <c r="G3033" s="154"/>
      <c r="H3033" s="154"/>
      <c r="I3033" s="154"/>
      <c r="J3033" s="155"/>
      <c r="K3033" s="156"/>
      <c r="L3033" s="157"/>
      <c r="M3033" s="158" t="s">
        <v>28</v>
      </c>
      <c r="N3033" s="159" t="s">
        <v>29</v>
      </c>
    </row>
    <row r="3034" spans="1:14">
      <c r="A3034" s="148"/>
      <c r="B3034" s="149"/>
      <c r="C3034" s="160"/>
      <c r="D3034" s="151"/>
      <c r="E3034" s="152"/>
      <c r="F3034" s="153"/>
      <c r="G3034" s="154"/>
      <c r="H3034" s="154"/>
      <c r="I3034" s="154"/>
      <c r="J3034" s="155"/>
      <c r="K3034" s="156"/>
      <c r="L3034" s="157"/>
      <c r="M3034" s="158" t="s">
        <v>28</v>
      </c>
      <c r="N3034" s="159" t="s">
        <v>29</v>
      </c>
    </row>
    <row r="3035" spans="1:14">
      <c r="A3035" s="148"/>
      <c r="B3035" s="149"/>
      <c r="C3035" s="160"/>
      <c r="D3035" s="151"/>
      <c r="E3035" s="152"/>
      <c r="F3035" s="153"/>
      <c r="G3035" s="154"/>
      <c r="H3035" s="154"/>
      <c r="I3035" s="154"/>
      <c r="J3035" s="155"/>
      <c r="K3035" s="156"/>
      <c r="L3035" s="157"/>
      <c r="M3035" s="158" t="s">
        <v>28</v>
      </c>
      <c r="N3035" s="159" t="s">
        <v>29</v>
      </c>
    </row>
    <row r="3036" spans="1:14">
      <c r="A3036" s="148"/>
      <c r="B3036" s="149"/>
      <c r="C3036" s="160"/>
      <c r="D3036" s="151"/>
      <c r="E3036" s="152"/>
      <c r="F3036" s="153"/>
      <c r="G3036" s="154"/>
      <c r="H3036" s="154"/>
      <c r="I3036" s="154"/>
      <c r="J3036" s="155"/>
      <c r="K3036" s="156"/>
      <c r="L3036" s="157"/>
      <c r="M3036" s="158" t="s">
        <v>28</v>
      </c>
      <c r="N3036" s="159" t="s">
        <v>29</v>
      </c>
    </row>
    <row r="3037" spans="1:14">
      <c r="A3037" s="148"/>
      <c r="B3037" s="149"/>
      <c r="C3037" s="160"/>
      <c r="D3037" s="151"/>
      <c r="E3037" s="152"/>
      <c r="F3037" s="153"/>
      <c r="G3037" s="154"/>
      <c r="H3037" s="154"/>
      <c r="I3037" s="154"/>
      <c r="J3037" s="155"/>
      <c r="K3037" s="156"/>
      <c r="L3037" s="157"/>
      <c r="M3037" s="158" t="s">
        <v>28</v>
      </c>
      <c r="N3037" s="159" t="s">
        <v>29</v>
      </c>
    </row>
    <row r="3038" spans="1:14">
      <c r="A3038" s="148"/>
      <c r="B3038" s="149"/>
      <c r="C3038" s="160"/>
      <c r="D3038" s="151"/>
      <c r="E3038" s="152"/>
      <c r="F3038" s="153"/>
      <c r="G3038" s="154"/>
      <c r="H3038" s="154"/>
      <c r="I3038" s="154"/>
      <c r="J3038" s="155"/>
      <c r="K3038" s="156"/>
      <c r="L3038" s="157"/>
      <c r="M3038" s="158" t="s">
        <v>28</v>
      </c>
      <c r="N3038" s="159" t="s">
        <v>29</v>
      </c>
    </row>
    <row r="3039" spans="1:14">
      <c r="A3039" s="148"/>
      <c r="B3039" s="149"/>
      <c r="C3039" s="160"/>
      <c r="D3039" s="151"/>
      <c r="E3039" s="152"/>
      <c r="F3039" s="153"/>
      <c r="G3039" s="154"/>
      <c r="H3039" s="154"/>
      <c r="I3039" s="154"/>
      <c r="J3039" s="155"/>
      <c r="K3039" s="156"/>
      <c r="L3039" s="157"/>
      <c r="M3039" s="158" t="s">
        <v>28</v>
      </c>
      <c r="N3039" s="159" t="s">
        <v>29</v>
      </c>
    </row>
    <row r="3040" spans="1:14">
      <c r="A3040" s="148"/>
      <c r="B3040" s="149"/>
      <c r="C3040" s="160"/>
      <c r="D3040" s="151"/>
      <c r="E3040" s="152"/>
      <c r="F3040" s="153"/>
      <c r="G3040" s="154"/>
      <c r="H3040" s="154"/>
      <c r="I3040" s="154"/>
      <c r="J3040" s="155"/>
      <c r="K3040" s="156"/>
      <c r="L3040" s="157"/>
      <c r="M3040" s="158" t="s">
        <v>28</v>
      </c>
      <c r="N3040" s="159" t="s">
        <v>29</v>
      </c>
    </row>
    <row r="3041" spans="1:14">
      <c r="A3041" s="148"/>
      <c r="B3041" s="149"/>
      <c r="C3041" s="160"/>
      <c r="D3041" s="151"/>
      <c r="E3041" s="152"/>
      <c r="F3041" s="153"/>
      <c r="G3041" s="154"/>
      <c r="H3041" s="154"/>
      <c r="I3041" s="154"/>
      <c r="J3041" s="155"/>
      <c r="K3041" s="156"/>
      <c r="L3041" s="157"/>
      <c r="M3041" s="158" t="s">
        <v>28</v>
      </c>
      <c r="N3041" s="159" t="s">
        <v>29</v>
      </c>
    </row>
    <row r="3042" spans="1:14">
      <c r="A3042" s="148"/>
      <c r="B3042" s="149"/>
      <c r="C3042" s="160"/>
      <c r="D3042" s="151"/>
      <c r="E3042" s="152"/>
      <c r="F3042" s="153"/>
      <c r="G3042" s="154"/>
      <c r="H3042" s="154"/>
      <c r="I3042" s="154"/>
      <c r="J3042" s="155"/>
      <c r="K3042" s="156"/>
      <c r="L3042" s="157"/>
      <c r="M3042" s="158" t="s">
        <v>28</v>
      </c>
      <c r="N3042" s="159" t="s">
        <v>29</v>
      </c>
    </row>
    <row r="3043" spans="1:14">
      <c r="A3043" s="148"/>
      <c r="B3043" s="149"/>
      <c r="C3043" s="160"/>
      <c r="D3043" s="151"/>
      <c r="E3043" s="152"/>
      <c r="F3043" s="153"/>
      <c r="G3043" s="154"/>
      <c r="H3043" s="154"/>
      <c r="I3043" s="154"/>
      <c r="J3043" s="155"/>
      <c r="K3043" s="156"/>
      <c r="L3043" s="157"/>
      <c r="M3043" s="158" t="s">
        <v>28</v>
      </c>
      <c r="N3043" s="159" t="s">
        <v>29</v>
      </c>
    </row>
    <row r="3044" spans="1:14">
      <c r="A3044" s="148"/>
      <c r="B3044" s="149"/>
      <c r="C3044" s="160"/>
      <c r="D3044" s="151"/>
      <c r="E3044" s="152"/>
      <c r="F3044" s="153"/>
      <c r="G3044" s="154"/>
      <c r="H3044" s="154"/>
      <c r="I3044" s="154"/>
      <c r="J3044" s="155"/>
      <c r="K3044" s="156"/>
      <c r="L3044" s="157"/>
      <c r="M3044" s="158" t="s">
        <v>28</v>
      </c>
      <c r="N3044" s="159" t="s">
        <v>29</v>
      </c>
    </row>
    <row r="3045" spans="1:14">
      <c r="A3045" s="148"/>
      <c r="B3045" s="149"/>
      <c r="C3045" s="160"/>
      <c r="D3045" s="151"/>
      <c r="E3045" s="152"/>
      <c r="F3045" s="153"/>
      <c r="G3045" s="154"/>
      <c r="H3045" s="154"/>
      <c r="I3045" s="154"/>
      <c r="J3045" s="155"/>
      <c r="K3045" s="156"/>
      <c r="L3045" s="157"/>
      <c r="M3045" s="158" t="s">
        <v>28</v>
      </c>
      <c r="N3045" s="159" t="s">
        <v>29</v>
      </c>
    </row>
    <row r="3046" spans="1:14">
      <c r="A3046" s="148"/>
      <c r="B3046" s="149"/>
      <c r="C3046" s="160"/>
      <c r="D3046" s="151"/>
      <c r="E3046" s="152"/>
      <c r="F3046" s="153"/>
      <c r="G3046" s="154"/>
      <c r="H3046" s="154"/>
      <c r="I3046" s="154"/>
      <c r="J3046" s="155"/>
      <c r="K3046" s="156"/>
      <c r="L3046" s="157"/>
      <c r="M3046" s="158" t="s">
        <v>28</v>
      </c>
      <c r="N3046" s="159" t="s">
        <v>29</v>
      </c>
    </row>
    <row r="3047" spans="1:14">
      <c r="A3047" s="148"/>
      <c r="B3047" s="149"/>
      <c r="C3047" s="160"/>
      <c r="D3047" s="151"/>
      <c r="E3047" s="152"/>
      <c r="F3047" s="153"/>
      <c r="G3047" s="154"/>
      <c r="H3047" s="154"/>
      <c r="I3047" s="154"/>
      <c r="J3047" s="155"/>
      <c r="K3047" s="156"/>
      <c r="L3047" s="157"/>
      <c r="M3047" s="158" t="s">
        <v>28</v>
      </c>
      <c r="N3047" s="159" t="s">
        <v>29</v>
      </c>
    </row>
    <row r="3048" spans="1:14">
      <c r="A3048" s="148"/>
      <c r="B3048" s="149"/>
      <c r="C3048" s="160"/>
      <c r="D3048" s="151"/>
      <c r="E3048" s="152"/>
      <c r="F3048" s="153"/>
      <c r="G3048" s="154"/>
      <c r="H3048" s="154"/>
      <c r="I3048" s="154"/>
      <c r="J3048" s="155"/>
      <c r="K3048" s="156"/>
      <c r="L3048" s="157"/>
      <c r="M3048" s="158" t="s">
        <v>28</v>
      </c>
      <c r="N3048" s="159" t="s">
        <v>29</v>
      </c>
    </row>
    <row r="3049" spans="1:14">
      <c r="A3049" s="148"/>
      <c r="B3049" s="149"/>
      <c r="C3049" s="160"/>
      <c r="D3049" s="151"/>
      <c r="E3049" s="152"/>
      <c r="F3049" s="153"/>
      <c r="G3049" s="154"/>
      <c r="H3049" s="154"/>
      <c r="I3049" s="154"/>
      <c r="J3049" s="155"/>
      <c r="K3049" s="156"/>
      <c r="L3049" s="157"/>
      <c r="M3049" s="158" t="s">
        <v>28</v>
      </c>
      <c r="N3049" s="159" t="s">
        <v>29</v>
      </c>
    </row>
    <row r="3050" spans="1:14">
      <c r="A3050" s="148"/>
      <c r="B3050" s="149"/>
      <c r="C3050" s="160"/>
      <c r="D3050" s="151"/>
      <c r="E3050" s="152"/>
      <c r="F3050" s="153"/>
      <c r="G3050" s="154"/>
      <c r="H3050" s="154"/>
      <c r="I3050" s="154"/>
      <c r="J3050" s="155"/>
      <c r="K3050" s="156"/>
      <c r="L3050" s="157"/>
      <c r="M3050" s="158" t="s">
        <v>28</v>
      </c>
      <c r="N3050" s="159" t="s">
        <v>29</v>
      </c>
    </row>
    <row r="3051" spans="1:14">
      <c r="A3051" s="148"/>
      <c r="B3051" s="149"/>
      <c r="C3051" s="160"/>
      <c r="D3051" s="151"/>
      <c r="E3051" s="152"/>
      <c r="F3051" s="153"/>
      <c r="G3051" s="154"/>
      <c r="H3051" s="154"/>
      <c r="I3051" s="154"/>
      <c r="J3051" s="155"/>
      <c r="K3051" s="156"/>
      <c r="L3051" s="157"/>
      <c r="M3051" s="158" t="s">
        <v>28</v>
      </c>
      <c r="N3051" s="159" t="s">
        <v>29</v>
      </c>
    </row>
    <row r="3052" spans="1:14">
      <c r="A3052" s="148"/>
      <c r="B3052" s="149"/>
      <c r="C3052" s="160"/>
      <c r="D3052" s="151"/>
      <c r="E3052" s="152"/>
      <c r="F3052" s="153"/>
      <c r="G3052" s="154"/>
      <c r="H3052" s="154"/>
      <c r="I3052" s="154"/>
      <c r="J3052" s="155"/>
      <c r="K3052" s="156"/>
      <c r="L3052" s="157"/>
      <c r="M3052" s="158" t="s">
        <v>28</v>
      </c>
      <c r="N3052" s="159" t="s">
        <v>29</v>
      </c>
    </row>
    <row r="3053" spans="1:14">
      <c r="A3053" s="148"/>
      <c r="B3053" s="149"/>
      <c r="C3053" s="160"/>
      <c r="D3053" s="151"/>
      <c r="E3053" s="152"/>
      <c r="F3053" s="153"/>
      <c r="G3053" s="154"/>
      <c r="H3053" s="154"/>
      <c r="I3053" s="154"/>
      <c r="J3053" s="155"/>
      <c r="K3053" s="156"/>
      <c r="L3053" s="157"/>
      <c r="M3053" s="158" t="s">
        <v>28</v>
      </c>
      <c r="N3053" s="159" t="s">
        <v>29</v>
      </c>
    </row>
    <row r="3054" spans="1:14">
      <c r="A3054" s="148"/>
      <c r="B3054" s="149"/>
      <c r="C3054" s="160"/>
      <c r="D3054" s="151"/>
      <c r="E3054" s="152"/>
      <c r="F3054" s="153"/>
      <c r="G3054" s="154"/>
      <c r="H3054" s="154"/>
      <c r="I3054" s="154"/>
      <c r="J3054" s="155"/>
      <c r="K3054" s="156"/>
      <c r="L3054" s="157"/>
      <c r="M3054" s="158" t="s">
        <v>28</v>
      </c>
      <c r="N3054" s="159" t="s">
        <v>29</v>
      </c>
    </row>
    <row r="3055" spans="1:14">
      <c r="A3055" s="148"/>
      <c r="B3055" s="149"/>
      <c r="C3055" s="160"/>
      <c r="D3055" s="151"/>
      <c r="E3055" s="152"/>
      <c r="F3055" s="153"/>
      <c r="G3055" s="154"/>
      <c r="H3055" s="154"/>
      <c r="I3055" s="154"/>
      <c r="J3055" s="155"/>
      <c r="K3055" s="156"/>
      <c r="L3055" s="157"/>
      <c r="M3055" s="158" t="s">
        <v>28</v>
      </c>
      <c r="N3055" s="159" t="s">
        <v>29</v>
      </c>
    </row>
    <row r="3056" spans="1:14">
      <c r="A3056" s="148"/>
      <c r="B3056" s="149"/>
      <c r="C3056" s="160"/>
      <c r="D3056" s="151"/>
      <c r="E3056" s="152"/>
      <c r="F3056" s="153"/>
      <c r="G3056" s="154"/>
      <c r="H3056" s="154"/>
      <c r="I3056" s="154"/>
      <c r="J3056" s="155"/>
      <c r="K3056" s="156"/>
      <c r="L3056" s="157"/>
      <c r="M3056" s="158" t="s">
        <v>28</v>
      </c>
      <c r="N3056" s="159" t="s">
        <v>29</v>
      </c>
    </row>
    <row r="3057" spans="1:14">
      <c r="A3057" s="148"/>
      <c r="B3057" s="149"/>
      <c r="C3057" s="160"/>
      <c r="D3057" s="151"/>
      <c r="E3057" s="152"/>
      <c r="F3057" s="153"/>
      <c r="G3057" s="154"/>
      <c r="H3057" s="154"/>
      <c r="I3057" s="154"/>
      <c r="J3057" s="155"/>
      <c r="K3057" s="156"/>
      <c r="L3057" s="157"/>
      <c r="M3057" s="158" t="s">
        <v>28</v>
      </c>
      <c r="N3057" s="159" t="s">
        <v>29</v>
      </c>
    </row>
    <row r="3058" spans="1:14">
      <c r="A3058" s="148"/>
      <c r="B3058" s="149"/>
      <c r="C3058" s="160"/>
      <c r="D3058" s="151"/>
      <c r="E3058" s="152"/>
      <c r="F3058" s="153"/>
      <c r="G3058" s="154"/>
      <c r="H3058" s="154"/>
      <c r="I3058" s="154"/>
      <c r="J3058" s="155"/>
      <c r="K3058" s="156"/>
      <c r="L3058" s="157"/>
      <c r="M3058" s="158" t="s">
        <v>28</v>
      </c>
      <c r="N3058" s="159" t="s">
        <v>29</v>
      </c>
    </row>
    <row r="3059" spans="1:14">
      <c r="A3059" s="148"/>
      <c r="B3059" s="149"/>
      <c r="C3059" s="160"/>
      <c r="D3059" s="151"/>
      <c r="E3059" s="152"/>
      <c r="F3059" s="153"/>
      <c r="G3059" s="154"/>
      <c r="H3059" s="154"/>
      <c r="I3059" s="154"/>
      <c r="J3059" s="155"/>
      <c r="K3059" s="156"/>
      <c r="L3059" s="157"/>
      <c r="M3059" s="158" t="s">
        <v>28</v>
      </c>
      <c r="N3059" s="159" t="s">
        <v>29</v>
      </c>
    </row>
    <row r="3060" spans="1:14">
      <c r="A3060" s="148"/>
      <c r="B3060" s="149"/>
      <c r="C3060" s="160"/>
      <c r="D3060" s="151"/>
      <c r="E3060" s="152"/>
      <c r="F3060" s="153"/>
      <c r="G3060" s="154"/>
      <c r="H3060" s="154"/>
      <c r="I3060" s="154"/>
      <c r="J3060" s="155"/>
      <c r="K3060" s="156"/>
      <c r="L3060" s="157"/>
      <c r="M3060" s="158" t="s">
        <v>28</v>
      </c>
      <c r="N3060" s="159" t="s">
        <v>29</v>
      </c>
    </row>
    <row r="3061" spans="1:14">
      <c r="A3061" s="148"/>
      <c r="B3061" s="149"/>
      <c r="C3061" s="160"/>
      <c r="D3061" s="151"/>
      <c r="E3061" s="152"/>
      <c r="F3061" s="153"/>
      <c r="G3061" s="154"/>
      <c r="H3061" s="154"/>
      <c r="I3061" s="154"/>
      <c r="J3061" s="155"/>
      <c r="K3061" s="156"/>
      <c r="L3061" s="157"/>
      <c r="M3061" s="158" t="s">
        <v>28</v>
      </c>
      <c r="N3061" s="159" t="s">
        <v>29</v>
      </c>
    </row>
    <row r="3062" spans="1:14">
      <c r="A3062" s="148"/>
      <c r="B3062" s="149"/>
      <c r="C3062" s="160"/>
      <c r="D3062" s="151"/>
      <c r="E3062" s="152"/>
      <c r="F3062" s="153"/>
      <c r="G3062" s="154"/>
      <c r="H3062" s="154"/>
      <c r="I3062" s="154"/>
      <c r="J3062" s="155"/>
      <c r="K3062" s="156"/>
      <c r="L3062" s="157"/>
      <c r="M3062" s="158" t="s">
        <v>28</v>
      </c>
      <c r="N3062" s="159" t="s">
        <v>29</v>
      </c>
    </row>
    <row r="3063" spans="1:14">
      <c r="A3063" s="148"/>
      <c r="B3063" s="149"/>
      <c r="C3063" s="160"/>
      <c r="D3063" s="151"/>
      <c r="E3063" s="152"/>
      <c r="F3063" s="153"/>
      <c r="G3063" s="154"/>
      <c r="H3063" s="154"/>
      <c r="I3063" s="154"/>
      <c r="J3063" s="155"/>
      <c r="K3063" s="156"/>
      <c r="L3063" s="157"/>
      <c r="M3063" s="158" t="s">
        <v>28</v>
      </c>
      <c r="N3063" s="159" t="s">
        <v>29</v>
      </c>
    </row>
    <row r="3064" spans="1:14">
      <c r="A3064" s="148"/>
      <c r="B3064" s="149"/>
      <c r="C3064" s="160"/>
      <c r="D3064" s="151"/>
      <c r="E3064" s="152"/>
      <c r="F3064" s="153"/>
      <c r="G3064" s="154"/>
      <c r="H3064" s="154"/>
      <c r="I3064" s="154"/>
      <c r="J3064" s="155"/>
      <c r="K3064" s="156"/>
      <c r="L3064" s="157"/>
      <c r="M3064" s="158" t="s">
        <v>28</v>
      </c>
      <c r="N3064" s="159" t="s">
        <v>29</v>
      </c>
    </row>
    <row r="3065" spans="1:14">
      <c r="A3065" s="148"/>
      <c r="B3065" s="149"/>
      <c r="C3065" s="160"/>
      <c r="D3065" s="151"/>
      <c r="E3065" s="152"/>
      <c r="F3065" s="153"/>
      <c r="G3065" s="154"/>
      <c r="H3065" s="154"/>
      <c r="I3065" s="154"/>
      <c r="J3065" s="155"/>
      <c r="K3065" s="156"/>
      <c r="L3065" s="157"/>
      <c r="M3065" s="158" t="s">
        <v>28</v>
      </c>
      <c r="N3065" s="159" t="s">
        <v>29</v>
      </c>
    </row>
    <row r="3066" spans="1:14">
      <c r="A3066" s="148"/>
      <c r="B3066" s="149"/>
      <c r="C3066" s="160"/>
      <c r="D3066" s="151"/>
      <c r="E3066" s="152"/>
      <c r="F3066" s="153"/>
      <c r="G3066" s="154"/>
      <c r="H3066" s="154"/>
      <c r="I3066" s="154"/>
      <c r="J3066" s="155"/>
      <c r="K3066" s="156"/>
      <c r="L3066" s="157"/>
      <c r="M3066" s="158" t="s">
        <v>28</v>
      </c>
      <c r="N3066" s="159" t="s">
        <v>29</v>
      </c>
    </row>
    <row r="3067" spans="1:14">
      <c r="A3067" s="148"/>
      <c r="B3067" s="149"/>
      <c r="C3067" s="160"/>
      <c r="D3067" s="151"/>
      <c r="E3067" s="152"/>
      <c r="F3067" s="153"/>
      <c r="G3067" s="154"/>
      <c r="H3067" s="154"/>
      <c r="I3067" s="154"/>
      <c r="J3067" s="155"/>
      <c r="K3067" s="156"/>
      <c r="L3067" s="157"/>
      <c r="M3067" s="158" t="s">
        <v>28</v>
      </c>
      <c r="N3067" s="159" t="s">
        <v>29</v>
      </c>
    </row>
    <row r="3068" spans="1:14">
      <c r="A3068" s="148"/>
      <c r="B3068" s="149"/>
      <c r="C3068" s="160"/>
      <c r="D3068" s="151"/>
      <c r="E3068" s="152"/>
      <c r="F3068" s="153"/>
      <c r="G3068" s="154"/>
      <c r="H3068" s="154"/>
      <c r="I3068" s="154"/>
      <c r="J3068" s="155"/>
      <c r="K3068" s="156"/>
      <c r="L3068" s="157"/>
      <c r="M3068" s="158" t="s">
        <v>28</v>
      </c>
      <c r="N3068" s="159" t="s">
        <v>29</v>
      </c>
    </row>
    <row r="3069" spans="1:14">
      <c r="A3069" s="148"/>
      <c r="B3069" s="149"/>
      <c r="C3069" s="160"/>
      <c r="D3069" s="151"/>
      <c r="E3069" s="152"/>
      <c r="F3069" s="153"/>
      <c r="G3069" s="154"/>
      <c r="H3069" s="154"/>
      <c r="I3069" s="154"/>
      <c r="J3069" s="155"/>
      <c r="K3069" s="156"/>
      <c r="L3069" s="157"/>
      <c r="M3069" s="158" t="s">
        <v>28</v>
      </c>
      <c r="N3069" s="159" t="s">
        <v>29</v>
      </c>
    </row>
    <row r="3070" spans="1:14">
      <c r="A3070" s="148"/>
      <c r="B3070" s="149"/>
      <c r="C3070" s="160"/>
      <c r="D3070" s="151"/>
      <c r="E3070" s="152"/>
      <c r="F3070" s="153"/>
      <c r="G3070" s="154"/>
      <c r="H3070" s="154"/>
      <c r="I3070" s="154"/>
      <c r="J3070" s="155"/>
      <c r="K3070" s="156"/>
      <c r="L3070" s="157"/>
      <c r="M3070" s="158" t="s">
        <v>28</v>
      </c>
      <c r="N3070" s="159" t="s">
        <v>29</v>
      </c>
    </row>
    <row r="3071" spans="1:14">
      <c r="A3071" s="148"/>
      <c r="B3071" s="149"/>
      <c r="C3071" s="160"/>
      <c r="D3071" s="151"/>
      <c r="E3071" s="152"/>
      <c r="F3071" s="153"/>
      <c r="G3071" s="154"/>
      <c r="H3071" s="154"/>
      <c r="I3071" s="154"/>
      <c r="J3071" s="155"/>
      <c r="K3071" s="156"/>
      <c r="L3071" s="157"/>
      <c r="M3071" s="158" t="s">
        <v>28</v>
      </c>
      <c r="N3071" s="159" t="s">
        <v>29</v>
      </c>
    </row>
    <row r="3072" spans="1:14">
      <c r="A3072" s="148"/>
      <c r="B3072" s="149"/>
      <c r="C3072" s="160"/>
      <c r="D3072" s="151"/>
      <c r="E3072" s="152"/>
      <c r="F3072" s="153"/>
      <c r="G3072" s="154"/>
      <c r="H3072" s="154"/>
      <c r="I3072" s="154"/>
      <c r="J3072" s="155"/>
      <c r="K3072" s="156"/>
      <c r="L3072" s="157"/>
      <c r="M3072" s="158" t="s">
        <v>28</v>
      </c>
      <c r="N3072" s="159" t="s">
        <v>29</v>
      </c>
    </row>
    <row r="3073" spans="1:14">
      <c r="A3073" s="148"/>
      <c r="B3073" s="149"/>
      <c r="C3073" s="160"/>
      <c r="D3073" s="151"/>
      <c r="E3073" s="152"/>
      <c r="F3073" s="153"/>
      <c r="G3073" s="154"/>
      <c r="H3073" s="154"/>
      <c r="I3073" s="154"/>
      <c r="J3073" s="155"/>
      <c r="K3073" s="156"/>
      <c r="L3073" s="157"/>
      <c r="M3073" s="158" t="s">
        <v>28</v>
      </c>
      <c r="N3073" s="159" t="s">
        <v>29</v>
      </c>
    </row>
    <row r="3074" spans="1:14">
      <c r="A3074" s="148"/>
      <c r="B3074" s="149"/>
      <c r="C3074" s="150"/>
      <c r="D3074" s="151"/>
      <c r="E3074" s="152"/>
      <c r="F3074" s="153"/>
      <c r="G3074" s="154"/>
      <c r="H3074" s="154"/>
      <c r="I3074" s="154"/>
      <c r="J3074" s="155"/>
      <c r="K3074" s="156"/>
      <c r="L3074" s="157"/>
      <c r="M3074" s="158" t="s">
        <v>28</v>
      </c>
      <c r="N3074" s="159" t="s">
        <v>29</v>
      </c>
    </row>
    <row r="3075" spans="1:14">
      <c r="A3075" s="148"/>
      <c r="B3075" s="149"/>
      <c r="C3075" s="150"/>
      <c r="D3075" s="151"/>
      <c r="E3075" s="152"/>
      <c r="F3075" s="153"/>
      <c r="G3075" s="154"/>
      <c r="H3075" s="154"/>
      <c r="I3075" s="154"/>
      <c r="J3075" s="155"/>
      <c r="K3075" s="156"/>
      <c r="L3075" s="157"/>
      <c r="M3075" s="158" t="s">
        <v>28</v>
      </c>
      <c r="N3075" s="159" t="s">
        <v>29</v>
      </c>
    </row>
    <row r="3076" spans="1:14">
      <c r="A3076" s="148"/>
      <c r="B3076" s="149"/>
      <c r="C3076" s="150"/>
      <c r="D3076" s="151"/>
      <c r="E3076" s="152"/>
      <c r="F3076" s="153"/>
      <c r="G3076" s="154"/>
      <c r="H3076" s="154"/>
      <c r="I3076" s="154"/>
      <c r="J3076" s="155"/>
      <c r="K3076" s="156"/>
      <c r="L3076" s="157"/>
      <c r="M3076" s="158" t="s">
        <v>28</v>
      </c>
      <c r="N3076" s="159" t="s">
        <v>29</v>
      </c>
    </row>
    <row r="3077" spans="1:14">
      <c r="A3077" s="148"/>
      <c r="B3077" s="149"/>
      <c r="C3077" s="150"/>
      <c r="D3077" s="151"/>
      <c r="E3077" s="152"/>
      <c r="F3077" s="153"/>
      <c r="G3077" s="154"/>
      <c r="H3077" s="154"/>
      <c r="I3077" s="154"/>
      <c r="J3077" s="155"/>
      <c r="K3077" s="156"/>
      <c r="L3077" s="157"/>
      <c r="M3077" s="158" t="s">
        <v>28</v>
      </c>
      <c r="N3077" s="159" t="s">
        <v>29</v>
      </c>
    </row>
    <row r="3078" spans="1:14">
      <c r="A3078" s="148"/>
      <c r="B3078" s="149"/>
      <c r="C3078" s="150"/>
      <c r="D3078" s="151"/>
      <c r="E3078" s="152"/>
      <c r="F3078" s="153"/>
      <c r="G3078" s="154"/>
      <c r="H3078" s="154"/>
      <c r="I3078" s="154"/>
      <c r="J3078" s="155"/>
      <c r="K3078" s="156"/>
      <c r="L3078" s="157"/>
      <c r="M3078" s="158" t="s">
        <v>28</v>
      </c>
      <c r="N3078" s="159" t="s">
        <v>29</v>
      </c>
    </row>
    <row r="3079" spans="1:14">
      <c r="A3079" s="148"/>
      <c r="B3079" s="149"/>
      <c r="C3079" s="150"/>
      <c r="D3079" s="151"/>
      <c r="E3079" s="152"/>
      <c r="F3079" s="153"/>
      <c r="G3079" s="154"/>
      <c r="H3079" s="154"/>
      <c r="I3079" s="154"/>
      <c r="J3079" s="155"/>
      <c r="K3079" s="156"/>
      <c r="L3079" s="157"/>
      <c r="M3079" s="158" t="s">
        <v>28</v>
      </c>
      <c r="N3079" s="159" t="s">
        <v>29</v>
      </c>
    </row>
    <row r="3080" spans="1:14">
      <c r="A3080" s="148"/>
      <c r="B3080" s="149"/>
      <c r="C3080" s="160"/>
      <c r="D3080" s="151"/>
      <c r="E3080" s="152"/>
      <c r="F3080" s="153"/>
      <c r="G3080" s="154"/>
      <c r="H3080" s="154"/>
      <c r="I3080" s="154"/>
      <c r="J3080" s="155"/>
      <c r="K3080" s="156"/>
      <c r="L3080" s="157"/>
      <c r="M3080" s="158" t="s">
        <v>28</v>
      </c>
      <c r="N3080" s="159" t="s">
        <v>29</v>
      </c>
    </row>
    <row r="3081" spans="1:14">
      <c r="A3081" s="148"/>
      <c r="B3081" s="149"/>
      <c r="C3081" s="160"/>
      <c r="D3081" s="151"/>
      <c r="E3081" s="152"/>
      <c r="F3081" s="153"/>
      <c r="G3081" s="154"/>
      <c r="H3081" s="154"/>
      <c r="I3081" s="154"/>
      <c r="J3081" s="155"/>
      <c r="K3081" s="156"/>
      <c r="L3081" s="157"/>
      <c r="M3081" s="158" t="s">
        <v>28</v>
      </c>
      <c r="N3081" s="159" t="s">
        <v>29</v>
      </c>
    </row>
    <row r="3082" spans="1:14">
      <c r="A3082" s="148"/>
      <c r="B3082" s="149"/>
      <c r="C3082" s="160"/>
      <c r="D3082" s="151"/>
      <c r="E3082" s="152"/>
      <c r="F3082" s="153"/>
      <c r="G3082" s="154"/>
      <c r="H3082" s="154"/>
      <c r="I3082" s="154"/>
      <c r="J3082" s="155"/>
      <c r="K3082" s="156"/>
      <c r="L3082" s="157"/>
      <c r="M3082" s="158" t="s">
        <v>28</v>
      </c>
      <c r="N3082" s="159" t="s">
        <v>29</v>
      </c>
    </row>
    <row r="3083" spans="1:14">
      <c r="A3083" s="148"/>
      <c r="B3083" s="149"/>
      <c r="C3083" s="160"/>
      <c r="D3083" s="151"/>
      <c r="E3083" s="152"/>
      <c r="F3083" s="153"/>
      <c r="G3083" s="154"/>
      <c r="H3083" s="154"/>
      <c r="I3083" s="154"/>
      <c r="J3083" s="155"/>
      <c r="K3083" s="156"/>
      <c r="L3083" s="157"/>
      <c r="M3083" s="158" t="s">
        <v>28</v>
      </c>
      <c r="N3083" s="159" t="s">
        <v>29</v>
      </c>
    </row>
    <row r="3084" spans="1:14">
      <c r="A3084" s="148"/>
      <c r="B3084" s="149"/>
      <c r="C3084" s="160"/>
      <c r="D3084" s="151"/>
      <c r="E3084" s="152"/>
      <c r="F3084" s="153"/>
      <c r="G3084" s="154"/>
      <c r="H3084" s="154"/>
      <c r="I3084" s="154"/>
      <c r="J3084" s="155"/>
      <c r="K3084" s="156"/>
      <c r="L3084" s="157"/>
      <c r="M3084" s="158" t="s">
        <v>28</v>
      </c>
      <c r="N3084" s="159" t="s">
        <v>29</v>
      </c>
    </row>
    <row r="3085" spans="1:14">
      <c r="A3085" s="148"/>
      <c r="B3085" s="149"/>
      <c r="C3085" s="160"/>
      <c r="D3085" s="151"/>
      <c r="E3085" s="152"/>
      <c r="F3085" s="153"/>
      <c r="G3085" s="154"/>
      <c r="H3085" s="154"/>
      <c r="I3085" s="154"/>
      <c r="J3085" s="155"/>
      <c r="K3085" s="156"/>
      <c r="L3085" s="157"/>
      <c r="M3085" s="158" t="s">
        <v>28</v>
      </c>
      <c r="N3085" s="159" t="s">
        <v>29</v>
      </c>
    </row>
    <row r="3086" spans="1:14">
      <c r="A3086" s="148"/>
      <c r="B3086" s="149"/>
      <c r="C3086" s="160"/>
      <c r="D3086" s="151"/>
      <c r="E3086" s="152"/>
      <c r="F3086" s="153"/>
      <c r="G3086" s="154"/>
      <c r="H3086" s="154"/>
      <c r="I3086" s="154"/>
      <c r="J3086" s="155"/>
      <c r="K3086" s="156"/>
      <c r="L3086" s="157"/>
      <c r="M3086" s="158" t="s">
        <v>28</v>
      </c>
      <c r="N3086" s="159" t="s">
        <v>29</v>
      </c>
    </row>
    <row r="3087" spans="1:14">
      <c r="A3087" s="148"/>
      <c r="B3087" s="149"/>
      <c r="C3087" s="160"/>
      <c r="D3087" s="151"/>
      <c r="E3087" s="152"/>
      <c r="F3087" s="153"/>
      <c r="G3087" s="154"/>
      <c r="H3087" s="154"/>
      <c r="I3087" s="154"/>
      <c r="J3087" s="155"/>
      <c r="K3087" s="156"/>
      <c r="L3087" s="157"/>
      <c r="M3087" s="158" t="s">
        <v>28</v>
      </c>
      <c r="N3087" s="159" t="s">
        <v>29</v>
      </c>
    </row>
    <row r="3088" spans="1:14">
      <c r="A3088" s="148"/>
      <c r="B3088" s="149"/>
      <c r="C3088" s="160"/>
      <c r="D3088" s="151"/>
      <c r="E3088" s="152"/>
      <c r="F3088" s="153"/>
      <c r="G3088" s="154"/>
      <c r="H3088" s="154"/>
      <c r="I3088" s="154"/>
      <c r="J3088" s="155"/>
      <c r="K3088" s="156"/>
      <c r="L3088" s="157"/>
      <c r="M3088" s="158" t="s">
        <v>28</v>
      </c>
      <c r="N3088" s="159" t="s">
        <v>29</v>
      </c>
    </row>
    <row r="3089" spans="1:14">
      <c r="A3089" s="148"/>
      <c r="B3089" s="149"/>
      <c r="C3089" s="160"/>
      <c r="D3089" s="151"/>
      <c r="E3089" s="152"/>
      <c r="F3089" s="153"/>
      <c r="G3089" s="154"/>
      <c r="H3089" s="154"/>
      <c r="I3089" s="154"/>
      <c r="J3089" s="155"/>
      <c r="K3089" s="156"/>
      <c r="L3089" s="157"/>
      <c r="M3089" s="158" t="s">
        <v>28</v>
      </c>
      <c r="N3089" s="159" t="s">
        <v>29</v>
      </c>
    </row>
    <row r="3090" spans="1:14">
      <c r="A3090" s="148"/>
      <c r="B3090" s="149"/>
      <c r="C3090" s="160"/>
      <c r="D3090" s="151"/>
      <c r="E3090" s="152"/>
      <c r="F3090" s="153"/>
      <c r="G3090" s="154"/>
      <c r="H3090" s="154"/>
      <c r="I3090" s="154"/>
      <c r="J3090" s="155"/>
      <c r="K3090" s="156"/>
      <c r="L3090" s="157"/>
      <c r="M3090" s="158" t="s">
        <v>28</v>
      </c>
      <c r="N3090" s="159" t="s">
        <v>29</v>
      </c>
    </row>
    <row r="3091" spans="1:14">
      <c r="A3091" s="148"/>
      <c r="B3091" s="149"/>
      <c r="C3091" s="160"/>
      <c r="D3091" s="151"/>
      <c r="E3091" s="152"/>
      <c r="F3091" s="153"/>
      <c r="G3091" s="154"/>
      <c r="H3091" s="154"/>
      <c r="I3091" s="154"/>
      <c r="J3091" s="155"/>
      <c r="K3091" s="156"/>
      <c r="L3091" s="157"/>
      <c r="M3091" s="158" t="s">
        <v>28</v>
      </c>
      <c r="N3091" s="159" t="s">
        <v>29</v>
      </c>
    </row>
    <row r="3092" spans="1:14">
      <c r="A3092" s="148"/>
      <c r="B3092" s="149"/>
      <c r="C3092" s="160"/>
      <c r="D3092" s="151"/>
      <c r="E3092" s="152"/>
      <c r="F3092" s="153"/>
      <c r="G3092" s="154"/>
      <c r="H3092" s="154"/>
      <c r="I3092" s="154"/>
      <c r="J3092" s="155"/>
      <c r="K3092" s="156"/>
      <c r="L3092" s="157"/>
      <c r="M3092" s="158" t="s">
        <v>28</v>
      </c>
      <c r="N3092" s="159" t="s">
        <v>29</v>
      </c>
    </row>
    <row r="3093" spans="1:14">
      <c r="A3093" s="148"/>
      <c r="B3093" s="149"/>
      <c r="C3093" s="160"/>
      <c r="D3093" s="151"/>
      <c r="E3093" s="152"/>
      <c r="F3093" s="153"/>
      <c r="G3093" s="154"/>
      <c r="H3093" s="154"/>
      <c r="I3093" s="154"/>
      <c r="J3093" s="155"/>
      <c r="K3093" s="156"/>
      <c r="L3093" s="157"/>
      <c r="M3093" s="158" t="s">
        <v>28</v>
      </c>
      <c r="N3093" s="159" t="s">
        <v>29</v>
      </c>
    </row>
    <row r="3094" spans="1:14">
      <c r="A3094" s="148"/>
      <c r="B3094" s="149"/>
      <c r="C3094" s="160"/>
      <c r="D3094" s="151"/>
      <c r="E3094" s="152"/>
      <c r="F3094" s="153"/>
      <c r="G3094" s="154"/>
      <c r="H3094" s="154"/>
      <c r="I3094" s="154"/>
      <c r="J3094" s="155"/>
      <c r="K3094" s="156"/>
      <c r="L3094" s="157"/>
      <c r="M3094" s="158" t="s">
        <v>28</v>
      </c>
      <c r="N3094" s="159" t="s">
        <v>29</v>
      </c>
    </row>
    <row r="3095" spans="1:14">
      <c r="A3095" s="148"/>
      <c r="B3095" s="149"/>
      <c r="C3095" s="160"/>
      <c r="D3095" s="151"/>
      <c r="E3095" s="152"/>
      <c r="F3095" s="153"/>
      <c r="G3095" s="154"/>
      <c r="H3095" s="154"/>
      <c r="I3095" s="154"/>
      <c r="J3095" s="155"/>
      <c r="K3095" s="156"/>
      <c r="L3095" s="157"/>
      <c r="M3095" s="158" t="s">
        <v>28</v>
      </c>
      <c r="N3095" s="159" t="s">
        <v>29</v>
      </c>
    </row>
    <row r="3096" spans="1:14">
      <c r="A3096" s="148"/>
      <c r="B3096" s="149"/>
      <c r="C3096" s="160"/>
      <c r="D3096" s="151"/>
      <c r="E3096" s="152"/>
      <c r="F3096" s="153"/>
      <c r="G3096" s="154"/>
      <c r="H3096" s="154"/>
      <c r="I3096" s="154"/>
      <c r="J3096" s="155"/>
      <c r="K3096" s="156"/>
      <c r="L3096" s="157"/>
      <c r="M3096" s="158" t="s">
        <v>28</v>
      </c>
      <c r="N3096" s="159" t="s">
        <v>29</v>
      </c>
    </row>
    <row r="3097" spans="1:14">
      <c r="A3097" s="148"/>
      <c r="B3097" s="149"/>
      <c r="C3097" s="160"/>
      <c r="D3097" s="151"/>
      <c r="E3097" s="152"/>
      <c r="F3097" s="153"/>
      <c r="G3097" s="154"/>
      <c r="H3097" s="154"/>
      <c r="I3097" s="154"/>
      <c r="J3097" s="155"/>
      <c r="K3097" s="156"/>
      <c r="L3097" s="157"/>
      <c r="M3097" s="158" t="s">
        <v>28</v>
      </c>
      <c r="N3097" s="159" t="s">
        <v>29</v>
      </c>
    </row>
    <row r="3098" spans="1:14">
      <c r="A3098" s="148"/>
      <c r="B3098" s="149"/>
      <c r="C3098" s="160"/>
      <c r="D3098" s="151"/>
      <c r="E3098" s="152"/>
      <c r="F3098" s="153"/>
      <c r="G3098" s="154"/>
      <c r="H3098" s="154"/>
      <c r="I3098" s="154"/>
      <c r="J3098" s="155"/>
      <c r="K3098" s="156"/>
      <c r="L3098" s="157"/>
      <c r="M3098" s="158" t="s">
        <v>28</v>
      </c>
      <c r="N3098" s="159" t="s">
        <v>29</v>
      </c>
    </row>
    <row r="3099" spans="1:14">
      <c r="A3099" s="148"/>
      <c r="B3099" s="149"/>
      <c r="C3099" s="160"/>
      <c r="D3099" s="151"/>
      <c r="E3099" s="152"/>
      <c r="F3099" s="153"/>
      <c r="G3099" s="154"/>
      <c r="H3099" s="154"/>
      <c r="I3099" s="154"/>
      <c r="J3099" s="155"/>
      <c r="K3099" s="156"/>
      <c r="L3099" s="157"/>
      <c r="M3099" s="158" t="s">
        <v>28</v>
      </c>
      <c r="N3099" s="159" t="s">
        <v>29</v>
      </c>
    </row>
    <row r="3100" spans="1:14">
      <c r="A3100" s="148"/>
      <c r="B3100" s="149"/>
      <c r="C3100" s="160"/>
      <c r="D3100" s="151"/>
      <c r="E3100" s="152"/>
      <c r="F3100" s="153"/>
      <c r="G3100" s="154"/>
      <c r="H3100" s="154"/>
      <c r="I3100" s="154"/>
      <c r="J3100" s="155"/>
      <c r="K3100" s="156"/>
      <c r="L3100" s="157"/>
      <c r="M3100" s="158" t="s">
        <v>28</v>
      </c>
      <c r="N3100" s="159" t="s">
        <v>29</v>
      </c>
    </row>
    <row r="3101" spans="1:14">
      <c r="A3101" s="148"/>
      <c r="B3101" s="149"/>
      <c r="C3101" s="160"/>
      <c r="D3101" s="151"/>
      <c r="E3101" s="152"/>
      <c r="F3101" s="153"/>
      <c r="G3101" s="154"/>
      <c r="H3101" s="154"/>
      <c r="I3101" s="154"/>
      <c r="J3101" s="155"/>
      <c r="K3101" s="156"/>
      <c r="L3101" s="157"/>
      <c r="M3101" s="158" t="s">
        <v>28</v>
      </c>
      <c r="N3101" s="159" t="s">
        <v>29</v>
      </c>
    </row>
    <row r="3102" spans="1:14">
      <c r="A3102" s="148"/>
      <c r="B3102" s="149"/>
      <c r="C3102" s="160"/>
      <c r="D3102" s="151"/>
      <c r="E3102" s="152"/>
      <c r="F3102" s="153"/>
      <c r="G3102" s="154"/>
      <c r="H3102" s="154"/>
      <c r="I3102" s="154"/>
      <c r="J3102" s="155"/>
      <c r="K3102" s="156"/>
      <c r="L3102" s="157"/>
      <c r="M3102" s="158" t="s">
        <v>28</v>
      </c>
      <c r="N3102" s="159" t="s">
        <v>29</v>
      </c>
    </row>
    <row r="3103" spans="1:14">
      <c r="A3103" s="148"/>
      <c r="B3103" s="149"/>
      <c r="C3103" s="160"/>
      <c r="D3103" s="151"/>
      <c r="E3103" s="152"/>
      <c r="F3103" s="153"/>
      <c r="G3103" s="154"/>
      <c r="H3103" s="154"/>
      <c r="I3103" s="154"/>
      <c r="J3103" s="155"/>
      <c r="K3103" s="156"/>
      <c r="L3103" s="157"/>
      <c r="M3103" s="158" t="s">
        <v>28</v>
      </c>
      <c r="N3103" s="159" t="s">
        <v>29</v>
      </c>
    </row>
    <row r="3104" spans="1:14">
      <c r="A3104" s="148"/>
      <c r="B3104" s="149"/>
      <c r="C3104" s="160"/>
      <c r="D3104" s="151"/>
      <c r="E3104" s="152"/>
      <c r="F3104" s="153"/>
      <c r="G3104" s="154"/>
      <c r="H3104" s="154"/>
      <c r="I3104" s="154"/>
      <c r="J3104" s="155"/>
      <c r="K3104" s="156"/>
      <c r="L3104" s="157"/>
      <c r="M3104" s="158" t="s">
        <v>28</v>
      </c>
      <c r="N3104" s="159" t="s">
        <v>29</v>
      </c>
    </row>
    <row r="3105" spans="1:14">
      <c r="A3105" s="148"/>
      <c r="B3105" s="149"/>
      <c r="C3105" s="160"/>
      <c r="D3105" s="151"/>
      <c r="E3105" s="152"/>
      <c r="F3105" s="153"/>
      <c r="G3105" s="154"/>
      <c r="H3105" s="154"/>
      <c r="I3105" s="154"/>
      <c r="J3105" s="155"/>
      <c r="K3105" s="156"/>
      <c r="L3105" s="157"/>
      <c r="M3105" s="158" t="s">
        <v>28</v>
      </c>
      <c r="N3105" s="159" t="s">
        <v>29</v>
      </c>
    </row>
    <row r="3106" spans="1:14">
      <c r="A3106" s="148"/>
      <c r="B3106" s="149"/>
      <c r="C3106" s="160"/>
      <c r="D3106" s="151"/>
      <c r="E3106" s="152"/>
      <c r="F3106" s="153"/>
      <c r="G3106" s="154"/>
      <c r="H3106" s="154"/>
      <c r="I3106" s="154"/>
      <c r="J3106" s="155"/>
      <c r="K3106" s="156"/>
      <c r="L3106" s="157"/>
      <c r="M3106" s="158" t="s">
        <v>28</v>
      </c>
      <c r="N3106" s="159" t="s">
        <v>29</v>
      </c>
    </row>
    <row r="3107" spans="1:14">
      <c r="A3107" s="148"/>
      <c r="B3107" s="149"/>
      <c r="C3107" s="160"/>
      <c r="D3107" s="151"/>
      <c r="E3107" s="152"/>
      <c r="F3107" s="153"/>
      <c r="G3107" s="154"/>
      <c r="H3107" s="154"/>
      <c r="I3107" s="154"/>
      <c r="J3107" s="155"/>
      <c r="K3107" s="156"/>
      <c r="L3107" s="157"/>
      <c r="M3107" s="158" t="s">
        <v>28</v>
      </c>
      <c r="N3107" s="159" t="s">
        <v>29</v>
      </c>
    </row>
    <row r="3108" spans="1:14">
      <c r="A3108" s="148"/>
      <c r="B3108" s="149"/>
      <c r="C3108" s="160"/>
      <c r="D3108" s="151"/>
      <c r="E3108" s="152"/>
      <c r="F3108" s="153"/>
      <c r="G3108" s="154"/>
      <c r="H3108" s="154"/>
      <c r="I3108" s="154"/>
      <c r="J3108" s="155"/>
      <c r="K3108" s="156"/>
      <c r="L3108" s="157"/>
      <c r="M3108" s="158" t="s">
        <v>28</v>
      </c>
      <c r="N3108" s="159" t="s">
        <v>29</v>
      </c>
    </row>
    <row r="3109" spans="1:14">
      <c r="A3109" s="148"/>
      <c r="B3109" s="149"/>
      <c r="C3109" s="160"/>
      <c r="D3109" s="151"/>
      <c r="E3109" s="152"/>
      <c r="F3109" s="153"/>
      <c r="G3109" s="154"/>
      <c r="H3109" s="154"/>
      <c r="I3109" s="154"/>
      <c r="J3109" s="155"/>
      <c r="K3109" s="156"/>
      <c r="L3109" s="157"/>
      <c r="M3109" s="158" t="s">
        <v>28</v>
      </c>
      <c r="N3109" s="159" t="s">
        <v>29</v>
      </c>
    </row>
    <row r="3110" spans="1:14">
      <c r="A3110" s="148"/>
      <c r="B3110" s="149"/>
      <c r="C3110" s="160"/>
      <c r="D3110" s="151"/>
      <c r="E3110" s="152"/>
      <c r="F3110" s="153"/>
      <c r="G3110" s="154"/>
      <c r="H3110" s="154"/>
      <c r="I3110" s="154"/>
      <c r="J3110" s="155"/>
      <c r="K3110" s="156"/>
      <c r="L3110" s="157"/>
      <c r="M3110" s="158" t="s">
        <v>28</v>
      </c>
      <c r="N3110" s="159" t="s">
        <v>29</v>
      </c>
    </row>
    <row r="3111" spans="1:14">
      <c r="A3111" s="148"/>
      <c r="B3111" s="149"/>
      <c r="C3111" s="160"/>
      <c r="D3111" s="151"/>
      <c r="E3111" s="152"/>
      <c r="F3111" s="153"/>
      <c r="G3111" s="154"/>
      <c r="H3111" s="154"/>
      <c r="I3111" s="154"/>
      <c r="J3111" s="155"/>
      <c r="K3111" s="156"/>
      <c r="L3111" s="157"/>
      <c r="M3111" s="158" t="s">
        <v>28</v>
      </c>
      <c r="N3111" s="159" t="s">
        <v>29</v>
      </c>
    </row>
    <row r="3112" spans="1:14">
      <c r="A3112" s="148"/>
      <c r="B3112" s="149"/>
      <c r="C3112" s="160"/>
      <c r="D3112" s="151"/>
      <c r="E3112" s="152"/>
      <c r="F3112" s="153"/>
      <c r="G3112" s="154"/>
      <c r="H3112" s="154"/>
      <c r="I3112" s="154"/>
      <c r="J3112" s="155"/>
      <c r="K3112" s="156"/>
      <c r="L3112" s="157"/>
      <c r="M3112" s="158" t="s">
        <v>28</v>
      </c>
      <c r="N3112" s="159" t="s">
        <v>29</v>
      </c>
    </row>
    <row r="3113" spans="1:14">
      <c r="A3113" s="148"/>
      <c r="B3113" s="149"/>
      <c r="C3113" s="160"/>
      <c r="D3113" s="151"/>
      <c r="E3113" s="152"/>
      <c r="F3113" s="153"/>
      <c r="G3113" s="154"/>
      <c r="H3113" s="154"/>
      <c r="I3113" s="154"/>
      <c r="J3113" s="155"/>
      <c r="K3113" s="156"/>
      <c r="L3113" s="157"/>
      <c r="M3113" s="158" t="s">
        <v>28</v>
      </c>
      <c r="N3113" s="159" t="s">
        <v>29</v>
      </c>
    </row>
    <row r="3114" spans="1:14">
      <c r="A3114" s="148"/>
      <c r="B3114" s="149"/>
      <c r="C3114" s="160"/>
      <c r="D3114" s="151"/>
      <c r="E3114" s="152"/>
      <c r="F3114" s="153"/>
      <c r="G3114" s="154"/>
      <c r="H3114" s="154"/>
      <c r="I3114" s="154"/>
      <c r="J3114" s="155"/>
      <c r="K3114" s="156"/>
      <c r="L3114" s="157"/>
      <c r="M3114" s="158" t="s">
        <v>28</v>
      </c>
      <c r="N3114" s="159" t="s">
        <v>29</v>
      </c>
    </row>
    <row r="3115" spans="1:14">
      <c r="A3115" s="148"/>
      <c r="B3115" s="149"/>
      <c r="C3115" s="160"/>
      <c r="D3115" s="151"/>
      <c r="E3115" s="152"/>
      <c r="F3115" s="153"/>
      <c r="G3115" s="154"/>
      <c r="H3115" s="154"/>
      <c r="I3115" s="154"/>
      <c r="J3115" s="155"/>
      <c r="K3115" s="156"/>
      <c r="L3115" s="157"/>
      <c r="M3115" s="158" t="s">
        <v>28</v>
      </c>
      <c r="N3115" s="159" t="s">
        <v>29</v>
      </c>
    </row>
    <row r="3116" spans="1:14">
      <c r="A3116" s="148"/>
      <c r="B3116" s="149"/>
      <c r="C3116" s="160"/>
      <c r="D3116" s="151"/>
      <c r="E3116" s="152"/>
      <c r="F3116" s="153"/>
      <c r="G3116" s="154"/>
      <c r="H3116" s="154"/>
      <c r="I3116" s="154"/>
      <c r="J3116" s="155"/>
      <c r="K3116" s="156"/>
      <c r="L3116" s="157"/>
      <c r="M3116" s="158" t="s">
        <v>28</v>
      </c>
      <c r="N3116" s="159" t="s">
        <v>29</v>
      </c>
    </row>
    <row r="3117" spans="1:14">
      <c r="A3117" s="148"/>
      <c r="B3117" s="149"/>
      <c r="C3117" s="150"/>
      <c r="D3117" s="151"/>
      <c r="E3117" s="152"/>
      <c r="F3117" s="153"/>
      <c r="G3117" s="154"/>
      <c r="H3117" s="154"/>
      <c r="I3117" s="154"/>
      <c r="J3117" s="155"/>
      <c r="K3117" s="156"/>
      <c r="L3117" s="157"/>
      <c r="M3117" s="158" t="s">
        <v>28</v>
      </c>
      <c r="N3117" s="159" t="s">
        <v>29</v>
      </c>
    </row>
    <row r="3118" spans="1:14">
      <c r="A3118" s="148"/>
      <c r="B3118" s="149"/>
      <c r="C3118" s="150"/>
      <c r="D3118" s="151"/>
      <c r="E3118" s="152"/>
      <c r="F3118" s="153"/>
      <c r="G3118" s="154"/>
      <c r="H3118" s="154"/>
      <c r="I3118" s="154"/>
      <c r="J3118" s="155"/>
      <c r="K3118" s="156"/>
      <c r="L3118" s="157"/>
      <c r="M3118" s="158" t="s">
        <v>28</v>
      </c>
      <c r="N3118" s="159" t="s">
        <v>29</v>
      </c>
    </row>
    <row r="3119" spans="1:14">
      <c r="A3119" s="148"/>
      <c r="B3119" s="149"/>
      <c r="C3119" s="150"/>
      <c r="D3119" s="151"/>
      <c r="E3119" s="152"/>
      <c r="F3119" s="153"/>
      <c r="G3119" s="154"/>
      <c r="H3119" s="154"/>
      <c r="I3119" s="154"/>
      <c r="J3119" s="155"/>
      <c r="K3119" s="156"/>
      <c r="L3119" s="157"/>
      <c r="M3119" s="158" t="s">
        <v>28</v>
      </c>
      <c r="N3119" s="159" t="s">
        <v>29</v>
      </c>
    </row>
    <row r="3120" spans="1:14">
      <c r="A3120" s="148"/>
      <c r="B3120" s="149"/>
      <c r="C3120" s="160"/>
      <c r="D3120" s="151"/>
      <c r="E3120" s="152"/>
      <c r="F3120" s="153"/>
      <c r="G3120" s="154"/>
      <c r="H3120" s="154"/>
      <c r="I3120" s="154"/>
      <c r="J3120" s="155"/>
      <c r="K3120" s="156"/>
      <c r="L3120" s="157"/>
      <c r="M3120" s="158" t="s">
        <v>28</v>
      </c>
      <c r="N3120" s="159" t="s">
        <v>29</v>
      </c>
    </row>
    <row r="3121" spans="1:14">
      <c r="A3121" s="148"/>
      <c r="B3121" s="149"/>
      <c r="C3121" s="160"/>
      <c r="D3121" s="151"/>
      <c r="E3121" s="152"/>
      <c r="F3121" s="153"/>
      <c r="G3121" s="154"/>
      <c r="H3121" s="154"/>
      <c r="I3121" s="154"/>
      <c r="J3121" s="155"/>
      <c r="K3121" s="156"/>
      <c r="L3121" s="157"/>
      <c r="M3121" s="158" t="s">
        <v>28</v>
      </c>
      <c r="N3121" s="159" t="s">
        <v>29</v>
      </c>
    </row>
    <row r="3122" spans="1:14">
      <c r="A3122" s="148"/>
      <c r="B3122" s="149"/>
      <c r="C3122" s="160"/>
      <c r="D3122" s="151"/>
      <c r="E3122" s="152"/>
      <c r="F3122" s="153"/>
      <c r="G3122" s="154"/>
      <c r="H3122" s="154"/>
      <c r="I3122" s="154"/>
      <c r="J3122" s="155"/>
      <c r="K3122" s="156"/>
      <c r="L3122" s="157"/>
      <c r="M3122" s="158" t="s">
        <v>28</v>
      </c>
      <c r="N3122" s="159" t="s">
        <v>29</v>
      </c>
    </row>
    <row r="3123" spans="1:14">
      <c r="A3123" s="148"/>
      <c r="B3123" s="149"/>
      <c r="C3123" s="160"/>
      <c r="D3123" s="151"/>
      <c r="E3123" s="152"/>
      <c r="F3123" s="153"/>
      <c r="G3123" s="154"/>
      <c r="H3123" s="154"/>
      <c r="I3123" s="154"/>
      <c r="J3123" s="155"/>
      <c r="K3123" s="156"/>
      <c r="L3123" s="157"/>
      <c r="M3123" s="158" t="s">
        <v>28</v>
      </c>
      <c r="N3123" s="159" t="s">
        <v>29</v>
      </c>
    </row>
    <row r="3124" spans="1:14">
      <c r="A3124" s="148"/>
      <c r="B3124" s="149"/>
      <c r="C3124" s="160"/>
      <c r="D3124" s="151"/>
      <c r="E3124" s="152"/>
      <c r="F3124" s="153"/>
      <c r="G3124" s="154"/>
      <c r="H3124" s="154"/>
      <c r="I3124" s="154"/>
      <c r="J3124" s="155"/>
      <c r="K3124" s="156"/>
      <c r="L3124" s="157"/>
      <c r="M3124" s="158" t="s">
        <v>28</v>
      </c>
      <c r="N3124" s="159" t="s">
        <v>29</v>
      </c>
    </row>
    <row r="3125" spans="1:14">
      <c r="A3125" s="148"/>
      <c r="B3125" s="149"/>
      <c r="C3125" s="160"/>
      <c r="D3125" s="151"/>
      <c r="E3125" s="152"/>
      <c r="F3125" s="153"/>
      <c r="G3125" s="154"/>
      <c r="H3125" s="154"/>
      <c r="I3125" s="154"/>
      <c r="J3125" s="155"/>
      <c r="K3125" s="156"/>
      <c r="L3125" s="157"/>
      <c r="M3125" s="158" t="s">
        <v>28</v>
      </c>
      <c r="N3125" s="159" t="s">
        <v>29</v>
      </c>
    </row>
    <row r="3126" spans="1:14">
      <c r="A3126" s="148"/>
      <c r="B3126" s="149"/>
      <c r="C3126" s="150"/>
      <c r="D3126" s="151"/>
      <c r="E3126" s="152"/>
      <c r="F3126" s="153"/>
      <c r="G3126" s="154"/>
      <c r="H3126" s="154"/>
      <c r="I3126" s="154"/>
      <c r="J3126" s="155"/>
      <c r="K3126" s="156"/>
      <c r="L3126" s="157"/>
      <c r="M3126" s="158" t="s">
        <v>28</v>
      </c>
      <c r="N3126" s="159" t="s">
        <v>29</v>
      </c>
    </row>
    <row r="3127" spans="1:14">
      <c r="A3127" s="148"/>
      <c r="B3127" s="149"/>
      <c r="C3127" s="150"/>
      <c r="D3127" s="151"/>
      <c r="E3127" s="152"/>
      <c r="F3127" s="153"/>
      <c r="G3127" s="154"/>
      <c r="H3127" s="154"/>
      <c r="I3127" s="154"/>
      <c r="J3127" s="155"/>
      <c r="K3127" s="156"/>
      <c r="L3127" s="157"/>
      <c r="M3127" s="158" t="s">
        <v>28</v>
      </c>
      <c r="N3127" s="159" t="s">
        <v>29</v>
      </c>
    </row>
    <row r="3128" spans="1:14">
      <c r="A3128" s="148"/>
      <c r="B3128" s="149"/>
      <c r="C3128" s="150"/>
      <c r="D3128" s="151"/>
      <c r="E3128" s="152"/>
      <c r="F3128" s="153"/>
      <c r="G3128" s="154"/>
      <c r="H3128" s="154"/>
      <c r="I3128" s="154"/>
      <c r="J3128" s="155"/>
      <c r="K3128" s="156"/>
      <c r="L3128" s="157"/>
      <c r="M3128" s="158" t="s">
        <v>28</v>
      </c>
      <c r="N3128" s="159" t="s">
        <v>29</v>
      </c>
    </row>
    <row r="3129" spans="1:14">
      <c r="A3129" s="148"/>
      <c r="B3129" s="149"/>
      <c r="C3129" s="150"/>
      <c r="D3129" s="151"/>
      <c r="E3129" s="152"/>
      <c r="F3129" s="153"/>
      <c r="G3129" s="154"/>
      <c r="H3129" s="154"/>
      <c r="I3129" s="154"/>
      <c r="J3129" s="155"/>
      <c r="K3129" s="156"/>
      <c r="L3129" s="157"/>
      <c r="M3129" s="158" t="s">
        <v>28</v>
      </c>
      <c r="N3129" s="159" t="s">
        <v>29</v>
      </c>
    </row>
    <row r="3130" spans="1:14">
      <c r="A3130" s="148"/>
      <c r="B3130" s="149"/>
      <c r="C3130" s="150"/>
      <c r="D3130" s="151"/>
      <c r="E3130" s="152"/>
      <c r="F3130" s="153"/>
      <c r="G3130" s="154"/>
      <c r="H3130" s="154"/>
      <c r="I3130" s="154"/>
      <c r="J3130" s="155"/>
      <c r="K3130" s="156"/>
      <c r="L3130" s="157"/>
      <c r="M3130" s="158" t="s">
        <v>28</v>
      </c>
      <c r="N3130" s="159" t="s">
        <v>29</v>
      </c>
    </row>
    <row r="3131" spans="1:14">
      <c r="A3131" s="148"/>
      <c r="B3131" s="149"/>
      <c r="C3131" s="150"/>
      <c r="D3131" s="151"/>
      <c r="E3131" s="152"/>
      <c r="F3131" s="153"/>
      <c r="G3131" s="154"/>
      <c r="H3131" s="154"/>
      <c r="I3131" s="154"/>
      <c r="J3131" s="155"/>
      <c r="K3131" s="156"/>
      <c r="L3131" s="157"/>
      <c r="M3131" s="158" t="s">
        <v>28</v>
      </c>
      <c r="N3131" s="159" t="s">
        <v>29</v>
      </c>
    </row>
    <row r="3132" spans="1:14">
      <c r="A3132" s="148"/>
      <c r="B3132" s="149"/>
      <c r="C3132" s="150"/>
      <c r="D3132" s="151"/>
      <c r="E3132" s="152"/>
      <c r="F3132" s="153"/>
      <c r="G3132" s="154"/>
      <c r="H3132" s="154"/>
      <c r="I3132" s="154"/>
      <c r="J3132" s="155"/>
      <c r="K3132" s="156"/>
      <c r="L3132" s="157"/>
      <c r="M3132" s="158" t="s">
        <v>28</v>
      </c>
      <c r="N3132" s="159" t="s">
        <v>29</v>
      </c>
    </row>
    <row r="3133" spans="1:14">
      <c r="A3133" s="148"/>
      <c r="B3133" s="149"/>
      <c r="C3133" s="150"/>
      <c r="D3133" s="151"/>
      <c r="E3133" s="152"/>
      <c r="F3133" s="153"/>
      <c r="G3133" s="154"/>
      <c r="H3133" s="154"/>
      <c r="I3133" s="154"/>
      <c r="J3133" s="155"/>
      <c r="K3133" s="156"/>
      <c r="L3133" s="157"/>
      <c r="M3133" s="158" t="s">
        <v>28</v>
      </c>
      <c r="N3133" s="159" t="s">
        <v>29</v>
      </c>
    </row>
    <row r="3134" spans="1:14">
      <c r="A3134" s="148"/>
      <c r="B3134" s="149"/>
      <c r="C3134" s="150"/>
      <c r="D3134" s="151"/>
      <c r="E3134" s="152"/>
      <c r="F3134" s="153"/>
      <c r="G3134" s="154"/>
      <c r="H3134" s="154"/>
      <c r="I3134" s="154"/>
      <c r="J3134" s="155"/>
      <c r="K3134" s="156"/>
      <c r="L3134" s="157"/>
      <c r="M3134" s="158" t="s">
        <v>28</v>
      </c>
      <c r="N3134" s="159" t="s">
        <v>29</v>
      </c>
    </row>
    <row r="3135" spans="1:14">
      <c r="A3135" s="148"/>
      <c r="B3135" s="149"/>
      <c r="C3135" s="150"/>
      <c r="D3135" s="151"/>
      <c r="E3135" s="152"/>
      <c r="F3135" s="153"/>
      <c r="G3135" s="154"/>
      <c r="H3135" s="154"/>
      <c r="I3135" s="154"/>
      <c r="J3135" s="155"/>
      <c r="K3135" s="156"/>
      <c r="L3135" s="157"/>
      <c r="M3135" s="158" t="s">
        <v>28</v>
      </c>
      <c r="N3135" s="159" t="s">
        <v>29</v>
      </c>
    </row>
    <row r="3136" spans="1:14">
      <c r="A3136" s="148"/>
      <c r="B3136" s="149"/>
      <c r="C3136" s="150"/>
      <c r="D3136" s="151"/>
      <c r="E3136" s="152"/>
      <c r="F3136" s="153"/>
      <c r="G3136" s="154"/>
      <c r="H3136" s="154"/>
      <c r="I3136" s="154"/>
      <c r="J3136" s="155"/>
      <c r="K3136" s="156"/>
      <c r="L3136" s="157"/>
      <c r="M3136" s="158" t="s">
        <v>28</v>
      </c>
      <c r="N3136" s="159" t="s">
        <v>29</v>
      </c>
    </row>
    <row r="3137" spans="1:14">
      <c r="A3137" s="148"/>
      <c r="B3137" s="149"/>
      <c r="C3137" s="150"/>
      <c r="D3137" s="151"/>
      <c r="E3137" s="152"/>
      <c r="F3137" s="153"/>
      <c r="G3137" s="154"/>
      <c r="H3137" s="154"/>
      <c r="I3137" s="154"/>
      <c r="J3137" s="155"/>
      <c r="K3137" s="156"/>
      <c r="L3137" s="157"/>
      <c r="M3137" s="158" t="s">
        <v>28</v>
      </c>
      <c r="N3137" s="159" t="s">
        <v>29</v>
      </c>
    </row>
    <row r="3138" spans="1:14">
      <c r="A3138" s="148"/>
      <c r="B3138" s="149"/>
      <c r="C3138" s="150"/>
      <c r="D3138" s="151"/>
      <c r="E3138" s="152"/>
      <c r="F3138" s="153"/>
      <c r="G3138" s="154"/>
      <c r="H3138" s="154"/>
      <c r="I3138" s="154"/>
      <c r="J3138" s="155"/>
      <c r="K3138" s="156"/>
      <c r="L3138" s="157"/>
      <c r="M3138" s="158" t="s">
        <v>28</v>
      </c>
      <c r="N3138" s="159" t="s">
        <v>29</v>
      </c>
    </row>
    <row r="3139" spans="1:14">
      <c r="A3139" s="148"/>
      <c r="B3139" s="149"/>
      <c r="C3139" s="150"/>
      <c r="D3139" s="151"/>
      <c r="E3139" s="152"/>
      <c r="F3139" s="153"/>
      <c r="G3139" s="154"/>
      <c r="H3139" s="154"/>
      <c r="I3139" s="154"/>
      <c r="J3139" s="155"/>
      <c r="K3139" s="156"/>
      <c r="L3139" s="157"/>
      <c r="M3139" s="158" t="s">
        <v>28</v>
      </c>
      <c r="N3139" s="159" t="s">
        <v>29</v>
      </c>
    </row>
    <row r="3140" spans="1:14">
      <c r="A3140" s="148"/>
      <c r="B3140" s="149"/>
      <c r="C3140" s="150"/>
      <c r="D3140" s="151"/>
      <c r="E3140" s="152"/>
      <c r="F3140" s="153"/>
      <c r="G3140" s="154"/>
      <c r="H3140" s="154"/>
      <c r="I3140" s="154"/>
      <c r="J3140" s="155"/>
      <c r="K3140" s="156"/>
      <c r="L3140" s="157"/>
      <c r="M3140" s="158" t="s">
        <v>28</v>
      </c>
      <c r="N3140" s="159" t="s">
        <v>29</v>
      </c>
    </row>
    <row r="3141" spans="1:14">
      <c r="A3141" s="148"/>
      <c r="B3141" s="149"/>
      <c r="C3141" s="150"/>
      <c r="D3141" s="151"/>
      <c r="E3141" s="152"/>
      <c r="F3141" s="153"/>
      <c r="G3141" s="154"/>
      <c r="H3141" s="154"/>
      <c r="I3141" s="154"/>
      <c r="J3141" s="155"/>
      <c r="K3141" s="156"/>
      <c r="L3141" s="157"/>
      <c r="M3141" s="158" t="s">
        <v>28</v>
      </c>
      <c r="N3141" s="159" t="s">
        <v>29</v>
      </c>
    </row>
    <row r="3142" spans="1:14">
      <c r="A3142" s="148"/>
      <c r="B3142" s="149"/>
      <c r="C3142" s="150"/>
      <c r="D3142" s="151"/>
      <c r="E3142" s="152"/>
      <c r="F3142" s="153"/>
      <c r="G3142" s="154"/>
      <c r="H3142" s="154"/>
      <c r="I3142" s="154"/>
      <c r="J3142" s="155"/>
      <c r="K3142" s="156"/>
      <c r="L3142" s="157"/>
      <c r="M3142" s="158" t="s">
        <v>28</v>
      </c>
      <c r="N3142" s="159" t="s">
        <v>29</v>
      </c>
    </row>
    <row r="3143" spans="1:14">
      <c r="A3143" s="148"/>
      <c r="B3143" s="149"/>
      <c r="C3143" s="150"/>
      <c r="D3143" s="151"/>
      <c r="E3143" s="152"/>
      <c r="F3143" s="153"/>
      <c r="G3143" s="154"/>
      <c r="H3143" s="154"/>
      <c r="I3143" s="154"/>
      <c r="J3143" s="155"/>
      <c r="K3143" s="156"/>
      <c r="L3143" s="157"/>
      <c r="M3143" s="158" t="s">
        <v>28</v>
      </c>
      <c r="N3143" s="159" t="s">
        <v>29</v>
      </c>
    </row>
    <row r="3144" spans="1:14">
      <c r="A3144" s="148"/>
      <c r="B3144" s="149"/>
      <c r="C3144" s="150"/>
      <c r="D3144" s="151"/>
      <c r="E3144" s="152"/>
      <c r="F3144" s="153"/>
      <c r="G3144" s="154"/>
      <c r="H3144" s="154"/>
      <c r="I3144" s="154"/>
      <c r="J3144" s="155"/>
      <c r="K3144" s="156"/>
      <c r="L3144" s="157"/>
      <c r="M3144" s="158" t="s">
        <v>28</v>
      </c>
      <c r="N3144" s="159" t="s">
        <v>29</v>
      </c>
    </row>
    <row r="3145" spans="1:14">
      <c r="A3145" s="148"/>
      <c r="B3145" s="149"/>
      <c r="C3145" s="150"/>
      <c r="D3145" s="151"/>
      <c r="E3145" s="152"/>
      <c r="F3145" s="153"/>
      <c r="G3145" s="154"/>
      <c r="H3145" s="154"/>
      <c r="I3145" s="154"/>
      <c r="J3145" s="155"/>
      <c r="K3145" s="156"/>
      <c r="L3145" s="157"/>
      <c r="M3145" s="158" t="s">
        <v>28</v>
      </c>
      <c r="N3145" s="159" t="s">
        <v>29</v>
      </c>
    </row>
    <row r="3146" spans="1:14">
      <c r="A3146" s="148"/>
      <c r="B3146" s="149"/>
      <c r="C3146" s="150"/>
      <c r="D3146" s="151"/>
      <c r="E3146" s="152"/>
      <c r="F3146" s="153"/>
      <c r="G3146" s="154"/>
      <c r="H3146" s="154"/>
      <c r="I3146" s="154"/>
      <c r="J3146" s="155"/>
      <c r="K3146" s="156"/>
      <c r="L3146" s="157"/>
      <c r="M3146" s="158" t="s">
        <v>28</v>
      </c>
      <c r="N3146" s="159" t="s">
        <v>29</v>
      </c>
    </row>
    <row r="3147" spans="1:14">
      <c r="A3147" s="148"/>
      <c r="B3147" s="149"/>
      <c r="C3147" s="150"/>
      <c r="D3147" s="151"/>
      <c r="E3147" s="152"/>
      <c r="F3147" s="153"/>
      <c r="G3147" s="154"/>
      <c r="H3147" s="154"/>
      <c r="I3147" s="154"/>
      <c r="J3147" s="155"/>
      <c r="K3147" s="156"/>
      <c r="L3147" s="157"/>
      <c r="M3147" s="158" t="s">
        <v>28</v>
      </c>
      <c r="N3147" s="159" t="s">
        <v>29</v>
      </c>
    </row>
    <row r="3148" spans="1:14">
      <c r="A3148" s="148"/>
      <c r="B3148" s="149"/>
      <c r="C3148" s="150"/>
      <c r="D3148" s="151"/>
      <c r="E3148" s="152"/>
      <c r="F3148" s="153"/>
      <c r="G3148" s="154"/>
      <c r="H3148" s="154"/>
      <c r="I3148" s="154"/>
      <c r="J3148" s="155"/>
      <c r="K3148" s="156"/>
      <c r="L3148" s="157"/>
      <c r="M3148" s="158" t="s">
        <v>28</v>
      </c>
      <c r="N3148" s="159" t="s">
        <v>29</v>
      </c>
    </row>
    <row r="3149" spans="1:14">
      <c r="A3149" s="148"/>
      <c r="B3149" s="149"/>
      <c r="C3149" s="150"/>
      <c r="D3149" s="151"/>
      <c r="E3149" s="152"/>
      <c r="F3149" s="153"/>
      <c r="G3149" s="154"/>
      <c r="H3149" s="154"/>
      <c r="I3149" s="154"/>
      <c r="J3149" s="155"/>
      <c r="K3149" s="156"/>
      <c r="L3149" s="157"/>
      <c r="M3149" s="158" t="s">
        <v>28</v>
      </c>
      <c r="N3149" s="159" t="s">
        <v>29</v>
      </c>
    </row>
    <row r="3150" spans="1:14">
      <c r="A3150" s="148"/>
      <c r="B3150" s="149"/>
      <c r="C3150" s="150"/>
      <c r="D3150" s="151"/>
      <c r="E3150" s="152"/>
      <c r="F3150" s="153"/>
      <c r="G3150" s="154"/>
      <c r="H3150" s="154"/>
      <c r="I3150" s="154"/>
      <c r="J3150" s="155"/>
      <c r="K3150" s="156"/>
      <c r="L3150" s="157"/>
      <c r="M3150" s="158" t="s">
        <v>28</v>
      </c>
      <c r="N3150" s="159" t="s">
        <v>29</v>
      </c>
    </row>
    <row r="3151" spans="1:14">
      <c r="A3151" s="148"/>
      <c r="B3151" s="149"/>
      <c r="C3151" s="150"/>
      <c r="D3151" s="151"/>
      <c r="E3151" s="152"/>
      <c r="F3151" s="153"/>
      <c r="G3151" s="154"/>
      <c r="H3151" s="154"/>
      <c r="I3151" s="154"/>
      <c r="J3151" s="155"/>
      <c r="K3151" s="156"/>
      <c r="L3151" s="157"/>
      <c r="M3151" s="158" t="s">
        <v>28</v>
      </c>
      <c r="N3151" s="159" t="s">
        <v>29</v>
      </c>
    </row>
    <row r="3152" spans="1:14">
      <c r="A3152" s="148"/>
      <c r="B3152" s="149"/>
      <c r="C3152" s="150"/>
      <c r="D3152" s="151"/>
      <c r="E3152" s="152"/>
      <c r="F3152" s="153"/>
      <c r="G3152" s="154"/>
      <c r="H3152" s="154"/>
      <c r="I3152" s="154"/>
      <c r="J3152" s="155"/>
      <c r="K3152" s="156"/>
      <c r="L3152" s="157"/>
      <c r="M3152" s="158" t="s">
        <v>28</v>
      </c>
      <c r="N3152" s="159" t="s">
        <v>29</v>
      </c>
    </row>
    <row r="3153" spans="1:14">
      <c r="A3153" s="148"/>
      <c r="B3153" s="149"/>
      <c r="C3153" s="150"/>
      <c r="D3153" s="151"/>
      <c r="E3153" s="152"/>
      <c r="F3153" s="153"/>
      <c r="G3153" s="154"/>
      <c r="H3153" s="154"/>
      <c r="I3153" s="154"/>
      <c r="J3153" s="155"/>
      <c r="K3153" s="156"/>
      <c r="L3153" s="157"/>
      <c r="M3153" s="158" t="s">
        <v>28</v>
      </c>
      <c r="N3153" s="159" t="s">
        <v>29</v>
      </c>
    </row>
    <row r="3154" spans="1:14">
      <c r="A3154" s="148"/>
      <c r="B3154" s="149"/>
      <c r="C3154" s="150"/>
      <c r="D3154" s="151"/>
      <c r="E3154" s="152"/>
      <c r="F3154" s="153"/>
      <c r="G3154" s="154"/>
      <c r="H3154" s="154"/>
      <c r="I3154" s="154"/>
      <c r="J3154" s="155"/>
      <c r="K3154" s="156"/>
      <c r="L3154" s="157"/>
      <c r="M3154" s="158" t="s">
        <v>28</v>
      </c>
      <c r="N3154" s="159" t="s">
        <v>29</v>
      </c>
    </row>
    <row r="3155" spans="1:14">
      <c r="A3155" s="148"/>
      <c r="B3155" s="149"/>
      <c r="C3155" s="150"/>
      <c r="D3155" s="151"/>
      <c r="E3155" s="152"/>
      <c r="F3155" s="153"/>
      <c r="G3155" s="154"/>
      <c r="H3155" s="154"/>
      <c r="I3155" s="154"/>
      <c r="J3155" s="155"/>
      <c r="K3155" s="156"/>
      <c r="L3155" s="157"/>
      <c r="M3155" s="158" t="s">
        <v>28</v>
      </c>
      <c r="N3155" s="159" t="s">
        <v>29</v>
      </c>
    </row>
    <row r="3156" spans="1:14">
      <c r="A3156" s="148"/>
      <c r="B3156" s="149"/>
      <c r="C3156" s="150"/>
      <c r="D3156" s="151"/>
      <c r="E3156" s="152"/>
      <c r="F3156" s="153"/>
      <c r="G3156" s="154"/>
      <c r="H3156" s="154"/>
      <c r="I3156" s="154"/>
      <c r="J3156" s="155"/>
      <c r="K3156" s="156"/>
      <c r="L3156" s="157"/>
      <c r="M3156" s="158" t="s">
        <v>28</v>
      </c>
      <c r="N3156" s="159" t="s">
        <v>29</v>
      </c>
    </row>
    <row r="3157" spans="1:14">
      <c r="A3157" s="148"/>
      <c r="B3157" s="149"/>
      <c r="C3157" s="150"/>
      <c r="D3157" s="151"/>
      <c r="E3157" s="152"/>
      <c r="F3157" s="153"/>
      <c r="G3157" s="154"/>
      <c r="H3157" s="154"/>
      <c r="I3157" s="154"/>
      <c r="J3157" s="155"/>
      <c r="K3157" s="156"/>
      <c r="L3157" s="157"/>
      <c r="M3157" s="158" t="s">
        <v>28</v>
      </c>
      <c r="N3157" s="159" t="s">
        <v>29</v>
      </c>
    </row>
    <row r="3158" spans="1:14">
      <c r="A3158" s="148"/>
      <c r="B3158" s="149"/>
      <c r="C3158" s="150"/>
      <c r="D3158" s="151"/>
      <c r="E3158" s="152"/>
      <c r="F3158" s="153"/>
      <c r="G3158" s="154"/>
      <c r="H3158" s="154"/>
      <c r="I3158" s="154"/>
      <c r="J3158" s="155"/>
      <c r="K3158" s="156"/>
      <c r="L3158" s="157"/>
      <c r="M3158" s="158" t="s">
        <v>28</v>
      </c>
      <c r="N3158" s="159" t="s">
        <v>29</v>
      </c>
    </row>
    <row r="3159" spans="1:14">
      <c r="A3159" s="148"/>
      <c r="B3159" s="149"/>
      <c r="C3159" s="150"/>
      <c r="D3159" s="151"/>
      <c r="E3159" s="152"/>
      <c r="F3159" s="153"/>
      <c r="G3159" s="154"/>
      <c r="H3159" s="154"/>
      <c r="I3159" s="154"/>
      <c r="J3159" s="155"/>
      <c r="K3159" s="156"/>
      <c r="L3159" s="157"/>
      <c r="M3159" s="158" t="s">
        <v>28</v>
      </c>
      <c r="N3159" s="159" t="s">
        <v>29</v>
      </c>
    </row>
    <row r="3160" spans="1:14">
      <c r="A3160" s="148"/>
      <c r="B3160" s="149"/>
      <c r="C3160" s="150"/>
      <c r="D3160" s="151"/>
      <c r="E3160" s="152"/>
      <c r="F3160" s="153"/>
      <c r="G3160" s="154"/>
      <c r="H3160" s="154"/>
      <c r="I3160" s="154"/>
      <c r="J3160" s="155"/>
      <c r="K3160" s="156"/>
      <c r="L3160" s="157"/>
      <c r="M3160" s="158" t="s">
        <v>28</v>
      </c>
      <c r="N3160" s="159" t="s">
        <v>29</v>
      </c>
    </row>
    <row r="3161" spans="1:14">
      <c r="A3161" s="148"/>
      <c r="B3161" s="149"/>
      <c r="C3161" s="150"/>
      <c r="D3161" s="151"/>
      <c r="E3161" s="152"/>
      <c r="F3161" s="153"/>
      <c r="G3161" s="154"/>
      <c r="H3161" s="154"/>
      <c r="I3161" s="154"/>
      <c r="J3161" s="155"/>
      <c r="K3161" s="156"/>
      <c r="L3161" s="157"/>
      <c r="M3161" s="158" t="s">
        <v>28</v>
      </c>
      <c r="N3161" s="159" t="s">
        <v>29</v>
      </c>
    </row>
    <row r="3162" spans="1:14">
      <c r="A3162" s="148"/>
      <c r="B3162" s="149"/>
      <c r="C3162" s="150"/>
      <c r="D3162" s="151"/>
      <c r="E3162" s="152"/>
      <c r="F3162" s="153"/>
      <c r="G3162" s="154"/>
      <c r="H3162" s="154"/>
      <c r="I3162" s="154"/>
      <c r="J3162" s="155"/>
      <c r="K3162" s="156"/>
      <c r="L3162" s="157"/>
      <c r="M3162" s="158" t="s">
        <v>28</v>
      </c>
      <c r="N3162" s="159" t="s">
        <v>29</v>
      </c>
    </row>
    <row r="3163" spans="1:14">
      <c r="A3163" s="148"/>
      <c r="B3163" s="149"/>
      <c r="C3163" s="150"/>
      <c r="D3163" s="151"/>
      <c r="E3163" s="152"/>
      <c r="F3163" s="153"/>
      <c r="G3163" s="154"/>
      <c r="H3163" s="154"/>
      <c r="I3163" s="154"/>
      <c r="J3163" s="155"/>
      <c r="K3163" s="156"/>
      <c r="L3163" s="157"/>
      <c r="M3163" s="158" t="s">
        <v>28</v>
      </c>
      <c r="N3163" s="159" t="s">
        <v>29</v>
      </c>
    </row>
    <row r="3164" spans="1:14">
      <c r="A3164" s="148"/>
      <c r="B3164" s="149"/>
      <c r="C3164" s="150"/>
      <c r="D3164" s="151"/>
      <c r="E3164" s="152"/>
      <c r="F3164" s="153"/>
      <c r="G3164" s="154"/>
      <c r="H3164" s="154"/>
      <c r="I3164" s="154"/>
      <c r="J3164" s="155"/>
      <c r="K3164" s="156"/>
      <c r="L3164" s="157"/>
      <c r="M3164" s="158" t="s">
        <v>28</v>
      </c>
      <c r="N3164" s="159" t="s">
        <v>29</v>
      </c>
    </row>
    <row r="3165" spans="1:14">
      <c r="A3165" s="148"/>
      <c r="B3165" s="149"/>
      <c r="C3165" s="150"/>
      <c r="D3165" s="151"/>
      <c r="E3165" s="152"/>
      <c r="F3165" s="153"/>
      <c r="G3165" s="154"/>
      <c r="H3165" s="154"/>
      <c r="I3165" s="154"/>
      <c r="J3165" s="155"/>
      <c r="K3165" s="156"/>
      <c r="L3165" s="157"/>
      <c r="M3165" s="158" t="s">
        <v>28</v>
      </c>
      <c r="N3165" s="159" t="s">
        <v>29</v>
      </c>
    </row>
    <row r="3166" spans="1:14">
      <c r="A3166" s="148"/>
      <c r="B3166" s="149"/>
      <c r="C3166" s="150"/>
      <c r="D3166" s="151"/>
      <c r="E3166" s="152"/>
      <c r="F3166" s="153"/>
      <c r="G3166" s="154"/>
      <c r="H3166" s="154"/>
      <c r="I3166" s="154"/>
      <c r="J3166" s="155"/>
      <c r="K3166" s="156"/>
      <c r="L3166" s="157"/>
      <c r="M3166" s="158" t="s">
        <v>28</v>
      </c>
      <c r="N3166" s="159" t="s">
        <v>29</v>
      </c>
    </row>
    <row r="3167" spans="1:14">
      <c r="A3167" s="148"/>
      <c r="B3167" s="149"/>
      <c r="C3167" s="150"/>
      <c r="D3167" s="151"/>
      <c r="E3167" s="152"/>
      <c r="F3167" s="153"/>
      <c r="G3167" s="154"/>
      <c r="H3167" s="154"/>
      <c r="I3167" s="154"/>
      <c r="J3167" s="155"/>
      <c r="K3167" s="156"/>
      <c r="L3167" s="157"/>
      <c r="M3167" s="158" t="s">
        <v>28</v>
      </c>
      <c r="N3167" s="159" t="s">
        <v>29</v>
      </c>
    </row>
    <row r="3168" spans="1:14">
      <c r="A3168" s="148"/>
      <c r="B3168" s="149"/>
      <c r="C3168" s="150"/>
      <c r="D3168" s="151"/>
      <c r="E3168" s="152"/>
      <c r="F3168" s="153"/>
      <c r="G3168" s="154"/>
      <c r="H3168" s="154"/>
      <c r="I3168" s="154"/>
      <c r="J3168" s="155"/>
      <c r="K3168" s="156"/>
      <c r="L3168" s="157"/>
      <c r="M3168" s="158" t="s">
        <v>28</v>
      </c>
      <c r="N3168" s="159" t="s">
        <v>29</v>
      </c>
    </row>
    <row r="3169" spans="1:14">
      <c r="A3169" s="148"/>
      <c r="B3169" s="149"/>
      <c r="C3169" s="160"/>
      <c r="D3169" s="151"/>
      <c r="E3169" s="152"/>
      <c r="F3169" s="153"/>
      <c r="G3169" s="154"/>
      <c r="H3169" s="154"/>
      <c r="I3169" s="154"/>
      <c r="J3169" s="155"/>
      <c r="K3169" s="156"/>
      <c r="L3169" s="157"/>
      <c r="M3169" s="158" t="s">
        <v>28</v>
      </c>
      <c r="N3169" s="159" t="s">
        <v>29</v>
      </c>
    </row>
    <row r="3170" spans="1:14">
      <c r="A3170" s="148"/>
      <c r="B3170" s="149"/>
      <c r="C3170" s="160"/>
      <c r="D3170" s="151"/>
      <c r="E3170" s="152"/>
      <c r="F3170" s="153"/>
      <c r="G3170" s="154"/>
      <c r="H3170" s="154"/>
      <c r="I3170" s="154"/>
      <c r="J3170" s="155"/>
      <c r="K3170" s="156"/>
      <c r="L3170" s="157"/>
      <c r="M3170" s="158" t="s">
        <v>28</v>
      </c>
      <c r="N3170" s="159" t="s">
        <v>29</v>
      </c>
    </row>
    <row r="3171" spans="1:14">
      <c r="A3171" s="148"/>
      <c r="B3171" s="149"/>
      <c r="C3171" s="160"/>
      <c r="D3171" s="151"/>
      <c r="E3171" s="152"/>
      <c r="F3171" s="153"/>
      <c r="G3171" s="154"/>
      <c r="H3171" s="154"/>
      <c r="I3171" s="154"/>
      <c r="J3171" s="155"/>
      <c r="K3171" s="156"/>
      <c r="L3171" s="157"/>
      <c r="M3171" s="158" t="s">
        <v>28</v>
      </c>
      <c r="N3171" s="159" t="s">
        <v>29</v>
      </c>
    </row>
    <row r="3172" spans="1:14">
      <c r="A3172" s="148"/>
      <c r="B3172" s="149"/>
      <c r="C3172" s="160"/>
      <c r="D3172" s="151"/>
      <c r="E3172" s="152"/>
      <c r="F3172" s="153"/>
      <c r="G3172" s="154"/>
      <c r="H3172" s="154"/>
      <c r="I3172" s="154"/>
      <c r="J3172" s="155"/>
      <c r="K3172" s="156"/>
      <c r="L3172" s="157"/>
      <c r="M3172" s="158" t="s">
        <v>28</v>
      </c>
      <c r="N3172" s="159" t="s">
        <v>29</v>
      </c>
    </row>
    <row r="3173" spans="1:14">
      <c r="A3173" s="148"/>
      <c r="B3173" s="149"/>
      <c r="C3173" s="160"/>
      <c r="D3173" s="151"/>
      <c r="E3173" s="152"/>
      <c r="F3173" s="153"/>
      <c r="G3173" s="154"/>
      <c r="H3173" s="154"/>
      <c r="I3173" s="154"/>
      <c r="J3173" s="155"/>
      <c r="K3173" s="156"/>
      <c r="L3173" s="157"/>
      <c r="M3173" s="158" t="s">
        <v>28</v>
      </c>
      <c r="N3173" s="159" t="s">
        <v>29</v>
      </c>
    </row>
    <row r="3174" spans="1:14">
      <c r="A3174" s="148"/>
      <c r="B3174" s="149"/>
      <c r="C3174" s="160"/>
      <c r="D3174" s="151"/>
      <c r="E3174" s="152"/>
      <c r="F3174" s="153"/>
      <c r="G3174" s="154"/>
      <c r="H3174" s="154"/>
      <c r="I3174" s="154"/>
      <c r="J3174" s="155"/>
      <c r="K3174" s="156"/>
      <c r="L3174" s="157"/>
      <c r="M3174" s="158" t="s">
        <v>28</v>
      </c>
      <c r="N3174" s="159" t="s">
        <v>29</v>
      </c>
    </row>
    <row r="3175" spans="1:14">
      <c r="A3175" s="148"/>
      <c r="B3175" s="149"/>
      <c r="C3175" s="160"/>
      <c r="D3175" s="151"/>
      <c r="E3175" s="152"/>
      <c r="F3175" s="153"/>
      <c r="G3175" s="154"/>
      <c r="H3175" s="154"/>
      <c r="I3175" s="154"/>
      <c r="J3175" s="155"/>
      <c r="K3175" s="156"/>
      <c r="L3175" s="157"/>
      <c r="M3175" s="158" t="s">
        <v>28</v>
      </c>
      <c r="N3175" s="159" t="s">
        <v>29</v>
      </c>
    </row>
    <row r="3176" spans="1:14">
      <c r="A3176" s="148"/>
      <c r="B3176" s="149"/>
      <c r="C3176" s="160"/>
      <c r="D3176" s="151"/>
      <c r="E3176" s="152"/>
      <c r="F3176" s="153"/>
      <c r="G3176" s="154"/>
      <c r="H3176" s="154"/>
      <c r="I3176" s="154"/>
      <c r="J3176" s="155"/>
      <c r="K3176" s="156"/>
      <c r="L3176" s="157"/>
      <c r="M3176" s="158" t="s">
        <v>28</v>
      </c>
      <c r="N3176" s="159" t="s">
        <v>29</v>
      </c>
    </row>
    <row r="3177" spans="1:14">
      <c r="A3177" s="148"/>
      <c r="B3177" s="149"/>
      <c r="C3177" s="160"/>
      <c r="D3177" s="151"/>
      <c r="E3177" s="152"/>
      <c r="F3177" s="153"/>
      <c r="G3177" s="154"/>
      <c r="H3177" s="154"/>
      <c r="I3177" s="154"/>
      <c r="J3177" s="155"/>
      <c r="K3177" s="156"/>
      <c r="L3177" s="157"/>
      <c r="M3177" s="158" t="s">
        <v>28</v>
      </c>
      <c r="N3177" s="159" t="s">
        <v>29</v>
      </c>
    </row>
    <row r="3178" spans="1:14">
      <c r="A3178" s="148"/>
      <c r="B3178" s="149"/>
      <c r="C3178" s="160"/>
      <c r="D3178" s="151"/>
      <c r="E3178" s="152"/>
      <c r="F3178" s="153"/>
      <c r="G3178" s="154"/>
      <c r="H3178" s="154"/>
      <c r="I3178" s="154"/>
      <c r="J3178" s="155"/>
      <c r="K3178" s="156"/>
      <c r="L3178" s="157"/>
      <c r="M3178" s="158" t="s">
        <v>28</v>
      </c>
      <c r="N3178" s="159" t="s">
        <v>29</v>
      </c>
    </row>
    <row r="3179" spans="1:14">
      <c r="A3179" s="148"/>
      <c r="B3179" s="149"/>
      <c r="C3179" s="160"/>
      <c r="D3179" s="151"/>
      <c r="E3179" s="152"/>
      <c r="F3179" s="153"/>
      <c r="G3179" s="154"/>
      <c r="H3179" s="154"/>
      <c r="I3179" s="154"/>
      <c r="J3179" s="155"/>
      <c r="K3179" s="156"/>
      <c r="L3179" s="157"/>
      <c r="M3179" s="158" t="s">
        <v>28</v>
      </c>
      <c r="N3179" s="159" t="s">
        <v>29</v>
      </c>
    </row>
    <row r="3180" spans="1:14">
      <c r="A3180" s="148"/>
      <c r="B3180" s="149"/>
      <c r="C3180" s="160"/>
      <c r="D3180" s="151"/>
      <c r="E3180" s="152"/>
      <c r="F3180" s="153"/>
      <c r="G3180" s="154"/>
      <c r="H3180" s="154"/>
      <c r="I3180" s="154"/>
      <c r="J3180" s="155"/>
      <c r="K3180" s="156"/>
      <c r="L3180" s="157"/>
      <c r="M3180" s="158" t="s">
        <v>28</v>
      </c>
      <c r="N3180" s="159" t="s">
        <v>29</v>
      </c>
    </row>
    <row r="3181" spans="1:14">
      <c r="A3181" s="148"/>
      <c r="B3181" s="149"/>
      <c r="C3181" s="160"/>
      <c r="D3181" s="151"/>
      <c r="E3181" s="152"/>
      <c r="F3181" s="153"/>
      <c r="G3181" s="154"/>
      <c r="H3181" s="154"/>
      <c r="I3181" s="154"/>
      <c r="J3181" s="155"/>
      <c r="K3181" s="156"/>
      <c r="L3181" s="157"/>
      <c r="M3181" s="158" t="s">
        <v>28</v>
      </c>
      <c r="N3181" s="159" t="s">
        <v>29</v>
      </c>
    </row>
    <row r="3182" spans="1:14">
      <c r="A3182" s="148"/>
      <c r="B3182" s="149"/>
      <c r="C3182" s="160"/>
      <c r="D3182" s="151"/>
      <c r="E3182" s="152"/>
      <c r="F3182" s="153"/>
      <c r="G3182" s="154"/>
      <c r="H3182" s="154"/>
      <c r="I3182" s="154"/>
      <c r="J3182" s="155"/>
      <c r="K3182" s="156"/>
      <c r="L3182" s="157"/>
      <c r="M3182" s="158" t="s">
        <v>28</v>
      </c>
      <c r="N3182" s="159" t="s">
        <v>29</v>
      </c>
    </row>
    <row r="3183" spans="1:14">
      <c r="A3183" s="148"/>
      <c r="B3183" s="149"/>
      <c r="C3183" s="160"/>
      <c r="D3183" s="151"/>
      <c r="E3183" s="152"/>
      <c r="F3183" s="153"/>
      <c r="G3183" s="154"/>
      <c r="H3183" s="154"/>
      <c r="I3183" s="154"/>
      <c r="J3183" s="155"/>
      <c r="K3183" s="156"/>
      <c r="L3183" s="157"/>
      <c r="M3183" s="158" t="s">
        <v>28</v>
      </c>
      <c r="N3183" s="159" t="s">
        <v>29</v>
      </c>
    </row>
    <row r="3184" spans="1:14">
      <c r="A3184" s="148"/>
      <c r="B3184" s="149"/>
      <c r="C3184" s="160"/>
      <c r="D3184" s="151"/>
      <c r="E3184" s="152"/>
      <c r="F3184" s="153"/>
      <c r="G3184" s="154"/>
      <c r="H3184" s="154"/>
      <c r="I3184" s="154"/>
      <c r="J3184" s="155"/>
      <c r="K3184" s="156"/>
      <c r="L3184" s="157"/>
      <c r="M3184" s="158" t="s">
        <v>28</v>
      </c>
      <c r="N3184" s="159" t="s">
        <v>29</v>
      </c>
    </row>
    <row r="3185" spans="1:14">
      <c r="A3185" s="148"/>
      <c r="B3185" s="149"/>
      <c r="C3185" s="160"/>
      <c r="D3185" s="151"/>
      <c r="E3185" s="152"/>
      <c r="F3185" s="153"/>
      <c r="G3185" s="154"/>
      <c r="H3185" s="154"/>
      <c r="I3185" s="154"/>
      <c r="J3185" s="155"/>
      <c r="K3185" s="156"/>
      <c r="L3185" s="157"/>
      <c r="M3185" s="158" t="s">
        <v>28</v>
      </c>
      <c r="N3185" s="159" t="s">
        <v>29</v>
      </c>
    </row>
    <row r="3186" spans="1:14">
      <c r="A3186" s="148"/>
      <c r="B3186" s="149"/>
      <c r="C3186" s="160"/>
      <c r="D3186" s="151"/>
      <c r="E3186" s="152"/>
      <c r="F3186" s="153"/>
      <c r="G3186" s="154"/>
      <c r="H3186" s="154"/>
      <c r="I3186" s="154"/>
      <c r="J3186" s="155"/>
      <c r="K3186" s="156"/>
      <c r="L3186" s="157"/>
      <c r="M3186" s="158" t="s">
        <v>28</v>
      </c>
      <c r="N3186" s="159" t="s">
        <v>29</v>
      </c>
    </row>
    <row r="3187" spans="1:14">
      <c r="A3187" s="148"/>
      <c r="B3187" s="149"/>
      <c r="C3187" s="160"/>
      <c r="D3187" s="151"/>
      <c r="E3187" s="152"/>
      <c r="F3187" s="153"/>
      <c r="G3187" s="154"/>
      <c r="H3187" s="154"/>
      <c r="I3187" s="154"/>
      <c r="J3187" s="155"/>
      <c r="K3187" s="156"/>
      <c r="L3187" s="157"/>
      <c r="M3187" s="158" t="s">
        <v>28</v>
      </c>
      <c r="N3187" s="159" t="s">
        <v>29</v>
      </c>
    </row>
    <row r="3188" spans="1:14">
      <c r="A3188" s="148"/>
      <c r="B3188" s="149"/>
      <c r="C3188" s="160"/>
      <c r="D3188" s="151"/>
      <c r="E3188" s="152"/>
      <c r="F3188" s="153"/>
      <c r="G3188" s="154"/>
      <c r="H3188" s="154"/>
      <c r="I3188" s="154"/>
      <c r="J3188" s="155"/>
      <c r="K3188" s="156"/>
      <c r="L3188" s="157"/>
      <c r="M3188" s="158" t="s">
        <v>28</v>
      </c>
      <c r="N3188" s="159" t="s">
        <v>29</v>
      </c>
    </row>
    <row r="3189" spans="1:14">
      <c r="A3189" s="148"/>
      <c r="B3189" s="149"/>
      <c r="C3189" s="160"/>
      <c r="D3189" s="151"/>
      <c r="E3189" s="152"/>
      <c r="F3189" s="153"/>
      <c r="G3189" s="154"/>
      <c r="H3189" s="154"/>
      <c r="I3189" s="154"/>
      <c r="J3189" s="155"/>
      <c r="K3189" s="156"/>
      <c r="L3189" s="157"/>
      <c r="M3189" s="158" t="s">
        <v>28</v>
      </c>
      <c r="N3189" s="159" t="s">
        <v>29</v>
      </c>
    </row>
    <row r="3190" spans="1:14">
      <c r="A3190" s="148"/>
      <c r="B3190" s="149"/>
      <c r="C3190" s="160"/>
      <c r="D3190" s="151"/>
      <c r="E3190" s="152"/>
      <c r="F3190" s="153"/>
      <c r="G3190" s="154"/>
      <c r="H3190" s="154"/>
      <c r="I3190" s="154"/>
      <c r="J3190" s="155"/>
      <c r="K3190" s="156"/>
      <c r="L3190" s="157"/>
      <c r="M3190" s="158" t="s">
        <v>28</v>
      </c>
      <c r="N3190" s="159" t="s">
        <v>29</v>
      </c>
    </row>
    <row r="3191" spans="1:14">
      <c r="A3191" s="148"/>
      <c r="B3191" s="149"/>
      <c r="C3191" s="160"/>
      <c r="D3191" s="151"/>
      <c r="E3191" s="152"/>
      <c r="F3191" s="153"/>
      <c r="G3191" s="154"/>
      <c r="H3191" s="154"/>
      <c r="I3191" s="154"/>
      <c r="J3191" s="155"/>
      <c r="K3191" s="156"/>
      <c r="L3191" s="157"/>
      <c r="M3191" s="158" t="s">
        <v>28</v>
      </c>
      <c r="N3191" s="159" t="s">
        <v>29</v>
      </c>
    </row>
    <row r="3192" spans="1:14">
      <c r="A3192" s="148"/>
      <c r="B3192" s="149"/>
      <c r="C3192" s="160"/>
      <c r="D3192" s="151"/>
      <c r="E3192" s="152"/>
      <c r="F3192" s="153"/>
      <c r="G3192" s="154"/>
      <c r="H3192" s="154"/>
      <c r="I3192" s="154"/>
      <c r="J3192" s="155"/>
      <c r="K3192" s="156"/>
      <c r="L3192" s="157"/>
      <c r="M3192" s="158" t="s">
        <v>28</v>
      </c>
      <c r="N3192" s="159" t="s">
        <v>29</v>
      </c>
    </row>
    <row r="3193" spans="1:14">
      <c r="A3193" s="148"/>
      <c r="B3193" s="149"/>
      <c r="C3193" s="160"/>
      <c r="D3193" s="151"/>
      <c r="E3193" s="152"/>
      <c r="F3193" s="153"/>
      <c r="G3193" s="154"/>
      <c r="H3193" s="154"/>
      <c r="I3193" s="154"/>
      <c r="J3193" s="155"/>
      <c r="K3193" s="156"/>
      <c r="L3193" s="157"/>
      <c r="M3193" s="158" t="s">
        <v>28</v>
      </c>
      <c r="N3193" s="159" t="s">
        <v>29</v>
      </c>
    </row>
    <row r="3194" spans="1:14">
      <c r="A3194" s="148"/>
      <c r="B3194" s="149"/>
      <c r="C3194" s="160"/>
      <c r="D3194" s="151"/>
      <c r="E3194" s="152"/>
      <c r="F3194" s="153"/>
      <c r="G3194" s="154"/>
      <c r="H3194" s="154"/>
      <c r="I3194" s="154"/>
      <c r="J3194" s="155"/>
      <c r="K3194" s="156"/>
      <c r="L3194" s="157"/>
      <c r="M3194" s="158" t="s">
        <v>28</v>
      </c>
      <c r="N3194" s="159" t="s">
        <v>29</v>
      </c>
    </row>
    <row r="3195" spans="1:14">
      <c r="A3195" s="148"/>
      <c r="B3195" s="149"/>
      <c r="C3195" s="160"/>
      <c r="D3195" s="151"/>
      <c r="E3195" s="152"/>
      <c r="F3195" s="153"/>
      <c r="G3195" s="154"/>
      <c r="H3195" s="154"/>
      <c r="I3195" s="154"/>
      <c r="J3195" s="155"/>
      <c r="K3195" s="156"/>
      <c r="L3195" s="157"/>
      <c r="M3195" s="158" t="s">
        <v>28</v>
      </c>
      <c r="N3195" s="159" t="s">
        <v>29</v>
      </c>
    </row>
    <row r="3196" spans="1:14">
      <c r="A3196" s="148"/>
      <c r="B3196" s="149"/>
      <c r="C3196" s="160"/>
      <c r="D3196" s="151"/>
      <c r="E3196" s="152"/>
      <c r="F3196" s="153"/>
      <c r="G3196" s="154"/>
      <c r="H3196" s="154"/>
      <c r="I3196" s="154"/>
      <c r="J3196" s="155"/>
      <c r="K3196" s="156"/>
      <c r="L3196" s="157"/>
      <c r="M3196" s="158" t="s">
        <v>28</v>
      </c>
      <c r="N3196" s="159" t="s">
        <v>29</v>
      </c>
    </row>
    <row r="3197" spans="1:14">
      <c r="A3197" s="148"/>
      <c r="B3197" s="149"/>
      <c r="C3197" s="160"/>
      <c r="D3197" s="151"/>
      <c r="E3197" s="152"/>
      <c r="F3197" s="153"/>
      <c r="G3197" s="154"/>
      <c r="H3197" s="154"/>
      <c r="I3197" s="154"/>
      <c r="J3197" s="155"/>
      <c r="K3197" s="156"/>
      <c r="L3197" s="157"/>
      <c r="M3197" s="158" t="s">
        <v>28</v>
      </c>
      <c r="N3197" s="159" t="s">
        <v>29</v>
      </c>
    </row>
    <row r="3198" spans="1:14">
      <c r="A3198" s="148"/>
      <c r="B3198" s="149"/>
      <c r="C3198" s="160"/>
      <c r="D3198" s="151"/>
      <c r="E3198" s="152"/>
      <c r="F3198" s="153"/>
      <c r="G3198" s="154"/>
      <c r="H3198" s="154"/>
      <c r="I3198" s="154"/>
      <c r="J3198" s="155"/>
      <c r="K3198" s="156"/>
      <c r="L3198" s="157"/>
      <c r="M3198" s="158" t="s">
        <v>28</v>
      </c>
      <c r="N3198" s="159" t="s">
        <v>29</v>
      </c>
    </row>
    <row r="3199" spans="1:14">
      <c r="A3199" s="148"/>
      <c r="B3199" s="149"/>
      <c r="C3199" s="160"/>
      <c r="D3199" s="151"/>
      <c r="E3199" s="152"/>
      <c r="F3199" s="153"/>
      <c r="G3199" s="154"/>
      <c r="H3199" s="154"/>
      <c r="I3199" s="154"/>
      <c r="J3199" s="155"/>
      <c r="K3199" s="156"/>
      <c r="L3199" s="157"/>
      <c r="M3199" s="158" t="s">
        <v>28</v>
      </c>
      <c r="N3199" s="159" t="s">
        <v>29</v>
      </c>
    </row>
    <row r="3200" spans="1:14">
      <c r="A3200" s="148"/>
      <c r="B3200" s="149"/>
      <c r="C3200" s="160"/>
      <c r="D3200" s="151"/>
      <c r="E3200" s="152"/>
      <c r="F3200" s="153"/>
      <c r="G3200" s="154"/>
      <c r="H3200" s="154"/>
      <c r="I3200" s="154"/>
      <c r="J3200" s="155"/>
      <c r="K3200" s="156"/>
      <c r="L3200" s="157"/>
      <c r="M3200" s="158" t="s">
        <v>28</v>
      </c>
      <c r="N3200" s="159" t="s">
        <v>29</v>
      </c>
    </row>
    <row r="3201" spans="1:14">
      <c r="A3201" s="148"/>
      <c r="B3201" s="149"/>
      <c r="C3201" s="160"/>
      <c r="D3201" s="151"/>
      <c r="E3201" s="152"/>
      <c r="F3201" s="153"/>
      <c r="G3201" s="154"/>
      <c r="H3201" s="154"/>
      <c r="I3201" s="154"/>
      <c r="J3201" s="155"/>
      <c r="K3201" s="156"/>
      <c r="L3201" s="157"/>
      <c r="M3201" s="158" t="s">
        <v>28</v>
      </c>
      <c r="N3201" s="159" t="s">
        <v>29</v>
      </c>
    </row>
    <row r="3202" spans="1:14">
      <c r="A3202" s="148"/>
      <c r="B3202" s="149"/>
      <c r="C3202" s="160"/>
      <c r="D3202" s="151"/>
      <c r="E3202" s="152"/>
      <c r="F3202" s="153"/>
      <c r="G3202" s="154"/>
      <c r="H3202" s="154"/>
      <c r="I3202" s="154"/>
      <c r="J3202" s="155"/>
      <c r="K3202" s="156"/>
      <c r="L3202" s="157"/>
      <c r="M3202" s="158" t="s">
        <v>28</v>
      </c>
      <c r="N3202" s="159" t="s">
        <v>29</v>
      </c>
    </row>
    <row r="3203" spans="1:14">
      <c r="A3203" s="148"/>
      <c r="B3203" s="149"/>
      <c r="C3203" s="160"/>
      <c r="D3203" s="151"/>
      <c r="E3203" s="152"/>
      <c r="F3203" s="153"/>
      <c r="G3203" s="154"/>
      <c r="H3203" s="154"/>
      <c r="I3203" s="154"/>
      <c r="J3203" s="155"/>
      <c r="K3203" s="156"/>
      <c r="L3203" s="157"/>
      <c r="M3203" s="158" t="s">
        <v>28</v>
      </c>
      <c r="N3203" s="159" t="s">
        <v>29</v>
      </c>
    </row>
    <row r="3204" spans="1:14">
      <c r="A3204" s="148"/>
      <c r="B3204" s="149"/>
      <c r="C3204" s="160"/>
      <c r="D3204" s="151"/>
      <c r="E3204" s="152"/>
      <c r="F3204" s="153"/>
      <c r="G3204" s="154"/>
      <c r="H3204" s="154"/>
      <c r="I3204" s="154"/>
      <c r="J3204" s="155"/>
      <c r="K3204" s="156"/>
      <c r="L3204" s="157"/>
      <c r="M3204" s="158" t="s">
        <v>28</v>
      </c>
      <c r="N3204" s="159" t="s">
        <v>29</v>
      </c>
    </row>
    <row r="3205" spans="1:14">
      <c r="A3205" s="148"/>
      <c r="B3205" s="149"/>
      <c r="C3205" s="160"/>
      <c r="D3205" s="151"/>
      <c r="E3205" s="152"/>
      <c r="F3205" s="153"/>
      <c r="G3205" s="154"/>
      <c r="H3205" s="154"/>
      <c r="I3205" s="154"/>
      <c r="J3205" s="155"/>
      <c r="K3205" s="156"/>
      <c r="L3205" s="157"/>
      <c r="M3205" s="158" t="s">
        <v>28</v>
      </c>
      <c r="N3205" s="159" t="s">
        <v>29</v>
      </c>
    </row>
    <row r="3206" spans="1:14">
      <c r="A3206" s="148"/>
      <c r="B3206" s="149"/>
      <c r="C3206" s="160"/>
      <c r="D3206" s="151"/>
      <c r="E3206" s="152"/>
      <c r="F3206" s="153"/>
      <c r="G3206" s="154"/>
      <c r="H3206" s="154"/>
      <c r="I3206" s="154"/>
      <c r="J3206" s="155"/>
      <c r="K3206" s="156"/>
      <c r="L3206" s="157"/>
      <c r="M3206" s="158" t="s">
        <v>28</v>
      </c>
      <c r="N3206" s="159" t="s">
        <v>29</v>
      </c>
    </row>
    <row r="3207" spans="1:14">
      <c r="A3207" s="148"/>
      <c r="B3207" s="149"/>
      <c r="C3207" s="160"/>
      <c r="D3207" s="151"/>
      <c r="E3207" s="152"/>
      <c r="F3207" s="153"/>
      <c r="G3207" s="154"/>
      <c r="H3207" s="154"/>
      <c r="I3207" s="154"/>
      <c r="J3207" s="155"/>
      <c r="K3207" s="156"/>
      <c r="L3207" s="157"/>
      <c r="M3207" s="158" t="s">
        <v>28</v>
      </c>
      <c r="N3207" s="159" t="s">
        <v>29</v>
      </c>
    </row>
    <row r="3208" spans="1:14">
      <c r="A3208" s="148"/>
      <c r="B3208" s="149"/>
      <c r="C3208" s="160"/>
      <c r="D3208" s="151"/>
      <c r="E3208" s="152"/>
      <c r="F3208" s="153"/>
      <c r="G3208" s="154"/>
      <c r="H3208" s="154"/>
      <c r="I3208" s="154"/>
      <c r="J3208" s="155"/>
      <c r="K3208" s="156"/>
      <c r="L3208" s="157"/>
      <c r="M3208" s="158" t="s">
        <v>28</v>
      </c>
      <c r="N3208" s="159" t="s">
        <v>29</v>
      </c>
    </row>
    <row r="3209" spans="1:14">
      <c r="A3209" s="148"/>
      <c r="B3209" s="149"/>
      <c r="C3209" s="160"/>
      <c r="D3209" s="151"/>
      <c r="E3209" s="152"/>
      <c r="F3209" s="153"/>
      <c r="G3209" s="154"/>
      <c r="H3209" s="154"/>
      <c r="I3209" s="154"/>
      <c r="J3209" s="155"/>
      <c r="K3209" s="156"/>
      <c r="L3209" s="157"/>
      <c r="M3209" s="158" t="s">
        <v>28</v>
      </c>
      <c r="N3209" s="159" t="s">
        <v>29</v>
      </c>
    </row>
    <row r="3210" spans="1:14">
      <c r="A3210" s="148"/>
      <c r="B3210" s="149"/>
      <c r="C3210" s="160"/>
      <c r="D3210" s="151"/>
      <c r="E3210" s="152"/>
      <c r="F3210" s="153"/>
      <c r="G3210" s="154"/>
      <c r="H3210" s="154"/>
      <c r="I3210" s="154"/>
      <c r="J3210" s="155"/>
      <c r="K3210" s="156"/>
      <c r="L3210" s="157"/>
      <c r="M3210" s="158" t="s">
        <v>28</v>
      </c>
      <c r="N3210" s="159" t="s">
        <v>29</v>
      </c>
    </row>
    <row r="3211" spans="1:14">
      <c r="A3211" s="148"/>
      <c r="B3211" s="149"/>
      <c r="C3211" s="160"/>
      <c r="D3211" s="151"/>
      <c r="E3211" s="152"/>
      <c r="F3211" s="153"/>
      <c r="G3211" s="154"/>
      <c r="H3211" s="154"/>
      <c r="I3211" s="154"/>
      <c r="J3211" s="155"/>
      <c r="K3211" s="156"/>
      <c r="L3211" s="157"/>
      <c r="M3211" s="158" t="s">
        <v>28</v>
      </c>
      <c r="N3211" s="159" t="s">
        <v>29</v>
      </c>
    </row>
    <row r="3212" spans="1:14">
      <c r="A3212" s="148"/>
      <c r="B3212" s="149"/>
      <c r="C3212" s="160"/>
      <c r="D3212" s="151"/>
      <c r="E3212" s="152"/>
      <c r="F3212" s="153"/>
      <c r="G3212" s="154"/>
      <c r="H3212" s="154"/>
      <c r="I3212" s="154"/>
      <c r="J3212" s="155"/>
      <c r="K3212" s="156"/>
      <c r="L3212" s="157"/>
      <c r="M3212" s="158" t="s">
        <v>28</v>
      </c>
      <c r="N3212" s="159" t="s">
        <v>29</v>
      </c>
    </row>
    <row r="3213" spans="1:14">
      <c r="A3213" s="148"/>
      <c r="B3213" s="149"/>
      <c r="C3213" s="160"/>
      <c r="D3213" s="151"/>
      <c r="E3213" s="152"/>
      <c r="F3213" s="153"/>
      <c r="G3213" s="154"/>
      <c r="H3213" s="154"/>
      <c r="I3213" s="154"/>
      <c r="J3213" s="155"/>
      <c r="K3213" s="156"/>
      <c r="L3213" s="157"/>
      <c r="M3213" s="158" t="s">
        <v>28</v>
      </c>
      <c r="N3213" s="159" t="s">
        <v>29</v>
      </c>
    </row>
    <row r="3214" spans="1:14">
      <c r="A3214" s="148"/>
      <c r="B3214" s="149"/>
      <c r="C3214" s="160"/>
      <c r="D3214" s="151"/>
      <c r="E3214" s="152"/>
      <c r="F3214" s="153"/>
      <c r="G3214" s="154"/>
      <c r="H3214" s="154"/>
      <c r="I3214" s="154"/>
      <c r="J3214" s="155"/>
      <c r="K3214" s="156"/>
      <c r="L3214" s="157"/>
      <c r="M3214" s="158" t="s">
        <v>28</v>
      </c>
      <c r="N3214" s="159" t="s">
        <v>29</v>
      </c>
    </row>
    <row r="3215" spans="1:14">
      <c r="A3215" s="148"/>
      <c r="B3215" s="149"/>
      <c r="C3215" s="160"/>
      <c r="D3215" s="151"/>
      <c r="E3215" s="152"/>
      <c r="F3215" s="153"/>
      <c r="G3215" s="154"/>
      <c r="H3215" s="154"/>
      <c r="I3215" s="154"/>
      <c r="J3215" s="155"/>
      <c r="K3215" s="156"/>
      <c r="L3215" s="157"/>
      <c r="M3215" s="158" t="s">
        <v>28</v>
      </c>
      <c r="N3215" s="159" t="s">
        <v>29</v>
      </c>
    </row>
    <row r="3216" spans="1:14">
      <c r="A3216" s="148"/>
      <c r="B3216" s="149"/>
      <c r="C3216" s="160"/>
      <c r="D3216" s="151"/>
      <c r="E3216" s="152"/>
      <c r="F3216" s="153"/>
      <c r="G3216" s="154"/>
      <c r="H3216" s="154"/>
      <c r="I3216" s="154"/>
      <c r="J3216" s="155"/>
      <c r="K3216" s="156"/>
      <c r="L3216" s="157"/>
      <c r="M3216" s="158" t="s">
        <v>28</v>
      </c>
      <c r="N3216" s="159" t="s">
        <v>29</v>
      </c>
    </row>
    <row r="3217" spans="1:14">
      <c r="A3217" s="148"/>
      <c r="B3217" s="149"/>
      <c r="C3217" s="160"/>
      <c r="D3217" s="151"/>
      <c r="E3217" s="152"/>
      <c r="F3217" s="153"/>
      <c r="G3217" s="154"/>
      <c r="H3217" s="154"/>
      <c r="I3217" s="154"/>
      <c r="J3217" s="155"/>
      <c r="K3217" s="156"/>
      <c r="L3217" s="157"/>
      <c r="M3217" s="158" t="s">
        <v>28</v>
      </c>
      <c r="N3217" s="159" t="s">
        <v>29</v>
      </c>
    </row>
    <row r="3218" spans="1:14">
      <c r="A3218" s="148"/>
      <c r="B3218" s="149"/>
      <c r="C3218" s="160"/>
      <c r="D3218" s="151"/>
      <c r="E3218" s="152"/>
      <c r="F3218" s="153"/>
      <c r="G3218" s="154"/>
      <c r="H3218" s="154"/>
      <c r="I3218" s="154"/>
      <c r="J3218" s="155"/>
      <c r="K3218" s="156"/>
      <c r="L3218" s="157"/>
      <c r="M3218" s="158" t="s">
        <v>28</v>
      </c>
      <c r="N3218" s="159" t="s">
        <v>29</v>
      </c>
    </row>
    <row r="3219" spans="1:14">
      <c r="A3219" s="148"/>
      <c r="B3219" s="149"/>
      <c r="C3219" s="160"/>
      <c r="D3219" s="151"/>
      <c r="E3219" s="152"/>
      <c r="F3219" s="153"/>
      <c r="G3219" s="154"/>
      <c r="H3219" s="154"/>
      <c r="I3219" s="154"/>
      <c r="J3219" s="155"/>
      <c r="K3219" s="156"/>
      <c r="L3219" s="157"/>
      <c r="M3219" s="158" t="s">
        <v>28</v>
      </c>
      <c r="N3219" s="159" t="s">
        <v>29</v>
      </c>
    </row>
    <row r="3220" spans="1:14">
      <c r="A3220" s="148"/>
      <c r="B3220" s="149"/>
      <c r="C3220" s="160"/>
      <c r="D3220" s="151"/>
      <c r="E3220" s="152"/>
      <c r="F3220" s="153"/>
      <c r="G3220" s="154"/>
      <c r="H3220" s="154"/>
      <c r="I3220" s="154"/>
      <c r="J3220" s="155"/>
      <c r="K3220" s="156"/>
      <c r="L3220" s="157"/>
      <c r="M3220" s="158" t="s">
        <v>28</v>
      </c>
      <c r="N3220" s="159" t="s">
        <v>29</v>
      </c>
    </row>
    <row r="3221" spans="1:14">
      <c r="A3221" s="148"/>
      <c r="B3221" s="149"/>
      <c r="C3221" s="160"/>
      <c r="D3221" s="151"/>
      <c r="E3221" s="152"/>
      <c r="F3221" s="153"/>
      <c r="G3221" s="154"/>
      <c r="H3221" s="154"/>
      <c r="I3221" s="154"/>
      <c r="J3221" s="155"/>
      <c r="K3221" s="156"/>
      <c r="L3221" s="157"/>
      <c r="M3221" s="158" t="s">
        <v>28</v>
      </c>
      <c r="N3221" s="159" t="s">
        <v>29</v>
      </c>
    </row>
    <row r="3222" spans="1:14">
      <c r="A3222" s="148"/>
      <c r="B3222" s="149"/>
      <c r="C3222" s="160"/>
      <c r="D3222" s="151"/>
      <c r="E3222" s="152"/>
      <c r="F3222" s="153"/>
      <c r="G3222" s="154"/>
      <c r="H3222" s="154"/>
      <c r="I3222" s="154"/>
      <c r="J3222" s="155"/>
      <c r="K3222" s="156"/>
      <c r="L3222" s="157"/>
      <c r="M3222" s="158" t="s">
        <v>28</v>
      </c>
      <c r="N3222" s="159" t="s">
        <v>29</v>
      </c>
    </row>
    <row r="3223" spans="1:14">
      <c r="A3223" s="148"/>
      <c r="B3223" s="149"/>
      <c r="C3223" s="160"/>
      <c r="D3223" s="151"/>
      <c r="E3223" s="152"/>
      <c r="F3223" s="153"/>
      <c r="G3223" s="154"/>
      <c r="H3223" s="154"/>
      <c r="I3223" s="154"/>
      <c r="J3223" s="155"/>
      <c r="K3223" s="156"/>
      <c r="L3223" s="157"/>
      <c r="M3223" s="158" t="s">
        <v>28</v>
      </c>
      <c r="N3223" s="159" t="s">
        <v>29</v>
      </c>
    </row>
    <row r="3224" spans="1:14">
      <c r="A3224" s="148"/>
      <c r="B3224" s="149"/>
      <c r="C3224" s="160"/>
      <c r="D3224" s="151"/>
      <c r="E3224" s="152"/>
      <c r="F3224" s="153"/>
      <c r="G3224" s="154"/>
      <c r="H3224" s="154"/>
      <c r="I3224" s="154"/>
      <c r="J3224" s="155"/>
      <c r="K3224" s="156"/>
      <c r="L3224" s="157"/>
      <c r="M3224" s="158" t="s">
        <v>28</v>
      </c>
      <c r="N3224" s="159" t="s">
        <v>29</v>
      </c>
    </row>
    <row r="3225" spans="1:14">
      <c r="A3225" s="148"/>
      <c r="B3225" s="149"/>
      <c r="C3225" s="160"/>
      <c r="D3225" s="151"/>
      <c r="E3225" s="152"/>
      <c r="F3225" s="153"/>
      <c r="G3225" s="154"/>
      <c r="H3225" s="154"/>
      <c r="I3225" s="154"/>
      <c r="J3225" s="155"/>
      <c r="K3225" s="156"/>
      <c r="L3225" s="157"/>
      <c r="M3225" s="158" t="s">
        <v>28</v>
      </c>
      <c r="N3225" s="159" t="s">
        <v>29</v>
      </c>
    </row>
    <row r="3226" spans="1:14">
      <c r="A3226" s="148"/>
      <c r="B3226" s="149"/>
      <c r="C3226" s="160"/>
      <c r="D3226" s="151"/>
      <c r="E3226" s="152"/>
      <c r="F3226" s="153"/>
      <c r="G3226" s="154"/>
      <c r="H3226" s="154"/>
      <c r="I3226" s="154"/>
      <c r="J3226" s="155"/>
      <c r="K3226" s="156"/>
      <c r="L3226" s="157"/>
      <c r="M3226" s="158" t="s">
        <v>28</v>
      </c>
      <c r="N3226" s="159" t="s">
        <v>29</v>
      </c>
    </row>
    <row r="3227" spans="1:14">
      <c r="A3227" s="148"/>
      <c r="B3227" s="149"/>
      <c r="C3227" s="160"/>
      <c r="D3227" s="151"/>
      <c r="E3227" s="152"/>
      <c r="F3227" s="153"/>
      <c r="G3227" s="154"/>
      <c r="H3227" s="154"/>
      <c r="I3227" s="154"/>
      <c r="J3227" s="155"/>
      <c r="K3227" s="156"/>
      <c r="L3227" s="157"/>
      <c r="M3227" s="158" t="s">
        <v>28</v>
      </c>
      <c r="N3227" s="159" t="s">
        <v>29</v>
      </c>
    </row>
    <row r="3228" spans="1:14">
      <c r="A3228" s="148"/>
      <c r="B3228" s="149"/>
      <c r="C3228" s="160"/>
      <c r="D3228" s="151"/>
      <c r="E3228" s="152"/>
      <c r="F3228" s="153"/>
      <c r="G3228" s="154"/>
      <c r="H3228" s="154"/>
      <c r="I3228" s="154"/>
      <c r="J3228" s="155"/>
      <c r="K3228" s="156"/>
      <c r="L3228" s="157"/>
      <c r="M3228" s="158" t="s">
        <v>28</v>
      </c>
      <c r="N3228" s="159" t="s">
        <v>29</v>
      </c>
    </row>
    <row r="3229" spans="1:14">
      <c r="A3229" s="148"/>
      <c r="B3229" s="149"/>
      <c r="C3229" s="160"/>
      <c r="D3229" s="151"/>
      <c r="E3229" s="152"/>
      <c r="F3229" s="153"/>
      <c r="G3229" s="154"/>
      <c r="H3229" s="154"/>
      <c r="I3229" s="154"/>
      <c r="J3229" s="155"/>
      <c r="K3229" s="156"/>
      <c r="L3229" s="157"/>
      <c r="M3229" s="158" t="s">
        <v>28</v>
      </c>
      <c r="N3229" s="159" t="s">
        <v>29</v>
      </c>
    </row>
    <row r="3230" spans="1:14">
      <c r="A3230" s="148"/>
      <c r="B3230" s="149"/>
      <c r="C3230" s="160"/>
      <c r="D3230" s="151"/>
      <c r="E3230" s="152"/>
      <c r="F3230" s="153"/>
      <c r="G3230" s="154"/>
      <c r="H3230" s="154"/>
      <c r="I3230" s="154"/>
      <c r="J3230" s="155"/>
      <c r="K3230" s="156"/>
      <c r="L3230" s="157"/>
      <c r="M3230" s="158" t="s">
        <v>28</v>
      </c>
      <c r="N3230" s="159" t="s">
        <v>29</v>
      </c>
    </row>
    <row r="3231" spans="1:14">
      <c r="A3231" s="148"/>
      <c r="B3231" s="149"/>
      <c r="C3231" s="160"/>
      <c r="D3231" s="151"/>
      <c r="E3231" s="152"/>
      <c r="F3231" s="153"/>
      <c r="G3231" s="154"/>
      <c r="H3231" s="154"/>
      <c r="I3231" s="154"/>
      <c r="J3231" s="155"/>
      <c r="K3231" s="156"/>
      <c r="L3231" s="157"/>
      <c r="M3231" s="158" t="s">
        <v>28</v>
      </c>
      <c r="N3231" s="159" t="s">
        <v>29</v>
      </c>
    </row>
    <row r="3232" spans="1:14">
      <c r="A3232" s="148"/>
      <c r="B3232" s="149"/>
      <c r="C3232" s="160"/>
      <c r="D3232" s="151"/>
      <c r="E3232" s="152"/>
      <c r="F3232" s="153"/>
      <c r="G3232" s="154"/>
      <c r="H3232" s="154"/>
      <c r="I3232" s="154"/>
      <c r="J3232" s="155"/>
      <c r="K3232" s="156"/>
      <c r="L3232" s="157"/>
      <c r="M3232" s="158" t="s">
        <v>28</v>
      </c>
      <c r="N3232" s="159" t="s">
        <v>29</v>
      </c>
    </row>
    <row r="3233" spans="1:14">
      <c r="A3233" s="148"/>
      <c r="B3233" s="149"/>
      <c r="C3233" s="160"/>
      <c r="D3233" s="151"/>
      <c r="E3233" s="152"/>
      <c r="F3233" s="153"/>
      <c r="G3233" s="154"/>
      <c r="H3233" s="154"/>
      <c r="I3233" s="154"/>
      <c r="J3233" s="155"/>
      <c r="K3233" s="156"/>
      <c r="L3233" s="157"/>
      <c r="M3233" s="158" t="s">
        <v>28</v>
      </c>
      <c r="N3233" s="159" t="s">
        <v>29</v>
      </c>
    </row>
    <row r="3234" spans="1:14">
      <c r="A3234" s="148"/>
      <c r="B3234" s="149"/>
      <c r="C3234" s="160"/>
      <c r="D3234" s="151"/>
      <c r="E3234" s="152"/>
      <c r="F3234" s="153"/>
      <c r="G3234" s="154"/>
      <c r="H3234" s="154"/>
      <c r="I3234" s="154"/>
      <c r="J3234" s="155"/>
      <c r="K3234" s="156"/>
      <c r="L3234" s="157"/>
      <c r="M3234" s="158" t="s">
        <v>28</v>
      </c>
      <c r="N3234" s="159" t="s">
        <v>29</v>
      </c>
    </row>
    <row r="3235" spans="1:14">
      <c r="A3235" s="148"/>
      <c r="B3235" s="149"/>
      <c r="C3235" s="160"/>
      <c r="D3235" s="151"/>
      <c r="E3235" s="152"/>
      <c r="F3235" s="153"/>
      <c r="G3235" s="154"/>
      <c r="H3235" s="154"/>
      <c r="I3235" s="154"/>
      <c r="J3235" s="155"/>
      <c r="K3235" s="156"/>
      <c r="L3235" s="157"/>
      <c r="M3235" s="158" t="s">
        <v>28</v>
      </c>
      <c r="N3235" s="159" t="s">
        <v>29</v>
      </c>
    </row>
    <row r="3236" spans="1:14">
      <c r="A3236" s="148"/>
      <c r="B3236" s="149"/>
      <c r="C3236" s="160"/>
      <c r="D3236" s="151"/>
      <c r="E3236" s="152"/>
      <c r="F3236" s="153"/>
      <c r="G3236" s="154"/>
      <c r="H3236" s="154"/>
      <c r="I3236" s="154"/>
      <c r="J3236" s="155"/>
      <c r="K3236" s="156"/>
      <c r="L3236" s="157"/>
      <c r="M3236" s="158" t="s">
        <v>28</v>
      </c>
      <c r="N3236" s="159" t="s">
        <v>29</v>
      </c>
    </row>
    <row r="3237" spans="1:14">
      <c r="A3237" s="148"/>
      <c r="B3237" s="149"/>
      <c r="C3237" s="160"/>
      <c r="D3237" s="151"/>
      <c r="E3237" s="152"/>
      <c r="F3237" s="153"/>
      <c r="G3237" s="154"/>
      <c r="H3237" s="154"/>
      <c r="I3237" s="154"/>
      <c r="J3237" s="155"/>
      <c r="K3237" s="156"/>
      <c r="L3237" s="157"/>
      <c r="M3237" s="158" t="s">
        <v>28</v>
      </c>
      <c r="N3237" s="159" t="s">
        <v>29</v>
      </c>
    </row>
    <row r="3238" spans="1:14">
      <c r="A3238" s="148"/>
      <c r="B3238" s="149"/>
      <c r="C3238" s="160"/>
      <c r="D3238" s="151"/>
      <c r="E3238" s="152"/>
      <c r="F3238" s="153"/>
      <c r="G3238" s="154"/>
      <c r="H3238" s="154"/>
      <c r="I3238" s="154"/>
      <c r="J3238" s="155"/>
      <c r="K3238" s="156"/>
      <c r="L3238" s="157"/>
      <c r="M3238" s="158" t="s">
        <v>28</v>
      </c>
      <c r="N3238" s="159" t="s">
        <v>29</v>
      </c>
    </row>
    <row r="3239" spans="1:14">
      <c r="A3239" s="148"/>
      <c r="B3239" s="149"/>
      <c r="C3239" s="160"/>
      <c r="D3239" s="151"/>
      <c r="E3239" s="152"/>
      <c r="F3239" s="153"/>
      <c r="G3239" s="154"/>
      <c r="H3239" s="154"/>
      <c r="I3239" s="154"/>
      <c r="J3239" s="155"/>
      <c r="K3239" s="156"/>
      <c r="L3239" s="157"/>
      <c r="M3239" s="158" t="s">
        <v>28</v>
      </c>
      <c r="N3239" s="159" t="s">
        <v>29</v>
      </c>
    </row>
    <row r="3240" spans="1:14">
      <c r="A3240" s="148"/>
      <c r="B3240" s="149"/>
      <c r="C3240" s="160"/>
      <c r="D3240" s="151"/>
      <c r="E3240" s="152"/>
      <c r="F3240" s="153"/>
      <c r="G3240" s="154"/>
      <c r="H3240" s="154"/>
      <c r="I3240" s="154"/>
      <c r="J3240" s="155"/>
      <c r="K3240" s="156"/>
      <c r="L3240" s="157"/>
      <c r="M3240" s="158" t="s">
        <v>28</v>
      </c>
      <c r="N3240" s="159" t="s">
        <v>29</v>
      </c>
    </row>
    <row r="3241" spans="1:14">
      <c r="A3241" s="148"/>
      <c r="B3241" s="149"/>
      <c r="C3241" s="160"/>
      <c r="D3241" s="151"/>
      <c r="E3241" s="152"/>
      <c r="F3241" s="153"/>
      <c r="G3241" s="154"/>
      <c r="H3241" s="154"/>
      <c r="I3241" s="154"/>
      <c r="J3241" s="155"/>
      <c r="K3241" s="156"/>
      <c r="L3241" s="157"/>
      <c r="M3241" s="158" t="s">
        <v>28</v>
      </c>
      <c r="N3241" s="159" t="s">
        <v>29</v>
      </c>
    </row>
    <row r="3242" spans="1:14">
      <c r="A3242" s="148"/>
      <c r="B3242" s="149"/>
      <c r="C3242" s="160"/>
      <c r="D3242" s="151"/>
      <c r="E3242" s="152"/>
      <c r="F3242" s="153"/>
      <c r="G3242" s="154"/>
      <c r="H3242" s="154"/>
      <c r="I3242" s="154"/>
      <c r="J3242" s="155"/>
      <c r="K3242" s="156"/>
      <c r="L3242" s="157"/>
      <c r="M3242" s="158" t="s">
        <v>28</v>
      </c>
      <c r="N3242" s="159" t="s">
        <v>29</v>
      </c>
    </row>
    <row r="3243" spans="1:14">
      <c r="A3243" s="148"/>
      <c r="B3243" s="149"/>
      <c r="C3243" s="160"/>
      <c r="D3243" s="151"/>
      <c r="E3243" s="152"/>
      <c r="F3243" s="153"/>
      <c r="G3243" s="154"/>
      <c r="H3243" s="154"/>
      <c r="I3243" s="154"/>
      <c r="J3243" s="155"/>
      <c r="K3243" s="156"/>
      <c r="L3243" s="157"/>
      <c r="M3243" s="158" t="s">
        <v>28</v>
      </c>
      <c r="N3243" s="159" t="s">
        <v>29</v>
      </c>
    </row>
    <row r="3244" spans="1:14">
      <c r="A3244" s="148"/>
      <c r="B3244" s="149"/>
      <c r="C3244" s="160"/>
      <c r="D3244" s="151"/>
      <c r="E3244" s="152"/>
      <c r="F3244" s="153"/>
      <c r="G3244" s="154"/>
      <c r="H3244" s="154"/>
      <c r="I3244" s="154"/>
      <c r="J3244" s="155"/>
      <c r="K3244" s="156"/>
      <c r="L3244" s="157"/>
      <c r="M3244" s="158" t="s">
        <v>28</v>
      </c>
      <c r="N3244" s="159" t="s">
        <v>29</v>
      </c>
    </row>
    <row r="3245" spans="1:14">
      <c r="A3245" s="148"/>
      <c r="B3245" s="149"/>
      <c r="C3245" s="160"/>
      <c r="D3245" s="151"/>
      <c r="E3245" s="152"/>
      <c r="F3245" s="153"/>
      <c r="G3245" s="154"/>
      <c r="H3245" s="154"/>
      <c r="I3245" s="154"/>
      <c r="J3245" s="155"/>
      <c r="K3245" s="156"/>
      <c r="L3245" s="157"/>
      <c r="M3245" s="158" t="s">
        <v>28</v>
      </c>
      <c r="N3245" s="159" t="s">
        <v>29</v>
      </c>
    </row>
    <row r="3246" spans="1:14">
      <c r="A3246" s="148"/>
      <c r="B3246" s="149"/>
      <c r="C3246" s="160"/>
      <c r="D3246" s="151"/>
      <c r="E3246" s="152"/>
      <c r="F3246" s="153"/>
      <c r="G3246" s="154"/>
      <c r="H3246" s="154"/>
      <c r="I3246" s="154"/>
      <c r="J3246" s="155"/>
      <c r="K3246" s="156"/>
      <c r="L3246" s="157"/>
      <c r="M3246" s="158" t="s">
        <v>28</v>
      </c>
      <c r="N3246" s="159" t="s">
        <v>29</v>
      </c>
    </row>
    <row r="3247" spans="1:14">
      <c r="A3247" s="148"/>
      <c r="B3247" s="149"/>
      <c r="C3247" s="160"/>
      <c r="D3247" s="151"/>
      <c r="E3247" s="152"/>
      <c r="F3247" s="153"/>
      <c r="G3247" s="154"/>
      <c r="H3247" s="154"/>
      <c r="I3247" s="154"/>
      <c r="J3247" s="155"/>
      <c r="K3247" s="156"/>
      <c r="L3247" s="157"/>
      <c r="M3247" s="158" t="s">
        <v>28</v>
      </c>
      <c r="N3247" s="159" t="s">
        <v>29</v>
      </c>
    </row>
    <row r="3248" spans="1:14">
      <c r="A3248" s="148"/>
      <c r="B3248" s="149"/>
      <c r="C3248" s="160"/>
      <c r="D3248" s="151"/>
      <c r="E3248" s="152"/>
      <c r="F3248" s="153"/>
      <c r="G3248" s="154"/>
      <c r="H3248" s="154"/>
      <c r="I3248" s="154"/>
      <c r="J3248" s="155"/>
      <c r="K3248" s="156"/>
      <c r="L3248" s="157"/>
      <c r="M3248" s="158" t="s">
        <v>28</v>
      </c>
      <c r="N3248" s="159" t="s">
        <v>29</v>
      </c>
    </row>
    <row r="3249" spans="1:14">
      <c r="A3249" s="148"/>
      <c r="B3249" s="149"/>
      <c r="C3249" s="160"/>
      <c r="D3249" s="151"/>
      <c r="E3249" s="152"/>
      <c r="F3249" s="153"/>
      <c r="G3249" s="154"/>
      <c r="H3249" s="154"/>
      <c r="I3249" s="154"/>
      <c r="J3249" s="155"/>
      <c r="K3249" s="156"/>
      <c r="L3249" s="157"/>
      <c r="M3249" s="158" t="s">
        <v>28</v>
      </c>
      <c r="N3249" s="159" t="s">
        <v>29</v>
      </c>
    </row>
    <row r="3250" spans="1:14">
      <c r="A3250" s="148"/>
      <c r="B3250" s="149"/>
      <c r="C3250" s="160"/>
      <c r="D3250" s="151"/>
      <c r="E3250" s="152"/>
      <c r="F3250" s="153"/>
      <c r="G3250" s="154"/>
      <c r="H3250" s="154"/>
      <c r="I3250" s="154"/>
      <c r="J3250" s="155"/>
      <c r="K3250" s="156"/>
      <c r="L3250" s="157"/>
      <c r="M3250" s="158" t="s">
        <v>28</v>
      </c>
      <c r="N3250" s="159" t="s">
        <v>29</v>
      </c>
    </row>
    <row r="3251" spans="1:14">
      <c r="A3251" s="148"/>
      <c r="B3251" s="149"/>
      <c r="C3251" s="160"/>
      <c r="D3251" s="151"/>
      <c r="E3251" s="152"/>
      <c r="F3251" s="153"/>
      <c r="G3251" s="154"/>
      <c r="H3251" s="154"/>
      <c r="I3251" s="154"/>
      <c r="J3251" s="155"/>
      <c r="K3251" s="156"/>
      <c r="L3251" s="157"/>
      <c r="M3251" s="158" t="s">
        <v>28</v>
      </c>
      <c r="N3251" s="159" t="s">
        <v>29</v>
      </c>
    </row>
    <row r="3252" spans="1:14">
      <c r="A3252" s="148"/>
      <c r="B3252" s="149"/>
      <c r="C3252" s="160"/>
      <c r="D3252" s="151"/>
      <c r="E3252" s="152"/>
      <c r="F3252" s="153"/>
      <c r="G3252" s="154"/>
      <c r="H3252" s="154"/>
      <c r="I3252" s="154"/>
      <c r="J3252" s="155"/>
      <c r="K3252" s="156"/>
      <c r="L3252" s="157"/>
      <c r="M3252" s="158" t="s">
        <v>28</v>
      </c>
      <c r="N3252" s="159" t="s">
        <v>29</v>
      </c>
    </row>
    <row r="3253" spans="1:14">
      <c r="A3253" s="148"/>
      <c r="B3253" s="149"/>
      <c r="C3253" s="160"/>
      <c r="D3253" s="151"/>
      <c r="E3253" s="152"/>
      <c r="F3253" s="153"/>
      <c r="G3253" s="154"/>
      <c r="H3253" s="154"/>
      <c r="I3253" s="154"/>
      <c r="J3253" s="155"/>
      <c r="K3253" s="156"/>
      <c r="L3253" s="157"/>
      <c r="M3253" s="158" t="s">
        <v>28</v>
      </c>
      <c r="N3253" s="159" t="s">
        <v>29</v>
      </c>
    </row>
    <row r="3254" spans="1:14">
      <c r="A3254" s="148"/>
      <c r="B3254" s="149"/>
      <c r="C3254" s="160"/>
      <c r="D3254" s="151"/>
      <c r="E3254" s="152"/>
      <c r="F3254" s="153"/>
      <c r="G3254" s="154"/>
      <c r="H3254" s="154"/>
      <c r="I3254" s="154"/>
      <c r="J3254" s="155"/>
      <c r="K3254" s="156"/>
      <c r="L3254" s="157"/>
      <c r="M3254" s="158" t="s">
        <v>28</v>
      </c>
      <c r="N3254" s="159" t="s">
        <v>29</v>
      </c>
    </row>
    <row r="3255" spans="1:14">
      <c r="A3255" s="148"/>
      <c r="B3255" s="149"/>
      <c r="C3255" s="160"/>
      <c r="D3255" s="151"/>
      <c r="E3255" s="152"/>
      <c r="F3255" s="153"/>
      <c r="G3255" s="154"/>
      <c r="H3255" s="154"/>
      <c r="I3255" s="154"/>
      <c r="J3255" s="155"/>
      <c r="K3255" s="156"/>
      <c r="L3255" s="157"/>
      <c r="M3255" s="158" t="s">
        <v>28</v>
      </c>
      <c r="N3255" s="159" t="s">
        <v>29</v>
      </c>
    </row>
    <row r="3256" spans="1:14">
      <c r="A3256" s="148"/>
      <c r="B3256" s="149"/>
      <c r="C3256" s="160"/>
      <c r="D3256" s="151"/>
      <c r="E3256" s="152"/>
      <c r="F3256" s="153"/>
      <c r="G3256" s="154"/>
      <c r="H3256" s="154"/>
      <c r="I3256" s="154"/>
      <c r="J3256" s="155"/>
      <c r="K3256" s="156"/>
      <c r="L3256" s="157"/>
      <c r="M3256" s="158" t="s">
        <v>28</v>
      </c>
      <c r="N3256" s="159" t="s">
        <v>29</v>
      </c>
    </row>
    <row r="3257" spans="1:14">
      <c r="A3257" s="148"/>
      <c r="B3257" s="149"/>
      <c r="C3257" s="160"/>
      <c r="D3257" s="151"/>
      <c r="E3257" s="152"/>
      <c r="F3257" s="153"/>
      <c r="G3257" s="154"/>
      <c r="H3257" s="154"/>
      <c r="I3257" s="154"/>
      <c r="J3257" s="155"/>
      <c r="K3257" s="156"/>
      <c r="L3257" s="157"/>
      <c r="M3257" s="158" t="s">
        <v>28</v>
      </c>
      <c r="N3257" s="159" t="s">
        <v>29</v>
      </c>
    </row>
    <row r="3258" spans="1:14">
      <c r="A3258" s="148"/>
      <c r="B3258" s="149"/>
      <c r="C3258" s="160"/>
      <c r="D3258" s="151"/>
      <c r="E3258" s="152"/>
      <c r="F3258" s="153"/>
      <c r="G3258" s="154"/>
      <c r="H3258" s="154"/>
      <c r="I3258" s="154"/>
      <c r="J3258" s="155"/>
      <c r="K3258" s="156"/>
      <c r="L3258" s="157"/>
      <c r="M3258" s="158" t="s">
        <v>28</v>
      </c>
      <c r="N3258" s="159" t="s">
        <v>29</v>
      </c>
    </row>
    <row r="3259" spans="1:14">
      <c r="A3259" s="148"/>
      <c r="B3259" s="149"/>
      <c r="C3259" s="160"/>
      <c r="D3259" s="151"/>
      <c r="E3259" s="152"/>
      <c r="F3259" s="153"/>
      <c r="G3259" s="154"/>
      <c r="H3259" s="154"/>
      <c r="I3259" s="154"/>
      <c r="J3259" s="155"/>
      <c r="K3259" s="156"/>
      <c r="L3259" s="157"/>
      <c r="M3259" s="158" t="s">
        <v>28</v>
      </c>
      <c r="N3259" s="159" t="s">
        <v>29</v>
      </c>
    </row>
    <row r="3260" spans="1:14">
      <c r="A3260" s="148"/>
      <c r="B3260" s="149"/>
      <c r="C3260" s="160"/>
      <c r="D3260" s="151"/>
      <c r="E3260" s="152"/>
      <c r="F3260" s="153"/>
      <c r="G3260" s="154"/>
      <c r="H3260" s="154"/>
      <c r="I3260" s="154"/>
      <c r="J3260" s="155"/>
      <c r="K3260" s="156"/>
      <c r="L3260" s="157"/>
      <c r="M3260" s="158" t="s">
        <v>28</v>
      </c>
      <c r="N3260" s="159" t="s">
        <v>29</v>
      </c>
    </row>
    <row r="3261" spans="1:14">
      <c r="A3261" s="148"/>
      <c r="B3261" s="149"/>
      <c r="C3261" s="160"/>
      <c r="D3261" s="151"/>
      <c r="E3261" s="152"/>
      <c r="F3261" s="153"/>
      <c r="G3261" s="154"/>
      <c r="H3261" s="154"/>
      <c r="I3261" s="154"/>
      <c r="J3261" s="155"/>
      <c r="K3261" s="156"/>
      <c r="L3261" s="157"/>
      <c r="M3261" s="158" t="s">
        <v>28</v>
      </c>
      <c r="N3261" s="159" t="s">
        <v>29</v>
      </c>
    </row>
    <row r="3262" spans="1:14">
      <c r="A3262" s="148"/>
      <c r="B3262" s="149"/>
      <c r="C3262" s="150"/>
      <c r="D3262" s="151"/>
      <c r="E3262" s="152"/>
      <c r="F3262" s="153"/>
      <c r="G3262" s="154"/>
      <c r="H3262" s="154"/>
      <c r="I3262" s="154"/>
      <c r="J3262" s="155"/>
      <c r="K3262" s="156"/>
      <c r="L3262" s="157"/>
      <c r="M3262" s="158" t="s">
        <v>28</v>
      </c>
      <c r="N3262" s="159" t="s">
        <v>29</v>
      </c>
    </row>
    <row r="3263" spans="1:14">
      <c r="A3263" s="148"/>
      <c r="B3263" s="149"/>
      <c r="C3263" s="150"/>
      <c r="D3263" s="151"/>
      <c r="E3263" s="152"/>
      <c r="F3263" s="153"/>
      <c r="G3263" s="154"/>
      <c r="H3263" s="154"/>
      <c r="I3263" s="154"/>
      <c r="J3263" s="155"/>
      <c r="K3263" s="156"/>
      <c r="L3263" s="157"/>
      <c r="M3263" s="158" t="s">
        <v>28</v>
      </c>
      <c r="N3263" s="159" t="s">
        <v>29</v>
      </c>
    </row>
    <row r="3264" spans="1:14">
      <c r="A3264" s="148"/>
      <c r="B3264" s="149"/>
      <c r="C3264" s="160"/>
      <c r="D3264" s="151"/>
      <c r="E3264" s="152"/>
      <c r="F3264" s="153"/>
      <c r="G3264" s="154"/>
      <c r="H3264" s="154"/>
      <c r="I3264" s="154"/>
      <c r="J3264" s="155"/>
      <c r="K3264" s="156"/>
      <c r="L3264" s="157"/>
      <c r="M3264" s="158" t="s">
        <v>28</v>
      </c>
      <c r="N3264" s="159" t="s">
        <v>29</v>
      </c>
    </row>
    <row r="3265" spans="1:14">
      <c r="A3265" s="148"/>
      <c r="B3265" s="149"/>
      <c r="C3265" s="160"/>
      <c r="D3265" s="151"/>
      <c r="E3265" s="152"/>
      <c r="F3265" s="153"/>
      <c r="G3265" s="154"/>
      <c r="H3265" s="154"/>
      <c r="I3265" s="154"/>
      <c r="J3265" s="155"/>
      <c r="K3265" s="156"/>
      <c r="L3265" s="157"/>
      <c r="M3265" s="158" t="s">
        <v>28</v>
      </c>
      <c r="N3265" s="159" t="s">
        <v>29</v>
      </c>
    </row>
    <row r="3266" spans="1:14">
      <c r="A3266" s="148"/>
      <c r="B3266" s="149"/>
      <c r="C3266" s="160"/>
      <c r="D3266" s="151"/>
      <c r="E3266" s="152"/>
      <c r="F3266" s="153"/>
      <c r="G3266" s="154"/>
      <c r="H3266" s="154"/>
      <c r="I3266" s="154"/>
      <c r="J3266" s="155"/>
      <c r="K3266" s="156"/>
      <c r="L3266" s="157"/>
      <c r="M3266" s="158" t="s">
        <v>28</v>
      </c>
      <c r="N3266" s="159" t="s">
        <v>29</v>
      </c>
    </row>
    <row r="3267" spans="1:14">
      <c r="A3267" s="148"/>
      <c r="B3267" s="149"/>
      <c r="C3267" s="160"/>
      <c r="D3267" s="151"/>
      <c r="E3267" s="152"/>
      <c r="F3267" s="153"/>
      <c r="G3267" s="154"/>
      <c r="H3267" s="154"/>
      <c r="I3267" s="154"/>
      <c r="J3267" s="155"/>
      <c r="K3267" s="156"/>
      <c r="L3267" s="157"/>
      <c r="M3267" s="158" t="s">
        <v>28</v>
      </c>
      <c r="N3267" s="159" t="s">
        <v>29</v>
      </c>
    </row>
    <row r="3268" spans="1:14">
      <c r="A3268" s="148"/>
      <c r="B3268" s="149"/>
      <c r="C3268" s="160"/>
      <c r="D3268" s="151"/>
      <c r="E3268" s="152"/>
      <c r="F3268" s="153"/>
      <c r="G3268" s="154"/>
      <c r="H3268" s="154"/>
      <c r="I3268" s="154"/>
      <c r="J3268" s="155"/>
      <c r="K3268" s="156"/>
      <c r="L3268" s="157"/>
      <c r="M3268" s="158" t="s">
        <v>28</v>
      </c>
      <c r="N3268" s="159" t="s">
        <v>29</v>
      </c>
    </row>
    <row r="3269" spans="1:14">
      <c r="A3269" s="148"/>
      <c r="B3269" s="149"/>
      <c r="C3269" s="160"/>
      <c r="D3269" s="151"/>
      <c r="E3269" s="152"/>
      <c r="F3269" s="153"/>
      <c r="G3269" s="154"/>
      <c r="H3269" s="154"/>
      <c r="I3269" s="154"/>
      <c r="J3269" s="155"/>
      <c r="K3269" s="156"/>
      <c r="L3269" s="157"/>
      <c r="M3269" s="158" t="s">
        <v>28</v>
      </c>
      <c r="N3269" s="159" t="s">
        <v>29</v>
      </c>
    </row>
    <row r="3270" spans="1:14">
      <c r="A3270" s="148"/>
      <c r="B3270" s="149"/>
      <c r="C3270" s="160"/>
      <c r="D3270" s="151"/>
      <c r="E3270" s="152"/>
      <c r="F3270" s="153"/>
      <c r="G3270" s="154"/>
      <c r="H3270" s="154"/>
      <c r="I3270" s="154"/>
      <c r="J3270" s="155"/>
      <c r="K3270" s="156"/>
      <c r="L3270" s="157"/>
      <c r="M3270" s="158" t="s">
        <v>28</v>
      </c>
      <c r="N3270" s="159" t="s">
        <v>29</v>
      </c>
    </row>
    <row r="3271" spans="1:14">
      <c r="A3271" s="148"/>
      <c r="B3271" s="149"/>
      <c r="C3271" s="160"/>
      <c r="D3271" s="151"/>
      <c r="E3271" s="152"/>
      <c r="F3271" s="153"/>
      <c r="G3271" s="154"/>
      <c r="H3271" s="154"/>
      <c r="I3271" s="154"/>
      <c r="J3271" s="155"/>
      <c r="K3271" s="156"/>
      <c r="L3271" s="157"/>
      <c r="M3271" s="158" t="s">
        <v>28</v>
      </c>
      <c r="N3271" s="159" t="s">
        <v>29</v>
      </c>
    </row>
    <row r="3272" spans="1:14">
      <c r="A3272" s="148"/>
      <c r="B3272" s="149"/>
      <c r="C3272" s="160"/>
      <c r="D3272" s="151"/>
      <c r="E3272" s="152"/>
      <c r="F3272" s="153"/>
      <c r="G3272" s="154"/>
      <c r="H3272" s="154"/>
      <c r="I3272" s="154"/>
      <c r="J3272" s="155"/>
      <c r="K3272" s="156"/>
      <c r="L3272" s="157"/>
      <c r="M3272" s="158" t="s">
        <v>28</v>
      </c>
      <c r="N3272" s="159" t="s">
        <v>29</v>
      </c>
    </row>
    <row r="3273" spans="1:14">
      <c r="A3273" s="148"/>
      <c r="B3273" s="149"/>
      <c r="C3273" s="160"/>
      <c r="D3273" s="151"/>
      <c r="E3273" s="152"/>
      <c r="F3273" s="153"/>
      <c r="G3273" s="154"/>
      <c r="H3273" s="154"/>
      <c r="I3273" s="154"/>
      <c r="J3273" s="155"/>
      <c r="K3273" s="156"/>
      <c r="L3273" s="157"/>
      <c r="M3273" s="158" t="s">
        <v>28</v>
      </c>
      <c r="N3273" s="159" t="s">
        <v>29</v>
      </c>
    </row>
    <row r="3274" spans="1:14">
      <c r="A3274" s="148"/>
      <c r="B3274" s="149"/>
      <c r="C3274" s="160"/>
      <c r="D3274" s="151"/>
      <c r="E3274" s="152"/>
      <c r="F3274" s="153"/>
      <c r="G3274" s="154"/>
      <c r="H3274" s="154"/>
      <c r="I3274" s="154"/>
      <c r="J3274" s="155"/>
      <c r="K3274" s="156"/>
      <c r="L3274" s="157"/>
      <c r="M3274" s="158" t="s">
        <v>28</v>
      </c>
      <c r="N3274" s="159" t="s">
        <v>29</v>
      </c>
    </row>
    <row r="3275" spans="1:14">
      <c r="A3275" s="148"/>
      <c r="B3275" s="149"/>
      <c r="C3275" s="160"/>
      <c r="D3275" s="151"/>
      <c r="E3275" s="152"/>
      <c r="F3275" s="153"/>
      <c r="G3275" s="154"/>
      <c r="H3275" s="154"/>
      <c r="I3275" s="154"/>
      <c r="J3275" s="155"/>
      <c r="K3275" s="156"/>
      <c r="L3275" s="157"/>
      <c r="M3275" s="158" t="s">
        <v>28</v>
      </c>
      <c r="N3275" s="159" t="s">
        <v>29</v>
      </c>
    </row>
    <row r="3276" spans="1:14">
      <c r="A3276" s="148"/>
      <c r="B3276" s="149"/>
      <c r="C3276" s="160"/>
      <c r="D3276" s="151"/>
      <c r="E3276" s="152"/>
      <c r="F3276" s="153"/>
      <c r="G3276" s="154"/>
      <c r="H3276" s="154"/>
      <c r="I3276" s="154"/>
      <c r="J3276" s="155"/>
      <c r="K3276" s="156"/>
      <c r="L3276" s="157"/>
      <c r="M3276" s="158" t="s">
        <v>28</v>
      </c>
      <c r="N3276" s="159" t="s">
        <v>29</v>
      </c>
    </row>
    <row r="3277" spans="1:14">
      <c r="A3277" s="148"/>
      <c r="B3277" s="149"/>
      <c r="C3277" s="160"/>
      <c r="D3277" s="151"/>
      <c r="E3277" s="152"/>
      <c r="F3277" s="153"/>
      <c r="G3277" s="154"/>
      <c r="H3277" s="154"/>
      <c r="I3277" s="154"/>
      <c r="J3277" s="155"/>
      <c r="K3277" s="156"/>
      <c r="L3277" s="157"/>
      <c r="M3277" s="158" t="s">
        <v>28</v>
      </c>
      <c r="N3277" s="159" t="s">
        <v>29</v>
      </c>
    </row>
    <row r="3278" spans="1:14">
      <c r="A3278" s="148"/>
      <c r="B3278" s="149"/>
      <c r="C3278" s="160"/>
      <c r="D3278" s="151"/>
      <c r="E3278" s="152"/>
      <c r="F3278" s="153"/>
      <c r="G3278" s="154"/>
      <c r="H3278" s="154"/>
      <c r="I3278" s="154"/>
      <c r="J3278" s="155"/>
      <c r="K3278" s="156"/>
      <c r="L3278" s="157"/>
      <c r="M3278" s="158" t="s">
        <v>28</v>
      </c>
      <c r="N3278" s="159" t="s">
        <v>29</v>
      </c>
    </row>
    <row r="3279" spans="1:14">
      <c r="A3279" s="148"/>
      <c r="B3279" s="149"/>
      <c r="C3279" s="160"/>
      <c r="D3279" s="151"/>
      <c r="E3279" s="152"/>
      <c r="F3279" s="153"/>
      <c r="G3279" s="154"/>
      <c r="H3279" s="154"/>
      <c r="I3279" s="154"/>
      <c r="J3279" s="155"/>
      <c r="K3279" s="156"/>
      <c r="L3279" s="157"/>
      <c r="M3279" s="158" t="s">
        <v>28</v>
      </c>
      <c r="N3279" s="159" t="s">
        <v>29</v>
      </c>
    </row>
    <row r="3280" spans="1:14">
      <c r="A3280" s="148"/>
      <c r="B3280" s="149"/>
      <c r="C3280" s="160"/>
      <c r="D3280" s="151"/>
      <c r="E3280" s="152"/>
      <c r="F3280" s="153"/>
      <c r="G3280" s="154"/>
      <c r="H3280" s="154"/>
      <c r="I3280" s="154"/>
      <c r="J3280" s="155"/>
      <c r="K3280" s="156"/>
      <c r="L3280" s="157"/>
      <c r="M3280" s="158" t="s">
        <v>28</v>
      </c>
      <c r="N3280" s="159" t="s">
        <v>29</v>
      </c>
    </row>
    <row r="3281" spans="1:14">
      <c r="A3281" s="148"/>
      <c r="B3281" s="149"/>
      <c r="C3281" s="160"/>
      <c r="D3281" s="151"/>
      <c r="E3281" s="152"/>
      <c r="F3281" s="153"/>
      <c r="G3281" s="154"/>
      <c r="H3281" s="154"/>
      <c r="I3281" s="154"/>
      <c r="J3281" s="155"/>
      <c r="K3281" s="156"/>
      <c r="L3281" s="157"/>
      <c r="M3281" s="158" t="s">
        <v>28</v>
      </c>
      <c r="N3281" s="159" t="s">
        <v>29</v>
      </c>
    </row>
    <row r="3282" spans="1:14">
      <c r="A3282" s="148"/>
      <c r="B3282" s="149"/>
      <c r="C3282" s="160"/>
      <c r="D3282" s="151"/>
      <c r="E3282" s="152"/>
      <c r="F3282" s="153"/>
      <c r="G3282" s="154"/>
      <c r="H3282" s="154"/>
      <c r="I3282" s="154"/>
      <c r="J3282" s="155"/>
      <c r="K3282" s="156"/>
      <c r="L3282" s="157"/>
      <c r="M3282" s="158" t="s">
        <v>28</v>
      </c>
      <c r="N3282" s="159" t="s">
        <v>29</v>
      </c>
    </row>
    <row r="3283" spans="1:14">
      <c r="A3283" s="148"/>
      <c r="B3283" s="149"/>
      <c r="C3283" s="160"/>
      <c r="D3283" s="151"/>
      <c r="E3283" s="152"/>
      <c r="F3283" s="153"/>
      <c r="G3283" s="154"/>
      <c r="H3283" s="154"/>
      <c r="I3283" s="154"/>
      <c r="J3283" s="155"/>
      <c r="K3283" s="156"/>
      <c r="L3283" s="157"/>
      <c r="M3283" s="158" t="s">
        <v>28</v>
      </c>
      <c r="N3283" s="159" t="s">
        <v>29</v>
      </c>
    </row>
    <row r="3284" spans="1:14">
      <c r="A3284" s="148"/>
      <c r="B3284" s="149"/>
      <c r="C3284" s="160"/>
      <c r="D3284" s="151"/>
      <c r="E3284" s="152"/>
      <c r="F3284" s="153"/>
      <c r="G3284" s="154"/>
      <c r="H3284" s="154"/>
      <c r="I3284" s="154"/>
      <c r="J3284" s="155"/>
      <c r="K3284" s="156"/>
      <c r="L3284" s="157"/>
      <c r="M3284" s="158" t="s">
        <v>28</v>
      </c>
      <c r="N3284" s="159" t="s">
        <v>29</v>
      </c>
    </row>
    <row r="3285" spans="1:14">
      <c r="A3285" s="148"/>
      <c r="B3285" s="149"/>
      <c r="C3285" s="160"/>
      <c r="D3285" s="151"/>
      <c r="E3285" s="152"/>
      <c r="F3285" s="153"/>
      <c r="G3285" s="154"/>
      <c r="H3285" s="154"/>
      <c r="I3285" s="154"/>
      <c r="J3285" s="155"/>
      <c r="K3285" s="156"/>
      <c r="L3285" s="157"/>
      <c r="M3285" s="158" t="s">
        <v>28</v>
      </c>
      <c r="N3285" s="159" t="s">
        <v>29</v>
      </c>
    </row>
    <row r="3286" spans="1:14">
      <c r="A3286" s="148"/>
      <c r="B3286" s="149"/>
      <c r="C3286" s="160"/>
      <c r="D3286" s="151"/>
      <c r="E3286" s="152"/>
      <c r="F3286" s="153"/>
      <c r="G3286" s="154"/>
      <c r="H3286" s="154"/>
      <c r="I3286" s="154"/>
      <c r="J3286" s="155"/>
      <c r="K3286" s="156"/>
      <c r="L3286" s="157"/>
      <c r="M3286" s="158" t="s">
        <v>28</v>
      </c>
      <c r="N3286" s="159" t="s">
        <v>29</v>
      </c>
    </row>
    <row r="3287" spans="1:14">
      <c r="A3287" s="148"/>
      <c r="B3287" s="149"/>
      <c r="C3287" s="160"/>
      <c r="D3287" s="151"/>
      <c r="E3287" s="152"/>
      <c r="F3287" s="153"/>
      <c r="G3287" s="154"/>
      <c r="H3287" s="154"/>
      <c r="I3287" s="154"/>
      <c r="J3287" s="155"/>
      <c r="K3287" s="156"/>
      <c r="L3287" s="157"/>
      <c r="M3287" s="158" t="s">
        <v>28</v>
      </c>
      <c r="N3287" s="159" t="s">
        <v>29</v>
      </c>
    </row>
    <row r="3288" spans="1:14">
      <c r="A3288" s="148"/>
      <c r="B3288" s="149"/>
      <c r="C3288" s="160"/>
      <c r="D3288" s="151"/>
      <c r="E3288" s="152"/>
      <c r="F3288" s="153"/>
      <c r="G3288" s="154"/>
      <c r="H3288" s="154"/>
      <c r="I3288" s="154"/>
      <c r="J3288" s="155"/>
      <c r="K3288" s="156"/>
      <c r="L3288" s="157"/>
      <c r="M3288" s="158" t="s">
        <v>28</v>
      </c>
      <c r="N3288" s="159" t="s">
        <v>29</v>
      </c>
    </row>
    <row r="3289" spans="1:14">
      <c r="A3289" s="148"/>
      <c r="B3289" s="149"/>
      <c r="C3289" s="160"/>
      <c r="D3289" s="151"/>
      <c r="E3289" s="152"/>
      <c r="F3289" s="153"/>
      <c r="G3289" s="154"/>
      <c r="H3289" s="154"/>
      <c r="I3289" s="154"/>
      <c r="J3289" s="155"/>
      <c r="K3289" s="156"/>
      <c r="L3289" s="157"/>
      <c r="M3289" s="158" t="s">
        <v>28</v>
      </c>
      <c r="N3289" s="159" t="s">
        <v>29</v>
      </c>
    </row>
    <row r="3290" spans="1:14">
      <c r="A3290" s="148"/>
      <c r="B3290" s="149"/>
      <c r="C3290" s="160"/>
      <c r="D3290" s="151"/>
      <c r="E3290" s="152"/>
      <c r="F3290" s="153"/>
      <c r="G3290" s="154"/>
      <c r="H3290" s="154"/>
      <c r="I3290" s="154"/>
      <c r="J3290" s="155"/>
      <c r="K3290" s="156"/>
      <c r="L3290" s="157"/>
      <c r="M3290" s="158" t="s">
        <v>28</v>
      </c>
      <c r="N3290" s="159" t="s">
        <v>29</v>
      </c>
    </row>
    <row r="3291" spans="1:14">
      <c r="A3291" s="148"/>
      <c r="B3291" s="149"/>
      <c r="C3291" s="160"/>
      <c r="D3291" s="151"/>
      <c r="E3291" s="152"/>
      <c r="F3291" s="153"/>
      <c r="G3291" s="154"/>
      <c r="H3291" s="154"/>
      <c r="I3291" s="154"/>
      <c r="J3291" s="155"/>
      <c r="K3291" s="156"/>
      <c r="L3291" s="157"/>
      <c r="M3291" s="158" t="s">
        <v>28</v>
      </c>
      <c r="N3291" s="159" t="s">
        <v>29</v>
      </c>
    </row>
    <row r="3292" spans="1:14">
      <c r="A3292" s="148"/>
      <c r="B3292" s="149"/>
      <c r="C3292" s="160"/>
      <c r="D3292" s="151"/>
      <c r="E3292" s="152"/>
      <c r="F3292" s="153"/>
      <c r="G3292" s="154"/>
      <c r="H3292" s="154"/>
      <c r="I3292" s="154"/>
      <c r="J3292" s="155"/>
      <c r="K3292" s="156"/>
      <c r="L3292" s="157"/>
      <c r="M3292" s="158" t="s">
        <v>28</v>
      </c>
      <c r="N3292" s="159" t="s">
        <v>29</v>
      </c>
    </row>
    <row r="3293" spans="1:14">
      <c r="A3293" s="148"/>
      <c r="B3293" s="149"/>
      <c r="C3293" s="160"/>
      <c r="D3293" s="151"/>
      <c r="E3293" s="152"/>
      <c r="F3293" s="153"/>
      <c r="G3293" s="154"/>
      <c r="H3293" s="154"/>
      <c r="I3293" s="154"/>
      <c r="J3293" s="155"/>
      <c r="K3293" s="156"/>
      <c r="L3293" s="157"/>
      <c r="M3293" s="158" t="s">
        <v>28</v>
      </c>
      <c r="N3293" s="159" t="s">
        <v>29</v>
      </c>
    </row>
    <row r="3294" spans="1:14">
      <c r="A3294" s="148"/>
      <c r="B3294" s="149"/>
      <c r="C3294" s="160"/>
      <c r="D3294" s="151"/>
      <c r="E3294" s="152"/>
      <c r="F3294" s="153"/>
      <c r="G3294" s="154"/>
      <c r="H3294" s="154"/>
      <c r="I3294" s="154"/>
      <c r="J3294" s="155"/>
      <c r="K3294" s="156"/>
      <c r="L3294" s="157"/>
      <c r="M3294" s="158" t="s">
        <v>28</v>
      </c>
      <c r="N3294" s="159" t="s">
        <v>29</v>
      </c>
    </row>
    <row r="3295" spans="1:14">
      <c r="A3295" s="148"/>
      <c r="B3295" s="149"/>
      <c r="C3295" s="160"/>
      <c r="D3295" s="151"/>
      <c r="E3295" s="152"/>
      <c r="F3295" s="153"/>
      <c r="G3295" s="154"/>
      <c r="H3295" s="154"/>
      <c r="I3295" s="154"/>
      <c r="J3295" s="155"/>
      <c r="K3295" s="156"/>
      <c r="L3295" s="157"/>
      <c r="M3295" s="158" t="s">
        <v>28</v>
      </c>
      <c r="N3295" s="159" t="s">
        <v>29</v>
      </c>
    </row>
    <row r="3296" spans="1:14">
      <c r="A3296" s="148"/>
      <c r="B3296" s="149"/>
      <c r="C3296" s="160"/>
      <c r="D3296" s="151"/>
      <c r="E3296" s="152"/>
      <c r="F3296" s="153"/>
      <c r="G3296" s="154"/>
      <c r="H3296" s="154"/>
      <c r="I3296" s="154"/>
      <c r="J3296" s="155"/>
      <c r="K3296" s="156"/>
      <c r="L3296" s="157"/>
      <c r="M3296" s="158" t="s">
        <v>28</v>
      </c>
      <c r="N3296" s="159" t="s">
        <v>29</v>
      </c>
    </row>
    <row r="3297" spans="1:14">
      <c r="A3297" s="148"/>
      <c r="B3297" s="149"/>
      <c r="C3297" s="160"/>
      <c r="D3297" s="151"/>
      <c r="E3297" s="152"/>
      <c r="F3297" s="153"/>
      <c r="G3297" s="154"/>
      <c r="H3297" s="154"/>
      <c r="I3297" s="154"/>
      <c r="J3297" s="155"/>
      <c r="K3297" s="156"/>
      <c r="L3297" s="157"/>
      <c r="M3297" s="158" t="s">
        <v>28</v>
      </c>
      <c r="N3297" s="159" t="s">
        <v>29</v>
      </c>
    </row>
    <row r="3298" spans="1:14">
      <c r="A3298" s="148"/>
      <c r="B3298" s="149"/>
      <c r="C3298" s="160"/>
      <c r="D3298" s="151"/>
      <c r="E3298" s="152"/>
      <c r="F3298" s="153"/>
      <c r="G3298" s="154"/>
      <c r="H3298" s="154"/>
      <c r="I3298" s="154"/>
      <c r="J3298" s="155"/>
      <c r="K3298" s="156"/>
      <c r="L3298" s="157"/>
      <c r="M3298" s="158" t="s">
        <v>28</v>
      </c>
      <c r="N3298" s="159" t="s">
        <v>29</v>
      </c>
    </row>
    <row r="3299" spans="1:14">
      <c r="A3299" s="148"/>
      <c r="B3299" s="149"/>
      <c r="C3299" s="160"/>
      <c r="D3299" s="151"/>
      <c r="E3299" s="152"/>
      <c r="F3299" s="153"/>
      <c r="G3299" s="154"/>
      <c r="H3299" s="154"/>
      <c r="I3299" s="154"/>
      <c r="J3299" s="155"/>
      <c r="K3299" s="156"/>
      <c r="L3299" s="157"/>
      <c r="M3299" s="158" t="s">
        <v>28</v>
      </c>
      <c r="N3299" s="159" t="s">
        <v>29</v>
      </c>
    </row>
    <row r="3300" spans="1:14">
      <c r="A3300" s="148"/>
      <c r="B3300" s="149"/>
      <c r="C3300" s="160"/>
      <c r="D3300" s="151"/>
      <c r="E3300" s="152"/>
      <c r="F3300" s="153"/>
      <c r="G3300" s="154"/>
      <c r="H3300" s="154"/>
      <c r="I3300" s="154"/>
      <c r="J3300" s="155"/>
      <c r="K3300" s="156"/>
      <c r="L3300" s="157"/>
      <c r="M3300" s="158" t="s">
        <v>28</v>
      </c>
      <c r="N3300" s="159" t="s">
        <v>29</v>
      </c>
    </row>
    <row r="3301" spans="1:14">
      <c r="A3301" s="148"/>
      <c r="B3301" s="149"/>
      <c r="C3301" s="160"/>
      <c r="D3301" s="151"/>
      <c r="E3301" s="152"/>
      <c r="F3301" s="153"/>
      <c r="G3301" s="154"/>
      <c r="H3301" s="154"/>
      <c r="I3301" s="154"/>
      <c r="J3301" s="155"/>
      <c r="K3301" s="156"/>
      <c r="L3301" s="157"/>
      <c r="M3301" s="158" t="s">
        <v>28</v>
      </c>
      <c r="N3301" s="159" t="s">
        <v>29</v>
      </c>
    </row>
    <row r="3302" spans="1:14">
      <c r="A3302" s="148"/>
      <c r="B3302" s="149"/>
      <c r="C3302" s="160"/>
      <c r="D3302" s="151"/>
      <c r="E3302" s="152"/>
      <c r="F3302" s="153"/>
      <c r="G3302" s="154"/>
      <c r="H3302" s="154"/>
      <c r="I3302" s="154"/>
      <c r="J3302" s="155"/>
      <c r="K3302" s="156"/>
      <c r="L3302" s="157"/>
      <c r="M3302" s="158" t="s">
        <v>28</v>
      </c>
      <c r="N3302" s="159" t="s">
        <v>29</v>
      </c>
    </row>
    <row r="3303" spans="1:14">
      <c r="A3303" s="148"/>
      <c r="B3303" s="149"/>
      <c r="C3303" s="160"/>
      <c r="D3303" s="151"/>
      <c r="E3303" s="152"/>
      <c r="F3303" s="153"/>
      <c r="G3303" s="154"/>
      <c r="H3303" s="154"/>
      <c r="I3303" s="154"/>
      <c r="J3303" s="155"/>
      <c r="K3303" s="156"/>
      <c r="L3303" s="157"/>
      <c r="M3303" s="158" t="s">
        <v>28</v>
      </c>
      <c r="N3303" s="159" t="s">
        <v>29</v>
      </c>
    </row>
    <row r="3304" spans="1:14">
      <c r="A3304" s="148"/>
      <c r="B3304" s="149"/>
      <c r="C3304" s="160"/>
      <c r="D3304" s="151"/>
      <c r="E3304" s="152"/>
      <c r="F3304" s="153"/>
      <c r="G3304" s="154"/>
      <c r="H3304" s="154"/>
      <c r="I3304" s="154"/>
      <c r="J3304" s="155"/>
      <c r="K3304" s="156"/>
      <c r="L3304" s="157"/>
      <c r="M3304" s="158" t="s">
        <v>28</v>
      </c>
      <c r="N3304" s="159" t="s">
        <v>29</v>
      </c>
    </row>
    <row r="3305" spans="1:14">
      <c r="A3305" s="148"/>
      <c r="B3305" s="149"/>
      <c r="C3305" s="160"/>
      <c r="D3305" s="151"/>
      <c r="E3305" s="152"/>
      <c r="F3305" s="153"/>
      <c r="G3305" s="154"/>
      <c r="H3305" s="154"/>
      <c r="I3305" s="154"/>
      <c r="J3305" s="155"/>
      <c r="K3305" s="156"/>
      <c r="L3305" s="157"/>
      <c r="M3305" s="158" t="s">
        <v>28</v>
      </c>
      <c r="N3305" s="159" t="s">
        <v>29</v>
      </c>
    </row>
    <row r="3306" spans="1:14">
      <c r="A3306" s="148"/>
      <c r="B3306" s="149"/>
      <c r="C3306" s="160"/>
      <c r="D3306" s="151"/>
      <c r="E3306" s="152"/>
      <c r="F3306" s="153"/>
      <c r="G3306" s="154"/>
      <c r="H3306" s="154"/>
      <c r="I3306" s="154"/>
      <c r="J3306" s="155"/>
      <c r="K3306" s="156"/>
      <c r="L3306" s="157"/>
      <c r="M3306" s="158" t="s">
        <v>28</v>
      </c>
      <c r="N3306" s="159" t="s">
        <v>29</v>
      </c>
    </row>
    <row r="3307" spans="1:14">
      <c r="A3307" s="148"/>
      <c r="B3307" s="149"/>
      <c r="C3307" s="160"/>
      <c r="D3307" s="151"/>
      <c r="E3307" s="152"/>
      <c r="F3307" s="153"/>
      <c r="G3307" s="154"/>
      <c r="H3307" s="154"/>
      <c r="I3307" s="154"/>
      <c r="J3307" s="155"/>
      <c r="K3307" s="156"/>
      <c r="L3307" s="157"/>
      <c r="M3307" s="158" t="s">
        <v>28</v>
      </c>
      <c r="N3307" s="159" t="s">
        <v>29</v>
      </c>
    </row>
    <row r="3308" spans="1:14">
      <c r="A3308" s="148"/>
      <c r="B3308" s="149"/>
      <c r="C3308" s="160"/>
      <c r="D3308" s="151"/>
      <c r="E3308" s="152"/>
      <c r="F3308" s="153"/>
      <c r="G3308" s="154"/>
      <c r="H3308" s="154"/>
      <c r="I3308" s="154"/>
      <c r="J3308" s="155"/>
      <c r="K3308" s="156"/>
      <c r="L3308" s="157"/>
      <c r="M3308" s="158" t="s">
        <v>28</v>
      </c>
      <c r="N3308" s="159" t="s">
        <v>29</v>
      </c>
    </row>
    <row r="3309" spans="1:14">
      <c r="A3309" s="148"/>
      <c r="B3309" s="149"/>
      <c r="C3309" s="160"/>
      <c r="D3309" s="151"/>
      <c r="E3309" s="152"/>
      <c r="F3309" s="153"/>
      <c r="G3309" s="154"/>
      <c r="H3309" s="154"/>
      <c r="I3309" s="154"/>
      <c r="J3309" s="155"/>
      <c r="K3309" s="156"/>
      <c r="L3309" s="157"/>
      <c r="M3309" s="158" t="s">
        <v>28</v>
      </c>
      <c r="N3309" s="159" t="s">
        <v>29</v>
      </c>
    </row>
    <row r="3310" spans="1:14">
      <c r="A3310" s="148"/>
      <c r="B3310" s="149"/>
      <c r="C3310" s="160"/>
      <c r="D3310" s="151"/>
      <c r="E3310" s="152"/>
      <c r="F3310" s="153"/>
      <c r="G3310" s="154"/>
      <c r="H3310" s="154"/>
      <c r="I3310" s="154"/>
      <c r="J3310" s="155"/>
      <c r="K3310" s="156"/>
      <c r="L3310" s="157"/>
      <c r="M3310" s="158" t="s">
        <v>28</v>
      </c>
      <c r="N3310" s="159" t="s">
        <v>29</v>
      </c>
    </row>
    <row r="3311" spans="1:14">
      <c r="A3311" s="148"/>
      <c r="B3311" s="149"/>
      <c r="C3311" s="160"/>
      <c r="D3311" s="151"/>
      <c r="E3311" s="152"/>
      <c r="F3311" s="153"/>
      <c r="G3311" s="154"/>
      <c r="H3311" s="154"/>
      <c r="I3311" s="154"/>
      <c r="J3311" s="155"/>
      <c r="K3311" s="156"/>
      <c r="L3311" s="157"/>
      <c r="M3311" s="158" t="s">
        <v>28</v>
      </c>
      <c r="N3311" s="159" t="s">
        <v>29</v>
      </c>
    </row>
    <row r="3312" spans="1:14">
      <c r="A3312" s="148"/>
      <c r="B3312" s="149"/>
      <c r="C3312" s="160"/>
      <c r="D3312" s="151"/>
      <c r="E3312" s="152"/>
      <c r="F3312" s="153"/>
      <c r="G3312" s="154"/>
      <c r="H3312" s="154"/>
      <c r="I3312" s="154"/>
      <c r="J3312" s="155"/>
      <c r="K3312" s="156"/>
      <c r="L3312" s="157"/>
      <c r="M3312" s="158" t="s">
        <v>28</v>
      </c>
      <c r="N3312" s="159" t="s">
        <v>29</v>
      </c>
    </row>
    <row r="3313" spans="1:14">
      <c r="A3313" s="148"/>
      <c r="B3313" s="149"/>
      <c r="C3313" s="160"/>
      <c r="D3313" s="151"/>
      <c r="E3313" s="152"/>
      <c r="F3313" s="153"/>
      <c r="G3313" s="154"/>
      <c r="H3313" s="154"/>
      <c r="I3313" s="154"/>
      <c r="J3313" s="155"/>
      <c r="K3313" s="156"/>
      <c r="L3313" s="157"/>
      <c r="M3313" s="158" t="s">
        <v>28</v>
      </c>
      <c r="N3313" s="159" t="s">
        <v>29</v>
      </c>
    </row>
    <row r="3314" spans="1:14">
      <c r="A3314" s="148"/>
      <c r="B3314" s="149"/>
      <c r="C3314" s="160"/>
      <c r="D3314" s="151"/>
      <c r="E3314" s="152"/>
      <c r="F3314" s="153"/>
      <c r="G3314" s="154"/>
      <c r="H3314" s="154"/>
      <c r="I3314" s="154"/>
      <c r="J3314" s="155"/>
      <c r="K3314" s="156"/>
      <c r="L3314" s="157"/>
      <c r="M3314" s="158" t="s">
        <v>28</v>
      </c>
      <c r="N3314" s="159" t="s">
        <v>29</v>
      </c>
    </row>
    <row r="3315" spans="1:14">
      <c r="A3315" s="148"/>
      <c r="B3315" s="149"/>
      <c r="C3315" s="160"/>
      <c r="D3315" s="151"/>
      <c r="E3315" s="152"/>
      <c r="F3315" s="153"/>
      <c r="G3315" s="154"/>
      <c r="H3315" s="154"/>
      <c r="I3315" s="154"/>
      <c r="J3315" s="155"/>
      <c r="K3315" s="156"/>
      <c r="L3315" s="157"/>
      <c r="M3315" s="158" t="s">
        <v>28</v>
      </c>
      <c r="N3315" s="159" t="s">
        <v>29</v>
      </c>
    </row>
    <row r="3316" spans="1:14">
      <c r="A3316" s="148"/>
      <c r="B3316" s="149"/>
      <c r="C3316" s="160"/>
      <c r="D3316" s="151"/>
      <c r="E3316" s="152"/>
      <c r="F3316" s="153"/>
      <c r="G3316" s="154"/>
      <c r="H3316" s="154"/>
      <c r="I3316" s="154"/>
      <c r="J3316" s="155"/>
      <c r="K3316" s="156"/>
      <c r="L3316" s="157"/>
      <c r="M3316" s="158" t="s">
        <v>28</v>
      </c>
      <c r="N3316" s="159" t="s">
        <v>29</v>
      </c>
    </row>
    <row r="3317" spans="1:14">
      <c r="A3317" s="148"/>
      <c r="B3317" s="149"/>
      <c r="C3317" s="160"/>
      <c r="D3317" s="151"/>
      <c r="E3317" s="152"/>
      <c r="F3317" s="153"/>
      <c r="G3317" s="154"/>
      <c r="H3317" s="154"/>
      <c r="I3317" s="154"/>
      <c r="J3317" s="155"/>
      <c r="K3317" s="156"/>
      <c r="L3317" s="157"/>
      <c r="M3317" s="158" t="s">
        <v>28</v>
      </c>
      <c r="N3317" s="159" t="s">
        <v>29</v>
      </c>
    </row>
    <row r="3318" spans="1:14">
      <c r="A3318" s="148"/>
      <c r="B3318" s="149"/>
      <c r="C3318" s="160"/>
      <c r="D3318" s="151"/>
      <c r="E3318" s="152"/>
      <c r="F3318" s="153"/>
      <c r="G3318" s="154"/>
      <c r="H3318" s="154"/>
      <c r="I3318" s="154"/>
      <c r="J3318" s="155"/>
      <c r="K3318" s="156"/>
      <c r="L3318" s="157"/>
      <c r="M3318" s="158" t="s">
        <v>28</v>
      </c>
      <c r="N3318" s="159" t="s">
        <v>29</v>
      </c>
    </row>
    <row r="3319" spans="1:14">
      <c r="A3319" s="148"/>
      <c r="B3319" s="149"/>
      <c r="C3319" s="160"/>
      <c r="D3319" s="151"/>
      <c r="E3319" s="152"/>
      <c r="F3319" s="153"/>
      <c r="G3319" s="154"/>
      <c r="H3319" s="154"/>
      <c r="I3319" s="154"/>
      <c r="J3319" s="155"/>
      <c r="K3319" s="156"/>
      <c r="L3319" s="157"/>
      <c r="M3319" s="158" t="s">
        <v>28</v>
      </c>
      <c r="N3319" s="159" t="s">
        <v>29</v>
      </c>
    </row>
    <row r="3320" spans="1:14">
      <c r="A3320" s="148"/>
      <c r="B3320" s="149"/>
      <c r="C3320" s="160"/>
      <c r="D3320" s="151"/>
      <c r="E3320" s="152"/>
      <c r="F3320" s="153"/>
      <c r="G3320" s="154"/>
      <c r="H3320" s="154"/>
      <c r="I3320" s="154"/>
      <c r="J3320" s="155"/>
      <c r="K3320" s="156"/>
      <c r="L3320" s="157"/>
      <c r="M3320" s="158" t="s">
        <v>28</v>
      </c>
      <c r="N3320" s="159" t="s">
        <v>29</v>
      </c>
    </row>
    <row r="3321" spans="1:14">
      <c r="A3321" s="148"/>
      <c r="B3321" s="149"/>
      <c r="C3321" s="160"/>
      <c r="D3321" s="151"/>
      <c r="E3321" s="152"/>
      <c r="F3321" s="153"/>
      <c r="G3321" s="154"/>
      <c r="H3321" s="154"/>
      <c r="I3321" s="154"/>
      <c r="J3321" s="155"/>
      <c r="K3321" s="156"/>
      <c r="L3321" s="157"/>
      <c r="M3321" s="158" t="s">
        <v>28</v>
      </c>
      <c r="N3321" s="159" t="s">
        <v>29</v>
      </c>
    </row>
    <row r="3322" spans="1:14">
      <c r="A3322" s="148"/>
      <c r="B3322" s="149"/>
      <c r="C3322" s="160"/>
      <c r="D3322" s="151"/>
      <c r="E3322" s="152"/>
      <c r="F3322" s="153"/>
      <c r="G3322" s="154"/>
      <c r="H3322" s="154"/>
      <c r="I3322" s="154"/>
      <c r="J3322" s="155"/>
      <c r="K3322" s="156"/>
      <c r="L3322" s="157"/>
      <c r="M3322" s="158" t="s">
        <v>28</v>
      </c>
      <c r="N3322" s="159" t="s">
        <v>29</v>
      </c>
    </row>
    <row r="3323" spans="1:14">
      <c r="A3323" s="148"/>
      <c r="B3323" s="149"/>
      <c r="C3323" s="160"/>
      <c r="D3323" s="151"/>
      <c r="E3323" s="152"/>
      <c r="F3323" s="153"/>
      <c r="G3323" s="154"/>
      <c r="H3323" s="154"/>
      <c r="I3323" s="154"/>
      <c r="J3323" s="155"/>
      <c r="K3323" s="156"/>
      <c r="L3323" s="157"/>
      <c r="M3323" s="158" t="s">
        <v>28</v>
      </c>
      <c r="N3323" s="159" t="s">
        <v>29</v>
      </c>
    </row>
    <row r="3324" spans="1:14">
      <c r="A3324" s="148"/>
      <c r="B3324" s="149"/>
      <c r="C3324" s="160"/>
      <c r="D3324" s="151"/>
      <c r="E3324" s="152"/>
      <c r="F3324" s="153"/>
      <c r="G3324" s="154"/>
      <c r="H3324" s="154"/>
      <c r="I3324" s="154"/>
      <c r="J3324" s="155"/>
      <c r="K3324" s="156"/>
      <c r="L3324" s="157"/>
      <c r="M3324" s="158" t="s">
        <v>28</v>
      </c>
      <c r="N3324" s="159" t="s">
        <v>29</v>
      </c>
    </row>
    <row r="3325" spans="1:14">
      <c r="A3325" s="148"/>
      <c r="B3325" s="149"/>
      <c r="C3325" s="160"/>
      <c r="D3325" s="151"/>
      <c r="E3325" s="152"/>
      <c r="F3325" s="153"/>
      <c r="G3325" s="154"/>
      <c r="H3325" s="154"/>
      <c r="I3325" s="154"/>
      <c r="J3325" s="155"/>
      <c r="K3325" s="156"/>
      <c r="L3325" s="157"/>
      <c r="M3325" s="158" t="s">
        <v>28</v>
      </c>
      <c r="N3325" s="159" t="s">
        <v>29</v>
      </c>
    </row>
    <row r="3326" spans="1:14">
      <c r="A3326" s="148"/>
      <c r="B3326" s="149"/>
      <c r="C3326" s="160"/>
      <c r="D3326" s="151"/>
      <c r="E3326" s="152"/>
      <c r="F3326" s="153"/>
      <c r="G3326" s="154"/>
      <c r="H3326" s="154"/>
      <c r="I3326" s="154"/>
      <c r="J3326" s="155"/>
      <c r="K3326" s="156"/>
      <c r="L3326" s="157"/>
      <c r="M3326" s="158" t="s">
        <v>28</v>
      </c>
      <c r="N3326" s="159" t="s">
        <v>29</v>
      </c>
    </row>
    <row r="3327" spans="1:14">
      <c r="A3327" s="148"/>
      <c r="B3327" s="149"/>
      <c r="C3327" s="160"/>
      <c r="D3327" s="151"/>
      <c r="E3327" s="152"/>
      <c r="F3327" s="153"/>
      <c r="G3327" s="154"/>
      <c r="H3327" s="154"/>
      <c r="I3327" s="154"/>
      <c r="J3327" s="155"/>
      <c r="K3327" s="156"/>
      <c r="L3327" s="157"/>
      <c r="M3327" s="158" t="s">
        <v>28</v>
      </c>
      <c r="N3327" s="159" t="s">
        <v>29</v>
      </c>
    </row>
    <row r="3328" spans="1:14">
      <c r="A3328" s="148"/>
      <c r="B3328" s="149"/>
      <c r="C3328" s="160"/>
      <c r="D3328" s="151"/>
      <c r="E3328" s="152"/>
      <c r="F3328" s="153"/>
      <c r="G3328" s="154"/>
      <c r="H3328" s="154"/>
      <c r="I3328" s="154"/>
      <c r="J3328" s="155"/>
      <c r="K3328" s="156"/>
      <c r="L3328" s="157"/>
      <c r="M3328" s="158" t="s">
        <v>28</v>
      </c>
      <c r="N3328" s="159" t="s">
        <v>29</v>
      </c>
    </row>
    <row r="3329" spans="1:14">
      <c r="A3329" s="148"/>
      <c r="B3329" s="149"/>
      <c r="C3329" s="160"/>
      <c r="D3329" s="151"/>
      <c r="E3329" s="152"/>
      <c r="F3329" s="153"/>
      <c r="G3329" s="154"/>
      <c r="H3329" s="154"/>
      <c r="I3329" s="154"/>
      <c r="J3329" s="155"/>
      <c r="K3329" s="156"/>
      <c r="L3329" s="157"/>
      <c r="M3329" s="158" t="s">
        <v>28</v>
      </c>
      <c r="N3329" s="159" t="s">
        <v>29</v>
      </c>
    </row>
    <row r="3330" spans="1:14">
      <c r="A3330" s="148"/>
      <c r="B3330" s="149"/>
      <c r="C3330" s="160"/>
      <c r="D3330" s="151"/>
      <c r="E3330" s="152"/>
      <c r="F3330" s="153"/>
      <c r="G3330" s="154"/>
      <c r="H3330" s="154"/>
      <c r="I3330" s="154"/>
      <c r="J3330" s="155"/>
      <c r="K3330" s="156"/>
      <c r="L3330" s="157"/>
      <c r="M3330" s="158" t="s">
        <v>28</v>
      </c>
      <c r="N3330" s="159" t="s">
        <v>29</v>
      </c>
    </row>
    <row r="3331" spans="1:14">
      <c r="A3331" s="148"/>
      <c r="B3331" s="149"/>
      <c r="C3331" s="160"/>
      <c r="D3331" s="151"/>
      <c r="E3331" s="152"/>
      <c r="F3331" s="153"/>
      <c r="G3331" s="154"/>
      <c r="H3331" s="154"/>
      <c r="I3331" s="154"/>
      <c r="J3331" s="155"/>
      <c r="K3331" s="156"/>
      <c r="L3331" s="157"/>
      <c r="M3331" s="158" t="s">
        <v>28</v>
      </c>
      <c r="N3331" s="159" t="s">
        <v>29</v>
      </c>
    </row>
    <row r="3332" spans="1:14">
      <c r="A3332" s="148"/>
      <c r="B3332" s="149"/>
      <c r="C3332" s="160"/>
      <c r="D3332" s="151"/>
      <c r="E3332" s="152"/>
      <c r="F3332" s="153"/>
      <c r="G3332" s="154"/>
      <c r="H3332" s="154"/>
      <c r="I3332" s="154"/>
      <c r="J3332" s="155"/>
      <c r="K3332" s="156"/>
      <c r="L3332" s="157"/>
      <c r="M3332" s="158" t="s">
        <v>28</v>
      </c>
      <c r="N3332" s="159" t="s">
        <v>29</v>
      </c>
    </row>
    <row r="3333" spans="1:14">
      <c r="A3333" s="148"/>
      <c r="B3333" s="149"/>
      <c r="C3333" s="160"/>
      <c r="D3333" s="151"/>
      <c r="E3333" s="152"/>
      <c r="F3333" s="153"/>
      <c r="G3333" s="154"/>
      <c r="H3333" s="154"/>
      <c r="I3333" s="154"/>
      <c r="J3333" s="155"/>
      <c r="K3333" s="156"/>
      <c r="L3333" s="157"/>
      <c r="M3333" s="158" t="s">
        <v>28</v>
      </c>
      <c r="N3333" s="159" t="s">
        <v>29</v>
      </c>
    </row>
    <row r="3334" spans="1:14">
      <c r="A3334" s="148"/>
      <c r="B3334" s="149"/>
      <c r="C3334" s="160"/>
      <c r="D3334" s="151"/>
      <c r="E3334" s="152"/>
      <c r="F3334" s="153"/>
      <c r="G3334" s="154"/>
      <c r="H3334" s="154"/>
      <c r="I3334" s="154"/>
      <c r="J3334" s="155"/>
      <c r="K3334" s="156"/>
      <c r="L3334" s="157"/>
      <c r="M3334" s="158" t="s">
        <v>28</v>
      </c>
      <c r="N3334" s="159" t="s">
        <v>29</v>
      </c>
    </row>
    <row r="3335" spans="1:14">
      <c r="A3335" s="148"/>
      <c r="B3335" s="149"/>
      <c r="C3335" s="160"/>
      <c r="D3335" s="151"/>
      <c r="E3335" s="152"/>
      <c r="F3335" s="153"/>
      <c r="G3335" s="154"/>
      <c r="H3335" s="154"/>
      <c r="I3335" s="154"/>
      <c r="J3335" s="155"/>
      <c r="K3335" s="156"/>
      <c r="L3335" s="157"/>
      <c r="M3335" s="158" t="s">
        <v>28</v>
      </c>
      <c r="N3335" s="159" t="s">
        <v>29</v>
      </c>
    </row>
    <row r="3336" spans="1:14">
      <c r="A3336" s="148"/>
      <c r="B3336" s="149"/>
      <c r="C3336" s="160"/>
      <c r="D3336" s="151"/>
      <c r="E3336" s="152"/>
      <c r="F3336" s="153"/>
      <c r="G3336" s="154"/>
      <c r="H3336" s="154"/>
      <c r="I3336" s="154"/>
      <c r="J3336" s="155"/>
      <c r="K3336" s="156"/>
      <c r="L3336" s="157"/>
      <c r="M3336" s="158" t="s">
        <v>28</v>
      </c>
      <c r="N3336" s="159" t="s">
        <v>29</v>
      </c>
    </row>
    <row r="3337" spans="1:14">
      <c r="A3337" s="148"/>
      <c r="B3337" s="149"/>
      <c r="C3337" s="160"/>
      <c r="D3337" s="151"/>
      <c r="E3337" s="152"/>
      <c r="F3337" s="153"/>
      <c r="G3337" s="154"/>
      <c r="H3337" s="154"/>
      <c r="I3337" s="154"/>
      <c r="J3337" s="155"/>
      <c r="K3337" s="156"/>
      <c r="L3337" s="157"/>
      <c r="M3337" s="158" t="s">
        <v>28</v>
      </c>
      <c r="N3337" s="159" t="s">
        <v>29</v>
      </c>
    </row>
    <row r="3338" spans="1:14">
      <c r="A3338" s="148"/>
      <c r="B3338" s="149"/>
      <c r="C3338" s="160"/>
      <c r="D3338" s="151"/>
      <c r="E3338" s="152"/>
      <c r="F3338" s="153"/>
      <c r="G3338" s="154"/>
      <c r="H3338" s="154"/>
      <c r="I3338" s="154"/>
      <c r="J3338" s="155"/>
      <c r="K3338" s="156"/>
      <c r="L3338" s="157"/>
      <c r="M3338" s="158" t="s">
        <v>28</v>
      </c>
      <c r="N3338" s="159" t="s">
        <v>29</v>
      </c>
    </row>
    <row r="3339" spans="1:14">
      <c r="A3339" s="148"/>
      <c r="B3339" s="149"/>
      <c r="C3339" s="160"/>
      <c r="D3339" s="151"/>
      <c r="E3339" s="152"/>
      <c r="F3339" s="153"/>
      <c r="G3339" s="154"/>
      <c r="H3339" s="154"/>
      <c r="I3339" s="154"/>
      <c r="J3339" s="155"/>
      <c r="K3339" s="156"/>
      <c r="L3339" s="157"/>
      <c r="M3339" s="158" t="s">
        <v>28</v>
      </c>
      <c r="N3339" s="159" t="s">
        <v>29</v>
      </c>
    </row>
    <row r="3340" spans="1:14">
      <c r="A3340" s="148"/>
      <c r="B3340" s="149"/>
      <c r="C3340" s="160"/>
      <c r="D3340" s="151"/>
      <c r="E3340" s="152"/>
      <c r="F3340" s="153"/>
      <c r="G3340" s="154"/>
      <c r="H3340" s="154"/>
      <c r="I3340" s="154"/>
      <c r="J3340" s="155"/>
      <c r="K3340" s="156"/>
      <c r="L3340" s="157"/>
      <c r="M3340" s="158" t="s">
        <v>28</v>
      </c>
      <c r="N3340" s="159" t="s">
        <v>29</v>
      </c>
    </row>
    <row r="3341" spans="1:14">
      <c r="A3341" s="148"/>
      <c r="B3341" s="149"/>
      <c r="C3341" s="160"/>
      <c r="D3341" s="151"/>
      <c r="E3341" s="152"/>
      <c r="F3341" s="153"/>
      <c r="G3341" s="154"/>
      <c r="H3341" s="154"/>
      <c r="I3341" s="154"/>
      <c r="J3341" s="155"/>
      <c r="K3341" s="156"/>
      <c r="L3341" s="157"/>
      <c r="M3341" s="158" t="s">
        <v>28</v>
      </c>
      <c r="N3341" s="159" t="s">
        <v>29</v>
      </c>
    </row>
    <row r="3342" spans="1:14">
      <c r="A3342" s="148"/>
      <c r="B3342" s="149"/>
      <c r="C3342" s="160"/>
      <c r="D3342" s="151"/>
      <c r="E3342" s="152"/>
      <c r="F3342" s="153"/>
      <c r="G3342" s="154"/>
      <c r="H3342" s="154"/>
      <c r="I3342" s="154"/>
      <c r="J3342" s="155"/>
      <c r="K3342" s="156"/>
      <c r="L3342" s="157"/>
      <c r="M3342" s="158" t="s">
        <v>28</v>
      </c>
      <c r="N3342" s="159" t="s">
        <v>29</v>
      </c>
    </row>
    <row r="3343" spans="1:14">
      <c r="A3343" s="148"/>
      <c r="B3343" s="149"/>
      <c r="C3343" s="160"/>
      <c r="D3343" s="151"/>
      <c r="E3343" s="152"/>
      <c r="F3343" s="153"/>
      <c r="G3343" s="154"/>
      <c r="H3343" s="154"/>
      <c r="I3343" s="154"/>
      <c r="J3343" s="155"/>
      <c r="K3343" s="156"/>
      <c r="L3343" s="157"/>
      <c r="M3343" s="158" t="s">
        <v>28</v>
      </c>
      <c r="N3343" s="159" t="s">
        <v>29</v>
      </c>
    </row>
    <row r="3344" spans="1:14">
      <c r="A3344" s="148"/>
      <c r="B3344" s="149"/>
      <c r="C3344" s="160"/>
      <c r="D3344" s="151"/>
      <c r="E3344" s="152"/>
      <c r="F3344" s="153"/>
      <c r="G3344" s="154"/>
      <c r="H3344" s="154"/>
      <c r="I3344" s="154"/>
      <c r="J3344" s="155"/>
      <c r="K3344" s="156"/>
      <c r="L3344" s="157"/>
      <c r="M3344" s="158" t="s">
        <v>28</v>
      </c>
      <c r="N3344" s="159" t="s">
        <v>29</v>
      </c>
    </row>
    <row r="3345" spans="1:14">
      <c r="A3345" s="148"/>
      <c r="B3345" s="149"/>
      <c r="C3345" s="160"/>
      <c r="D3345" s="151"/>
      <c r="E3345" s="152"/>
      <c r="F3345" s="153"/>
      <c r="G3345" s="154"/>
      <c r="H3345" s="154"/>
      <c r="I3345" s="154"/>
      <c r="J3345" s="155"/>
      <c r="K3345" s="156"/>
      <c r="L3345" s="157"/>
      <c r="M3345" s="158" t="s">
        <v>28</v>
      </c>
      <c r="N3345" s="159" t="s">
        <v>29</v>
      </c>
    </row>
    <row r="3346" spans="1:14">
      <c r="A3346" s="148"/>
      <c r="B3346" s="149"/>
      <c r="C3346" s="160"/>
      <c r="D3346" s="151"/>
      <c r="E3346" s="152"/>
      <c r="F3346" s="153"/>
      <c r="G3346" s="154"/>
      <c r="H3346" s="154"/>
      <c r="I3346" s="154"/>
      <c r="J3346" s="155"/>
      <c r="K3346" s="156"/>
      <c r="L3346" s="157"/>
      <c r="M3346" s="158" t="s">
        <v>28</v>
      </c>
      <c r="N3346" s="159" t="s">
        <v>29</v>
      </c>
    </row>
    <row r="3347" spans="1:14">
      <c r="A3347" s="148"/>
      <c r="B3347" s="149"/>
      <c r="C3347" s="160"/>
      <c r="D3347" s="151"/>
      <c r="E3347" s="152"/>
      <c r="F3347" s="153"/>
      <c r="G3347" s="154"/>
      <c r="H3347" s="154"/>
      <c r="I3347" s="154"/>
      <c r="J3347" s="155"/>
      <c r="K3347" s="156"/>
      <c r="L3347" s="157"/>
      <c r="M3347" s="158" t="s">
        <v>28</v>
      </c>
      <c r="N3347" s="159" t="s">
        <v>29</v>
      </c>
    </row>
    <row r="3348" spans="1:14">
      <c r="A3348" s="148"/>
      <c r="B3348" s="149"/>
      <c r="C3348" s="160"/>
      <c r="D3348" s="151"/>
      <c r="E3348" s="152"/>
      <c r="F3348" s="153"/>
      <c r="G3348" s="154"/>
      <c r="H3348" s="154"/>
      <c r="I3348" s="154"/>
      <c r="J3348" s="155"/>
      <c r="K3348" s="156"/>
      <c r="L3348" s="157"/>
      <c r="M3348" s="158" t="s">
        <v>28</v>
      </c>
      <c r="N3348" s="159" t="s">
        <v>29</v>
      </c>
    </row>
    <row r="3349" spans="1:14">
      <c r="A3349" s="148"/>
      <c r="B3349" s="149"/>
      <c r="C3349" s="160"/>
      <c r="D3349" s="151"/>
      <c r="E3349" s="152"/>
      <c r="F3349" s="153"/>
      <c r="G3349" s="154"/>
      <c r="H3349" s="154"/>
      <c r="I3349" s="154"/>
      <c r="J3349" s="155"/>
      <c r="K3349" s="156"/>
      <c r="L3349" s="157"/>
      <c r="M3349" s="158" t="s">
        <v>28</v>
      </c>
      <c r="N3349" s="159" t="s">
        <v>29</v>
      </c>
    </row>
    <row r="3350" spans="1:14">
      <c r="A3350" s="148"/>
      <c r="B3350" s="149"/>
      <c r="C3350" s="160"/>
      <c r="D3350" s="151"/>
      <c r="E3350" s="152"/>
      <c r="F3350" s="153"/>
      <c r="G3350" s="154"/>
      <c r="H3350" s="154"/>
      <c r="I3350" s="154"/>
      <c r="J3350" s="155"/>
      <c r="K3350" s="156"/>
      <c r="L3350" s="157"/>
      <c r="M3350" s="158" t="s">
        <v>28</v>
      </c>
      <c r="N3350" s="159" t="s">
        <v>29</v>
      </c>
    </row>
    <row r="3351" spans="1:14">
      <c r="A3351" s="148"/>
      <c r="B3351" s="149"/>
      <c r="C3351" s="160"/>
      <c r="D3351" s="151"/>
      <c r="E3351" s="152"/>
      <c r="F3351" s="153"/>
      <c r="G3351" s="154"/>
      <c r="H3351" s="154"/>
      <c r="I3351" s="154"/>
      <c r="J3351" s="155"/>
      <c r="K3351" s="156"/>
      <c r="L3351" s="157"/>
      <c r="M3351" s="158" t="s">
        <v>28</v>
      </c>
      <c r="N3351" s="159" t="s">
        <v>29</v>
      </c>
    </row>
    <row r="3352" spans="1:14">
      <c r="A3352" s="148"/>
      <c r="B3352" s="149"/>
      <c r="C3352" s="160"/>
      <c r="D3352" s="151"/>
      <c r="E3352" s="152"/>
      <c r="F3352" s="153"/>
      <c r="G3352" s="154"/>
      <c r="H3352" s="154"/>
      <c r="I3352" s="154"/>
      <c r="J3352" s="155"/>
      <c r="K3352" s="156"/>
      <c r="L3352" s="157"/>
      <c r="M3352" s="158" t="s">
        <v>28</v>
      </c>
      <c r="N3352" s="159" t="s">
        <v>29</v>
      </c>
    </row>
    <row r="3353" spans="1:14">
      <c r="A3353" s="148"/>
      <c r="B3353" s="149"/>
      <c r="C3353" s="160"/>
      <c r="D3353" s="151"/>
      <c r="E3353" s="152"/>
      <c r="F3353" s="153"/>
      <c r="G3353" s="154"/>
      <c r="H3353" s="154"/>
      <c r="I3353" s="154"/>
      <c r="J3353" s="155"/>
      <c r="K3353" s="156"/>
      <c r="L3353" s="157"/>
      <c r="M3353" s="158" t="s">
        <v>28</v>
      </c>
      <c r="N3353" s="159" t="s">
        <v>29</v>
      </c>
    </row>
    <row r="3354" spans="1:14">
      <c r="A3354" s="148"/>
      <c r="B3354" s="149"/>
      <c r="C3354" s="160"/>
      <c r="D3354" s="151"/>
      <c r="E3354" s="152"/>
      <c r="F3354" s="153"/>
      <c r="G3354" s="154"/>
      <c r="H3354" s="154"/>
      <c r="I3354" s="154"/>
      <c r="J3354" s="155"/>
      <c r="K3354" s="156"/>
      <c r="L3354" s="157"/>
      <c r="M3354" s="158" t="s">
        <v>28</v>
      </c>
      <c r="N3354" s="159" t="s">
        <v>29</v>
      </c>
    </row>
    <row r="3355" spans="1:14">
      <c r="A3355" s="148"/>
      <c r="B3355" s="149"/>
      <c r="C3355" s="160"/>
      <c r="D3355" s="151"/>
      <c r="E3355" s="152"/>
      <c r="F3355" s="153"/>
      <c r="G3355" s="154"/>
      <c r="H3355" s="154"/>
      <c r="I3355" s="154"/>
      <c r="J3355" s="155"/>
      <c r="K3355" s="156"/>
      <c r="L3355" s="157"/>
      <c r="M3355" s="158" t="s">
        <v>28</v>
      </c>
      <c r="N3355" s="159" t="s">
        <v>29</v>
      </c>
    </row>
    <row r="3356" spans="1:14">
      <c r="A3356" s="148"/>
      <c r="B3356" s="149"/>
      <c r="C3356" s="160"/>
      <c r="D3356" s="151"/>
      <c r="E3356" s="152"/>
      <c r="F3356" s="153"/>
      <c r="G3356" s="154"/>
      <c r="H3356" s="154"/>
      <c r="I3356" s="154"/>
      <c r="J3356" s="155"/>
      <c r="K3356" s="156"/>
      <c r="L3356" s="157"/>
      <c r="M3356" s="158" t="s">
        <v>28</v>
      </c>
      <c r="N3356" s="159" t="s">
        <v>29</v>
      </c>
    </row>
    <row r="3357" spans="1:14">
      <c r="A3357" s="148"/>
      <c r="B3357" s="149"/>
      <c r="C3357" s="160"/>
      <c r="D3357" s="151"/>
      <c r="E3357" s="152"/>
      <c r="F3357" s="153"/>
      <c r="G3357" s="154"/>
      <c r="H3357" s="154"/>
      <c r="I3357" s="154"/>
      <c r="J3357" s="155"/>
      <c r="K3357" s="156"/>
      <c r="L3357" s="157"/>
      <c r="M3357" s="158" t="s">
        <v>28</v>
      </c>
      <c r="N3357" s="159" t="s">
        <v>29</v>
      </c>
    </row>
    <row r="3358" spans="1:14">
      <c r="A3358" s="148"/>
      <c r="B3358" s="149"/>
      <c r="C3358" s="160"/>
      <c r="D3358" s="151"/>
      <c r="E3358" s="152"/>
      <c r="F3358" s="153"/>
      <c r="G3358" s="154"/>
      <c r="H3358" s="154"/>
      <c r="I3358" s="154"/>
      <c r="J3358" s="155"/>
      <c r="K3358" s="156"/>
      <c r="L3358" s="157"/>
      <c r="M3358" s="158" t="s">
        <v>28</v>
      </c>
      <c r="N3358" s="159" t="s">
        <v>29</v>
      </c>
    </row>
    <row r="3359" spans="1:14">
      <c r="A3359" s="148"/>
      <c r="B3359" s="149"/>
      <c r="C3359" s="160"/>
      <c r="D3359" s="151"/>
      <c r="E3359" s="152"/>
      <c r="F3359" s="153"/>
      <c r="G3359" s="154"/>
      <c r="H3359" s="154"/>
      <c r="I3359" s="154"/>
      <c r="J3359" s="155"/>
      <c r="K3359" s="156"/>
      <c r="L3359" s="157"/>
      <c r="M3359" s="158" t="s">
        <v>28</v>
      </c>
      <c r="N3359" s="159" t="s">
        <v>29</v>
      </c>
    </row>
    <row r="3360" spans="1:14">
      <c r="A3360" s="148"/>
      <c r="B3360" s="149"/>
      <c r="C3360" s="160"/>
      <c r="D3360" s="151"/>
      <c r="E3360" s="152"/>
      <c r="F3360" s="153"/>
      <c r="G3360" s="154"/>
      <c r="H3360" s="154"/>
      <c r="I3360" s="154"/>
      <c r="J3360" s="155"/>
      <c r="K3360" s="156"/>
      <c r="L3360" s="157"/>
      <c r="M3360" s="158" t="s">
        <v>28</v>
      </c>
      <c r="N3360" s="159" t="s">
        <v>29</v>
      </c>
    </row>
    <row r="3361" spans="1:14">
      <c r="A3361" s="148"/>
      <c r="B3361" s="149"/>
      <c r="C3361" s="160"/>
      <c r="D3361" s="151"/>
      <c r="E3361" s="152"/>
      <c r="F3361" s="153"/>
      <c r="G3361" s="154"/>
      <c r="H3361" s="154"/>
      <c r="I3361" s="154"/>
      <c r="J3361" s="155"/>
      <c r="K3361" s="156"/>
      <c r="L3361" s="157"/>
      <c r="M3361" s="158" t="s">
        <v>28</v>
      </c>
      <c r="N3361" s="159" t="s">
        <v>29</v>
      </c>
    </row>
    <row r="3362" spans="1:14">
      <c r="A3362" s="148"/>
      <c r="B3362" s="149"/>
      <c r="C3362" s="160"/>
      <c r="D3362" s="151"/>
      <c r="E3362" s="152"/>
      <c r="F3362" s="153"/>
      <c r="G3362" s="154"/>
      <c r="H3362" s="154"/>
      <c r="I3362" s="154"/>
      <c r="J3362" s="155"/>
      <c r="K3362" s="156"/>
      <c r="L3362" s="157"/>
      <c r="M3362" s="158" t="s">
        <v>28</v>
      </c>
      <c r="N3362" s="159" t="s">
        <v>29</v>
      </c>
    </row>
    <row r="3363" spans="1:14">
      <c r="A3363" s="148"/>
      <c r="B3363" s="149"/>
      <c r="C3363" s="160"/>
      <c r="D3363" s="151"/>
      <c r="E3363" s="152"/>
      <c r="F3363" s="153"/>
      <c r="G3363" s="154"/>
      <c r="H3363" s="154"/>
      <c r="I3363" s="154"/>
      <c r="J3363" s="155"/>
      <c r="K3363" s="156"/>
      <c r="L3363" s="157"/>
      <c r="M3363" s="158" t="s">
        <v>28</v>
      </c>
      <c r="N3363" s="159" t="s">
        <v>29</v>
      </c>
    </row>
    <row r="3364" spans="1:14">
      <c r="A3364" s="148"/>
      <c r="B3364" s="149"/>
      <c r="C3364" s="160"/>
      <c r="D3364" s="151"/>
      <c r="E3364" s="152"/>
      <c r="F3364" s="153"/>
      <c r="G3364" s="154"/>
      <c r="H3364" s="154"/>
      <c r="I3364" s="154"/>
      <c r="J3364" s="155"/>
      <c r="K3364" s="156"/>
      <c r="L3364" s="157"/>
      <c r="M3364" s="158" t="s">
        <v>28</v>
      </c>
      <c r="N3364" s="159" t="s">
        <v>29</v>
      </c>
    </row>
    <row r="3365" spans="1:14">
      <c r="A3365" s="148"/>
      <c r="B3365" s="149"/>
      <c r="C3365" s="160"/>
      <c r="D3365" s="151"/>
      <c r="E3365" s="152"/>
      <c r="F3365" s="153"/>
      <c r="G3365" s="154"/>
      <c r="H3365" s="154"/>
      <c r="I3365" s="154"/>
      <c r="J3365" s="155"/>
      <c r="K3365" s="156"/>
      <c r="L3365" s="157"/>
      <c r="M3365" s="158" t="s">
        <v>28</v>
      </c>
      <c r="N3365" s="159" t="s">
        <v>29</v>
      </c>
    </row>
    <row r="3366" spans="1:14">
      <c r="A3366" s="148"/>
      <c r="B3366" s="149"/>
      <c r="C3366" s="160"/>
      <c r="D3366" s="151"/>
      <c r="E3366" s="152"/>
      <c r="F3366" s="153"/>
      <c r="G3366" s="154"/>
      <c r="H3366" s="154"/>
      <c r="I3366" s="154"/>
      <c r="J3366" s="155"/>
      <c r="K3366" s="156"/>
      <c r="L3366" s="157"/>
      <c r="M3366" s="158" t="s">
        <v>28</v>
      </c>
      <c r="N3366" s="159" t="s">
        <v>29</v>
      </c>
    </row>
    <row r="3367" spans="1:14">
      <c r="A3367" s="148"/>
      <c r="B3367" s="149"/>
      <c r="C3367" s="160"/>
      <c r="D3367" s="151"/>
      <c r="E3367" s="152"/>
      <c r="F3367" s="153"/>
      <c r="G3367" s="154"/>
      <c r="H3367" s="154"/>
      <c r="I3367" s="154"/>
      <c r="J3367" s="155"/>
      <c r="K3367" s="156"/>
      <c r="L3367" s="157"/>
      <c r="M3367" s="158" t="s">
        <v>28</v>
      </c>
      <c r="N3367" s="159" t="s">
        <v>29</v>
      </c>
    </row>
    <row r="3368" spans="1:14">
      <c r="A3368" s="148"/>
      <c r="B3368" s="149"/>
      <c r="C3368" s="160"/>
      <c r="D3368" s="151"/>
      <c r="E3368" s="152"/>
      <c r="F3368" s="153"/>
      <c r="G3368" s="154"/>
      <c r="H3368" s="154"/>
      <c r="I3368" s="154"/>
      <c r="J3368" s="155"/>
      <c r="K3368" s="156"/>
      <c r="L3368" s="157"/>
      <c r="M3368" s="158" t="s">
        <v>28</v>
      </c>
      <c r="N3368" s="159" t="s">
        <v>29</v>
      </c>
    </row>
    <row r="3369" spans="1:14">
      <c r="A3369" s="148"/>
      <c r="B3369" s="149"/>
      <c r="C3369" s="160"/>
      <c r="D3369" s="151"/>
      <c r="E3369" s="152"/>
      <c r="F3369" s="153"/>
      <c r="G3369" s="154"/>
      <c r="H3369" s="154"/>
      <c r="I3369" s="154"/>
      <c r="J3369" s="155"/>
      <c r="K3369" s="156"/>
      <c r="L3369" s="157"/>
      <c r="M3369" s="158" t="s">
        <v>28</v>
      </c>
      <c r="N3369" s="159" t="s">
        <v>29</v>
      </c>
    </row>
    <row r="3370" spans="1:14">
      <c r="A3370" s="148"/>
      <c r="B3370" s="149"/>
      <c r="C3370" s="160"/>
      <c r="D3370" s="151"/>
      <c r="E3370" s="152"/>
      <c r="F3370" s="153"/>
      <c r="G3370" s="154"/>
      <c r="H3370" s="154"/>
      <c r="I3370" s="154"/>
      <c r="J3370" s="155"/>
      <c r="K3370" s="156"/>
      <c r="L3370" s="157"/>
      <c r="M3370" s="158" t="s">
        <v>28</v>
      </c>
      <c r="N3370" s="159" t="s">
        <v>29</v>
      </c>
    </row>
    <row r="3371" spans="1:14">
      <c r="A3371" s="148"/>
      <c r="B3371" s="149"/>
      <c r="C3371" s="160"/>
      <c r="D3371" s="151"/>
      <c r="E3371" s="152"/>
      <c r="F3371" s="153"/>
      <c r="G3371" s="154"/>
      <c r="H3371" s="154"/>
      <c r="I3371" s="154"/>
      <c r="J3371" s="155"/>
      <c r="K3371" s="156"/>
      <c r="L3371" s="157"/>
      <c r="M3371" s="158" t="s">
        <v>28</v>
      </c>
      <c r="N3371" s="159" t="s">
        <v>29</v>
      </c>
    </row>
    <row r="3372" spans="1:14">
      <c r="A3372" s="148"/>
      <c r="B3372" s="149"/>
      <c r="C3372" s="160"/>
      <c r="D3372" s="151"/>
      <c r="E3372" s="152"/>
      <c r="F3372" s="153"/>
      <c r="G3372" s="154"/>
      <c r="H3372" s="154"/>
      <c r="I3372" s="154"/>
      <c r="J3372" s="155"/>
      <c r="K3372" s="156"/>
      <c r="L3372" s="157"/>
      <c r="M3372" s="158" t="s">
        <v>28</v>
      </c>
      <c r="N3372" s="159" t="s">
        <v>29</v>
      </c>
    </row>
    <row r="3373" spans="1:14">
      <c r="A3373" s="148"/>
      <c r="B3373" s="149"/>
      <c r="C3373" s="160"/>
      <c r="D3373" s="151"/>
      <c r="E3373" s="152"/>
      <c r="F3373" s="153"/>
      <c r="G3373" s="154"/>
      <c r="H3373" s="154"/>
      <c r="I3373" s="154"/>
      <c r="J3373" s="155"/>
      <c r="K3373" s="156"/>
      <c r="L3373" s="157"/>
      <c r="M3373" s="158" t="s">
        <v>28</v>
      </c>
      <c r="N3373" s="159" t="s">
        <v>29</v>
      </c>
    </row>
    <row r="3374" spans="1:14">
      <c r="A3374" s="148"/>
      <c r="B3374" s="149"/>
      <c r="C3374" s="160"/>
      <c r="D3374" s="151"/>
      <c r="E3374" s="152"/>
      <c r="F3374" s="153"/>
      <c r="G3374" s="154"/>
      <c r="H3374" s="154"/>
      <c r="I3374" s="154"/>
      <c r="J3374" s="155"/>
      <c r="K3374" s="156"/>
      <c r="L3374" s="157"/>
      <c r="M3374" s="158" t="s">
        <v>28</v>
      </c>
      <c r="N3374" s="159" t="s">
        <v>29</v>
      </c>
    </row>
    <row r="3375" spans="1:14">
      <c r="A3375" s="148"/>
      <c r="B3375" s="149"/>
      <c r="C3375" s="160"/>
      <c r="D3375" s="151"/>
      <c r="E3375" s="152"/>
      <c r="F3375" s="153"/>
      <c r="G3375" s="154"/>
      <c r="H3375" s="154"/>
      <c r="I3375" s="154"/>
      <c r="J3375" s="155"/>
      <c r="K3375" s="156"/>
      <c r="L3375" s="157"/>
      <c r="M3375" s="158" t="s">
        <v>28</v>
      </c>
      <c r="N3375" s="159" t="s">
        <v>29</v>
      </c>
    </row>
    <row r="3376" spans="1:14">
      <c r="A3376" s="148"/>
      <c r="B3376" s="149"/>
      <c r="C3376" s="160"/>
      <c r="D3376" s="151"/>
      <c r="E3376" s="152"/>
      <c r="F3376" s="153"/>
      <c r="G3376" s="154"/>
      <c r="H3376" s="154"/>
      <c r="I3376" s="154"/>
      <c r="J3376" s="155"/>
      <c r="K3376" s="156"/>
      <c r="L3376" s="157"/>
      <c r="M3376" s="158" t="s">
        <v>28</v>
      </c>
      <c r="N3376" s="159" t="s">
        <v>29</v>
      </c>
    </row>
    <row r="3377" spans="1:14">
      <c r="A3377" s="148"/>
      <c r="B3377" s="149"/>
      <c r="C3377" s="160"/>
      <c r="D3377" s="151"/>
      <c r="E3377" s="152"/>
      <c r="F3377" s="153"/>
      <c r="G3377" s="154"/>
      <c r="H3377" s="154"/>
      <c r="I3377" s="154"/>
      <c r="J3377" s="155"/>
      <c r="K3377" s="156"/>
      <c r="L3377" s="157"/>
      <c r="M3377" s="158" t="s">
        <v>28</v>
      </c>
      <c r="N3377" s="159" t="s">
        <v>29</v>
      </c>
    </row>
    <row r="3378" spans="1:14">
      <c r="A3378" s="148"/>
      <c r="B3378" s="149"/>
      <c r="C3378" s="160"/>
      <c r="D3378" s="151"/>
      <c r="E3378" s="152"/>
      <c r="F3378" s="153"/>
      <c r="G3378" s="154"/>
      <c r="H3378" s="154"/>
      <c r="I3378" s="154"/>
      <c r="J3378" s="155"/>
      <c r="K3378" s="156"/>
      <c r="L3378" s="157"/>
      <c r="M3378" s="158" t="s">
        <v>28</v>
      </c>
      <c r="N3378" s="159" t="s">
        <v>29</v>
      </c>
    </row>
    <row r="3379" spans="1:14">
      <c r="A3379" s="148"/>
      <c r="B3379" s="149"/>
      <c r="C3379" s="160"/>
      <c r="D3379" s="151"/>
      <c r="E3379" s="152"/>
      <c r="F3379" s="153"/>
      <c r="G3379" s="154"/>
      <c r="H3379" s="154"/>
      <c r="I3379" s="154"/>
      <c r="J3379" s="155"/>
      <c r="K3379" s="156"/>
      <c r="L3379" s="157"/>
      <c r="M3379" s="158" t="s">
        <v>28</v>
      </c>
      <c r="N3379" s="159" t="s">
        <v>29</v>
      </c>
    </row>
    <row r="3380" spans="1:14">
      <c r="A3380" s="148"/>
      <c r="B3380" s="149"/>
      <c r="C3380" s="160"/>
      <c r="D3380" s="151"/>
      <c r="E3380" s="152"/>
      <c r="F3380" s="153"/>
      <c r="G3380" s="154"/>
      <c r="H3380" s="154"/>
      <c r="I3380" s="154"/>
      <c r="J3380" s="155"/>
      <c r="K3380" s="156"/>
      <c r="L3380" s="157"/>
      <c r="M3380" s="158" t="s">
        <v>28</v>
      </c>
      <c r="N3380" s="159" t="s">
        <v>29</v>
      </c>
    </row>
    <row r="3381" spans="1:14">
      <c r="A3381" s="148"/>
      <c r="B3381" s="149"/>
      <c r="C3381" s="160"/>
      <c r="D3381" s="151"/>
      <c r="E3381" s="152"/>
      <c r="F3381" s="153"/>
      <c r="G3381" s="154"/>
      <c r="H3381" s="154"/>
      <c r="I3381" s="154"/>
      <c r="J3381" s="155"/>
      <c r="K3381" s="156"/>
      <c r="L3381" s="157"/>
      <c r="M3381" s="158" t="s">
        <v>28</v>
      </c>
      <c r="N3381" s="159" t="s">
        <v>29</v>
      </c>
    </row>
    <row r="3382" spans="1:14">
      <c r="A3382" s="148"/>
      <c r="B3382" s="149"/>
      <c r="C3382" s="160"/>
      <c r="D3382" s="151"/>
      <c r="E3382" s="152"/>
      <c r="F3382" s="153"/>
      <c r="G3382" s="154"/>
      <c r="H3382" s="154"/>
      <c r="I3382" s="154"/>
      <c r="J3382" s="155"/>
      <c r="K3382" s="156"/>
      <c r="L3382" s="157"/>
      <c r="M3382" s="158" t="s">
        <v>28</v>
      </c>
      <c r="N3382" s="159" t="s">
        <v>29</v>
      </c>
    </row>
    <row r="3383" spans="1:14">
      <c r="A3383" s="148"/>
      <c r="B3383" s="149"/>
      <c r="C3383" s="160"/>
      <c r="D3383" s="151"/>
      <c r="E3383" s="152"/>
      <c r="F3383" s="153"/>
      <c r="G3383" s="154"/>
      <c r="H3383" s="154"/>
      <c r="I3383" s="154"/>
      <c r="J3383" s="155"/>
      <c r="K3383" s="156"/>
      <c r="L3383" s="157"/>
      <c r="M3383" s="158" t="s">
        <v>28</v>
      </c>
      <c r="N3383" s="159" t="s">
        <v>29</v>
      </c>
    </row>
    <row r="3384" spans="1:14">
      <c r="A3384" s="148"/>
      <c r="B3384" s="149"/>
      <c r="C3384" s="160"/>
      <c r="D3384" s="151"/>
      <c r="E3384" s="152"/>
      <c r="F3384" s="153"/>
      <c r="G3384" s="154"/>
      <c r="H3384" s="154"/>
      <c r="I3384" s="154"/>
      <c r="J3384" s="155"/>
      <c r="K3384" s="156"/>
      <c r="L3384" s="157"/>
      <c r="M3384" s="158" t="s">
        <v>28</v>
      </c>
      <c r="N3384" s="159" t="s">
        <v>29</v>
      </c>
    </row>
    <row r="3385" spans="1:14">
      <c r="A3385" s="148"/>
      <c r="B3385" s="149"/>
      <c r="C3385" s="160"/>
      <c r="D3385" s="151"/>
      <c r="E3385" s="152"/>
      <c r="F3385" s="153"/>
      <c r="G3385" s="154"/>
      <c r="H3385" s="154"/>
      <c r="I3385" s="154"/>
      <c r="J3385" s="155"/>
      <c r="K3385" s="156"/>
      <c r="L3385" s="157"/>
      <c r="M3385" s="158" t="s">
        <v>28</v>
      </c>
      <c r="N3385" s="159" t="s">
        <v>29</v>
      </c>
    </row>
    <row r="3386" spans="1:14">
      <c r="A3386" s="148"/>
      <c r="B3386" s="149"/>
      <c r="C3386" s="160"/>
      <c r="D3386" s="151"/>
      <c r="E3386" s="152"/>
      <c r="F3386" s="153"/>
      <c r="G3386" s="154"/>
      <c r="H3386" s="154"/>
      <c r="I3386" s="154"/>
      <c r="J3386" s="155"/>
      <c r="K3386" s="156"/>
      <c r="L3386" s="157"/>
      <c r="M3386" s="158" t="s">
        <v>28</v>
      </c>
      <c r="N3386" s="159" t="s">
        <v>29</v>
      </c>
    </row>
    <row r="3387" spans="1:14">
      <c r="A3387" s="148"/>
      <c r="B3387" s="149"/>
      <c r="C3387" s="160"/>
      <c r="D3387" s="151"/>
      <c r="E3387" s="152"/>
      <c r="F3387" s="153"/>
      <c r="G3387" s="154"/>
      <c r="H3387" s="154"/>
      <c r="I3387" s="154"/>
      <c r="J3387" s="155"/>
      <c r="K3387" s="156"/>
      <c r="L3387" s="157"/>
      <c r="M3387" s="158" t="s">
        <v>28</v>
      </c>
      <c r="N3387" s="159" t="s">
        <v>29</v>
      </c>
    </row>
    <row r="3388" spans="1:14">
      <c r="A3388" s="148"/>
      <c r="B3388" s="149"/>
      <c r="C3388" s="160"/>
      <c r="D3388" s="151"/>
      <c r="E3388" s="152"/>
      <c r="F3388" s="153"/>
      <c r="G3388" s="154"/>
      <c r="H3388" s="154"/>
      <c r="I3388" s="154"/>
      <c r="J3388" s="155"/>
      <c r="K3388" s="156"/>
      <c r="L3388" s="157"/>
      <c r="M3388" s="158" t="s">
        <v>28</v>
      </c>
      <c r="N3388" s="159" t="s">
        <v>29</v>
      </c>
    </row>
    <row r="3389" spans="1:14">
      <c r="A3389" s="148"/>
      <c r="B3389" s="149"/>
      <c r="C3389" s="160"/>
      <c r="D3389" s="151"/>
      <c r="E3389" s="152"/>
      <c r="F3389" s="153"/>
      <c r="G3389" s="154"/>
      <c r="H3389" s="154"/>
      <c r="I3389" s="154"/>
      <c r="J3389" s="155"/>
      <c r="K3389" s="156"/>
      <c r="L3389" s="157"/>
      <c r="M3389" s="158" t="s">
        <v>28</v>
      </c>
      <c r="N3389" s="159" t="s">
        <v>29</v>
      </c>
    </row>
    <row r="3390" spans="1:14">
      <c r="A3390" s="148"/>
      <c r="B3390" s="149"/>
      <c r="C3390" s="160"/>
      <c r="D3390" s="151"/>
      <c r="E3390" s="152"/>
      <c r="F3390" s="153"/>
      <c r="G3390" s="154"/>
      <c r="H3390" s="154"/>
      <c r="I3390" s="154"/>
      <c r="J3390" s="155"/>
      <c r="K3390" s="156"/>
      <c r="L3390" s="157"/>
      <c r="M3390" s="158" t="s">
        <v>28</v>
      </c>
      <c r="N3390" s="159" t="s">
        <v>29</v>
      </c>
    </row>
    <row r="3391" spans="1:14">
      <c r="A3391" s="148"/>
      <c r="B3391" s="149"/>
      <c r="C3391" s="160"/>
      <c r="D3391" s="151"/>
      <c r="E3391" s="152"/>
      <c r="F3391" s="153"/>
      <c r="G3391" s="154"/>
      <c r="H3391" s="154"/>
      <c r="I3391" s="154"/>
      <c r="J3391" s="155"/>
      <c r="K3391" s="156"/>
      <c r="L3391" s="157"/>
      <c r="M3391" s="158" t="s">
        <v>28</v>
      </c>
      <c r="N3391" s="159" t="s">
        <v>29</v>
      </c>
    </row>
    <row r="3392" spans="1:14">
      <c r="A3392" s="148"/>
      <c r="B3392" s="149"/>
      <c r="C3392" s="160"/>
      <c r="D3392" s="151"/>
      <c r="E3392" s="152"/>
      <c r="F3392" s="153"/>
      <c r="G3392" s="154"/>
      <c r="H3392" s="154"/>
      <c r="I3392" s="154"/>
      <c r="J3392" s="155"/>
      <c r="K3392" s="156"/>
      <c r="L3392" s="157"/>
      <c r="M3392" s="158" t="s">
        <v>28</v>
      </c>
      <c r="N3392" s="159" t="s">
        <v>29</v>
      </c>
    </row>
    <row r="3393" spans="1:14">
      <c r="A3393" s="148"/>
      <c r="B3393" s="149"/>
      <c r="C3393" s="160"/>
      <c r="D3393" s="151"/>
      <c r="E3393" s="152"/>
      <c r="F3393" s="153"/>
      <c r="G3393" s="154"/>
      <c r="H3393" s="154"/>
      <c r="I3393" s="154"/>
      <c r="J3393" s="155"/>
      <c r="K3393" s="156"/>
      <c r="L3393" s="157"/>
      <c r="M3393" s="158" t="s">
        <v>28</v>
      </c>
      <c r="N3393" s="159" t="s">
        <v>29</v>
      </c>
    </row>
    <row r="3394" spans="1:14">
      <c r="A3394" s="148"/>
      <c r="B3394" s="149"/>
      <c r="C3394" s="160"/>
      <c r="D3394" s="151"/>
      <c r="E3394" s="152"/>
      <c r="F3394" s="153"/>
      <c r="G3394" s="154"/>
      <c r="H3394" s="154"/>
      <c r="I3394" s="154"/>
      <c r="J3394" s="155"/>
      <c r="K3394" s="156"/>
      <c r="L3394" s="157"/>
      <c r="M3394" s="158" t="s">
        <v>28</v>
      </c>
      <c r="N3394" s="159" t="s">
        <v>29</v>
      </c>
    </row>
    <row r="3395" spans="1:14">
      <c r="A3395" s="148"/>
      <c r="B3395" s="149"/>
      <c r="C3395" s="160"/>
      <c r="D3395" s="151"/>
      <c r="E3395" s="152"/>
      <c r="F3395" s="153"/>
      <c r="G3395" s="154"/>
      <c r="H3395" s="154"/>
      <c r="I3395" s="154"/>
      <c r="J3395" s="155"/>
      <c r="K3395" s="156"/>
      <c r="L3395" s="157"/>
      <c r="M3395" s="158" t="s">
        <v>28</v>
      </c>
      <c r="N3395" s="159" t="s">
        <v>29</v>
      </c>
    </row>
    <row r="3396" spans="1:14">
      <c r="A3396" s="148"/>
      <c r="B3396" s="149"/>
      <c r="C3396" s="160"/>
      <c r="D3396" s="151"/>
      <c r="E3396" s="152"/>
      <c r="F3396" s="153"/>
      <c r="G3396" s="154"/>
      <c r="H3396" s="154"/>
      <c r="I3396" s="154"/>
      <c r="J3396" s="155"/>
      <c r="K3396" s="156"/>
      <c r="L3396" s="157"/>
      <c r="M3396" s="158" t="s">
        <v>28</v>
      </c>
      <c r="N3396" s="159" t="s">
        <v>29</v>
      </c>
    </row>
    <row r="3397" spans="1:14">
      <c r="A3397" s="148"/>
      <c r="B3397" s="149"/>
      <c r="C3397" s="160"/>
      <c r="D3397" s="151"/>
      <c r="E3397" s="152"/>
      <c r="F3397" s="153"/>
      <c r="G3397" s="154"/>
      <c r="H3397" s="154"/>
      <c r="I3397" s="154"/>
      <c r="J3397" s="155"/>
      <c r="K3397" s="156"/>
      <c r="L3397" s="157"/>
      <c r="M3397" s="158" t="s">
        <v>28</v>
      </c>
      <c r="N3397" s="159" t="s">
        <v>29</v>
      </c>
    </row>
    <row r="3398" spans="1:14">
      <c r="A3398" s="148"/>
      <c r="B3398" s="149"/>
      <c r="C3398" s="160"/>
      <c r="D3398" s="151"/>
      <c r="E3398" s="152"/>
      <c r="F3398" s="153"/>
      <c r="G3398" s="154"/>
      <c r="H3398" s="154"/>
      <c r="I3398" s="154"/>
      <c r="J3398" s="155"/>
      <c r="K3398" s="156"/>
      <c r="L3398" s="157"/>
      <c r="M3398" s="158" t="s">
        <v>28</v>
      </c>
      <c r="N3398" s="159" t="s">
        <v>29</v>
      </c>
    </row>
    <row r="3399" spans="1:14">
      <c r="A3399" s="148"/>
      <c r="B3399" s="149"/>
      <c r="C3399" s="160"/>
      <c r="D3399" s="151"/>
      <c r="E3399" s="152"/>
      <c r="F3399" s="153"/>
      <c r="G3399" s="154"/>
      <c r="H3399" s="154"/>
      <c r="I3399" s="154"/>
      <c r="J3399" s="155"/>
      <c r="K3399" s="156"/>
      <c r="L3399" s="157"/>
      <c r="M3399" s="158" t="s">
        <v>28</v>
      </c>
      <c r="N3399" s="159" t="s">
        <v>29</v>
      </c>
    </row>
    <row r="3400" spans="1:14">
      <c r="A3400" s="148"/>
      <c r="B3400" s="149"/>
      <c r="C3400" s="160"/>
      <c r="D3400" s="151"/>
      <c r="E3400" s="152"/>
      <c r="F3400" s="153"/>
      <c r="G3400" s="154"/>
      <c r="H3400" s="154"/>
      <c r="I3400" s="154"/>
      <c r="J3400" s="155"/>
      <c r="K3400" s="156"/>
      <c r="L3400" s="157"/>
      <c r="M3400" s="158" t="s">
        <v>28</v>
      </c>
      <c r="N3400" s="159" t="s">
        <v>29</v>
      </c>
    </row>
    <row r="3401" spans="1:14">
      <c r="A3401" s="148"/>
      <c r="B3401" s="149"/>
      <c r="C3401" s="160"/>
      <c r="D3401" s="151"/>
      <c r="E3401" s="152"/>
      <c r="F3401" s="153"/>
      <c r="G3401" s="154"/>
      <c r="H3401" s="154"/>
      <c r="I3401" s="154"/>
      <c r="J3401" s="155"/>
      <c r="K3401" s="156"/>
      <c r="L3401" s="157"/>
      <c r="M3401" s="158" t="s">
        <v>28</v>
      </c>
      <c r="N3401" s="159" t="s">
        <v>29</v>
      </c>
    </row>
    <row r="3402" spans="1:14">
      <c r="A3402" s="148"/>
      <c r="B3402" s="149"/>
      <c r="C3402" s="160"/>
      <c r="D3402" s="151"/>
      <c r="E3402" s="152"/>
      <c r="F3402" s="153"/>
      <c r="G3402" s="154"/>
      <c r="H3402" s="154"/>
      <c r="I3402" s="154"/>
      <c r="J3402" s="155"/>
      <c r="K3402" s="156"/>
      <c r="L3402" s="157"/>
      <c r="M3402" s="158" t="s">
        <v>28</v>
      </c>
      <c r="N3402" s="159" t="s">
        <v>29</v>
      </c>
    </row>
    <row r="3403" spans="1:14">
      <c r="A3403" s="148"/>
      <c r="B3403" s="149"/>
      <c r="C3403" s="160"/>
      <c r="D3403" s="151"/>
      <c r="E3403" s="152"/>
      <c r="F3403" s="153"/>
      <c r="G3403" s="154"/>
      <c r="H3403" s="154"/>
      <c r="I3403" s="154"/>
      <c r="J3403" s="155"/>
      <c r="K3403" s="156"/>
      <c r="L3403" s="157"/>
      <c r="M3403" s="158" t="s">
        <v>28</v>
      </c>
      <c r="N3403" s="159" t="s">
        <v>29</v>
      </c>
    </row>
    <row r="3404" spans="1:14">
      <c r="A3404" s="148"/>
      <c r="B3404" s="149"/>
      <c r="C3404" s="160"/>
      <c r="D3404" s="151"/>
      <c r="E3404" s="152"/>
      <c r="F3404" s="153"/>
      <c r="G3404" s="154"/>
      <c r="H3404" s="154"/>
      <c r="I3404" s="154"/>
      <c r="J3404" s="155"/>
      <c r="K3404" s="156"/>
      <c r="L3404" s="157"/>
      <c r="M3404" s="158" t="s">
        <v>28</v>
      </c>
      <c r="N3404" s="159" t="s">
        <v>29</v>
      </c>
    </row>
    <row r="3405" spans="1:14">
      <c r="A3405" s="148"/>
      <c r="B3405" s="149"/>
      <c r="C3405" s="160"/>
      <c r="D3405" s="151"/>
      <c r="E3405" s="152"/>
      <c r="F3405" s="153"/>
      <c r="G3405" s="154"/>
      <c r="H3405" s="154"/>
      <c r="I3405" s="154"/>
      <c r="J3405" s="155"/>
      <c r="K3405" s="156"/>
      <c r="L3405" s="157"/>
      <c r="M3405" s="158" t="s">
        <v>28</v>
      </c>
      <c r="N3405" s="159" t="s">
        <v>29</v>
      </c>
    </row>
    <row r="3406" spans="1:14">
      <c r="A3406" s="148"/>
      <c r="B3406" s="149"/>
      <c r="C3406" s="160"/>
      <c r="D3406" s="151"/>
      <c r="E3406" s="152"/>
      <c r="F3406" s="153"/>
      <c r="G3406" s="154"/>
      <c r="H3406" s="154"/>
      <c r="I3406" s="154"/>
      <c r="J3406" s="155"/>
      <c r="K3406" s="156"/>
      <c r="L3406" s="157"/>
      <c r="M3406" s="158" t="s">
        <v>28</v>
      </c>
      <c r="N3406" s="159" t="s">
        <v>29</v>
      </c>
    </row>
    <row r="3407" spans="1:14">
      <c r="A3407" s="148"/>
      <c r="B3407" s="149"/>
      <c r="C3407" s="160"/>
      <c r="D3407" s="151"/>
      <c r="E3407" s="152"/>
      <c r="F3407" s="153"/>
      <c r="G3407" s="154"/>
      <c r="H3407" s="154"/>
      <c r="I3407" s="154"/>
      <c r="J3407" s="155"/>
      <c r="K3407" s="156"/>
      <c r="L3407" s="157"/>
      <c r="M3407" s="158" t="s">
        <v>28</v>
      </c>
      <c r="N3407" s="159" t="s">
        <v>29</v>
      </c>
    </row>
    <row r="3408" spans="1:14">
      <c r="A3408" s="148"/>
      <c r="B3408" s="149"/>
      <c r="C3408" s="160"/>
      <c r="D3408" s="151"/>
      <c r="E3408" s="152"/>
      <c r="F3408" s="153"/>
      <c r="G3408" s="154"/>
      <c r="H3408" s="154"/>
      <c r="I3408" s="154"/>
      <c r="J3408" s="155"/>
      <c r="K3408" s="156"/>
      <c r="L3408" s="157"/>
      <c r="M3408" s="158" t="s">
        <v>28</v>
      </c>
      <c r="N3408" s="159" t="s">
        <v>29</v>
      </c>
    </row>
    <row r="3409" spans="1:14">
      <c r="A3409" s="148"/>
      <c r="B3409" s="149"/>
      <c r="C3409" s="160"/>
      <c r="D3409" s="151"/>
      <c r="E3409" s="152"/>
      <c r="F3409" s="153"/>
      <c r="G3409" s="154"/>
      <c r="H3409" s="154"/>
      <c r="I3409" s="154"/>
      <c r="J3409" s="155"/>
      <c r="K3409" s="156"/>
      <c r="L3409" s="157"/>
      <c r="M3409" s="158" t="s">
        <v>28</v>
      </c>
      <c r="N3409" s="159" t="s">
        <v>29</v>
      </c>
    </row>
    <row r="3410" spans="1:14">
      <c r="A3410" s="148"/>
      <c r="B3410" s="149"/>
      <c r="C3410" s="160"/>
      <c r="D3410" s="151"/>
      <c r="E3410" s="152"/>
      <c r="F3410" s="153"/>
      <c r="G3410" s="154"/>
      <c r="H3410" s="154"/>
      <c r="I3410" s="154"/>
      <c r="J3410" s="155"/>
      <c r="K3410" s="156"/>
      <c r="L3410" s="157"/>
      <c r="M3410" s="158" t="s">
        <v>28</v>
      </c>
      <c r="N3410" s="159" t="s">
        <v>29</v>
      </c>
    </row>
    <row r="3411" spans="1:14">
      <c r="A3411" s="148"/>
      <c r="B3411" s="149"/>
      <c r="C3411" s="160"/>
      <c r="D3411" s="151"/>
      <c r="E3411" s="152"/>
      <c r="F3411" s="153"/>
      <c r="G3411" s="154"/>
      <c r="H3411" s="154"/>
      <c r="I3411" s="154"/>
      <c r="J3411" s="155"/>
      <c r="K3411" s="156"/>
      <c r="L3411" s="157"/>
      <c r="M3411" s="158" t="s">
        <v>28</v>
      </c>
      <c r="N3411" s="159" t="s">
        <v>29</v>
      </c>
    </row>
    <row r="3412" spans="1:14">
      <c r="A3412" s="148"/>
      <c r="B3412" s="149"/>
      <c r="C3412" s="160"/>
      <c r="D3412" s="151"/>
      <c r="E3412" s="152"/>
      <c r="F3412" s="153"/>
      <c r="G3412" s="154"/>
      <c r="H3412" s="154"/>
      <c r="I3412" s="154"/>
      <c r="J3412" s="155"/>
      <c r="K3412" s="156"/>
      <c r="L3412" s="157"/>
      <c r="M3412" s="158" t="s">
        <v>28</v>
      </c>
      <c r="N3412" s="159" t="s">
        <v>29</v>
      </c>
    </row>
    <row r="3413" spans="1:14">
      <c r="A3413" s="148"/>
      <c r="B3413" s="149"/>
      <c r="C3413" s="160"/>
      <c r="D3413" s="151"/>
      <c r="E3413" s="152"/>
      <c r="F3413" s="153"/>
      <c r="G3413" s="154"/>
      <c r="H3413" s="154"/>
      <c r="I3413" s="154"/>
      <c r="J3413" s="155"/>
      <c r="K3413" s="156"/>
      <c r="L3413" s="157"/>
      <c r="M3413" s="158" t="s">
        <v>28</v>
      </c>
      <c r="N3413" s="159" t="s">
        <v>29</v>
      </c>
    </row>
    <row r="3414" spans="1:14">
      <c r="A3414" s="148"/>
      <c r="B3414" s="149"/>
      <c r="C3414" s="160"/>
      <c r="D3414" s="151"/>
      <c r="E3414" s="152"/>
      <c r="F3414" s="153"/>
      <c r="G3414" s="154"/>
      <c r="H3414" s="154"/>
      <c r="I3414" s="154"/>
      <c r="J3414" s="155"/>
      <c r="K3414" s="156"/>
      <c r="L3414" s="157"/>
      <c r="M3414" s="158" t="s">
        <v>28</v>
      </c>
      <c r="N3414" s="159" t="s">
        <v>29</v>
      </c>
    </row>
    <row r="3415" spans="1:14">
      <c r="A3415" s="148"/>
      <c r="B3415" s="149"/>
      <c r="C3415" s="160"/>
      <c r="D3415" s="151"/>
      <c r="E3415" s="152"/>
      <c r="F3415" s="153"/>
      <c r="G3415" s="154"/>
      <c r="H3415" s="154"/>
      <c r="I3415" s="154"/>
      <c r="J3415" s="155"/>
      <c r="K3415" s="156"/>
      <c r="L3415" s="157"/>
      <c r="M3415" s="158" t="s">
        <v>28</v>
      </c>
      <c r="N3415" s="159" t="s">
        <v>29</v>
      </c>
    </row>
    <row r="3416" spans="1:14">
      <c r="A3416" s="148"/>
      <c r="B3416" s="149"/>
      <c r="C3416" s="160"/>
      <c r="D3416" s="151"/>
      <c r="E3416" s="152"/>
      <c r="F3416" s="153"/>
      <c r="G3416" s="154"/>
      <c r="H3416" s="154"/>
      <c r="I3416" s="154"/>
      <c r="J3416" s="155"/>
      <c r="K3416" s="156"/>
      <c r="L3416" s="157"/>
      <c r="M3416" s="158" t="s">
        <v>28</v>
      </c>
      <c r="N3416" s="159" t="s">
        <v>29</v>
      </c>
    </row>
    <row r="3417" spans="1:14">
      <c r="A3417" s="148"/>
      <c r="B3417" s="149"/>
      <c r="C3417" s="160"/>
      <c r="D3417" s="151"/>
      <c r="E3417" s="152"/>
      <c r="F3417" s="153"/>
      <c r="G3417" s="154"/>
      <c r="H3417" s="154"/>
      <c r="I3417" s="154"/>
      <c r="J3417" s="155"/>
      <c r="K3417" s="156"/>
      <c r="L3417" s="157"/>
      <c r="M3417" s="158" t="s">
        <v>28</v>
      </c>
      <c r="N3417" s="159" t="s">
        <v>29</v>
      </c>
    </row>
    <row r="3418" spans="1:14">
      <c r="A3418" s="148"/>
      <c r="B3418" s="149"/>
      <c r="C3418" s="160"/>
      <c r="D3418" s="151"/>
      <c r="E3418" s="152"/>
      <c r="F3418" s="153"/>
      <c r="G3418" s="154"/>
      <c r="H3418" s="154"/>
      <c r="I3418" s="154"/>
      <c r="J3418" s="155"/>
      <c r="K3418" s="156"/>
      <c r="L3418" s="157"/>
      <c r="M3418" s="158" t="s">
        <v>28</v>
      </c>
      <c r="N3418" s="159" t="s">
        <v>29</v>
      </c>
    </row>
    <row r="3419" spans="1:14">
      <c r="A3419" s="148"/>
      <c r="B3419" s="149"/>
      <c r="C3419" s="160"/>
      <c r="D3419" s="151"/>
      <c r="E3419" s="152"/>
      <c r="F3419" s="153"/>
      <c r="G3419" s="154"/>
      <c r="H3419" s="154"/>
      <c r="I3419" s="154"/>
      <c r="J3419" s="155"/>
      <c r="K3419" s="156"/>
      <c r="L3419" s="157"/>
      <c r="M3419" s="158" t="s">
        <v>28</v>
      </c>
      <c r="N3419" s="159" t="s">
        <v>29</v>
      </c>
    </row>
    <row r="3420" spans="1:14">
      <c r="A3420" s="148"/>
      <c r="B3420" s="149"/>
      <c r="C3420" s="160"/>
      <c r="D3420" s="151"/>
      <c r="E3420" s="152"/>
      <c r="F3420" s="153"/>
      <c r="G3420" s="154"/>
      <c r="H3420" s="154"/>
      <c r="I3420" s="154"/>
      <c r="J3420" s="155"/>
      <c r="K3420" s="156"/>
      <c r="L3420" s="157"/>
      <c r="M3420" s="158" t="s">
        <v>28</v>
      </c>
      <c r="N3420" s="159" t="s">
        <v>29</v>
      </c>
    </row>
    <row r="3421" spans="1:14">
      <c r="A3421" s="148"/>
      <c r="B3421" s="149"/>
      <c r="C3421" s="160"/>
      <c r="D3421" s="151"/>
      <c r="E3421" s="152"/>
      <c r="F3421" s="153"/>
      <c r="G3421" s="154"/>
      <c r="H3421" s="154"/>
      <c r="I3421" s="154"/>
      <c r="J3421" s="155"/>
      <c r="K3421" s="156"/>
      <c r="L3421" s="157"/>
      <c r="M3421" s="158" t="s">
        <v>28</v>
      </c>
      <c r="N3421" s="159" t="s">
        <v>29</v>
      </c>
    </row>
    <row r="3422" spans="1:14">
      <c r="A3422" s="148"/>
      <c r="B3422" s="149"/>
      <c r="C3422" s="160"/>
      <c r="D3422" s="151"/>
      <c r="E3422" s="152"/>
      <c r="F3422" s="153"/>
      <c r="G3422" s="154"/>
      <c r="H3422" s="154"/>
      <c r="I3422" s="154"/>
      <c r="J3422" s="155"/>
      <c r="K3422" s="156"/>
      <c r="L3422" s="157"/>
      <c r="M3422" s="158" t="s">
        <v>28</v>
      </c>
      <c r="N3422" s="159" t="s">
        <v>29</v>
      </c>
    </row>
    <row r="3423" spans="1:14">
      <c r="A3423" s="148"/>
      <c r="B3423" s="149"/>
      <c r="C3423" s="160"/>
      <c r="D3423" s="151"/>
      <c r="E3423" s="152"/>
      <c r="F3423" s="153"/>
      <c r="G3423" s="154"/>
      <c r="H3423" s="154"/>
      <c r="I3423" s="154"/>
      <c r="J3423" s="155"/>
      <c r="K3423" s="156"/>
      <c r="L3423" s="157"/>
      <c r="M3423" s="158" t="s">
        <v>28</v>
      </c>
      <c r="N3423" s="159" t="s">
        <v>29</v>
      </c>
    </row>
    <row r="3424" spans="1:14">
      <c r="A3424" s="148"/>
      <c r="B3424" s="149"/>
      <c r="C3424" s="160"/>
      <c r="D3424" s="151"/>
      <c r="E3424" s="152"/>
      <c r="F3424" s="153"/>
      <c r="G3424" s="154"/>
      <c r="H3424" s="154"/>
      <c r="I3424" s="154"/>
      <c r="J3424" s="155"/>
      <c r="K3424" s="156"/>
      <c r="L3424" s="157"/>
      <c r="M3424" s="158" t="s">
        <v>28</v>
      </c>
      <c r="N3424" s="159" t="s">
        <v>29</v>
      </c>
    </row>
    <row r="3425" spans="1:14">
      <c r="A3425" s="148"/>
      <c r="B3425" s="149"/>
      <c r="C3425" s="160"/>
      <c r="D3425" s="151"/>
      <c r="E3425" s="152"/>
      <c r="F3425" s="153"/>
      <c r="G3425" s="154"/>
      <c r="H3425" s="154"/>
      <c r="I3425" s="154"/>
      <c r="J3425" s="155"/>
      <c r="K3425" s="156"/>
      <c r="L3425" s="157"/>
      <c r="M3425" s="158" t="s">
        <v>28</v>
      </c>
      <c r="N3425" s="159" t="s">
        <v>29</v>
      </c>
    </row>
    <row r="3426" spans="1:14">
      <c r="A3426" s="148"/>
      <c r="B3426" s="149"/>
      <c r="C3426" s="160"/>
      <c r="D3426" s="151"/>
      <c r="E3426" s="152"/>
      <c r="F3426" s="153"/>
      <c r="G3426" s="154"/>
      <c r="H3426" s="154"/>
      <c r="I3426" s="154"/>
      <c r="J3426" s="155"/>
      <c r="K3426" s="156"/>
      <c r="L3426" s="157"/>
      <c r="M3426" s="158" t="s">
        <v>28</v>
      </c>
      <c r="N3426" s="159" t="s">
        <v>29</v>
      </c>
    </row>
    <row r="3427" spans="1:14">
      <c r="A3427" s="148"/>
      <c r="B3427" s="149"/>
      <c r="C3427" s="160"/>
      <c r="D3427" s="151"/>
      <c r="E3427" s="152"/>
      <c r="F3427" s="153"/>
      <c r="G3427" s="154"/>
      <c r="H3427" s="154"/>
      <c r="I3427" s="154"/>
      <c r="J3427" s="155"/>
      <c r="K3427" s="156"/>
      <c r="L3427" s="157"/>
      <c r="M3427" s="158" t="s">
        <v>28</v>
      </c>
      <c r="N3427" s="159" t="s">
        <v>29</v>
      </c>
    </row>
    <row r="3428" spans="1:14">
      <c r="A3428" s="148"/>
      <c r="B3428" s="149"/>
      <c r="C3428" s="160"/>
      <c r="D3428" s="151"/>
      <c r="E3428" s="152"/>
      <c r="F3428" s="153"/>
      <c r="G3428" s="154"/>
      <c r="H3428" s="154"/>
      <c r="I3428" s="154"/>
      <c r="J3428" s="155"/>
      <c r="K3428" s="156"/>
      <c r="L3428" s="157"/>
      <c r="M3428" s="158" t="s">
        <v>28</v>
      </c>
      <c r="N3428" s="159" t="s">
        <v>29</v>
      </c>
    </row>
    <row r="3429" spans="1:14">
      <c r="A3429" s="148"/>
      <c r="B3429" s="149"/>
      <c r="C3429" s="160"/>
      <c r="D3429" s="151"/>
      <c r="E3429" s="152"/>
      <c r="F3429" s="153"/>
      <c r="G3429" s="154"/>
      <c r="H3429" s="154"/>
      <c r="I3429" s="154"/>
      <c r="J3429" s="155"/>
      <c r="K3429" s="156"/>
      <c r="L3429" s="157"/>
      <c r="M3429" s="158" t="s">
        <v>28</v>
      </c>
      <c r="N3429" s="159" t="s">
        <v>29</v>
      </c>
    </row>
    <row r="3430" spans="1:14">
      <c r="A3430" s="148"/>
      <c r="B3430" s="149"/>
      <c r="C3430" s="160"/>
      <c r="D3430" s="151"/>
      <c r="E3430" s="152"/>
      <c r="F3430" s="153"/>
      <c r="G3430" s="154"/>
      <c r="H3430" s="154"/>
      <c r="I3430" s="154"/>
      <c r="J3430" s="155"/>
      <c r="K3430" s="156"/>
      <c r="L3430" s="157"/>
      <c r="M3430" s="158" t="s">
        <v>28</v>
      </c>
      <c r="N3430" s="159" t="s">
        <v>29</v>
      </c>
    </row>
    <row r="3431" spans="1:14">
      <c r="A3431" s="148"/>
      <c r="B3431" s="149"/>
      <c r="C3431" s="160"/>
      <c r="D3431" s="151"/>
      <c r="E3431" s="152"/>
      <c r="F3431" s="153"/>
      <c r="G3431" s="154"/>
      <c r="H3431" s="154"/>
      <c r="I3431" s="154"/>
      <c r="J3431" s="155"/>
      <c r="K3431" s="156"/>
      <c r="L3431" s="157"/>
      <c r="M3431" s="158" t="s">
        <v>28</v>
      </c>
      <c r="N3431" s="159" t="s">
        <v>29</v>
      </c>
    </row>
    <row r="3432" spans="1:14">
      <c r="A3432" s="148"/>
      <c r="B3432" s="149"/>
      <c r="C3432" s="160"/>
      <c r="D3432" s="151"/>
      <c r="E3432" s="152"/>
      <c r="F3432" s="153"/>
      <c r="G3432" s="154"/>
      <c r="H3432" s="154"/>
      <c r="I3432" s="154"/>
      <c r="J3432" s="155"/>
      <c r="K3432" s="156"/>
      <c r="L3432" s="157"/>
      <c r="M3432" s="158" t="s">
        <v>28</v>
      </c>
      <c r="N3432" s="159" t="s">
        <v>29</v>
      </c>
    </row>
    <row r="3433" spans="1:14">
      <c r="A3433" s="148"/>
      <c r="B3433" s="149"/>
      <c r="C3433" s="160"/>
      <c r="D3433" s="151"/>
      <c r="E3433" s="152"/>
      <c r="F3433" s="153"/>
      <c r="G3433" s="154"/>
      <c r="H3433" s="154"/>
      <c r="I3433" s="154"/>
      <c r="J3433" s="155"/>
      <c r="K3433" s="156"/>
      <c r="L3433" s="157"/>
      <c r="M3433" s="158" t="s">
        <v>28</v>
      </c>
      <c r="N3433" s="159" t="s">
        <v>29</v>
      </c>
    </row>
    <row r="3434" spans="1:14">
      <c r="A3434" s="148"/>
      <c r="B3434" s="149"/>
      <c r="C3434" s="160"/>
      <c r="D3434" s="151"/>
      <c r="E3434" s="152"/>
      <c r="F3434" s="153"/>
      <c r="G3434" s="154"/>
      <c r="H3434" s="154"/>
      <c r="I3434" s="154"/>
      <c r="J3434" s="155"/>
      <c r="K3434" s="156"/>
      <c r="L3434" s="157"/>
      <c r="M3434" s="158" t="s">
        <v>28</v>
      </c>
      <c r="N3434" s="159" t="s">
        <v>29</v>
      </c>
    </row>
    <row r="3435" spans="1:14">
      <c r="A3435" s="148"/>
      <c r="B3435" s="149"/>
      <c r="C3435" s="160"/>
      <c r="D3435" s="151"/>
      <c r="E3435" s="152"/>
      <c r="F3435" s="153"/>
      <c r="G3435" s="154"/>
      <c r="H3435" s="154"/>
      <c r="I3435" s="154"/>
      <c r="J3435" s="155"/>
      <c r="K3435" s="156"/>
      <c r="L3435" s="157"/>
      <c r="M3435" s="158" t="s">
        <v>28</v>
      </c>
      <c r="N3435" s="159" t="s">
        <v>29</v>
      </c>
    </row>
    <row r="3436" spans="1:14">
      <c r="A3436" s="148"/>
      <c r="B3436" s="149"/>
      <c r="C3436" s="160"/>
      <c r="D3436" s="151"/>
      <c r="E3436" s="152"/>
      <c r="F3436" s="153"/>
      <c r="G3436" s="154"/>
      <c r="H3436" s="154"/>
      <c r="I3436" s="154"/>
      <c r="J3436" s="155"/>
      <c r="K3436" s="156"/>
      <c r="L3436" s="157"/>
      <c r="M3436" s="158" t="s">
        <v>28</v>
      </c>
      <c r="N3436" s="159" t="s">
        <v>29</v>
      </c>
    </row>
    <row r="3437" spans="1:14">
      <c r="A3437" s="148"/>
      <c r="B3437" s="149"/>
      <c r="C3437" s="160"/>
      <c r="D3437" s="151"/>
      <c r="E3437" s="152"/>
      <c r="F3437" s="153"/>
      <c r="G3437" s="154"/>
      <c r="H3437" s="154"/>
      <c r="I3437" s="154"/>
      <c r="J3437" s="155"/>
      <c r="K3437" s="156"/>
      <c r="L3437" s="157"/>
      <c r="M3437" s="158" t="s">
        <v>28</v>
      </c>
      <c r="N3437" s="159" t="s">
        <v>29</v>
      </c>
    </row>
    <row r="3438" spans="1:14">
      <c r="A3438" s="148"/>
      <c r="B3438" s="149"/>
      <c r="C3438" s="160"/>
      <c r="D3438" s="151"/>
      <c r="E3438" s="152"/>
      <c r="F3438" s="153"/>
      <c r="G3438" s="154"/>
      <c r="H3438" s="154"/>
      <c r="I3438" s="154"/>
      <c r="J3438" s="155"/>
      <c r="K3438" s="156"/>
      <c r="L3438" s="157"/>
      <c r="M3438" s="158" t="s">
        <v>28</v>
      </c>
      <c r="N3438" s="159" t="s">
        <v>29</v>
      </c>
    </row>
    <row r="3439" spans="1:14">
      <c r="A3439" s="148"/>
      <c r="B3439" s="149"/>
      <c r="C3439" s="160"/>
      <c r="D3439" s="151"/>
      <c r="E3439" s="152"/>
      <c r="F3439" s="153"/>
      <c r="G3439" s="154"/>
      <c r="H3439" s="154"/>
      <c r="I3439" s="154"/>
      <c r="J3439" s="155"/>
      <c r="K3439" s="156"/>
      <c r="L3439" s="157"/>
      <c r="M3439" s="158" t="s">
        <v>28</v>
      </c>
      <c r="N3439" s="159" t="s">
        <v>29</v>
      </c>
    </row>
    <row r="3440" spans="1:14">
      <c r="A3440" s="148"/>
      <c r="B3440" s="149"/>
      <c r="C3440" s="160"/>
      <c r="D3440" s="151"/>
      <c r="E3440" s="152"/>
      <c r="F3440" s="153"/>
      <c r="G3440" s="154"/>
      <c r="H3440" s="154"/>
      <c r="I3440" s="154"/>
      <c r="J3440" s="155"/>
      <c r="K3440" s="156"/>
      <c r="L3440" s="157"/>
      <c r="M3440" s="158" t="s">
        <v>28</v>
      </c>
      <c r="N3440" s="159" t="s">
        <v>29</v>
      </c>
    </row>
    <row r="3441" spans="1:14">
      <c r="A3441" s="148"/>
      <c r="B3441" s="149"/>
      <c r="C3441" s="160"/>
      <c r="D3441" s="151"/>
      <c r="E3441" s="152"/>
      <c r="F3441" s="153"/>
      <c r="G3441" s="154"/>
      <c r="H3441" s="154"/>
      <c r="I3441" s="154"/>
      <c r="J3441" s="155"/>
      <c r="K3441" s="156"/>
      <c r="L3441" s="157"/>
      <c r="M3441" s="158" t="s">
        <v>28</v>
      </c>
      <c r="N3441" s="159" t="s">
        <v>29</v>
      </c>
    </row>
    <row r="3442" spans="1:14">
      <c r="A3442" s="148"/>
      <c r="B3442" s="149"/>
      <c r="C3442" s="160"/>
      <c r="D3442" s="151"/>
      <c r="E3442" s="152"/>
      <c r="F3442" s="153"/>
      <c r="G3442" s="154"/>
      <c r="H3442" s="154"/>
      <c r="I3442" s="154"/>
      <c r="J3442" s="155"/>
      <c r="K3442" s="156"/>
      <c r="L3442" s="157"/>
      <c r="M3442" s="158" t="s">
        <v>28</v>
      </c>
      <c r="N3442" s="159" t="s">
        <v>29</v>
      </c>
    </row>
    <row r="3443" spans="1:14">
      <c r="A3443" s="148"/>
      <c r="B3443" s="149"/>
      <c r="C3443" s="160"/>
      <c r="D3443" s="151"/>
      <c r="E3443" s="152"/>
      <c r="F3443" s="153"/>
      <c r="G3443" s="154"/>
      <c r="H3443" s="154"/>
      <c r="I3443" s="154"/>
      <c r="J3443" s="155"/>
      <c r="K3443" s="156"/>
      <c r="L3443" s="157"/>
      <c r="M3443" s="158" t="s">
        <v>28</v>
      </c>
      <c r="N3443" s="159" t="s">
        <v>29</v>
      </c>
    </row>
    <row r="3444" spans="1:14">
      <c r="A3444" s="148"/>
      <c r="B3444" s="149"/>
      <c r="C3444" s="160"/>
      <c r="D3444" s="151"/>
      <c r="E3444" s="152"/>
      <c r="F3444" s="153"/>
      <c r="G3444" s="154"/>
      <c r="H3444" s="154"/>
      <c r="I3444" s="154"/>
      <c r="J3444" s="155"/>
      <c r="K3444" s="156"/>
      <c r="L3444" s="157"/>
      <c r="M3444" s="158" t="s">
        <v>28</v>
      </c>
      <c r="N3444" s="159" t="s">
        <v>29</v>
      </c>
    </row>
    <row r="3445" spans="1:14">
      <c r="A3445" s="148"/>
      <c r="B3445" s="149"/>
      <c r="C3445" s="160"/>
      <c r="D3445" s="151"/>
      <c r="E3445" s="152"/>
      <c r="F3445" s="153"/>
      <c r="G3445" s="154"/>
      <c r="H3445" s="154"/>
      <c r="I3445" s="154"/>
      <c r="J3445" s="155"/>
      <c r="K3445" s="162"/>
      <c r="L3445" s="157"/>
      <c r="M3445" s="158" t="s">
        <v>28</v>
      </c>
      <c r="N3445" s="159" t="s">
        <v>29</v>
      </c>
    </row>
    <row r="3446" spans="1:14">
      <c r="A3446" s="148"/>
      <c r="B3446" s="149"/>
      <c r="C3446" s="160"/>
      <c r="D3446" s="151"/>
      <c r="E3446" s="152"/>
      <c r="F3446" s="153"/>
      <c r="G3446" s="154"/>
      <c r="H3446" s="154"/>
      <c r="I3446" s="154"/>
      <c r="J3446" s="155"/>
      <c r="K3446" s="162"/>
      <c r="L3446" s="157"/>
      <c r="M3446" s="158" t="s">
        <v>28</v>
      </c>
      <c r="N3446" s="159" t="s">
        <v>29</v>
      </c>
    </row>
    <row r="3447" spans="1:14">
      <c r="A3447" s="148"/>
      <c r="B3447" s="149"/>
      <c r="C3447" s="160"/>
      <c r="D3447" s="151"/>
      <c r="E3447" s="152"/>
      <c r="F3447" s="153"/>
      <c r="G3447" s="154"/>
      <c r="H3447" s="154"/>
      <c r="I3447" s="154"/>
      <c r="J3447" s="155"/>
      <c r="K3447" s="162"/>
      <c r="L3447" s="157"/>
      <c r="M3447" s="158" t="s">
        <v>28</v>
      </c>
      <c r="N3447" s="159" t="s">
        <v>29</v>
      </c>
    </row>
    <row r="3448" spans="1:14">
      <c r="A3448" s="148"/>
      <c r="B3448" s="149"/>
      <c r="C3448" s="160"/>
      <c r="D3448" s="151"/>
      <c r="E3448" s="152"/>
      <c r="F3448" s="153"/>
      <c r="G3448" s="154"/>
      <c r="H3448" s="154"/>
      <c r="I3448" s="154"/>
      <c r="J3448" s="155"/>
      <c r="K3448" s="162"/>
      <c r="L3448" s="157"/>
      <c r="M3448" s="158" t="s">
        <v>28</v>
      </c>
      <c r="N3448" s="159" t="s">
        <v>29</v>
      </c>
    </row>
    <row r="3449" spans="1:14">
      <c r="A3449" s="148"/>
      <c r="B3449" s="149"/>
      <c r="C3449" s="160"/>
      <c r="D3449" s="151"/>
      <c r="E3449" s="152"/>
      <c r="F3449" s="153"/>
      <c r="G3449" s="154"/>
      <c r="H3449" s="154"/>
      <c r="I3449" s="154"/>
      <c r="J3449" s="155"/>
      <c r="K3449" s="162"/>
      <c r="L3449" s="157"/>
      <c r="M3449" s="158" t="s">
        <v>28</v>
      </c>
      <c r="N3449" s="159" t="s">
        <v>29</v>
      </c>
    </row>
    <row r="3450" spans="1:14">
      <c r="A3450" s="148"/>
      <c r="B3450" s="149"/>
      <c r="C3450" s="160"/>
      <c r="D3450" s="151"/>
      <c r="E3450" s="152"/>
      <c r="F3450" s="153"/>
      <c r="G3450" s="154"/>
      <c r="H3450" s="154"/>
      <c r="I3450" s="154"/>
      <c r="J3450" s="155"/>
      <c r="K3450" s="162"/>
      <c r="L3450" s="157"/>
      <c r="M3450" s="158" t="s">
        <v>28</v>
      </c>
      <c r="N3450" s="159" t="s">
        <v>29</v>
      </c>
    </row>
    <row r="3451" spans="1:14">
      <c r="A3451" s="148"/>
      <c r="B3451" s="149"/>
      <c r="C3451" s="160"/>
      <c r="D3451" s="151"/>
      <c r="E3451" s="152"/>
      <c r="F3451" s="153"/>
      <c r="G3451" s="154"/>
      <c r="H3451" s="154"/>
      <c r="I3451" s="154"/>
      <c r="J3451" s="155"/>
      <c r="K3451" s="162"/>
      <c r="L3451" s="157"/>
      <c r="M3451" s="158" t="s">
        <v>28</v>
      </c>
      <c r="N3451" s="159" t="s">
        <v>29</v>
      </c>
    </row>
    <row r="3452" spans="1:14">
      <c r="A3452" s="148"/>
      <c r="B3452" s="149"/>
      <c r="C3452" s="160"/>
      <c r="D3452" s="151"/>
      <c r="E3452" s="152"/>
      <c r="F3452" s="153"/>
      <c r="G3452" s="154"/>
      <c r="H3452" s="154"/>
      <c r="I3452" s="154"/>
      <c r="J3452" s="155"/>
      <c r="K3452" s="162"/>
      <c r="L3452" s="157"/>
      <c r="M3452" s="158" t="s">
        <v>28</v>
      </c>
      <c r="N3452" s="159" t="s">
        <v>29</v>
      </c>
    </row>
    <row r="3453" spans="1:14">
      <c r="A3453" s="148"/>
      <c r="B3453" s="149"/>
      <c r="C3453" s="150"/>
      <c r="D3453" s="151"/>
      <c r="E3453" s="152"/>
      <c r="F3453" s="153"/>
      <c r="G3453" s="154"/>
      <c r="H3453" s="154"/>
      <c r="I3453" s="154"/>
      <c r="J3453" s="155"/>
      <c r="K3453" s="156"/>
      <c r="L3453" s="157"/>
      <c r="M3453" s="158" t="s">
        <v>28</v>
      </c>
      <c r="N3453" s="159" t="s">
        <v>29</v>
      </c>
    </row>
    <row r="3454" spans="1:14">
      <c r="A3454" s="148"/>
      <c r="B3454" s="149"/>
      <c r="C3454" s="150"/>
      <c r="D3454" s="151"/>
      <c r="E3454" s="152"/>
      <c r="F3454" s="153"/>
      <c r="G3454" s="154"/>
      <c r="H3454" s="154"/>
      <c r="I3454" s="154"/>
      <c r="J3454" s="155"/>
      <c r="K3454" s="156"/>
      <c r="L3454" s="157"/>
      <c r="M3454" s="158" t="s">
        <v>28</v>
      </c>
      <c r="N3454" s="159" t="s">
        <v>29</v>
      </c>
    </row>
    <row r="3455" spans="1:14">
      <c r="A3455" s="148"/>
      <c r="B3455" s="149"/>
      <c r="C3455" s="150"/>
      <c r="D3455" s="151"/>
      <c r="E3455" s="152"/>
      <c r="F3455" s="153"/>
      <c r="G3455" s="154"/>
      <c r="H3455" s="154"/>
      <c r="I3455" s="154"/>
      <c r="J3455" s="155"/>
      <c r="K3455" s="156"/>
      <c r="L3455" s="157"/>
      <c r="M3455" s="158" t="s">
        <v>28</v>
      </c>
      <c r="N3455" s="159" t="s">
        <v>29</v>
      </c>
    </row>
    <row r="3456" spans="1:14">
      <c r="A3456" s="148"/>
      <c r="B3456" s="149"/>
      <c r="C3456" s="160"/>
      <c r="D3456" s="151"/>
      <c r="E3456" s="152"/>
      <c r="F3456" s="153"/>
      <c r="G3456" s="154"/>
      <c r="H3456" s="154"/>
      <c r="I3456" s="154"/>
      <c r="J3456" s="155"/>
      <c r="K3456" s="156"/>
      <c r="L3456" s="157"/>
      <c r="M3456" s="158" t="s">
        <v>28</v>
      </c>
      <c r="N3456" s="159" t="s">
        <v>29</v>
      </c>
    </row>
    <row r="3457" spans="1:14">
      <c r="A3457" s="148"/>
      <c r="B3457" s="149"/>
      <c r="C3457" s="160"/>
      <c r="D3457" s="151"/>
      <c r="E3457" s="152"/>
      <c r="F3457" s="153"/>
      <c r="G3457" s="154"/>
      <c r="H3457" s="154"/>
      <c r="I3457" s="154"/>
      <c r="J3457" s="155"/>
      <c r="K3457" s="156"/>
      <c r="L3457" s="157"/>
      <c r="M3457" s="158" t="s">
        <v>28</v>
      </c>
      <c r="N3457" s="159" t="s">
        <v>29</v>
      </c>
    </row>
    <row r="3458" spans="1:14">
      <c r="A3458" s="148"/>
      <c r="B3458" s="149"/>
      <c r="C3458" s="160"/>
      <c r="D3458" s="151"/>
      <c r="E3458" s="152"/>
      <c r="F3458" s="153"/>
      <c r="G3458" s="154"/>
      <c r="H3458" s="154"/>
      <c r="I3458" s="154"/>
      <c r="J3458" s="155"/>
      <c r="K3458" s="156"/>
      <c r="L3458" s="157"/>
      <c r="M3458" s="158" t="s">
        <v>28</v>
      </c>
      <c r="N3458" s="159" t="s">
        <v>29</v>
      </c>
    </row>
    <row r="3459" spans="1:14">
      <c r="A3459" s="148"/>
      <c r="B3459" s="149"/>
      <c r="C3459" s="160"/>
      <c r="D3459" s="151"/>
      <c r="E3459" s="152"/>
      <c r="F3459" s="153"/>
      <c r="G3459" s="154"/>
      <c r="H3459" s="154"/>
      <c r="I3459" s="154"/>
      <c r="J3459" s="155"/>
      <c r="K3459" s="156"/>
      <c r="L3459" s="157"/>
      <c r="M3459" s="158" t="s">
        <v>28</v>
      </c>
      <c r="N3459" s="159" t="s">
        <v>29</v>
      </c>
    </row>
    <row r="3460" spans="1:14">
      <c r="A3460" s="148"/>
      <c r="B3460" s="149"/>
      <c r="C3460" s="160"/>
      <c r="D3460" s="151"/>
      <c r="E3460" s="152"/>
      <c r="F3460" s="153"/>
      <c r="G3460" s="154"/>
      <c r="H3460" s="154"/>
      <c r="I3460" s="154"/>
      <c r="J3460" s="155"/>
      <c r="K3460" s="156"/>
      <c r="L3460" s="157"/>
      <c r="M3460" s="158" t="s">
        <v>28</v>
      </c>
      <c r="N3460" s="159" t="s">
        <v>29</v>
      </c>
    </row>
    <row r="3461" spans="1:14">
      <c r="A3461" s="148"/>
      <c r="B3461" s="149"/>
      <c r="C3461" s="160"/>
      <c r="D3461" s="151"/>
      <c r="E3461" s="152"/>
      <c r="F3461" s="153"/>
      <c r="G3461" s="154"/>
      <c r="H3461" s="154"/>
      <c r="I3461" s="154"/>
      <c r="J3461" s="155"/>
      <c r="K3461" s="156"/>
      <c r="L3461" s="157"/>
      <c r="M3461" s="158" t="s">
        <v>28</v>
      </c>
      <c r="N3461" s="159" t="s">
        <v>29</v>
      </c>
    </row>
    <row r="3462" spans="1:14">
      <c r="A3462" s="148"/>
      <c r="B3462" s="149"/>
      <c r="C3462" s="160"/>
      <c r="D3462" s="151"/>
      <c r="E3462" s="152"/>
      <c r="F3462" s="153"/>
      <c r="G3462" s="154"/>
      <c r="H3462" s="154"/>
      <c r="I3462" s="154"/>
      <c r="J3462" s="155"/>
      <c r="K3462" s="156"/>
      <c r="L3462" s="157"/>
      <c r="M3462" s="158" t="s">
        <v>28</v>
      </c>
      <c r="N3462" s="159" t="s">
        <v>29</v>
      </c>
    </row>
    <row r="3463" spans="1:14">
      <c r="A3463" s="148"/>
      <c r="B3463" s="149"/>
      <c r="C3463" s="160"/>
      <c r="D3463" s="151"/>
      <c r="E3463" s="152"/>
      <c r="F3463" s="153"/>
      <c r="G3463" s="154"/>
      <c r="H3463" s="154"/>
      <c r="I3463" s="154"/>
      <c r="J3463" s="155"/>
      <c r="K3463" s="156"/>
      <c r="L3463" s="157"/>
      <c r="M3463" s="158" t="s">
        <v>28</v>
      </c>
      <c r="N3463" s="159" t="s">
        <v>29</v>
      </c>
    </row>
    <row r="3464" spans="1:14">
      <c r="A3464" s="148"/>
      <c r="B3464" s="149"/>
      <c r="C3464" s="160"/>
      <c r="D3464" s="151"/>
      <c r="E3464" s="152"/>
      <c r="F3464" s="153"/>
      <c r="G3464" s="154"/>
      <c r="H3464" s="154"/>
      <c r="I3464" s="154"/>
      <c r="J3464" s="155"/>
      <c r="K3464" s="156"/>
      <c r="L3464" s="157"/>
      <c r="M3464" s="158" t="s">
        <v>28</v>
      </c>
      <c r="N3464" s="159" t="s">
        <v>29</v>
      </c>
    </row>
    <row r="3465" spans="1:14">
      <c r="A3465" s="148"/>
      <c r="B3465" s="149"/>
      <c r="C3465" s="160"/>
      <c r="D3465" s="151"/>
      <c r="E3465" s="152"/>
      <c r="F3465" s="153"/>
      <c r="G3465" s="154"/>
      <c r="H3465" s="154"/>
      <c r="I3465" s="154"/>
      <c r="J3465" s="155"/>
      <c r="K3465" s="156"/>
      <c r="L3465" s="157"/>
      <c r="M3465" s="158" t="s">
        <v>28</v>
      </c>
      <c r="N3465" s="159" t="s">
        <v>29</v>
      </c>
    </row>
    <row r="3466" spans="1:14">
      <c r="A3466" s="148"/>
      <c r="B3466" s="149"/>
      <c r="C3466" s="160"/>
      <c r="D3466" s="151"/>
      <c r="E3466" s="152"/>
      <c r="F3466" s="153"/>
      <c r="G3466" s="154"/>
      <c r="H3466" s="154"/>
      <c r="I3466" s="154"/>
      <c r="J3466" s="155"/>
      <c r="K3466" s="156"/>
      <c r="L3466" s="157"/>
      <c r="M3466" s="158" t="s">
        <v>28</v>
      </c>
      <c r="N3466" s="159" t="s">
        <v>29</v>
      </c>
    </row>
    <row r="3467" spans="1:14">
      <c r="A3467" s="148"/>
      <c r="B3467" s="149"/>
      <c r="C3467" s="160"/>
      <c r="D3467" s="151"/>
      <c r="E3467" s="152"/>
      <c r="F3467" s="153"/>
      <c r="G3467" s="154"/>
      <c r="H3467" s="154"/>
      <c r="I3467" s="154"/>
      <c r="J3467" s="155"/>
      <c r="K3467" s="156"/>
      <c r="L3467" s="157"/>
      <c r="M3467" s="158" t="s">
        <v>28</v>
      </c>
      <c r="N3467" s="159" t="s">
        <v>29</v>
      </c>
    </row>
    <row r="3468" spans="1:14">
      <c r="A3468" s="148"/>
      <c r="B3468" s="149"/>
      <c r="C3468" s="160"/>
      <c r="D3468" s="151"/>
      <c r="E3468" s="152"/>
      <c r="F3468" s="153"/>
      <c r="G3468" s="154"/>
      <c r="H3468" s="154"/>
      <c r="I3468" s="154"/>
      <c r="J3468" s="155"/>
      <c r="K3468" s="156"/>
      <c r="L3468" s="157"/>
      <c r="M3468" s="158" t="s">
        <v>28</v>
      </c>
      <c r="N3468" s="159" t="s">
        <v>29</v>
      </c>
    </row>
    <row r="3469" spans="1:14">
      <c r="A3469" s="148"/>
      <c r="B3469" s="149"/>
      <c r="C3469" s="160"/>
      <c r="D3469" s="151"/>
      <c r="E3469" s="152"/>
      <c r="F3469" s="153"/>
      <c r="G3469" s="154"/>
      <c r="H3469" s="154"/>
      <c r="I3469" s="154"/>
      <c r="J3469" s="155"/>
      <c r="K3469" s="156"/>
      <c r="L3469" s="157"/>
      <c r="M3469" s="158" t="s">
        <v>28</v>
      </c>
      <c r="N3469" s="159" t="s">
        <v>29</v>
      </c>
    </row>
    <row r="3470" spans="1:14">
      <c r="A3470" s="148"/>
      <c r="B3470" s="149"/>
      <c r="C3470" s="160"/>
      <c r="D3470" s="151"/>
      <c r="E3470" s="152"/>
      <c r="F3470" s="153"/>
      <c r="G3470" s="154"/>
      <c r="H3470" s="154"/>
      <c r="I3470" s="154"/>
      <c r="J3470" s="155"/>
      <c r="K3470" s="156"/>
      <c r="L3470" s="157"/>
      <c r="M3470" s="158" t="s">
        <v>28</v>
      </c>
      <c r="N3470" s="159" t="s">
        <v>29</v>
      </c>
    </row>
    <row r="3471" spans="1:14">
      <c r="A3471" s="148"/>
      <c r="B3471" s="149"/>
      <c r="C3471" s="160"/>
      <c r="D3471" s="151"/>
      <c r="E3471" s="152"/>
      <c r="F3471" s="153"/>
      <c r="G3471" s="154"/>
      <c r="H3471" s="154"/>
      <c r="I3471" s="154"/>
      <c r="J3471" s="155"/>
      <c r="K3471" s="156"/>
      <c r="L3471" s="157"/>
      <c r="M3471" s="158" t="s">
        <v>28</v>
      </c>
      <c r="N3471" s="159" t="s">
        <v>29</v>
      </c>
    </row>
    <row r="3472" spans="1:14">
      <c r="A3472" s="148"/>
      <c r="B3472" s="149"/>
      <c r="C3472" s="160"/>
      <c r="D3472" s="151"/>
      <c r="E3472" s="152"/>
      <c r="F3472" s="153"/>
      <c r="G3472" s="154"/>
      <c r="H3472" s="154"/>
      <c r="I3472" s="154"/>
      <c r="J3472" s="155"/>
      <c r="K3472" s="156"/>
      <c r="L3472" s="157"/>
      <c r="M3472" s="158" t="s">
        <v>28</v>
      </c>
      <c r="N3472" s="159" t="s">
        <v>29</v>
      </c>
    </row>
    <row r="3473" spans="1:14">
      <c r="A3473" s="148"/>
      <c r="B3473" s="149"/>
      <c r="C3473" s="160"/>
      <c r="D3473" s="151"/>
      <c r="E3473" s="152"/>
      <c r="F3473" s="153"/>
      <c r="G3473" s="154"/>
      <c r="H3473" s="154"/>
      <c r="I3473" s="154"/>
      <c r="J3473" s="155"/>
      <c r="K3473" s="156"/>
      <c r="L3473" s="157"/>
      <c r="M3473" s="158" t="s">
        <v>28</v>
      </c>
      <c r="N3473" s="159" t="s">
        <v>29</v>
      </c>
    </row>
    <row r="3474" spans="1:14">
      <c r="A3474" s="148"/>
      <c r="B3474" s="149"/>
      <c r="C3474" s="160"/>
      <c r="D3474" s="151"/>
      <c r="E3474" s="152"/>
      <c r="F3474" s="153"/>
      <c r="G3474" s="154"/>
      <c r="H3474" s="154"/>
      <c r="I3474" s="154"/>
      <c r="J3474" s="155"/>
      <c r="K3474" s="156"/>
      <c r="L3474" s="157"/>
      <c r="M3474" s="158" t="s">
        <v>28</v>
      </c>
      <c r="N3474" s="159" t="s">
        <v>29</v>
      </c>
    </row>
    <row r="3475" spans="1:14">
      <c r="A3475" s="148"/>
      <c r="B3475" s="149"/>
      <c r="C3475" s="160"/>
      <c r="D3475" s="151"/>
      <c r="E3475" s="152"/>
      <c r="F3475" s="153"/>
      <c r="G3475" s="154"/>
      <c r="H3475" s="154"/>
      <c r="I3475" s="154"/>
      <c r="J3475" s="155"/>
      <c r="K3475" s="156"/>
      <c r="L3475" s="157"/>
      <c r="M3475" s="158" t="s">
        <v>28</v>
      </c>
      <c r="N3475" s="159" t="s">
        <v>29</v>
      </c>
    </row>
    <row r="3476" spans="1:14">
      <c r="A3476" s="148"/>
      <c r="B3476" s="149"/>
      <c r="C3476" s="160"/>
      <c r="D3476" s="151"/>
      <c r="E3476" s="152"/>
      <c r="F3476" s="153"/>
      <c r="G3476" s="154"/>
      <c r="H3476" s="154"/>
      <c r="I3476" s="154"/>
      <c r="J3476" s="155"/>
      <c r="K3476" s="156"/>
      <c r="L3476" s="157"/>
      <c r="M3476" s="158" t="s">
        <v>28</v>
      </c>
      <c r="N3476" s="159" t="s">
        <v>29</v>
      </c>
    </row>
    <row r="3477" spans="1:14">
      <c r="A3477" s="148"/>
      <c r="B3477" s="149"/>
      <c r="C3477" s="160"/>
      <c r="D3477" s="151"/>
      <c r="E3477" s="152"/>
      <c r="F3477" s="153"/>
      <c r="G3477" s="154"/>
      <c r="H3477" s="154"/>
      <c r="I3477" s="154"/>
      <c r="J3477" s="155"/>
      <c r="K3477" s="156"/>
      <c r="L3477" s="157"/>
      <c r="M3477" s="158" t="s">
        <v>28</v>
      </c>
      <c r="N3477" s="159" t="s">
        <v>29</v>
      </c>
    </row>
    <row r="3478" spans="1:14">
      <c r="A3478" s="148"/>
      <c r="B3478" s="149"/>
      <c r="C3478" s="160"/>
      <c r="D3478" s="151"/>
      <c r="E3478" s="152"/>
      <c r="F3478" s="153"/>
      <c r="G3478" s="154"/>
      <c r="H3478" s="154"/>
      <c r="I3478" s="154"/>
      <c r="J3478" s="155"/>
      <c r="K3478" s="156"/>
      <c r="L3478" s="157"/>
      <c r="M3478" s="158" t="s">
        <v>28</v>
      </c>
      <c r="N3478" s="159" t="s">
        <v>29</v>
      </c>
    </row>
    <row r="3479" spans="1:14">
      <c r="A3479" s="148"/>
      <c r="B3479" s="149"/>
      <c r="C3479" s="160"/>
      <c r="D3479" s="151"/>
      <c r="E3479" s="152"/>
      <c r="F3479" s="153"/>
      <c r="G3479" s="154"/>
      <c r="H3479" s="154"/>
      <c r="I3479" s="154"/>
      <c r="J3479" s="155"/>
      <c r="K3479" s="156"/>
      <c r="L3479" s="157"/>
      <c r="M3479" s="158" t="s">
        <v>28</v>
      </c>
      <c r="N3479" s="159" t="s">
        <v>29</v>
      </c>
    </row>
    <row r="3480" spans="1:14">
      <c r="A3480" s="148"/>
      <c r="B3480" s="149"/>
      <c r="C3480" s="160"/>
      <c r="D3480" s="151"/>
      <c r="E3480" s="152"/>
      <c r="F3480" s="153"/>
      <c r="G3480" s="154"/>
      <c r="H3480" s="154"/>
      <c r="I3480" s="154"/>
      <c r="J3480" s="155"/>
      <c r="K3480" s="156"/>
      <c r="L3480" s="157"/>
      <c r="M3480" s="158" t="s">
        <v>28</v>
      </c>
      <c r="N3480" s="159" t="s">
        <v>29</v>
      </c>
    </row>
    <row r="3481" spans="1:14">
      <c r="A3481" s="148"/>
      <c r="B3481" s="149"/>
      <c r="C3481" s="160"/>
      <c r="D3481" s="151"/>
      <c r="E3481" s="152"/>
      <c r="F3481" s="153"/>
      <c r="G3481" s="154"/>
      <c r="H3481" s="154"/>
      <c r="I3481" s="154"/>
      <c r="J3481" s="155"/>
      <c r="K3481" s="156"/>
      <c r="L3481" s="157"/>
      <c r="M3481" s="158" t="s">
        <v>28</v>
      </c>
      <c r="N3481" s="159" t="s">
        <v>29</v>
      </c>
    </row>
    <row r="3482" spans="1:14">
      <c r="A3482" s="148"/>
      <c r="B3482" s="149"/>
      <c r="C3482" s="160"/>
      <c r="D3482" s="151"/>
      <c r="E3482" s="152"/>
      <c r="F3482" s="153"/>
      <c r="G3482" s="154"/>
      <c r="H3482" s="154"/>
      <c r="I3482" s="154"/>
      <c r="J3482" s="155"/>
      <c r="K3482" s="156"/>
      <c r="L3482" s="157"/>
      <c r="M3482" s="158" t="s">
        <v>28</v>
      </c>
      <c r="N3482" s="159" t="s">
        <v>29</v>
      </c>
    </row>
    <row r="3483" spans="1:14">
      <c r="A3483" s="148"/>
      <c r="B3483" s="149"/>
      <c r="C3483" s="160"/>
      <c r="D3483" s="151"/>
      <c r="E3483" s="152"/>
      <c r="F3483" s="153"/>
      <c r="G3483" s="154"/>
      <c r="H3483" s="154"/>
      <c r="I3483" s="154"/>
      <c r="J3483" s="155"/>
      <c r="K3483" s="156"/>
      <c r="L3483" s="157"/>
      <c r="M3483" s="158" t="s">
        <v>28</v>
      </c>
      <c r="N3483" s="159" t="s">
        <v>29</v>
      </c>
    </row>
    <row r="3484" spans="1:14">
      <c r="A3484" s="148"/>
      <c r="B3484" s="149"/>
      <c r="C3484" s="160"/>
      <c r="D3484" s="151"/>
      <c r="E3484" s="152"/>
      <c r="F3484" s="153"/>
      <c r="G3484" s="154"/>
      <c r="H3484" s="154"/>
      <c r="I3484" s="154"/>
      <c r="J3484" s="155"/>
      <c r="K3484" s="156"/>
      <c r="L3484" s="157"/>
      <c r="M3484" s="158" t="s">
        <v>28</v>
      </c>
      <c r="N3484" s="159" t="s">
        <v>29</v>
      </c>
    </row>
    <row r="3485" spans="1:14">
      <c r="A3485" s="148"/>
      <c r="B3485" s="149"/>
      <c r="C3485" s="160"/>
      <c r="D3485" s="151"/>
      <c r="E3485" s="152"/>
      <c r="F3485" s="153"/>
      <c r="G3485" s="154"/>
      <c r="H3485" s="154"/>
      <c r="I3485" s="154"/>
      <c r="J3485" s="155"/>
      <c r="K3485" s="156"/>
      <c r="L3485" s="157"/>
      <c r="M3485" s="158" t="s">
        <v>28</v>
      </c>
      <c r="N3485" s="159" t="s">
        <v>29</v>
      </c>
    </row>
    <row r="3486" spans="1:14">
      <c r="A3486" s="148"/>
      <c r="B3486" s="149"/>
      <c r="C3486" s="160"/>
      <c r="D3486" s="151"/>
      <c r="E3486" s="152"/>
      <c r="F3486" s="153"/>
      <c r="G3486" s="154"/>
      <c r="H3486" s="154"/>
      <c r="I3486" s="154"/>
      <c r="J3486" s="155"/>
      <c r="K3486" s="156"/>
      <c r="L3486" s="157"/>
      <c r="M3486" s="158" t="s">
        <v>28</v>
      </c>
      <c r="N3486" s="159" t="s">
        <v>29</v>
      </c>
    </row>
    <row r="3487" spans="1:14">
      <c r="A3487" s="148"/>
      <c r="B3487" s="149"/>
      <c r="C3487" s="160"/>
      <c r="D3487" s="151"/>
      <c r="E3487" s="152"/>
      <c r="F3487" s="153"/>
      <c r="G3487" s="154"/>
      <c r="H3487" s="154"/>
      <c r="I3487" s="154"/>
      <c r="J3487" s="155"/>
      <c r="K3487" s="156"/>
      <c r="L3487" s="157"/>
      <c r="M3487" s="158" t="s">
        <v>28</v>
      </c>
      <c r="N3487" s="159" t="s">
        <v>29</v>
      </c>
    </row>
    <row r="3488" spans="1:14">
      <c r="A3488" s="148"/>
      <c r="B3488" s="149"/>
      <c r="C3488" s="160"/>
      <c r="D3488" s="151"/>
      <c r="E3488" s="152"/>
      <c r="F3488" s="153"/>
      <c r="G3488" s="154"/>
      <c r="H3488" s="154"/>
      <c r="I3488" s="154"/>
      <c r="J3488" s="155"/>
      <c r="K3488" s="156"/>
      <c r="L3488" s="157"/>
      <c r="M3488" s="158" t="s">
        <v>28</v>
      </c>
      <c r="N3488" s="159" t="s">
        <v>29</v>
      </c>
    </row>
    <row r="3489" spans="1:14">
      <c r="A3489" s="148"/>
      <c r="B3489" s="149"/>
      <c r="C3489" s="160"/>
      <c r="D3489" s="151"/>
      <c r="E3489" s="152"/>
      <c r="F3489" s="153"/>
      <c r="G3489" s="154"/>
      <c r="H3489" s="154"/>
      <c r="I3489" s="154"/>
      <c r="J3489" s="155"/>
      <c r="K3489" s="156"/>
      <c r="L3489" s="157"/>
      <c r="M3489" s="158" t="s">
        <v>28</v>
      </c>
      <c r="N3489" s="159" t="s">
        <v>29</v>
      </c>
    </row>
    <row r="3490" spans="1:14">
      <c r="A3490" s="148"/>
      <c r="B3490" s="149"/>
      <c r="C3490" s="160"/>
      <c r="D3490" s="151"/>
      <c r="E3490" s="152"/>
      <c r="F3490" s="153"/>
      <c r="G3490" s="154"/>
      <c r="H3490" s="154"/>
      <c r="I3490" s="154"/>
      <c r="J3490" s="155"/>
      <c r="K3490" s="156"/>
      <c r="L3490" s="157"/>
      <c r="M3490" s="158" t="s">
        <v>28</v>
      </c>
      <c r="N3490" s="159" t="s">
        <v>29</v>
      </c>
    </row>
    <row r="3491" spans="1:14">
      <c r="A3491" s="148"/>
      <c r="B3491" s="149"/>
      <c r="C3491" s="160"/>
      <c r="D3491" s="151"/>
      <c r="E3491" s="152"/>
      <c r="F3491" s="153"/>
      <c r="G3491" s="154"/>
      <c r="H3491" s="154"/>
      <c r="I3491" s="154"/>
      <c r="J3491" s="155"/>
      <c r="K3491" s="156"/>
      <c r="L3491" s="157"/>
      <c r="M3491" s="158" t="s">
        <v>28</v>
      </c>
      <c r="N3491" s="159" t="s">
        <v>29</v>
      </c>
    </row>
    <row r="3492" spans="1:14">
      <c r="A3492" s="148"/>
      <c r="B3492" s="149"/>
      <c r="C3492" s="160"/>
      <c r="D3492" s="151"/>
      <c r="E3492" s="152"/>
      <c r="F3492" s="153"/>
      <c r="G3492" s="154"/>
      <c r="H3492" s="154"/>
      <c r="I3492" s="154"/>
      <c r="J3492" s="155"/>
      <c r="K3492" s="156"/>
      <c r="L3492" s="157"/>
      <c r="M3492" s="158" t="s">
        <v>28</v>
      </c>
      <c r="N3492" s="159" t="s">
        <v>29</v>
      </c>
    </row>
    <row r="3493" spans="1:14">
      <c r="A3493" s="148"/>
      <c r="B3493" s="149"/>
      <c r="C3493" s="160"/>
      <c r="D3493" s="151"/>
      <c r="E3493" s="152"/>
      <c r="F3493" s="153"/>
      <c r="G3493" s="154"/>
      <c r="H3493" s="154"/>
      <c r="I3493" s="154"/>
      <c r="J3493" s="155"/>
      <c r="K3493" s="156"/>
      <c r="L3493" s="157"/>
      <c r="M3493" s="158" t="s">
        <v>28</v>
      </c>
      <c r="N3493" s="159" t="s">
        <v>29</v>
      </c>
    </row>
    <row r="3494" spans="1:14">
      <c r="A3494" s="148"/>
      <c r="B3494" s="149"/>
      <c r="C3494" s="160"/>
      <c r="D3494" s="151"/>
      <c r="E3494" s="152"/>
      <c r="F3494" s="153"/>
      <c r="G3494" s="154"/>
      <c r="H3494" s="154"/>
      <c r="I3494" s="154"/>
      <c r="J3494" s="155"/>
      <c r="K3494" s="156"/>
      <c r="L3494" s="157"/>
      <c r="M3494" s="158" t="s">
        <v>28</v>
      </c>
      <c r="N3494" s="159" t="s">
        <v>29</v>
      </c>
    </row>
    <row r="3495" spans="1:14">
      <c r="A3495" s="148"/>
      <c r="B3495" s="149"/>
      <c r="C3495" s="160"/>
      <c r="D3495" s="151"/>
      <c r="E3495" s="152"/>
      <c r="F3495" s="153"/>
      <c r="G3495" s="154"/>
      <c r="H3495" s="154"/>
      <c r="I3495" s="154"/>
      <c r="J3495" s="155"/>
      <c r="K3495" s="156"/>
      <c r="L3495" s="157"/>
      <c r="M3495" s="158" t="s">
        <v>28</v>
      </c>
      <c r="N3495" s="159" t="s">
        <v>29</v>
      </c>
    </row>
    <row r="3496" spans="1:14">
      <c r="A3496" s="148"/>
      <c r="B3496" s="149"/>
      <c r="C3496" s="160"/>
      <c r="D3496" s="151"/>
      <c r="E3496" s="152"/>
      <c r="F3496" s="153"/>
      <c r="G3496" s="154"/>
      <c r="H3496" s="154"/>
      <c r="I3496" s="154"/>
      <c r="J3496" s="155"/>
      <c r="K3496" s="156"/>
      <c r="L3496" s="157"/>
      <c r="M3496" s="158" t="s">
        <v>28</v>
      </c>
      <c r="N3496" s="159" t="s">
        <v>29</v>
      </c>
    </row>
    <row r="3497" spans="1:14">
      <c r="A3497" s="148"/>
      <c r="B3497" s="149"/>
      <c r="C3497" s="160"/>
      <c r="D3497" s="151"/>
      <c r="E3497" s="152"/>
      <c r="F3497" s="153"/>
      <c r="G3497" s="154"/>
      <c r="H3497" s="154"/>
      <c r="I3497" s="154"/>
      <c r="J3497" s="155"/>
      <c r="K3497" s="156"/>
      <c r="L3497" s="157"/>
      <c r="M3497" s="158" t="s">
        <v>28</v>
      </c>
      <c r="N3497" s="159" t="s">
        <v>29</v>
      </c>
    </row>
    <row r="3498" spans="1:14">
      <c r="A3498" s="148"/>
      <c r="B3498" s="149"/>
      <c r="C3498" s="160"/>
      <c r="D3498" s="151"/>
      <c r="E3498" s="152"/>
      <c r="F3498" s="153"/>
      <c r="G3498" s="154"/>
      <c r="H3498" s="154"/>
      <c r="I3498" s="154"/>
      <c r="J3498" s="155"/>
      <c r="K3498" s="156"/>
      <c r="L3498" s="157"/>
      <c r="M3498" s="158" t="s">
        <v>28</v>
      </c>
      <c r="N3498" s="159" t="s">
        <v>29</v>
      </c>
    </row>
    <row r="3499" spans="1:14">
      <c r="A3499" s="148"/>
      <c r="B3499" s="149"/>
      <c r="C3499" s="160"/>
      <c r="D3499" s="151"/>
      <c r="E3499" s="152"/>
      <c r="F3499" s="153"/>
      <c r="G3499" s="154"/>
      <c r="H3499" s="154"/>
      <c r="I3499" s="154"/>
      <c r="J3499" s="155"/>
      <c r="K3499" s="156"/>
      <c r="L3499" s="157"/>
      <c r="M3499" s="158" t="s">
        <v>28</v>
      </c>
      <c r="N3499" s="159" t="s">
        <v>29</v>
      </c>
    </row>
    <row r="3500" spans="1:14">
      <c r="A3500" s="148"/>
      <c r="B3500" s="149"/>
      <c r="C3500" s="160"/>
      <c r="D3500" s="151"/>
      <c r="E3500" s="152"/>
      <c r="F3500" s="153"/>
      <c r="G3500" s="154"/>
      <c r="H3500" s="154"/>
      <c r="I3500" s="154"/>
      <c r="J3500" s="155"/>
      <c r="K3500" s="156"/>
      <c r="L3500" s="157"/>
      <c r="M3500" s="158" t="s">
        <v>28</v>
      </c>
      <c r="N3500" s="159" t="s">
        <v>29</v>
      </c>
    </row>
    <row r="3501" spans="1:14">
      <c r="A3501" s="148"/>
      <c r="B3501" s="149"/>
      <c r="C3501" s="160"/>
      <c r="D3501" s="151"/>
      <c r="E3501" s="152"/>
      <c r="F3501" s="153"/>
      <c r="G3501" s="154"/>
      <c r="H3501" s="154"/>
      <c r="I3501" s="154"/>
      <c r="J3501" s="155"/>
      <c r="K3501" s="156"/>
      <c r="L3501" s="157"/>
      <c r="M3501" s="158" t="s">
        <v>28</v>
      </c>
      <c r="N3501" s="159" t="s">
        <v>29</v>
      </c>
    </row>
    <row r="3502" spans="1:14">
      <c r="A3502" s="148"/>
      <c r="B3502" s="149"/>
      <c r="C3502" s="160"/>
      <c r="D3502" s="151"/>
      <c r="E3502" s="152"/>
      <c r="F3502" s="153"/>
      <c r="G3502" s="154"/>
      <c r="H3502" s="154"/>
      <c r="I3502" s="154"/>
      <c r="J3502" s="155"/>
      <c r="K3502" s="156"/>
      <c r="L3502" s="157"/>
      <c r="M3502" s="158" t="s">
        <v>28</v>
      </c>
      <c r="N3502" s="159" t="s">
        <v>29</v>
      </c>
    </row>
    <row r="3503" spans="1:14">
      <c r="A3503" s="148"/>
      <c r="B3503" s="149"/>
      <c r="C3503" s="160"/>
      <c r="D3503" s="151"/>
      <c r="E3503" s="152"/>
      <c r="F3503" s="153"/>
      <c r="G3503" s="154"/>
      <c r="H3503" s="154"/>
      <c r="I3503" s="154"/>
      <c r="J3503" s="155"/>
      <c r="K3503" s="156"/>
      <c r="L3503" s="157"/>
      <c r="M3503" s="158" t="s">
        <v>28</v>
      </c>
      <c r="N3503" s="159" t="s">
        <v>29</v>
      </c>
    </row>
    <row r="3504" spans="1:14">
      <c r="A3504" s="148"/>
      <c r="B3504" s="149"/>
      <c r="C3504" s="160"/>
      <c r="D3504" s="151"/>
      <c r="E3504" s="152"/>
      <c r="F3504" s="153"/>
      <c r="G3504" s="154"/>
      <c r="H3504" s="154"/>
      <c r="I3504" s="154"/>
      <c r="J3504" s="155"/>
      <c r="K3504" s="156"/>
      <c r="L3504" s="157"/>
      <c r="M3504" s="158" t="s">
        <v>28</v>
      </c>
      <c r="N3504" s="159" t="s">
        <v>29</v>
      </c>
    </row>
    <row r="3505" spans="1:14">
      <c r="A3505" s="148"/>
      <c r="B3505" s="149"/>
      <c r="C3505" s="160"/>
      <c r="D3505" s="151"/>
      <c r="E3505" s="152"/>
      <c r="F3505" s="153"/>
      <c r="G3505" s="154"/>
      <c r="H3505" s="154"/>
      <c r="I3505" s="154"/>
      <c r="J3505" s="155"/>
      <c r="K3505" s="156"/>
      <c r="L3505" s="157"/>
      <c r="M3505" s="158" t="s">
        <v>28</v>
      </c>
      <c r="N3505" s="159" t="s">
        <v>29</v>
      </c>
    </row>
    <row r="3506" spans="1:14">
      <c r="A3506" s="148"/>
      <c r="B3506" s="149"/>
      <c r="C3506" s="160"/>
      <c r="D3506" s="151"/>
      <c r="E3506" s="152"/>
      <c r="F3506" s="153"/>
      <c r="G3506" s="154"/>
      <c r="H3506" s="154"/>
      <c r="I3506" s="154"/>
      <c r="J3506" s="155"/>
      <c r="K3506" s="156"/>
      <c r="L3506" s="157"/>
      <c r="M3506" s="158" t="s">
        <v>28</v>
      </c>
      <c r="N3506" s="159" t="s">
        <v>29</v>
      </c>
    </row>
    <row r="3507" spans="1:14">
      <c r="A3507" s="148"/>
      <c r="B3507" s="149"/>
      <c r="C3507" s="160"/>
      <c r="D3507" s="151"/>
      <c r="E3507" s="152"/>
      <c r="F3507" s="153"/>
      <c r="G3507" s="154"/>
      <c r="H3507" s="154"/>
      <c r="I3507" s="154"/>
      <c r="J3507" s="155"/>
      <c r="K3507" s="156"/>
      <c r="L3507" s="157"/>
      <c r="M3507" s="158" t="s">
        <v>28</v>
      </c>
      <c r="N3507" s="159" t="s">
        <v>29</v>
      </c>
    </row>
    <row r="3508" spans="1:14">
      <c r="A3508" s="148"/>
      <c r="B3508" s="149"/>
      <c r="C3508" s="160"/>
      <c r="D3508" s="151"/>
      <c r="E3508" s="152"/>
      <c r="F3508" s="153"/>
      <c r="G3508" s="154"/>
      <c r="H3508" s="154"/>
      <c r="I3508" s="154"/>
      <c r="J3508" s="155"/>
      <c r="K3508" s="156"/>
      <c r="L3508" s="157"/>
      <c r="M3508" s="158" t="s">
        <v>28</v>
      </c>
      <c r="N3508" s="159" t="s">
        <v>29</v>
      </c>
    </row>
    <row r="3509" spans="1:14">
      <c r="A3509" s="148"/>
      <c r="B3509" s="149"/>
      <c r="C3509" s="160"/>
      <c r="D3509" s="151"/>
      <c r="E3509" s="152"/>
      <c r="F3509" s="153"/>
      <c r="G3509" s="154"/>
      <c r="H3509" s="154"/>
      <c r="I3509" s="154"/>
      <c r="J3509" s="155"/>
      <c r="K3509" s="156"/>
      <c r="L3509" s="157"/>
      <c r="M3509" s="158" t="s">
        <v>28</v>
      </c>
      <c r="N3509" s="159" t="s">
        <v>29</v>
      </c>
    </row>
    <row r="3510" spans="1:14">
      <c r="A3510" s="148"/>
      <c r="B3510" s="149"/>
      <c r="C3510" s="160"/>
      <c r="D3510" s="151"/>
      <c r="E3510" s="152"/>
      <c r="F3510" s="153"/>
      <c r="G3510" s="154"/>
      <c r="H3510" s="154"/>
      <c r="I3510" s="154"/>
      <c r="J3510" s="155"/>
      <c r="K3510" s="156"/>
      <c r="L3510" s="157"/>
      <c r="M3510" s="158" t="s">
        <v>28</v>
      </c>
      <c r="N3510" s="159" t="s">
        <v>29</v>
      </c>
    </row>
    <row r="3511" spans="1:14">
      <c r="A3511" s="148"/>
      <c r="B3511" s="149"/>
      <c r="C3511" s="160"/>
      <c r="D3511" s="151"/>
      <c r="E3511" s="152"/>
      <c r="F3511" s="153"/>
      <c r="G3511" s="154"/>
      <c r="H3511" s="154"/>
      <c r="I3511" s="154"/>
      <c r="J3511" s="155"/>
      <c r="K3511" s="156"/>
      <c r="L3511" s="157"/>
      <c r="M3511" s="158" t="s">
        <v>28</v>
      </c>
      <c r="N3511" s="159" t="s">
        <v>29</v>
      </c>
    </row>
    <row r="3512" spans="1:14">
      <c r="A3512" s="148"/>
      <c r="B3512" s="149"/>
      <c r="C3512" s="160"/>
      <c r="D3512" s="151"/>
      <c r="E3512" s="152"/>
      <c r="F3512" s="153"/>
      <c r="G3512" s="154"/>
      <c r="H3512" s="154"/>
      <c r="I3512" s="154"/>
      <c r="J3512" s="155"/>
      <c r="K3512" s="156"/>
      <c r="L3512" s="157"/>
      <c r="M3512" s="158" t="s">
        <v>28</v>
      </c>
      <c r="N3512" s="159" t="s">
        <v>29</v>
      </c>
    </row>
    <row r="3513" spans="1:14">
      <c r="A3513" s="148"/>
      <c r="B3513" s="149"/>
      <c r="C3513" s="160"/>
      <c r="D3513" s="151"/>
      <c r="E3513" s="152"/>
      <c r="F3513" s="153"/>
      <c r="G3513" s="154"/>
      <c r="H3513" s="154"/>
      <c r="I3513" s="154"/>
      <c r="J3513" s="155"/>
      <c r="K3513" s="156"/>
      <c r="L3513" s="157"/>
      <c r="M3513" s="158" t="s">
        <v>28</v>
      </c>
      <c r="N3513" s="159" t="s">
        <v>29</v>
      </c>
    </row>
    <row r="3514" spans="1:14">
      <c r="A3514" s="148"/>
      <c r="B3514" s="149"/>
      <c r="C3514" s="160"/>
      <c r="D3514" s="151"/>
      <c r="E3514" s="152"/>
      <c r="F3514" s="153"/>
      <c r="G3514" s="154"/>
      <c r="H3514" s="154"/>
      <c r="I3514" s="154"/>
      <c r="J3514" s="155"/>
      <c r="K3514" s="156"/>
      <c r="L3514" s="157"/>
      <c r="M3514" s="158" t="s">
        <v>28</v>
      </c>
      <c r="N3514" s="159" t="s">
        <v>29</v>
      </c>
    </row>
    <row r="3515" spans="1:14">
      <c r="A3515" s="148"/>
      <c r="B3515" s="149"/>
      <c r="C3515" s="160"/>
      <c r="D3515" s="151"/>
      <c r="E3515" s="152"/>
      <c r="F3515" s="153"/>
      <c r="G3515" s="154"/>
      <c r="H3515" s="154"/>
      <c r="I3515" s="154"/>
      <c r="J3515" s="155"/>
      <c r="K3515" s="156"/>
      <c r="L3515" s="157"/>
      <c r="M3515" s="158" t="s">
        <v>28</v>
      </c>
      <c r="N3515" s="159" t="s">
        <v>29</v>
      </c>
    </row>
    <row r="3516" spans="1:14">
      <c r="A3516" s="148"/>
      <c r="B3516" s="149"/>
      <c r="C3516" s="160"/>
      <c r="D3516" s="151"/>
      <c r="E3516" s="152"/>
      <c r="F3516" s="153"/>
      <c r="G3516" s="154"/>
      <c r="H3516" s="154"/>
      <c r="I3516" s="154"/>
      <c r="J3516" s="155"/>
      <c r="K3516" s="156"/>
      <c r="L3516" s="157"/>
      <c r="M3516" s="158" t="s">
        <v>28</v>
      </c>
      <c r="N3516" s="159" t="s">
        <v>29</v>
      </c>
    </row>
    <row r="3517" spans="1:14">
      <c r="A3517" s="148"/>
      <c r="B3517" s="149"/>
      <c r="C3517" s="160"/>
      <c r="D3517" s="151"/>
      <c r="E3517" s="152"/>
      <c r="F3517" s="153"/>
      <c r="G3517" s="154"/>
      <c r="H3517" s="154"/>
      <c r="I3517" s="154"/>
      <c r="J3517" s="155"/>
      <c r="K3517" s="156"/>
      <c r="L3517" s="157"/>
      <c r="M3517" s="158" t="s">
        <v>28</v>
      </c>
      <c r="N3517" s="159" t="s">
        <v>29</v>
      </c>
    </row>
    <row r="3518" spans="1:14">
      <c r="A3518" s="148"/>
      <c r="B3518" s="149"/>
      <c r="C3518" s="160"/>
      <c r="D3518" s="151"/>
      <c r="E3518" s="152"/>
      <c r="F3518" s="153"/>
      <c r="G3518" s="154"/>
      <c r="H3518" s="154"/>
      <c r="I3518" s="154"/>
      <c r="J3518" s="155"/>
      <c r="K3518" s="156"/>
      <c r="L3518" s="157"/>
      <c r="M3518" s="158" t="s">
        <v>28</v>
      </c>
      <c r="N3518" s="159" t="s">
        <v>29</v>
      </c>
    </row>
    <row r="3519" spans="1:14">
      <c r="A3519" s="148"/>
      <c r="B3519" s="149"/>
      <c r="C3519" s="160"/>
      <c r="D3519" s="151"/>
      <c r="E3519" s="152"/>
      <c r="F3519" s="153"/>
      <c r="G3519" s="154"/>
      <c r="H3519" s="154"/>
      <c r="I3519" s="154"/>
      <c r="J3519" s="155"/>
      <c r="K3519" s="156"/>
      <c r="L3519" s="157"/>
      <c r="M3519" s="158" t="s">
        <v>28</v>
      </c>
      <c r="N3519" s="159" t="s">
        <v>29</v>
      </c>
    </row>
    <row r="3520" spans="1:14">
      <c r="A3520" s="148"/>
      <c r="B3520" s="149"/>
      <c r="C3520" s="160"/>
      <c r="D3520" s="151"/>
      <c r="E3520" s="152"/>
      <c r="F3520" s="153"/>
      <c r="G3520" s="154"/>
      <c r="H3520" s="154"/>
      <c r="I3520" s="154"/>
      <c r="J3520" s="155"/>
      <c r="K3520" s="156"/>
      <c r="L3520" s="157"/>
      <c r="M3520" s="158" t="s">
        <v>28</v>
      </c>
      <c r="N3520" s="159" t="s">
        <v>29</v>
      </c>
    </row>
    <row r="3521" spans="1:14">
      <c r="A3521" s="148"/>
      <c r="B3521" s="149"/>
      <c r="C3521" s="160"/>
      <c r="D3521" s="151"/>
      <c r="E3521" s="152"/>
      <c r="F3521" s="153"/>
      <c r="G3521" s="154"/>
      <c r="H3521" s="154"/>
      <c r="I3521" s="154"/>
      <c r="J3521" s="155"/>
      <c r="K3521" s="156"/>
      <c r="L3521" s="157"/>
      <c r="M3521" s="158" t="s">
        <v>28</v>
      </c>
      <c r="N3521" s="159" t="s">
        <v>29</v>
      </c>
    </row>
    <row r="3522" spans="1:14">
      <c r="A3522" s="148"/>
      <c r="B3522" s="149"/>
      <c r="C3522" s="160"/>
      <c r="D3522" s="151"/>
      <c r="E3522" s="152"/>
      <c r="F3522" s="153"/>
      <c r="G3522" s="154"/>
      <c r="H3522" s="154"/>
      <c r="I3522" s="154"/>
      <c r="J3522" s="155"/>
      <c r="K3522" s="156"/>
      <c r="L3522" s="157"/>
      <c r="M3522" s="158" t="s">
        <v>28</v>
      </c>
      <c r="N3522" s="159" t="s">
        <v>29</v>
      </c>
    </row>
    <row r="3523" spans="1:14">
      <c r="A3523" s="148"/>
      <c r="B3523" s="149"/>
      <c r="C3523" s="160"/>
      <c r="D3523" s="151"/>
      <c r="E3523" s="152"/>
      <c r="F3523" s="153"/>
      <c r="G3523" s="154"/>
      <c r="H3523" s="154"/>
      <c r="I3523" s="154"/>
      <c r="J3523" s="155"/>
      <c r="K3523" s="156"/>
      <c r="L3523" s="157"/>
      <c r="M3523" s="158" t="s">
        <v>28</v>
      </c>
      <c r="N3523" s="159" t="s">
        <v>29</v>
      </c>
    </row>
    <row r="3524" spans="1:14">
      <c r="A3524" s="148"/>
      <c r="B3524" s="149"/>
      <c r="C3524" s="160"/>
      <c r="D3524" s="151"/>
      <c r="E3524" s="152"/>
      <c r="F3524" s="153"/>
      <c r="G3524" s="154"/>
      <c r="H3524" s="154"/>
      <c r="I3524" s="154"/>
      <c r="J3524" s="155"/>
      <c r="K3524" s="156"/>
      <c r="L3524" s="157"/>
      <c r="M3524" s="158" t="s">
        <v>28</v>
      </c>
      <c r="N3524" s="159" t="s">
        <v>29</v>
      </c>
    </row>
    <row r="3525" spans="1:14">
      <c r="A3525" s="148"/>
      <c r="B3525" s="149"/>
      <c r="C3525" s="160"/>
      <c r="D3525" s="151"/>
      <c r="E3525" s="152"/>
      <c r="F3525" s="153"/>
      <c r="G3525" s="154"/>
      <c r="H3525" s="154"/>
      <c r="I3525" s="154"/>
      <c r="J3525" s="155"/>
      <c r="K3525" s="156"/>
      <c r="L3525" s="157"/>
      <c r="M3525" s="158" t="s">
        <v>28</v>
      </c>
      <c r="N3525" s="159" t="s">
        <v>29</v>
      </c>
    </row>
    <row r="3526" spans="1:14">
      <c r="A3526" s="148"/>
      <c r="B3526" s="149"/>
      <c r="C3526" s="160"/>
      <c r="D3526" s="151"/>
      <c r="E3526" s="152"/>
      <c r="F3526" s="153"/>
      <c r="G3526" s="154"/>
      <c r="H3526" s="154"/>
      <c r="I3526" s="154"/>
      <c r="J3526" s="155"/>
      <c r="K3526" s="156"/>
      <c r="L3526" s="157"/>
      <c r="M3526" s="158" t="s">
        <v>28</v>
      </c>
      <c r="N3526" s="159" t="s">
        <v>29</v>
      </c>
    </row>
    <row r="3527" spans="1:14">
      <c r="A3527" s="148"/>
      <c r="B3527" s="149"/>
      <c r="C3527" s="160"/>
      <c r="D3527" s="151"/>
      <c r="E3527" s="152"/>
      <c r="F3527" s="153"/>
      <c r="G3527" s="154"/>
      <c r="H3527" s="154"/>
      <c r="I3527" s="154"/>
      <c r="J3527" s="155"/>
      <c r="K3527" s="156"/>
      <c r="L3527" s="157"/>
      <c r="M3527" s="158" t="s">
        <v>28</v>
      </c>
      <c r="N3527" s="159" t="s">
        <v>29</v>
      </c>
    </row>
    <row r="3528" spans="1:14">
      <c r="A3528" s="148"/>
      <c r="B3528" s="149"/>
      <c r="C3528" s="160"/>
      <c r="D3528" s="151"/>
      <c r="E3528" s="152"/>
      <c r="F3528" s="153"/>
      <c r="G3528" s="154"/>
      <c r="H3528" s="154"/>
      <c r="I3528" s="154"/>
      <c r="J3528" s="155"/>
      <c r="K3528" s="156"/>
      <c r="L3528" s="157"/>
      <c r="M3528" s="158" t="s">
        <v>28</v>
      </c>
      <c r="N3528" s="159" t="s">
        <v>29</v>
      </c>
    </row>
    <row r="3529" spans="1:14">
      <c r="A3529" s="148"/>
      <c r="B3529" s="149"/>
      <c r="C3529" s="160"/>
      <c r="D3529" s="151"/>
      <c r="E3529" s="152"/>
      <c r="F3529" s="153"/>
      <c r="G3529" s="154"/>
      <c r="H3529" s="154"/>
      <c r="I3529" s="154"/>
      <c r="J3529" s="155"/>
      <c r="K3529" s="156"/>
      <c r="L3529" s="157"/>
      <c r="M3529" s="158" t="s">
        <v>28</v>
      </c>
      <c r="N3529" s="159" t="s">
        <v>29</v>
      </c>
    </row>
    <row r="3530" spans="1:14">
      <c r="A3530" s="148"/>
      <c r="B3530" s="149"/>
      <c r="C3530" s="160"/>
      <c r="D3530" s="151"/>
      <c r="E3530" s="152"/>
      <c r="F3530" s="153"/>
      <c r="G3530" s="154"/>
      <c r="H3530" s="154"/>
      <c r="I3530" s="154"/>
      <c r="J3530" s="155"/>
      <c r="K3530" s="156"/>
      <c r="L3530" s="157"/>
      <c r="M3530" s="158" t="s">
        <v>28</v>
      </c>
      <c r="N3530" s="159" t="s">
        <v>29</v>
      </c>
    </row>
    <row r="3531" spans="1:14">
      <c r="A3531" s="148"/>
      <c r="B3531" s="149"/>
      <c r="C3531" s="160"/>
      <c r="D3531" s="151"/>
      <c r="E3531" s="152"/>
      <c r="F3531" s="153"/>
      <c r="G3531" s="154"/>
      <c r="H3531" s="154"/>
      <c r="I3531" s="154"/>
      <c r="J3531" s="155"/>
      <c r="K3531" s="156"/>
      <c r="L3531" s="157"/>
      <c r="M3531" s="158" t="s">
        <v>28</v>
      </c>
      <c r="N3531" s="159" t="s">
        <v>29</v>
      </c>
    </row>
    <row r="3532" spans="1:14">
      <c r="A3532" s="148"/>
      <c r="B3532" s="149"/>
      <c r="C3532" s="160"/>
      <c r="D3532" s="151"/>
      <c r="E3532" s="152"/>
      <c r="F3532" s="153"/>
      <c r="G3532" s="154"/>
      <c r="H3532" s="154"/>
      <c r="I3532" s="154"/>
      <c r="J3532" s="155"/>
      <c r="K3532" s="156"/>
      <c r="L3532" s="157"/>
      <c r="M3532" s="158" t="s">
        <v>28</v>
      </c>
      <c r="N3532" s="159" t="s">
        <v>29</v>
      </c>
    </row>
    <row r="3533" spans="1:14">
      <c r="A3533" s="148"/>
      <c r="B3533" s="149"/>
      <c r="C3533" s="160"/>
      <c r="D3533" s="151"/>
      <c r="E3533" s="152"/>
      <c r="F3533" s="153"/>
      <c r="G3533" s="154"/>
      <c r="H3533" s="154"/>
      <c r="I3533" s="154"/>
      <c r="J3533" s="155"/>
      <c r="K3533" s="156"/>
      <c r="L3533" s="157"/>
      <c r="M3533" s="158" t="s">
        <v>28</v>
      </c>
      <c r="N3533" s="159" t="s">
        <v>29</v>
      </c>
    </row>
    <row r="3534" spans="1:14">
      <c r="A3534" s="148"/>
      <c r="B3534" s="149"/>
      <c r="C3534" s="160"/>
      <c r="D3534" s="151"/>
      <c r="E3534" s="152"/>
      <c r="F3534" s="153"/>
      <c r="G3534" s="154"/>
      <c r="H3534" s="154"/>
      <c r="I3534" s="154"/>
      <c r="J3534" s="155"/>
      <c r="K3534" s="156"/>
      <c r="L3534" s="157"/>
      <c r="M3534" s="158" t="s">
        <v>28</v>
      </c>
      <c r="N3534" s="159" t="s">
        <v>29</v>
      </c>
    </row>
    <row r="3535" spans="1:14">
      <c r="A3535" s="148"/>
      <c r="B3535" s="149"/>
      <c r="C3535" s="160"/>
      <c r="D3535" s="151"/>
      <c r="E3535" s="152"/>
      <c r="F3535" s="153"/>
      <c r="G3535" s="154"/>
      <c r="H3535" s="154"/>
      <c r="I3535" s="154"/>
      <c r="J3535" s="155"/>
      <c r="K3535" s="156"/>
      <c r="L3535" s="157"/>
      <c r="M3535" s="158" t="s">
        <v>28</v>
      </c>
      <c r="N3535" s="159" t="s">
        <v>29</v>
      </c>
    </row>
    <row r="3536" spans="1:14">
      <c r="A3536" s="148"/>
      <c r="B3536" s="149"/>
      <c r="C3536" s="160"/>
      <c r="D3536" s="151"/>
      <c r="E3536" s="152"/>
      <c r="F3536" s="153"/>
      <c r="G3536" s="154"/>
      <c r="H3536" s="154"/>
      <c r="I3536" s="154"/>
      <c r="J3536" s="155"/>
      <c r="K3536" s="156"/>
      <c r="L3536" s="157"/>
      <c r="M3536" s="158" t="s">
        <v>28</v>
      </c>
      <c r="N3536" s="159" t="s">
        <v>29</v>
      </c>
    </row>
    <row r="3537" spans="1:14">
      <c r="A3537" s="148"/>
      <c r="B3537" s="149"/>
      <c r="C3537" s="160"/>
      <c r="D3537" s="151"/>
      <c r="E3537" s="152"/>
      <c r="F3537" s="153"/>
      <c r="G3537" s="154"/>
      <c r="H3537" s="154"/>
      <c r="I3537" s="154"/>
      <c r="J3537" s="155"/>
      <c r="K3537" s="156"/>
      <c r="L3537" s="157"/>
      <c r="M3537" s="158" t="s">
        <v>28</v>
      </c>
      <c r="N3537" s="159" t="s">
        <v>29</v>
      </c>
    </row>
    <row r="3538" spans="1:14">
      <c r="A3538" s="148"/>
      <c r="B3538" s="149"/>
      <c r="C3538" s="160"/>
      <c r="D3538" s="151"/>
      <c r="E3538" s="152"/>
      <c r="F3538" s="153"/>
      <c r="G3538" s="154"/>
      <c r="H3538" s="154"/>
      <c r="I3538" s="154"/>
      <c r="J3538" s="155"/>
      <c r="K3538" s="156"/>
      <c r="L3538" s="157"/>
      <c r="M3538" s="158" t="s">
        <v>28</v>
      </c>
      <c r="N3538" s="159" t="s">
        <v>29</v>
      </c>
    </row>
    <row r="3539" spans="1:14">
      <c r="A3539" s="148"/>
      <c r="B3539" s="149"/>
      <c r="C3539" s="160"/>
      <c r="D3539" s="151"/>
      <c r="E3539" s="152"/>
      <c r="F3539" s="153"/>
      <c r="G3539" s="154"/>
      <c r="H3539" s="154"/>
      <c r="I3539" s="154"/>
      <c r="J3539" s="155"/>
      <c r="K3539" s="156"/>
      <c r="L3539" s="157"/>
      <c r="M3539" s="158" t="s">
        <v>28</v>
      </c>
      <c r="N3539" s="159" t="s">
        <v>29</v>
      </c>
    </row>
    <row r="3540" spans="1:14">
      <c r="A3540" s="148"/>
      <c r="B3540" s="149"/>
      <c r="C3540" s="160"/>
      <c r="D3540" s="151"/>
      <c r="E3540" s="152"/>
      <c r="F3540" s="153"/>
      <c r="G3540" s="154"/>
      <c r="H3540" s="154"/>
      <c r="I3540" s="154"/>
      <c r="J3540" s="155"/>
      <c r="K3540" s="156"/>
      <c r="L3540" s="157"/>
      <c r="M3540" s="158" t="s">
        <v>28</v>
      </c>
      <c r="N3540" s="159" t="s">
        <v>29</v>
      </c>
    </row>
    <row r="3541" spans="1:14">
      <c r="A3541" s="148"/>
      <c r="B3541" s="149"/>
      <c r="C3541" s="160"/>
      <c r="D3541" s="151"/>
      <c r="E3541" s="152"/>
      <c r="F3541" s="153"/>
      <c r="G3541" s="154"/>
      <c r="H3541" s="154"/>
      <c r="I3541" s="154"/>
      <c r="J3541" s="155"/>
      <c r="K3541" s="156"/>
      <c r="L3541" s="157"/>
      <c r="M3541" s="158" t="s">
        <v>28</v>
      </c>
      <c r="N3541" s="159" t="s">
        <v>29</v>
      </c>
    </row>
    <row r="3542" spans="1:14">
      <c r="A3542" s="148"/>
      <c r="B3542" s="149"/>
      <c r="C3542" s="160"/>
      <c r="D3542" s="151"/>
      <c r="E3542" s="152"/>
      <c r="F3542" s="153"/>
      <c r="G3542" s="154"/>
      <c r="H3542" s="154"/>
      <c r="I3542" s="154"/>
      <c r="J3542" s="155"/>
      <c r="K3542" s="156"/>
      <c r="L3542" s="157"/>
      <c r="M3542" s="158" t="s">
        <v>28</v>
      </c>
      <c r="N3542" s="159" t="s">
        <v>29</v>
      </c>
    </row>
    <row r="3543" spans="1:14">
      <c r="A3543" s="148"/>
      <c r="B3543" s="149"/>
      <c r="C3543" s="160"/>
      <c r="D3543" s="151"/>
      <c r="E3543" s="152"/>
      <c r="F3543" s="153"/>
      <c r="G3543" s="154"/>
      <c r="H3543" s="154"/>
      <c r="I3543" s="154"/>
      <c r="J3543" s="155"/>
      <c r="K3543" s="156"/>
      <c r="L3543" s="157"/>
      <c r="M3543" s="158" t="s">
        <v>28</v>
      </c>
      <c r="N3543" s="159" t="s">
        <v>29</v>
      </c>
    </row>
    <row r="3544" spans="1:14">
      <c r="A3544" s="148"/>
      <c r="B3544" s="149"/>
      <c r="C3544" s="160"/>
      <c r="D3544" s="151"/>
      <c r="E3544" s="152"/>
      <c r="F3544" s="153"/>
      <c r="G3544" s="154"/>
      <c r="H3544" s="154"/>
      <c r="I3544" s="154"/>
      <c r="J3544" s="155"/>
      <c r="K3544" s="156"/>
      <c r="L3544" s="157"/>
      <c r="M3544" s="158" t="s">
        <v>28</v>
      </c>
      <c r="N3544" s="159" t="s">
        <v>29</v>
      </c>
    </row>
    <row r="3545" spans="1:14">
      <c r="A3545" s="148"/>
      <c r="B3545" s="149"/>
      <c r="C3545" s="160"/>
      <c r="D3545" s="151"/>
      <c r="E3545" s="152"/>
      <c r="F3545" s="153"/>
      <c r="G3545" s="154"/>
      <c r="H3545" s="154"/>
      <c r="I3545" s="154"/>
      <c r="J3545" s="155"/>
      <c r="K3545" s="156"/>
      <c r="L3545" s="157"/>
      <c r="M3545" s="158" t="s">
        <v>28</v>
      </c>
      <c r="N3545" s="159" t="s">
        <v>29</v>
      </c>
    </row>
    <row r="3546" spans="1:14">
      <c r="A3546" s="148"/>
      <c r="B3546" s="149"/>
      <c r="C3546" s="160"/>
      <c r="D3546" s="151"/>
      <c r="E3546" s="152"/>
      <c r="F3546" s="153"/>
      <c r="G3546" s="154"/>
      <c r="H3546" s="154"/>
      <c r="I3546" s="154"/>
      <c r="J3546" s="155"/>
      <c r="K3546" s="156"/>
      <c r="L3546" s="157"/>
      <c r="M3546" s="158" t="s">
        <v>28</v>
      </c>
      <c r="N3546" s="159" t="s">
        <v>29</v>
      </c>
    </row>
    <row r="3547" spans="1:14">
      <c r="A3547" s="148"/>
      <c r="B3547" s="149"/>
      <c r="C3547" s="160"/>
      <c r="D3547" s="151"/>
      <c r="E3547" s="152"/>
      <c r="F3547" s="153"/>
      <c r="G3547" s="154"/>
      <c r="H3547" s="154"/>
      <c r="I3547" s="154"/>
      <c r="J3547" s="155"/>
      <c r="K3547" s="156"/>
      <c r="L3547" s="157"/>
      <c r="M3547" s="158" t="s">
        <v>28</v>
      </c>
      <c r="N3547" s="159" t="s">
        <v>29</v>
      </c>
    </row>
    <row r="3548" spans="1:14">
      <c r="A3548" s="148"/>
      <c r="B3548" s="149"/>
      <c r="C3548" s="160"/>
      <c r="D3548" s="151"/>
      <c r="E3548" s="152"/>
      <c r="F3548" s="153"/>
      <c r="G3548" s="154"/>
      <c r="H3548" s="154"/>
      <c r="I3548" s="154"/>
      <c r="J3548" s="155"/>
      <c r="K3548" s="156"/>
      <c r="L3548" s="157"/>
      <c r="M3548" s="158" t="s">
        <v>28</v>
      </c>
      <c r="N3548" s="159" t="s">
        <v>29</v>
      </c>
    </row>
    <row r="3549" spans="1:14">
      <c r="A3549" s="148"/>
      <c r="B3549" s="149"/>
      <c r="C3549" s="160"/>
      <c r="D3549" s="151"/>
      <c r="E3549" s="152"/>
      <c r="F3549" s="153"/>
      <c r="G3549" s="154"/>
      <c r="H3549" s="154"/>
      <c r="I3549" s="154"/>
      <c r="J3549" s="155"/>
      <c r="K3549" s="156"/>
      <c r="L3549" s="157"/>
      <c r="M3549" s="158" t="s">
        <v>28</v>
      </c>
      <c r="N3549" s="159" t="s">
        <v>29</v>
      </c>
    </row>
    <row r="3550" spans="1:14">
      <c r="A3550" s="148"/>
      <c r="B3550" s="149"/>
      <c r="C3550" s="160"/>
      <c r="D3550" s="151"/>
      <c r="E3550" s="152"/>
      <c r="F3550" s="153"/>
      <c r="G3550" s="154"/>
      <c r="H3550" s="154"/>
      <c r="I3550" s="154"/>
      <c r="J3550" s="155"/>
      <c r="K3550" s="156"/>
      <c r="L3550" s="157"/>
      <c r="M3550" s="158" t="s">
        <v>28</v>
      </c>
      <c r="N3550" s="159" t="s">
        <v>29</v>
      </c>
    </row>
    <row r="3551" spans="1:14">
      <c r="A3551" s="148"/>
      <c r="B3551" s="149"/>
      <c r="C3551" s="160"/>
      <c r="D3551" s="151"/>
      <c r="E3551" s="152"/>
      <c r="F3551" s="153"/>
      <c r="G3551" s="154"/>
      <c r="H3551" s="154"/>
      <c r="I3551" s="154"/>
      <c r="J3551" s="155"/>
      <c r="K3551" s="156"/>
      <c r="L3551" s="157"/>
      <c r="M3551" s="158" t="s">
        <v>28</v>
      </c>
      <c r="N3551" s="159" t="s">
        <v>29</v>
      </c>
    </row>
    <row r="3552" spans="1:14">
      <c r="A3552" s="148"/>
      <c r="B3552" s="149"/>
      <c r="C3552" s="160"/>
      <c r="D3552" s="151"/>
      <c r="E3552" s="152"/>
      <c r="F3552" s="153"/>
      <c r="G3552" s="154"/>
      <c r="H3552" s="154"/>
      <c r="I3552" s="154"/>
      <c r="J3552" s="155"/>
      <c r="K3552" s="156"/>
      <c r="L3552" s="157"/>
      <c r="M3552" s="158" t="s">
        <v>28</v>
      </c>
      <c r="N3552" s="159" t="s">
        <v>29</v>
      </c>
    </row>
    <row r="3553" spans="1:14">
      <c r="A3553" s="148"/>
      <c r="B3553" s="149"/>
      <c r="C3553" s="160"/>
      <c r="D3553" s="151"/>
      <c r="E3553" s="152"/>
      <c r="F3553" s="153"/>
      <c r="G3553" s="154"/>
      <c r="H3553" s="154"/>
      <c r="I3553" s="154"/>
      <c r="J3553" s="155"/>
      <c r="K3553" s="156"/>
      <c r="L3553" s="157"/>
      <c r="M3553" s="158" t="s">
        <v>28</v>
      </c>
      <c r="N3553" s="159" t="s">
        <v>29</v>
      </c>
    </row>
    <row r="3554" spans="1:14">
      <c r="A3554" s="148"/>
      <c r="B3554" s="149"/>
      <c r="C3554" s="160"/>
      <c r="D3554" s="151"/>
      <c r="E3554" s="152"/>
      <c r="F3554" s="153"/>
      <c r="G3554" s="154"/>
      <c r="H3554" s="154"/>
      <c r="I3554" s="154"/>
      <c r="J3554" s="155"/>
      <c r="K3554" s="156"/>
      <c r="L3554" s="157"/>
      <c r="M3554" s="158" t="s">
        <v>28</v>
      </c>
      <c r="N3554" s="159" t="s">
        <v>29</v>
      </c>
    </row>
    <row r="3555" spans="1:14">
      <c r="A3555" s="148"/>
      <c r="B3555" s="149"/>
      <c r="C3555" s="160"/>
      <c r="D3555" s="151"/>
      <c r="E3555" s="152"/>
      <c r="F3555" s="153"/>
      <c r="G3555" s="154"/>
      <c r="H3555" s="154"/>
      <c r="I3555" s="154"/>
      <c r="J3555" s="155"/>
      <c r="K3555" s="156"/>
      <c r="L3555" s="157"/>
      <c r="M3555" s="158" t="s">
        <v>28</v>
      </c>
      <c r="N3555" s="159" t="s">
        <v>29</v>
      </c>
    </row>
    <row r="3556" spans="1:14">
      <c r="A3556" s="148"/>
      <c r="B3556" s="149"/>
      <c r="C3556" s="160"/>
      <c r="D3556" s="151"/>
      <c r="E3556" s="152"/>
      <c r="F3556" s="153"/>
      <c r="G3556" s="154"/>
      <c r="H3556" s="154"/>
      <c r="I3556" s="154"/>
      <c r="J3556" s="155"/>
      <c r="K3556" s="156"/>
      <c r="L3556" s="157"/>
      <c r="M3556" s="158" t="s">
        <v>28</v>
      </c>
      <c r="N3556" s="159" t="s">
        <v>29</v>
      </c>
    </row>
    <row r="3557" spans="1:14">
      <c r="A3557" s="148"/>
      <c r="B3557" s="149"/>
      <c r="C3557" s="160"/>
      <c r="D3557" s="151"/>
      <c r="E3557" s="152"/>
      <c r="F3557" s="153"/>
      <c r="G3557" s="154"/>
      <c r="H3557" s="154"/>
      <c r="I3557" s="154"/>
      <c r="J3557" s="155"/>
      <c r="K3557" s="156"/>
      <c r="L3557" s="157"/>
      <c r="M3557" s="158" t="s">
        <v>28</v>
      </c>
      <c r="N3557" s="159" t="s">
        <v>29</v>
      </c>
    </row>
    <row r="3558" spans="1:14">
      <c r="A3558" s="148"/>
      <c r="B3558" s="149"/>
      <c r="C3558" s="160"/>
      <c r="D3558" s="151"/>
      <c r="E3558" s="152"/>
      <c r="F3558" s="153"/>
      <c r="G3558" s="154"/>
      <c r="H3558" s="154"/>
      <c r="I3558" s="154"/>
      <c r="J3558" s="155"/>
      <c r="K3558" s="156"/>
      <c r="L3558" s="157"/>
      <c r="M3558" s="158" t="s">
        <v>28</v>
      </c>
      <c r="N3558" s="159" t="s">
        <v>29</v>
      </c>
    </row>
    <row r="3559" spans="1:14">
      <c r="A3559" s="148"/>
      <c r="B3559" s="149"/>
      <c r="C3559" s="160"/>
      <c r="D3559" s="151"/>
      <c r="E3559" s="152"/>
      <c r="F3559" s="153"/>
      <c r="G3559" s="154"/>
      <c r="H3559" s="154"/>
      <c r="I3559" s="154"/>
      <c r="J3559" s="155"/>
      <c r="K3559" s="156"/>
      <c r="L3559" s="157"/>
      <c r="M3559" s="158" t="s">
        <v>28</v>
      </c>
      <c r="N3559" s="159" t="s">
        <v>29</v>
      </c>
    </row>
    <row r="3560" spans="1:14">
      <c r="A3560" s="148"/>
      <c r="B3560" s="149"/>
      <c r="C3560" s="160"/>
      <c r="D3560" s="151"/>
      <c r="E3560" s="152"/>
      <c r="F3560" s="153"/>
      <c r="G3560" s="154"/>
      <c r="H3560" s="154"/>
      <c r="I3560" s="154"/>
      <c r="J3560" s="155"/>
      <c r="K3560" s="156"/>
      <c r="L3560" s="157"/>
      <c r="M3560" s="158" t="s">
        <v>28</v>
      </c>
      <c r="N3560" s="159" t="s">
        <v>29</v>
      </c>
    </row>
    <row r="3561" spans="1:14">
      <c r="A3561" s="148"/>
      <c r="B3561" s="149"/>
      <c r="C3561" s="160"/>
      <c r="D3561" s="151"/>
      <c r="E3561" s="152"/>
      <c r="F3561" s="153"/>
      <c r="G3561" s="154"/>
      <c r="H3561" s="154"/>
      <c r="I3561" s="154"/>
      <c r="J3561" s="155"/>
      <c r="K3561" s="156"/>
      <c r="L3561" s="157"/>
      <c r="M3561" s="158" t="s">
        <v>28</v>
      </c>
      <c r="N3561" s="159" t="s">
        <v>29</v>
      </c>
    </row>
    <row r="3562" spans="1:14">
      <c r="A3562" s="148"/>
      <c r="B3562" s="149"/>
      <c r="C3562" s="160"/>
      <c r="D3562" s="151"/>
      <c r="E3562" s="152"/>
      <c r="F3562" s="153"/>
      <c r="G3562" s="154"/>
      <c r="H3562" s="154"/>
      <c r="I3562" s="154"/>
      <c r="J3562" s="155"/>
      <c r="K3562" s="156"/>
      <c r="L3562" s="157"/>
      <c r="M3562" s="158" t="s">
        <v>28</v>
      </c>
      <c r="N3562" s="159" t="s">
        <v>29</v>
      </c>
    </row>
    <row r="3563" spans="1:14">
      <c r="A3563" s="148"/>
      <c r="B3563" s="149"/>
      <c r="C3563" s="160"/>
      <c r="D3563" s="151"/>
      <c r="E3563" s="152"/>
      <c r="F3563" s="153"/>
      <c r="G3563" s="154"/>
      <c r="H3563" s="154"/>
      <c r="I3563" s="154"/>
      <c r="J3563" s="155"/>
      <c r="K3563" s="156"/>
      <c r="L3563" s="157"/>
      <c r="M3563" s="158" t="s">
        <v>28</v>
      </c>
      <c r="N3563" s="159" t="s">
        <v>29</v>
      </c>
    </row>
    <row r="3564" spans="1:14">
      <c r="A3564" s="148"/>
      <c r="B3564" s="149"/>
      <c r="C3564" s="160"/>
      <c r="D3564" s="151"/>
      <c r="E3564" s="152"/>
      <c r="F3564" s="153"/>
      <c r="G3564" s="154"/>
      <c r="H3564" s="154"/>
      <c r="I3564" s="154"/>
      <c r="J3564" s="155"/>
      <c r="K3564" s="156"/>
      <c r="L3564" s="157"/>
      <c r="M3564" s="158" t="s">
        <v>28</v>
      </c>
      <c r="N3564" s="159" t="s">
        <v>29</v>
      </c>
    </row>
    <row r="3565" spans="1:14">
      <c r="A3565" s="148"/>
      <c r="B3565" s="149"/>
      <c r="C3565" s="160"/>
      <c r="D3565" s="151"/>
      <c r="E3565" s="152"/>
      <c r="F3565" s="153"/>
      <c r="G3565" s="154"/>
      <c r="H3565" s="154"/>
      <c r="I3565" s="154"/>
      <c r="J3565" s="155"/>
      <c r="K3565" s="156"/>
      <c r="L3565" s="157"/>
      <c r="M3565" s="158" t="s">
        <v>28</v>
      </c>
      <c r="N3565" s="159" t="s">
        <v>29</v>
      </c>
    </row>
    <row r="3566" spans="1:14">
      <c r="A3566" s="148"/>
      <c r="B3566" s="149"/>
      <c r="C3566" s="160"/>
      <c r="D3566" s="151"/>
      <c r="E3566" s="152"/>
      <c r="F3566" s="153"/>
      <c r="G3566" s="154"/>
      <c r="H3566" s="154"/>
      <c r="I3566" s="154"/>
      <c r="J3566" s="155"/>
      <c r="K3566" s="156"/>
      <c r="L3566" s="157"/>
      <c r="M3566" s="158" t="s">
        <v>28</v>
      </c>
      <c r="N3566" s="159" t="s">
        <v>29</v>
      </c>
    </row>
    <row r="3567" spans="1:14">
      <c r="A3567" s="148"/>
      <c r="B3567" s="149"/>
      <c r="C3567" s="160"/>
      <c r="D3567" s="151"/>
      <c r="E3567" s="152"/>
      <c r="F3567" s="153"/>
      <c r="G3567" s="154"/>
      <c r="H3567" s="154"/>
      <c r="I3567" s="154"/>
      <c r="J3567" s="155"/>
      <c r="K3567" s="156"/>
      <c r="L3567" s="157"/>
      <c r="M3567" s="158" t="s">
        <v>28</v>
      </c>
      <c r="N3567" s="159" t="s">
        <v>29</v>
      </c>
    </row>
    <row r="3568" spans="1:14">
      <c r="A3568" s="148"/>
      <c r="B3568" s="149"/>
      <c r="C3568" s="160"/>
      <c r="D3568" s="151"/>
      <c r="E3568" s="152"/>
      <c r="F3568" s="153"/>
      <c r="G3568" s="154"/>
      <c r="H3568" s="154"/>
      <c r="I3568" s="154"/>
      <c r="J3568" s="155"/>
      <c r="K3568" s="156"/>
      <c r="L3568" s="157"/>
      <c r="M3568" s="158" t="s">
        <v>28</v>
      </c>
      <c r="N3568" s="159" t="s">
        <v>29</v>
      </c>
    </row>
    <row r="3569" spans="1:14">
      <c r="A3569" s="148"/>
      <c r="B3569" s="149"/>
      <c r="C3569" s="160"/>
      <c r="D3569" s="151"/>
      <c r="E3569" s="152"/>
      <c r="F3569" s="153"/>
      <c r="G3569" s="154"/>
      <c r="H3569" s="154"/>
      <c r="I3569" s="154"/>
      <c r="J3569" s="155"/>
      <c r="K3569" s="156"/>
      <c r="L3569" s="157"/>
      <c r="M3569" s="158" t="s">
        <v>28</v>
      </c>
      <c r="N3569" s="159" t="s">
        <v>29</v>
      </c>
    </row>
    <row r="3570" spans="1:14">
      <c r="A3570" s="148"/>
      <c r="B3570" s="149"/>
      <c r="C3570" s="150"/>
      <c r="D3570" s="151"/>
      <c r="E3570" s="152"/>
      <c r="F3570" s="153"/>
      <c r="G3570" s="154"/>
      <c r="H3570" s="154"/>
      <c r="I3570" s="154"/>
      <c r="J3570" s="155"/>
      <c r="K3570" s="156"/>
      <c r="L3570" s="157"/>
      <c r="M3570" s="158" t="s">
        <v>28</v>
      </c>
      <c r="N3570" s="159" t="s">
        <v>29</v>
      </c>
    </row>
    <row r="3571" spans="1:14">
      <c r="A3571" s="148"/>
      <c r="B3571" s="149"/>
      <c r="C3571" s="150"/>
      <c r="D3571" s="151"/>
      <c r="E3571" s="152"/>
      <c r="F3571" s="153"/>
      <c r="G3571" s="154"/>
      <c r="H3571" s="154"/>
      <c r="I3571" s="154"/>
      <c r="J3571" s="155"/>
      <c r="K3571" s="156"/>
      <c r="L3571" s="157"/>
      <c r="M3571" s="158" t="s">
        <v>28</v>
      </c>
      <c r="N3571" s="159" t="s">
        <v>29</v>
      </c>
    </row>
    <row r="3572" spans="1:14">
      <c r="A3572" s="148"/>
      <c r="B3572" s="149"/>
      <c r="C3572" s="160"/>
      <c r="D3572" s="151"/>
      <c r="E3572" s="152"/>
      <c r="F3572" s="153"/>
      <c r="G3572" s="154"/>
      <c r="H3572" s="154"/>
      <c r="I3572" s="154"/>
      <c r="J3572" s="155"/>
      <c r="K3572" s="156"/>
      <c r="L3572" s="157"/>
      <c r="M3572" s="158" t="s">
        <v>28</v>
      </c>
      <c r="N3572" s="159" t="s">
        <v>29</v>
      </c>
    </row>
    <row r="3573" spans="1:14">
      <c r="A3573" s="148"/>
      <c r="B3573" s="149"/>
      <c r="C3573" s="160"/>
      <c r="D3573" s="151"/>
      <c r="E3573" s="152"/>
      <c r="F3573" s="153"/>
      <c r="G3573" s="154"/>
      <c r="H3573" s="154"/>
      <c r="I3573" s="154"/>
      <c r="J3573" s="155"/>
      <c r="K3573" s="156"/>
      <c r="L3573" s="157"/>
      <c r="M3573" s="158" t="s">
        <v>28</v>
      </c>
      <c r="N3573" s="159" t="s">
        <v>29</v>
      </c>
    </row>
    <row r="3574" spans="1:14">
      <c r="A3574" s="148"/>
      <c r="B3574" s="149"/>
      <c r="C3574" s="160"/>
      <c r="D3574" s="151"/>
      <c r="E3574" s="152"/>
      <c r="F3574" s="153"/>
      <c r="G3574" s="154"/>
      <c r="H3574" s="154"/>
      <c r="I3574" s="154"/>
      <c r="J3574" s="155"/>
      <c r="K3574" s="156"/>
      <c r="L3574" s="157"/>
      <c r="M3574" s="158" t="s">
        <v>28</v>
      </c>
      <c r="N3574" s="159" t="s">
        <v>29</v>
      </c>
    </row>
    <row r="3575" spans="1:14">
      <c r="A3575" s="148"/>
      <c r="B3575" s="149"/>
      <c r="C3575" s="160"/>
      <c r="D3575" s="151"/>
      <c r="E3575" s="152"/>
      <c r="F3575" s="153"/>
      <c r="G3575" s="154"/>
      <c r="H3575" s="154"/>
      <c r="I3575" s="154"/>
      <c r="J3575" s="155"/>
      <c r="K3575" s="156"/>
      <c r="L3575" s="157"/>
      <c r="M3575" s="158" t="s">
        <v>28</v>
      </c>
      <c r="N3575" s="159" t="s">
        <v>29</v>
      </c>
    </row>
    <row r="3576" spans="1:14">
      <c r="A3576" s="148"/>
      <c r="B3576" s="149"/>
      <c r="C3576" s="160"/>
      <c r="D3576" s="151"/>
      <c r="E3576" s="152"/>
      <c r="F3576" s="153"/>
      <c r="G3576" s="154"/>
      <c r="H3576" s="154"/>
      <c r="I3576" s="154"/>
      <c r="J3576" s="155"/>
      <c r="K3576" s="156"/>
      <c r="L3576" s="157"/>
      <c r="M3576" s="158" t="s">
        <v>28</v>
      </c>
      <c r="N3576" s="159" t="s">
        <v>29</v>
      </c>
    </row>
    <row r="3577" spans="1:14">
      <c r="A3577" s="148"/>
      <c r="B3577" s="149"/>
      <c r="C3577" s="160"/>
      <c r="D3577" s="151"/>
      <c r="E3577" s="152"/>
      <c r="F3577" s="153"/>
      <c r="G3577" s="154"/>
      <c r="H3577" s="154"/>
      <c r="I3577" s="154"/>
      <c r="J3577" s="155"/>
      <c r="K3577" s="156"/>
      <c r="L3577" s="157"/>
      <c r="M3577" s="158" t="s">
        <v>28</v>
      </c>
      <c r="N3577" s="159" t="s">
        <v>29</v>
      </c>
    </row>
    <row r="3578" spans="1:14">
      <c r="A3578" s="148"/>
      <c r="B3578" s="149"/>
      <c r="C3578" s="160"/>
      <c r="D3578" s="151"/>
      <c r="E3578" s="152"/>
      <c r="F3578" s="153"/>
      <c r="G3578" s="154"/>
      <c r="H3578" s="154"/>
      <c r="I3578" s="154"/>
      <c r="J3578" s="155"/>
      <c r="K3578" s="156"/>
      <c r="L3578" s="157"/>
      <c r="M3578" s="158" t="s">
        <v>28</v>
      </c>
      <c r="N3578" s="159" t="s">
        <v>29</v>
      </c>
    </row>
    <row r="3579" spans="1:14">
      <c r="A3579" s="148"/>
      <c r="B3579" s="149"/>
      <c r="C3579" s="160"/>
      <c r="D3579" s="151"/>
      <c r="E3579" s="152"/>
      <c r="F3579" s="153"/>
      <c r="G3579" s="154"/>
      <c r="H3579" s="154"/>
      <c r="I3579" s="154"/>
      <c r="J3579" s="155"/>
      <c r="K3579" s="156"/>
      <c r="L3579" s="157"/>
      <c r="M3579" s="158" t="s">
        <v>28</v>
      </c>
      <c r="N3579" s="159" t="s">
        <v>29</v>
      </c>
    </row>
    <row r="3580" spans="1:14">
      <c r="A3580" s="148"/>
      <c r="B3580" s="149"/>
      <c r="C3580" s="160"/>
      <c r="D3580" s="151"/>
      <c r="E3580" s="152"/>
      <c r="F3580" s="153"/>
      <c r="G3580" s="154"/>
      <c r="H3580" s="154"/>
      <c r="I3580" s="154"/>
      <c r="J3580" s="155"/>
      <c r="K3580" s="156"/>
      <c r="L3580" s="157"/>
      <c r="M3580" s="158" t="s">
        <v>28</v>
      </c>
      <c r="N3580" s="159" t="s">
        <v>29</v>
      </c>
    </row>
    <row r="3581" spans="1:14">
      <c r="A3581" s="148"/>
      <c r="B3581" s="149"/>
      <c r="C3581" s="160"/>
      <c r="D3581" s="151"/>
      <c r="E3581" s="152"/>
      <c r="F3581" s="153"/>
      <c r="G3581" s="154"/>
      <c r="H3581" s="154"/>
      <c r="I3581" s="154"/>
      <c r="J3581" s="155"/>
      <c r="K3581" s="156"/>
      <c r="L3581" s="157"/>
      <c r="M3581" s="158" t="s">
        <v>28</v>
      </c>
      <c r="N3581" s="159" t="s">
        <v>29</v>
      </c>
    </row>
    <row r="3582" spans="1:14">
      <c r="A3582" s="148"/>
      <c r="B3582" s="149"/>
      <c r="C3582" s="160"/>
      <c r="D3582" s="151"/>
      <c r="E3582" s="152"/>
      <c r="F3582" s="153"/>
      <c r="G3582" s="154"/>
      <c r="H3582" s="154"/>
      <c r="I3582" s="154"/>
      <c r="J3582" s="155"/>
      <c r="K3582" s="156"/>
      <c r="L3582" s="157"/>
      <c r="M3582" s="158" t="s">
        <v>28</v>
      </c>
      <c r="N3582" s="159" t="s">
        <v>29</v>
      </c>
    </row>
    <row r="3583" spans="1:14">
      <c r="A3583" s="148"/>
      <c r="B3583" s="149"/>
      <c r="C3583" s="160"/>
      <c r="D3583" s="151"/>
      <c r="E3583" s="152"/>
      <c r="F3583" s="153"/>
      <c r="G3583" s="154"/>
      <c r="H3583" s="154"/>
      <c r="I3583" s="154"/>
      <c r="J3583" s="155"/>
      <c r="K3583" s="156"/>
      <c r="L3583" s="157"/>
      <c r="M3583" s="158" t="s">
        <v>28</v>
      </c>
      <c r="N3583" s="159" t="s">
        <v>29</v>
      </c>
    </row>
    <row r="3584" spans="1:14">
      <c r="A3584" s="148"/>
      <c r="B3584" s="149"/>
      <c r="C3584" s="160"/>
      <c r="D3584" s="151"/>
      <c r="E3584" s="152"/>
      <c r="F3584" s="153"/>
      <c r="G3584" s="154"/>
      <c r="H3584" s="154"/>
      <c r="I3584" s="154"/>
      <c r="J3584" s="155"/>
      <c r="K3584" s="156"/>
      <c r="L3584" s="157"/>
      <c r="M3584" s="158" t="s">
        <v>28</v>
      </c>
      <c r="N3584" s="159" t="s">
        <v>29</v>
      </c>
    </row>
    <row r="3585" spans="1:14">
      <c r="A3585" s="148"/>
      <c r="B3585" s="149"/>
      <c r="C3585" s="160"/>
      <c r="D3585" s="151"/>
      <c r="E3585" s="152"/>
      <c r="F3585" s="153"/>
      <c r="G3585" s="154"/>
      <c r="H3585" s="154"/>
      <c r="I3585" s="154"/>
      <c r="J3585" s="155"/>
      <c r="K3585" s="156"/>
      <c r="L3585" s="157"/>
      <c r="M3585" s="158" t="s">
        <v>28</v>
      </c>
      <c r="N3585" s="159" t="s">
        <v>29</v>
      </c>
    </row>
    <row r="3586" spans="1:14">
      <c r="A3586" s="148"/>
      <c r="B3586" s="149"/>
      <c r="C3586" s="160"/>
      <c r="D3586" s="151"/>
      <c r="E3586" s="152"/>
      <c r="F3586" s="153"/>
      <c r="G3586" s="154"/>
      <c r="H3586" s="154"/>
      <c r="I3586" s="154"/>
      <c r="J3586" s="155"/>
      <c r="K3586" s="156"/>
      <c r="L3586" s="157"/>
      <c r="M3586" s="158" t="s">
        <v>28</v>
      </c>
      <c r="N3586" s="159" t="s">
        <v>29</v>
      </c>
    </row>
    <row r="3587" spans="1:14">
      <c r="A3587" s="148"/>
      <c r="B3587" s="149"/>
      <c r="C3587" s="160"/>
      <c r="D3587" s="151"/>
      <c r="E3587" s="152"/>
      <c r="F3587" s="153"/>
      <c r="G3587" s="154"/>
      <c r="H3587" s="154"/>
      <c r="I3587" s="154"/>
      <c r="J3587" s="155"/>
      <c r="K3587" s="156"/>
      <c r="L3587" s="157"/>
      <c r="M3587" s="158" t="s">
        <v>28</v>
      </c>
      <c r="N3587" s="159" t="s">
        <v>29</v>
      </c>
    </row>
    <row r="3588" spans="1:14">
      <c r="A3588" s="148"/>
      <c r="B3588" s="149"/>
      <c r="C3588" s="160"/>
      <c r="D3588" s="151"/>
      <c r="E3588" s="152"/>
      <c r="F3588" s="153"/>
      <c r="G3588" s="154"/>
      <c r="H3588" s="154"/>
      <c r="I3588" s="154"/>
      <c r="J3588" s="155"/>
      <c r="K3588" s="156"/>
      <c r="L3588" s="157"/>
      <c r="M3588" s="158" t="s">
        <v>28</v>
      </c>
      <c r="N3588" s="159" t="s">
        <v>29</v>
      </c>
    </row>
    <row r="3589" spans="1:14">
      <c r="A3589" s="148"/>
      <c r="B3589" s="149"/>
      <c r="C3589" s="160"/>
      <c r="D3589" s="151"/>
      <c r="E3589" s="152"/>
      <c r="F3589" s="153"/>
      <c r="G3589" s="154"/>
      <c r="H3589" s="154"/>
      <c r="I3589" s="154"/>
      <c r="J3589" s="155"/>
      <c r="K3589" s="156"/>
      <c r="L3589" s="157"/>
      <c r="M3589" s="158" t="s">
        <v>28</v>
      </c>
      <c r="N3589" s="159" t="s">
        <v>29</v>
      </c>
    </row>
    <row r="3590" spans="1:14">
      <c r="A3590" s="148"/>
      <c r="B3590" s="149"/>
      <c r="C3590" s="160"/>
      <c r="D3590" s="151"/>
      <c r="E3590" s="152"/>
      <c r="F3590" s="153"/>
      <c r="G3590" s="154"/>
      <c r="H3590" s="154"/>
      <c r="I3590" s="154"/>
      <c r="J3590" s="155"/>
      <c r="K3590" s="156"/>
      <c r="L3590" s="157"/>
      <c r="M3590" s="158" t="s">
        <v>28</v>
      </c>
      <c r="N3590" s="159" t="s">
        <v>29</v>
      </c>
    </row>
    <row r="3591" spans="1:14">
      <c r="A3591" s="148"/>
      <c r="B3591" s="149"/>
      <c r="C3591" s="160"/>
      <c r="D3591" s="151"/>
      <c r="E3591" s="152"/>
      <c r="F3591" s="153"/>
      <c r="G3591" s="154"/>
      <c r="H3591" s="154"/>
      <c r="I3591" s="154"/>
      <c r="J3591" s="155"/>
      <c r="K3591" s="156"/>
      <c r="L3591" s="157"/>
      <c r="M3591" s="158" t="s">
        <v>28</v>
      </c>
      <c r="N3591" s="159" t="s">
        <v>29</v>
      </c>
    </row>
    <row r="3592" spans="1:14">
      <c r="A3592" s="148"/>
      <c r="B3592" s="149"/>
      <c r="C3592" s="160"/>
      <c r="D3592" s="151"/>
      <c r="E3592" s="152"/>
      <c r="F3592" s="153"/>
      <c r="G3592" s="154"/>
      <c r="H3592" s="154"/>
      <c r="I3592" s="154"/>
      <c r="J3592" s="155"/>
      <c r="K3592" s="156"/>
      <c r="L3592" s="157"/>
      <c r="M3592" s="158" t="s">
        <v>28</v>
      </c>
      <c r="N3592" s="159" t="s">
        <v>29</v>
      </c>
    </row>
    <row r="3593" spans="1:14">
      <c r="A3593" s="148"/>
      <c r="B3593" s="149"/>
      <c r="C3593" s="160"/>
      <c r="D3593" s="151"/>
      <c r="E3593" s="152"/>
      <c r="F3593" s="153"/>
      <c r="G3593" s="154"/>
      <c r="H3593" s="154"/>
      <c r="I3593" s="154"/>
      <c r="J3593" s="155"/>
      <c r="K3593" s="156"/>
      <c r="L3593" s="157"/>
      <c r="M3593" s="158" t="s">
        <v>28</v>
      </c>
      <c r="N3593" s="159" t="s">
        <v>29</v>
      </c>
    </row>
    <row r="3594" spans="1:14">
      <c r="A3594" s="148"/>
      <c r="B3594" s="149"/>
      <c r="C3594" s="160"/>
      <c r="D3594" s="151"/>
      <c r="E3594" s="152"/>
      <c r="F3594" s="153"/>
      <c r="G3594" s="154"/>
      <c r="H3594" s="154"/>
      <c r="I3594" s="154"/>
      <c r="J3594" s="155"/>
      <c r="K3594" s="156"/>
      <c r="L3594" s="157"/>
      <c r="M3594" s="158" t="s">
        <v>28</v>
      </c>
      <c r="N3594" s="159" t="s">
        <v>29</v>
      </c>
    </row>
    <row r="3595" spans="1:14">
      <c r="A3595" s="148"/>
      <c r="B3595" s="149"/>
      <c r="C3595" s="160"/>
      <c r="D3595" s="151"/>
      <c r="E3595" s="152"/>
      <c r="F3595" s="153"/>
      <c r="G3595" s="154"/>
      <c r="H3595" s="154"/>
      <c r="I3595" s="154"/>
      <c r="J3595" s="155"/>
      <c r="K3595" s="156"/>
      <c r="L3595" s="157"/>
      <c r="M3595" s="158" t="s">
        <v>28</v>
      </c>
      <c r="N3595" s="159" t="s">
        <v>29</v>
      </c>
    </row>
    <row r="3596" spans="1:14">
      <c r="A3596" s="148"/>
      <c r="B3596" s="149"/>
      <c r="C3596" s="160"/>
      <c r="D3596" s="151"/>
      <c r="E3596" s="152"/>
      <c r="F3596" s="153"/>
      <c r="G3596" s="154"/>
      <c r="H3596" s="154"/>
      <c r="I3596" s="154"/>
      <c r="J3596" s="155"/>
      <c r="K3596" s="156"/>
      <c r="L3596" s="157"/>
      <c r="M3596" s="158" t="s">
        <v>28</v>
      </c>
      <c r="N3596" s="159" t="s">
        <v>29</v>
      </c>
    </row>
    <row r="3597" spans="1:14">
      <c r="A3597" s="148"/>
      <c r="B3597" s="149"/>
      <c r="C3597" s="160"/>
      <c r="D3597" s="151"/>
      <c r="E3597" s="152"/>
      <c r="F3597" s="153"/>
      <c r="G3597" s="154"/>
      <c r="H3597" s="154"/>
      <c r="I3597" s="154"/>
      <c r="J3597" s="155"/>
      <c r="K3597" s="156"/>
      <c r="L3597" s="157"/>
      <c r="M3597" s="158" t="s">
        <v>28</v>
      </c>
      <c r="N3597" s="159" t="s">
        <v>29</v>
      </c>
    </row>
    <row r="3598" spans="1:14">
      <c r="A3598" s="148"/>
      <c r="B3598" s="149"/>
      <c r="C3598" s="160"/>
      <c r="D3598" s="151"/>
      <c r="E3598" s="152"/>
      <c r="F3598" s="153"/>
      <c r="G3598" s="154"/>
      <c r="H3598" s="154"/>
      <c r="I3598" s="154"/>
      <c r="J3598" s="155"/>
      <c r="K3598" s="156"/>
      <c r="L3598" s="157"/>
      <c r="M3598" s="158" t="s">
        <v>28</v>
      </c>
      <c r="N3598" s="159" t="s">
        <v>29</v>
      </c>
    </row>
    <row r="3599" spans="1:14">
      <c r="A3599" s="148"/>
      <c r="B3599" s="149"/>
      <c r="C3599" s="160"/>
      <c r="D3599" s="151"/>
      <c r="E3599" s="152"/>
      <c r="F3599" s="153"/>
      <c r="G3599" s="154"/>
      <c r="H3599" s="154"/>
      <c r="I3599" s="154"/>
      <c r="J3599" s="155"/>
      <c r="K3599" s="156"/>
      <c r="L3599" s="157"/>
      <c r="M3599" s="158" t="s">
        <v>28</v>
      </c>
      <c r="N3599" s="159" t="s">
        <v>29</v>
      </c>
    </row>
    <row r="3600" spans="1:14">
      <c r="A3600" s="148"/>
      <c r="B3600" s="149"/>
      <c r="C3600" s="160"/>
      <c r="D3600" s="151"/>
      <c r="E3600" s="152"/>
      <c r="F3600" s="153"/>
      <c r="G3600" s="154"/>
      <c r="H3600" s="154"/>
      <c r="I3600" s="154"/>
      <c r="J3600" s="155"/>
      <c r="K3600" s="156"/>
      <c r="L3600" s="157"/>
      <c r="M3600" s="158" t="s">
        <v>28</v>
      </c>
      <c r="N3600" s="159" t="s">
        <v>29</v>
      </c>
    </row>
    <row r="3601" spans="1:14">
      <c r="A3601" s="148"/>
      <c r="B3601" s="149"/>
      <c r="C3601" s="160"/>
      <c r="D3601" s="151"/>
      <c r="E3601" s="152"/>
      <c r="F3601" s="153"/>
      <c r="G3601" s="154"/>
      <c r="H3601" s="154"/>
      <c r="I3601" s="154"/>
      <c r="J3601" s="155"/>
      <c r="K3601" s="156"/>
      <c r="L3601" s="157"/>
      <c r="M3601" s="158" t="s">
        <v>28</v>
      </c>
      <c r="N3601" s="159" t="s">
        <v>29</v>
      </c>
    </row>
    <row r="3602" spans="1:14">
      <c r="A3602" s="148"/>
      <c r="B3602" s="149"/>
      <c r="C3602" s="160"/>
      <c r="D3602" s="151"/>
      <c r="E3602" s="152"/>
      <c r="F3602" s="153"/>
      <c r="G3602" s="154"/>
      <c r="H3602" s="154"/>
      <c r="I3602" s="154"/>
      <c r="J3602" s="155"/>
      <c r="K3602" s="156"/>
      <c r="L3602" s="157"/>
      <c r="M3602" s="158" t="s">
        <v>28</v>
      </c>
      <c r="N3602" s="159" t="s">
        <v>29</v>
      </c>
    </row>
    <row r="3603" spans="1:14">
      <c r="A3603" s="148"/>
      <c r="B3603" s="149"/>
      <c r="C3603" s="160"/>
      <c r="D3603" s="151"/>
      <c r="E3603" s="152"/>
      <c r="F3603" s="153"/>
      <c r="G3603" s="154"/>
      <c r="H3603" s="154"/>
      <c r="I3603" s="154"/>
      <c r="J3603" s="155"/>
      <c r="K3603" s="156"/>
      <c r="L3603" s="157"/>
      <c r="M3603" s="158" t="s">
        <v>28</v>
      </c>
      <c r="N3603" s="159" t="s">
        <v>29</v>
      </c>
    </row>
    <row r="3604" spans="1:14">
      <c r="A3604" s="148"/>
      <c r="B3604" s="149"/>
      <c r="C3604" s="160"/>
      <c r="D3604" s="151"/>
      <c r="E3604" s="152"/>
      <c r="F3604" s="153"/>
      <c r="G3604" s="154"/>
      <c r="H3604" s="154"/>
      <c r="I3604" s="154"/>
      <c r="J3604" s="155"/>
      <c r="K3604" s="156"/>
      <c r="L3604" s="157"/>
      <c r="M3604" s="158" t="s">
        <v>28</v>
      </c>
      <c r="N3604" s="159" t="s">
        <v>29</v>
      </c>
    </row>
    <row r="3605" spans="1:14">
      <c r="A3605" s="148"/>
      <c r="B3605" s="149"/>
      <c r="C3605" s="160"/>
      <c r="D3605" s="151"/>
      <c r="E3605" s="152"/>
      <c r="F3605" s="153"/>
      <c r="G3605" s="154"/>
      <c r="H3605" s="154"/>
      <c r="I3605" s="154"/>
      <c r="J3605" s="155"/>
      <c r="K3605" s="156"/>
      <c r="L3605" s="157"/>
      <c r="M3605" s="158" t="s">
        <v>28</v>
      </c>
      <c r="N3605" s="159" t="s">
        <v>29</v>
      </c>
    </row>
    <row r="3606" spans="1:14">
      <c r="A3606" s="148"/>
      <c r="B3606" s="149"/>
      <c r="C3606" s="160"/>
      <c r="D3606" s="151"/>
      <c r="E3606" s="152"/>
      <c r="F3606" s="153"/>
      <c r="G3606" s="154"/>
      <c r="H3606" s="154"/>
      <c r="I3606" s="154"/>
      <c r="J3606" s="155"/>
      <c r="K3606" s="156"/>
      <c r="L3606" s="157"/>
      <c r="M3606" s="158" t="s">
        <v>28</v>
      </c>
      <c r="N3606" s="159" t="s">
        <v>29</v>
      </c>
    </row>
    <row r="3607" spans="1:14">
      <c r="A3607" s="148"/>
      <c r="B3607" s="149"/>
      <c r="C3607" s="160"/>
      <c r="D3607" s="151"/>
      <c r="E3607" s="152"/>
      <c r="F3607" s="153"/>
      <c r="G3607" s="154"/>
      <c r="H3607" s="154"/>
      <c r="I3607" s="154"/>
      <c r="J3607" s="155"/>
      <c r="K3607" s="156"/>
      <c r="L3607" s="157"/>
      <c r="M3607" s="158" t="s">
        <v>28</v>
      </c>
      <c r="N3607" s="159" t="s">
        <v>29</v>
      </c>
    </row>
    <row r="3608" spans="1:14">
      <c r="A3608" s="148"/>
      <c r="B3608" s="149"/>
      <c r="C3608" s="160"/>
      <c r="D3608" s="151"/>
      <c r="E3608" s="152"/>
      <c r="F3608" s="153"/>
      <c r="G3608" s="154"/>
      <c r="H3608" s="154"/>
      <c r="I3608" s="154"/>
      <c r="J3608" s="155"/>
      <c r="K3608" s="156"/>
      <c r="L3608" s="157"/>
      <c r="M3608" s="158" t="s">
        <v>28</v>
      </c>
      <c r="N3608" s="159" t="s">
        <v>29</v>
      </c>
    </row>
    <row r="3609" spans="1:14">
      <c r="A3609" s="148"/>
      <c r="B3609" s="149"/>
      <c r="C3609" s="160"/>
      <c r="D3609" s="151"/>
      <c r="E3609" s="152"/>
      <c r="F3609" s="153"/>
      <c r="G3609" s="154"/>
      <c r="H3609" s="154"/>
      <c r="I3609" s="154"/>
      <c r="J3609" s="155"/>
      <c r="K3609" s="156"/>
      <c r="L3609" s="157"/>
      <c r="M3609" s="158" t="s">
        <v>28</v>
      </c>
      <c r="N3609" s="159" t="s">
        <v>29</v>
      </c>
    </row>
    <row r="3610" spans="1:14">
      <c r="A3610" s="148"/>
      <c r="B3610" s="149"/>
      <c r="C3610" s="150"/>
      <c r="D3610" s="151"/>
      <c r="E3610" s="152"/>
      <c r="F3610" s="153"/>
      <c r="G3610" s="154"/>
      <c r="H3610" s="154"/>
      <c r="I3610" s="154"/>
      <c r="J3610" s="155"/>
      <c r="K3610" s="156"/>
      <c r="L3610" s="157"/>
      <c r="M3610" s="158" t="s">
        <v>28</v>
      </c>
      <c r="N3610" s="159" t="s">
        <v>29</v>
      </c>
    </row>
    <row r="3611" spans="1:14">
      <c r="A3611" s="148"/>
      <c r="B3611" s="149"/>
      <c r="C3611" s="150"/>
      <c r="D3611" s="151"/>
      <c r="E3611" s="152"/>
      <c r="F3611" s="153"/>
      <c r="G3611" s="154"/>
      <c r="H3611" s="154"/>
      <c r="I3611" s="154"/>
      <c r="J3611" s="155"/>
      <c r="K3611" s="156"/>
      <c r="L3611" s="157"/>
      <c r="M3611" s="158" t="s">
        <v>28</v>
      </c>
      <c r="N3611" s="159" t="s">
        <v>29</v>
      </c>
    </row>
    <row r="3612" spans="1:14">
      <c r="A3612" s="148"/>
      <c r="B3612" s="149"/>
      <c r="C3612" s="150"/>
      <c r="D3612" s="151"/>
      <c r="E3612" s="152"/>
      <c r="F3612" s="153"/>
      <c r="G3612" s="154"/>
      <c r="H3612" s="154"/>
      <c r="I3612" s="154"/>
      <c r="J3612" s="155"/>
      <c r="K3612" s="156"/>
      <c r="L3612" s="157"/>
      <c r="M3612" s="158" t="s">
        <v>28</v>
      </c>
      <c r="N3612" s="159" t="s">
        <v>29</v>
      </c>
    </row>
    <row r="3613" spans="1:14">
      <c r="A3613" s="148"/>
      <c r="B3613" s="149"/>
      <c r="C3613" s="150"/>
      <c r="D3613" s="151"/>
      <c r="E3613" s="152"/>
      <c r="F3613" s="153"/>
      <c r="G3613" s="154"/>
      <c r="H3613" s="154"/>
      <c r="I3613" s="154"/>
      <c r="J3613" s="155"/>
      <c r="K3613" s="156"/>
      <c r="L3613" s="157"/>
      <c r="M3613" s="158" t="s">
        <v>28</v>
      </c>
      <c r="N3613" s="159" t="s">
        <v>29</v>
      </c>
    </row>
    <row r="3614" spans="1:14">
      <c r="A3614" s="148"/>
      <c r="B3614" s="149"/>
      <c r="C3614" s="150"/>
      <c r="D3614" s="151"/>
      <c r="E3614" s="152"/>
      <c r="F3614" s="153"/>
      <c r="G3614" s="154"/>
      <c r="H3614" s="154"/>
      <c r="I3614" s="154"/>
      <c r="J3614" s="155"/>
      <c r="K3614" s="156"/>
      <c r="L3614" s="157"/>
      <c r="M3614" s="158" t="s">
        <v>28</v>
      </c>
      <c r="N3614" s="159" t="s">
        <v>29</v>
      </c>
    </row>
    <row r="3615" spans="1:14">
      <c r="A3615" s="148"/>
      <c r="B3615" s="149"/>
      <c r="C3615" s="150"/>
      <c r="D3615" s="151"/>
      <c r="E3615" s="152"/>
      <c r="F3615" s="153"/>
      <c r="G3615" s="154"/>
      <c r="H3615" s="154"/>
      <c r="I3615" s="154"/>
      <c r="J3615" s="155"/>
      <c r="K3615" s="156"/>
      <c r="L3615" s="157"/>
      <c r="M3615" s="158" t="s">
        <v>28</v>
      </c>
      <c r="N3615" s="159" t="s">
        <v>29</v>
      </c>
    </row>
    <row r="3616" spans="1:14">
      <c r="A3616" s="148"/>
      <c r="B3616" s="149"/>
      <c r="C3616" s="150"/>
      <c r="D3616" s="151"/>
      <c r="E3616" s="152"/>
      <c r="F3616" s="153"/>
      <c r="G3616" s="154"/>
      <c r="H3616" s="154"/>
      <c r="I3616" s="154"/>
      <c r="J3616" s="155"/>
      <c r="K3616" s="156"/>
      <c r="L3616" s="157"/>
      <c r="M3616" s="158" t="s">
        <v>28</v>
      </c>
      <c r="N3616" s="159" t="s">
        <v>29</v>
      </c>
    </row>
    <row r="3617" spans="1:14">
      <c r="A3617" s="148"/>
      <c r="B3617" s="149"/>
      <c r="C3617" s="150"/>
      <c r="D3617" s="151"/>
      <c r="E3617" s="152"/>
      <c r="F3617" s="153"/>
      <c r="G3617" s="154"/>
      <c r="H3617" s="154"/>
      <c r="I3617" s="154"/>
      <c r="J3617" s="155"/>
      <c r="K3617" s="156"/>
      <c r="L3617" s="157"/>
      <c r="M3617" s="158" t="s">
        <v>28</v>
      </c>
      <c r="N3617" s="159" t="s">
        <v>29</v>
      </c>
    </row>
    <row r="3618" spans="1:14">
      <c r="A3618" s="148"/>
      <c r="B3618" s="149"/>
      <c r="C3618" s="150"/>
      <c r="D3618" s="151"/>
      <c r="E3618" s="152"/>
      <c r="F3618" s="153"/>
      <c r="G3618" s="154"/>
      <c r="H3618" s="154"/>
      <c r="I3618" s="154"/>
      <c r="J3618" s="155"/>
      <c r="K3618" s="156"/>
      <c r="L3618" s="157"/>
      <c r="M3618" s="158" t="s">
        <v>28</v>
      </c>
      <c r="N3618" s="159" t="s">
        <v>29</v>
      </c>
    </row>
    <row r="3619" spans="1:14">
      <c r="A3619" s="148"/>
      <c r="B3619" s="149"/>
      <c r="C3619" s="150"/>
      <c r="D3619" s="151"/>
      <c r="E3619" s="152"/>
      <c r="F3619" s="153"/>
      <c r="G3619" s="154"/>
      <c r="H3619" s="154"/>
      <c r="I3619" s="154"/>
      <c r="J3619" s="155"/>
      <c r="K3619" s="156"/>
      <c r="L3619" s="157"/>
      <c r="M3619" s="158" t="s">
        <v>28</v>
      </c>
      <c r="N3619" s="159" t="s">
        <v>29</v>
      </c>
    </row>
    <row r="3620" spans="1:14">
      <c r="A3620" s="148"/>
      <c r="B3620" s="149"/>
      <c r="C3620" s="150"/>
      <c r="D3620" s="151"/>
      <c r="E3620" s="152"/>
      <c r="F3620" s="153"/>
      <c r="G3620" s="154"/>
      <c r="H3620" s="154"/>
      <c r="I3620" s="154"/>
      <c r="J3620" s="155"/>
      <c r="K3620" s="156"/>
      <c r="L3620" s="157"/>
      <c r="M3620" s="158" t="s">
        <v>28</v>
      </c>
      <c r="N3620" s="159" t="s">
        <v>29</v>
      </c>
    </row>
    <row r="3621" spans="1:14">
      <c r="A3621" s="148"/>
      <c r="B3621" s="149"/>
      <c r="C3621" s="160"/>
      <c r="D3621" s="151"/>
      <c r="E3621" s="152"/>
      <c r="F3621" s="153"/>
      <c r="G3621" s="154"/>
      <c r="H3621" s="154"/>
      <c r="I3621" s="154"/>
      <c r="J3621" s="155"/>
      <c r="K3621" s="156"/>
      <c r="L3621" s="157"/>
      <c r="M3621" s="158" t="s">
        <v>28</v>
      </c>
      <c r="N3621" s="159" t="s">
        <v>29</v>
      </c>
    </row>
    <row r="3622" spans="1:14">
      <c r="A3622" s="148"/>
      <c r="B3622" s="149"/>
      <c r="C3622" s="160"/>
      <c r="D3622" s="151"/>
      <c r="E3622" s="152"/>
      <c r="F3622" s="153"/>
      <c r="G3622" s="154"/>
      <c r="H3622" s="154"/>
      <c r="I3622" s="154"/>
      <c r="J3622" s="155"/>
      <c r="K3622" s="156"/>
      <c r="L3622" s="157"/>
      <c r="M3622" s="158" t="s">
        <v>28</v>
      </c>
      <c r="N3622" s="159" t="s">
        <v>29</v>
      </c>
    </row>
    <row r="3623" spans="1:14">
      <c r="A3623" s="148"/>
      <c r="B3623" s="149"/>
      <c r="C3623" s="160"/>
      <c r="D3623" s="151"/>
      <c r="E3623" s="152"/>
      <c r="F3623" s="153"/>
      <c r="G3623" s="154"/>
      <c r="H3623" s="154"/>
      <c r="I3623" s="154"/>
      <c r="J3623" s="155"/>
      <c r="K3623" s="156"/>
      <c r="L3623" s="157"/>
      <c r="M3623" s="158" t="s">
        <v>28</v>
      </c>
      <c r="N3623" s="159" t="s">
        <v>29</v>
      </c>
    </row>
    <row r="3624" spans="1:14">
      <c r="A3624" s="148"/>
      <c r="B3624" s="149"/>
      <c r="C3624" s="160"/>
      <c r="D3624" s="151"/>
      <c r="E3624" s="152"/>
      <c r="F3624" s="153"/>
      <c r="G3624" s="154"/>
      <c r="H3624" s="154"/>
      <c r="I3624" s="154"/>
      <c r="J3624" s="155"/>
      <c r="K3624" s="156"/>
      <c r="L3624" s="157"/>
      <c r="M3624" s="158" t="s">
        <v>28</v>
      </c>
      <c r="N3624" s="159" t="s">
        <v>29</v>
      </c>
    </row>
    <row r="3625" spans="1:14">
      <c r="A3625" s="148"/>
      <c r="B3625" s="149"/>
      <c r="C3625" s="160"/>
      <c r="D3625" s="151"/>
      <c r="E3625" s="152"/>
      <c r="F3625" s="153"/>
      <c r="G3625" s="154"/>
      <c r="H3625" s="154"/>
      <c r="I3625" s="154"/>
      <c r="J3625" s="155"/>
      <c r="K3625" s="156"/>
      <c r="L3625" s="157"/>
      <c r="M3625" s="158" t="s">
        <v>28</v>
      </c>
      <c r="N3625" s="159" t="s">
        <v>29</v>
      </c>
    </row>
    <row r="3626" spans="1:14">
      <c r="A3626" s="148"/>
      <c r="B3626" s="149"/>
      <c r="C3626" s="160"/>
      <c r="D3626" s="151"/>
      <c r="E3626" s="152"/>
      <c r="F3626" s="153"/>
      <c r="G3626" s="154"/>
      <c r="H3626" s="154"/>
      <c r="I3626" s="154"/>
      <c r="J3626" s="155"/>
      <c r="K3626" s="156"/>
      <c r="L3626" s="157"/>
      <c r="M3626" s="158" t="s">
        <v>28</v>
      </c>
      <c r="N3626" s="159" t="s">
        <v>29</v>
      </c>
    </row>
    <row r="3627" spans="1:14">
      <c r="A3627" s="148"/>
      <c r="B3627" s="149"/>
      <c r="C3627" s="160"/>
      <c r="D3627" s="151"/>
      <c r="E3627" s="152"/>
      <c r="F3627" s="153"/>
      <c r="G3627" s="154"/>
      <c r="H3627" s="154"/>
      <c r="I3627" s="154"/>
      <c r="J3627" s="155"/>
      <c r="K3627" s="156"/>
      <c r="L3627" s="157"/>
      <c r="M3627" s="158" t="s">
        <v>28</v>
      </c>
      <c r="N3627" s="159" t="s">
        <v>29</v>
      </c>
    </row>
    <row r="3628" spans="1:14">
      <c r="A3628" s="148"/>
      <c r="B3628" s="149"/>
      <c r="C3628" s="160"/>
      <c r="D3628" s="151"/>
      <c r="E3628" s="152"/>
      <c r="F3628" s="153"/>
      <c r="G3628" s="154"/>
      <c r="H3628" s="154"/>
      <c r="I3628" s="154"/>
      <c r="J3628" s="155"/>
      <c r="K3628" s="156"/>
      <c r="L3628" s="157"/>
      <c r="M3628" s="158" t="s">
        <v>28</v>
      </c>
      <c r="N3628" s="159" t="s">
        <v>29</v>
      </c>
    </row>
    <row r="3629" spans="1:14">
      <c r="A3629" s="148"/>
      <c r="B3629" s="149"/>
      <c r="C3629" s="160"/>
      <c r="D3629" s="151"/>
      <c r="E3629" s="152"/>
      <c r="F3629" s="153"/>
      <c r="G3629" s="154"/>
      <c r="H3629" s="154"/>
      <c r="I3629" s="154"/>
      <c r="J3629" s="155"/>
      <c r="K3629" s="156"/>
      <c r="L3629" s="157"/>
      <c r="M3629" s="158" t="s">
        <v>28</v>
      </c>
      <c r="N3629" s="159" t="s">
        <v>29</v>
      </c>
    </row>
    <row r="3630" spans="1:14">
      <c r="A3630" s="148"/>
      <c r="B3630" s="149"/>
      <c r="C3630" s="160"/>
      <c r="D3630" s="151"/>
      <c r="E3630" s="152"/>
      <c r="F3630" s="153"/>
      <c r="G3630" s="154"/>
      <c r="H3630" s="154"/>
      <c r="I3630" s="154"/>
      <c r="J3630" s="155"/>
      <c r="K3630" s="156"/>
      <c r="L3630" s="157"/>
      <c r="M3630" s="158" t="s">
        <v>28</v>
      </c>
      <c r="N3630" s="159" t="s">
        <v>29</v>
      </c>
    </row>
    <row r="3631" spans="1:14">
      <c r="A3631" s="148"/>
      <c r="B3631" s="149"/>
      <c r="C3631" s="160"/>
      <c r="D3631" s="151"/>
      <c r="E3631" s="152"/>
      <c r="F3631" s="153"/>
      <c r="G3631" s="154"/>
      <c r="H3631" s="154"/>
      <c r="I3631" s="154"/>
      <c r="J3631" s="155"/>
      <c r="K3631" s="156"/>
      <c r="L3631" s="157"/>
      <c r="M3631" s="158" t="s">
        <v>28</v>
      </c>
      <c r="N3631" s="159" t="s">
        <v>29</v>
      </c>
    </row>
    <row r="3632" spans="1:14">
      <c r="A3632" s="148"/>
      <c r="B3632" s="149"/>
      <c r="C3632" s="160"/>
      <c r="D3632" s="151"/>
      <c r="E3632" s="152"/>
      <c r="F3632" s="153"/>
      <c r="G3632" s="154"/>
      <c r="H3632" s="154"/>
      <c r="I3632" s="154"/>
      <c r="J3632" s="155"/>
      <c r="K3632" s="156"/>
      <c r="L3632" s="157"/>
      <c r="M3632" s="158" t="s">
        <v>28</v>
      </c>
      <c r="N3632" s="159" t="s">
        <v>29</v>
      </c>
    </row>
    <row r="3633" spans="1:14">
      <c r="A3633" s="148"/>
      <c r="B3633" s="149"/>
      <c r="C3633" s="160"/>
      <c r="D3633" s="151"/>
      <c r="E3633" s="152"/>
      <c r="F3633" s="153"/>
      <c r="G3633" s="154"/>
      <c r="H3633" s="154"/>
      <c r="I3633" s="154"/>
      <c r="J3633" s="155"/>
      <c r="K3633" s="156"/>
      <c r="L3633" s="157"/>
      <c r="M3633" s="158" t="s">
        <v>28</v>
      </c>
      <c r="N3633" s="159" t="s">
        <v>29</v>
      </c>
    </row>
    <row r="3634" spans="1:14">
      <c r="A3634" s="148"/>
      <c r="B3634" s="149"/>
      <c r="C3634" s="160"/>
      <c r="D3634" s="151"/>
      <c r="E3634" s="152"/>
      <c r="F3634" s="153"/>
      <c r="G3634" s="154"/>
      <c r="H3634" s="154"/>
      <c r="I3634" s="154"/>
      <c r="J3634" s="155"/>
      <c r="K3634" s="156"/>
      <c r="L3634" s="157"/>
      <c r="M3634" s="158" t="s">
        <v>28</v>
      </c>
      <c r="N3634" s="159" t="s">
        <v>29</v>
      </c>
    </row>
    <row r="3635" spans="1:14">
      <c r="A3635" s="148"/>
      <c r="B3635" s="149"/>
      <c r="C3635" s="160"/>
      <c r="D3635" s="151"/>
      <c r="E3635" s="152"/>
      <c r="F3635" s="153"/>
      <c r="G3635" s="154"/>
      <c r="H3635" s="154"/>
      <c r="I3635" s="154"/>
      <c r="J3635" s="155"/>
      <c r="K3635" s="156"/>
      <c r="L3635" s="157"/>
      <c r="M3635" s="158" t="s">
        <v>28</v>
      </c>
      <c r="N3635" s="159" t="s">
        <v>29</v>
      </c>
    </row>
    <row r="3636" spans="1:14">
      <c r="A3636" s="148"/>
      <c r="B3636" s="149"/>
      <c r="C3636" s="160"/>
      <c r="D3636" s="151"/>
      <c r="E3636" s="152"/>
      <c r="F3636" s="153"/>
      <c r="G3636" s="154"/>
      <c r="H3636" s="154"/>
      <c r="I3636" s="154"/>
      <c r="J3636" s="155"/>
      <c r="K3636" s="156"/>
      <c r="L3636" s="157"/>
      <c r="M3636" s="158" t="s">
        <v>28</v>
      </c>
      <c r="N3636" s="159" t="s">
        <v>29</v>
      </c>
    </row>
    <row r="3637" spans="1:14">
      <c r="A3637" s="148"/>
      <c r="B3637" s="149"/>
      <c r="C3637" s="160"/>
      <c r="D3637" s="151"/>
      <c r="E3637" s="152"/>
      <c r="F3637" s="153"/>
      <c r="G3637" s="154"/>
      <c r="H3637" s="154"/>
      <c r="I3637" s="154"/>
      <c r="J3637" s="155"/>
      <c r="K3637" s="156"/>
      <c r="L3637" s="157"/>
      <c r="M3637" s="158" t="s">
        <v>28</v>
      </c>
      <c r="N3637" s="159" t="s">
        <v>29</v>
      </c>
    </row>
    <row r="3638" spans="1:14">
      <c r="A3638" s="148"/>
      <c r="B3638" s="149"/>
      <c r="C3638" s="160"/>
      <c r="D3638" s="151"/>
      <c r="E3638" s="152"/>
      <c r="F3638" s="153"/>
      <c r="G3638" s="154"/>
      <c r="H3638" s="154"/>
      <c r="I3638" s="154"/>
      <c r="J3638" s="155"/>
      <c r="K3638" s="156"/>
      <c r="L3638" s="157"/>
      <c r="M3638" s="158" t="s">
        <v>28</v>
      </c>
      <c r="N3638" s="159" t="s">
        <v>29</v>
      </c>
    </row>
    <row r="3639" spans="1:14">
      <c r="A3639" s="148"/>
      <c r="B3639" s="149"/>
      <c r="C3639" s="160"/>
      <c r="D3639" s="151"/>
      <c r="E3639" s="152"/>
      <c r="F3639" s="153"/>
      <c r="G3639" s="154"/>
      <c r="H3639" s="154"/>
      <c r="I3639" s="154"/>
      <c r="J3639" s="155"/>
      <c r="K3639" s="156"/>
      <c r="L3639" s="157"/>
      <c r="M3639" s="158" t="s">
        <v>28</v>
      </c>
      <c r="N3639" s="159" t="s">
        <v>29</v>
      </c>
    </row>
    <row r="3640" spans="1:14">
      <c r="A3640" s="148"/>
      <c r="B3640" s="149"/>
      <c r="C3640" s="160"/>
      <c r="D3640" s="151"/>
      <c r="E3640" s="152"/>
      <c r="F3640" s="153"/>
      <c r="G3640" s="154"/>
      <c r="H3640" s="154"/>
      <c r="I3640" s="154"/>
      <c r="J3640" s="155"/>
      <c r="K3640" s="156"/>
      <c r="L3640" s="157"/>
      <c r="M3640" s="158" t="s">
        <v>28</v>
      </c>
      <c r="N3640" s="159" t="s">
        <v>29</v>
      </c>
    </row>
    <row r="3641" spans="1:14">
      <c r="A3641" s="148"/>
      <c r="B3641" s="149"/>
      <c r="C3641" s="160"/>
      <c r="D3641" s="151"/>
      <c r="E3641" s="152"/>
      <c r="F3641" s="153"/>
      <c r="G3641" s="154"/>
      <c r="H3641" s="154"/>
      <c r="I3641" s="154"/>
      <c r="J3641" s="155"/>
      <c r="K3641" s="156"/>
      <c r="L3641" s="157"/>
      <c r="M3641" s="158" t="s">
        <v>28</v>
      </c>
      <c r="N3641" s="159" t="s">
        <v>29</v>
      </c>
    </row>
    <row r="3642" spans="1:14">
      <c r="A3642" s="148"/>
      <c r="B3642" s="149"/>
      <c r="C3642" s="160"/>
      <c r="D3642" s="151"/>
      <c r="E3642" s="152"/>
      <c r="F3642" s="153"/>
      <c r="G3642" s="154"/>
      <c r="H3642" s="154"/>
      <c r="I3642" s="154"/>
      <c r="J3642" s="155"/>
      <c r="K3642" s="156"/>
      <c r="L3642" s="157"/>
      <c r="M3642" s="158" t="s">
        <v>28</v>
      </c>
      <c r="N3642" s="159" t="s">
        <v>29</v>
      </c>
    </row>
    <row r="3643" spans="1:14">
      <c r="A3643" s="148"/>
      <c r="B3643" s="149"/>
      <c r="C3643" s="160"/>
      <c r="D3643" s="151"/>
      <c r="E3643" s="152"/>
      <c r="F3643" s="153"/>
      <c r="G3643" s="154"/>
      <c r="H3643" s="154"/>
      <c r="I3643" s="154"/>
      <c r="J3643" s="155"/>
      <c r="K3643" s="156"/>
      <c r="L3643" s="157"/>
      <c r="M3643" s="158" t="s">
        <v>28</v>
      </c>
      <c r="N3643" s="159" t="s">
        <v>29</v>
      </c>
    </row>
    <row r="3644" spans="1:14">
      <c r="A3644" s="148"/>
      <c r="B3644" s="149"/>
      <c r="C3644" s="160"/>
      <c r="D3644" s="151"/>
      <c r="E3644" s="152"/>
      <c r="F3644" s="153"/>
      <c r="G3644" s="154"/>
      <c r="H3644" s="154"/>
      <c r="I3644" s="154"/>
      <c r="J3644" s="155"/>
      <c r="K3644" s="156"/>
      <c r="L3644" s="157"/>
      <c r="M3644" s="158" t="s">
        <v>28</v>
      </c>
      <c r="N3644" s="159" t="s">
        <v>29</v>
      </c>
    </row>
    <row r="3645" spans="1:14">
      <c r="A3645" s="148"/>
      <c r="B3645" s="149"/>
      <c r="C3645" s="160"/>
      <c r="D3645" s="151"/>
      <c r="E3645" s="152"/>
      <c r="F3645" s="153"/>
      <c r="G3645" s="154"/>
      <c r="H3645" s="154"/>
      <c r="I3645" s="154"/>
      <c r="J3645" s="155"/>
      <c r="K3645" s="156"/>
      <c r="L3645" s="157"/>
      <c r="M3645" s="158" t="s">
        <v>28</v>
      </c>
      <c r="N3645" s="159" t="s">
        <v>29</v>
      </c>
    </row>
    <row r="3646" spans="1:14">
      <c r="A3646" s="148"/>
      <c r="B3646" s="149"/>
      <c r="C3646" s="160"/>
      <c r="D3646" s="151"/>
      <c r="E3646" s="152"/>
      <c r="F3646" s="153"/>
      <c r="G3646" s="154"/>
      <c r="H3646" s="154"/>
      <c r="I3646" s="154"/>
      <c r="J3646" s="155"/>
      <c r="K3646" s="156"/>
      <c r="L3646" s="157"/>
      <c r="M3646" s="158" t="s">
        <v>28</v>
      </c>
      <c r="N3646" s="159" t="s">
        <v>29</v>
      </c>
    </row>
    <row r="3647" spans="1:14">
      <c r="A3647" s="148"/>
      <c r="B3647" s="149"/>
      <c r="C3647" s="160"/>
      <c r="D3647" s="151"/>
      <c r="E3647" s="152"/>
      <c r="F3647" s="153"/>
      <c r="G3647" s="154"/>
      <c r="H3647" s="154"/>
      <c r="I3647" s="154"/>
      <c r="J3647" s="155"/>
      <c r="K3647" s="156"/>
      <c r="L3647" s="157"/>
      <c r="M3647" s="158" t="s">
        <v>28</v>
      </c>
      <c r="N3647" s="159" t="s">
        <v>29</v>
      </c>
    </row>
    <row r="3648" spans="1:14">
      <c r="A3648" s="148"/>
      <c r="B3648" s="149"/>
      <c r="C3648" s="160"/>
      <c r="D3648" s="151"/>
      <c r="E3648" s="152"/>
      <c r="F3648" s="153"/>
      <c r="G3648" s="154"/>
      <c r="H3648" s="154"/>
      <c r="I3648" s="154"/>
      <c r="J3648" s="155"/>
      <c r="K3648" s="156"/>
      <c r="L3648" s="157"/>
      <c r="M3648" s="158" t="s">
        <v>28</v>
      </c>
      <c r="N3648" s="159" t="s">
        <v>29</v>
      </c>
    </row>
    <row r="3649" spans="1:14">
      <c r="A3649" s="148"/>
      <c r="B3649" s="149"/>
      <c r="C3649" s="160"/>
      <c r="D3649" s="151"/>
      <c r="E3649" s="152"/>
      <c r="F3649" s="153"/>
      <c r="G3649" s="154"/>
      <c r="H3649" s="154"/>
      <c r="I3649" s="154"/>
      <c r="J3649" s="155"/>
      <c r="K3649" s="156"/>
      <c r="L3649" s="157"/>
      <c r="M3649" s="158" t="s">
        <v>28</v>
      </c>
      <c r="N3649" s="159" t="s">
        <v>29</v>
      </c>
    </row>
    <row r="3650" spans="1:14">
      <c r="A3650" s="148"/>
      <c r="B3650" s="149"/>
      <c r="C3650" s="160"/>
      <c r="D3650" s="151"/>
      <c r="E3650" s="152"/>
      <c r="F3650" s="153"/>
      <c r="G3650" s="154"/>
      <c r="H3650" s="154"/>
      <c r="I3650" s="154"/>
      <c r="J3650" s="155"/>
      <c r="K3650" s="156"/>
      <c r="L3650" s="157"/>
      <c r="M3650" s="158" t="s">
        <v>28</v>
      </c>
      <c r="N3650" s="159" t="s">
        <v>29</v>
      </c>
    </row>
    <row r="3651" spans="1:14">
      <c r="A3651" s="148"/>
      <c r="B3651" s="149"/>
      <c r="C3651" s="160"/>
      <c r="D3651" s="151"/>
      <c r="E3651" s="152"/>
      <c r="F3651" s="153"/>
      <c r="G3651" s="154"/>
      <c r="H3651" s="154"/>
      <c r="I3651" s="154"/>
      <c r="J3651" s="155"/>
      <c r="K3651" s="156"/>
      <c r="L3651" s="157"/>
      <c r="M3651" s="158" t="s">
        <v>28</v>
      </c>
      <c r="N3651" s="159" t="s">
        <v>29</v>
      </c>
    </row>
    <row r="3652" spans="1:14">
      <c r="A3652" s="148"/>
      <c r="B3652" s="149"/>
      <c r="C3652" s="160"/>
      <c r="D3652" s="151"/>
      <c r="E3652" s="152"/>
      <c r="F3652" s="153"/>
      <c r="G3652" s="154"/>
      <c r="H3652" s="154"/>
      <c r="I3652" s="154"/>
      <c r="J3652" s="155"/>
      <c r="K3652" s="156"/>
      <c r="L3652" s="157"/>
      <c r="M3652" s="158" t="s">
        <v>28</v>
      </c>
      <c r="N3652" s="159" t="s">
        <v>29</v>
      </c>
    </row>
    <row r="3653" spans="1:14">
      <c r="A3653" s="148"/>
      <c r="B3653" s="149"/>
      <c r="C3653" s="160"/>
      <c r="D3653" s="151"/>
      <c r="E3653" s="152"/>
      <c r="F3653" s="153"/>
      <c r="G3653" s="154"/>
      <c r="H3653" s="154"/>
      <c r="I3653" s="154"/>
      <c r="J3653" s="155"/>
      <c r="K3653" s="156"/>
      <c r="L3653" s="157"/>
      <c r="M3653" s="158" t="s">
        <v>28</v>
      </c>
      <c r="N3653" s="159" t="s">
        <v>29</v>
      </c>
    </row>
    <row r="3654" spans="1:14">
      <c r="A3654" s="148"/>
      <c r="B3654" s="149"/>
      <c r="C3654" s="160"/>
      <c r="D3654" s="151"/>
      <c r="E3654" s="152"/>
      <c r="F3654" s="153"/>
      <c r="G3654" s="154"/>
      <c r="H3654" s="154"/>
      <c r="I3654" s="154"/>
      <c r="J3654" s="155"/>
      <c r="K3654" s="156"/>
      <c r="L3654" s="157"/>
      <c r="M3654" s="158" t="s">
        <v>28</v>
      </c>
      <c r="N3654" s="159" t="s">
        <v>29</v>
      </c>
    </row>
    <row r="3655" spans="1:14">
      <c r="A3655" s="148"/>
      <c r="B3655" s="149"/>
      <c r="C3655" s="160"/>
      <c r="D3655" s="151"/>
      <c r="E3655" s="152"/>
      <c r="F3655" s="153"/>
      <c r="G3655" s="154"/>
      <c r="H3655" s="154"/>
      <c r="I3655" s="154"/>
      <c r="J3655" s="155"/>
      <c r="K3655" s="156"/>
      <c r="L3655" s="157"/>
      <c r="M3655" s="158" t="s">
        <v>28</v>
      </c>
      <c r="N3655" s="159" t="s">
        <v>29</v>
      </c>
    </row>
    <row r="3656" spans="1:14">
      <c r="A3656" s="148"/>
      <c r="B3656" s="149"/>
      <c r="C3656" s="160"/>
      <c r="D3656" s="151"/>
      <c r="E3656" s="152"/>
      <c r="F3656" s="153"/>
      <c r="G3656" s="154"/>
      <c r="H3656" s="154"/>
      <c r="I3656" s="154"/>
      <c r="J3656" s="155"/>
      <c r="K3656" s="156"/>
      <c r="L3656" s="157"/>
      <c r="M3656" s="158" t="s">
        <v>28</v>
      </c>
      <c r="N3656" s="159" t="s">
        <v>29</v>
      </c>
    </row>
    <row r="3657" spans="1:14">
      <c r="A3657" s="148"/>
      <c r="B3657" s="149"/>
      <c r="C3657" s="160"/>
      <c r="D3657" s="151"/>
      <c r="E3657" s="152"/>
      <c r="F3657" s="153"/>
      <c r="G3657" s="154"/>
      <c r="H3657" s="154"/>
      <c r="I3657" s="154"/>
      <c r="J3657" s="155"/>
      <c r="K3657" s="156"/>
      <c r="L3657" s="157"/>
      <c r="M3657" s="158" t="s">
        <v>28</v>
      </c>
      <c r="N3657" s="159" t="s">
        <v>29</v>
      </c>
    </row>
    <row r="3658" spans="1:14">
      <c r="A3658" s="148"/>
      <c r="B3658" s="149"/>
      <c r="C3658" s="160"/>
      <c r="D3658" s="151"/>
      <c r="E3658" s="152"/>
      <c r="F3658" s="153"/>
      <c r="G3658" s="154"/>
      <c r="H3658" s="154"/>
      <c r="I3658" s="154"/>
      <c r="J3658" s="155"/>
      <c r="K3658" s="156"/>
      <c r="L3658" s="157"/>
      <c r="M3658" s="158" t="s">
        <v>28</v>
      </c>
      <c r="N3658" s="159" t="s">
        <v>29</v>
      </c>
    </row>
    <row r="3659" spans="1:14">
      <c r="A3659" s="148"/>
      <c r="B3659" s="149"/>
      <c r="C3659" s="160"/>
      <c r="D3659" s="151"/>
      <c r="E3659" s="152"/>
      <c r="F3659" s="153"/>
      <c r="G3659" s="154"/>
      <c r="H3659" s="154"/>
      <c r="I3659" s="154"/>
      <c r="J3659" s="155"/>
      <c r="K3659" s="156"/>
      <c r="L3659" s="157"/>
      <c r="M3659" s="158" t="s">
        <v>28</v>
      </c>
      <c r="N3659" s="159" t="s">
        <v>29</v>
      </c>
    </row>
    <row r="3660" spans="1:14">
      <c r="A3660" s="148"/>
      <c r="B3660" s="149"/>
      <c r="C3660" s="160"/>
      <c r="D3660" s="151"/>
      <c r="E3660" s="152"/>
      <c r="F3660" s="153"/>
      <c r="G3660" s="154"/>
      <c r="H3660" s="154"/>
      <c r="I3660" s="154"/>
      <c r="J3660" s="155"/>
      <c r="K3660" s="156"/>
      <c r="L3660" s="157"/>
      <c r="M3660" s="158" t="s">
        <v>28</v>
      </c>
      <c r="N3660" s="159" t="s">
        <v>29</v>
      </c>
    </row>
    <row r="3661" spans="1:14">
      <c r="A3661" s="148"/>
      <c r="B3661" s="149"/>
      <c r="C3661" s="160"/>
      <c r="D3661" s="151"/>
      <c r="E3661" s="152"/>
      <c r="F3661" s="153"/>
      <c r="G3661" s="154"/>
      <c r="H3661" s="154"/>
      <c r="I3661" s="154"/>
      <c r="J3661" s="155"/>
      <c r="K3661" s="156"/>
      <c r="L3661" s="157"/>
      <c r="M3661" s="158" t="s">
        <v>28</v>
      </c>
      <c r="N3661" s="159" t="s">
        <v>29</v>
      </c>
    </row>
    <row r="3662" spans="1:14">
      <c r="A3662" s="148"/>
      <c r="B3662" s="149"/>
      <c r="C3662" s="160"/>
      <c r="D3662" s="151"/>
      <c r="E3662" s="152"/>
      <c r="F3662" s="153"/>
      <c r="G3662" s="154"/>
      <c r="H3662" s="154"/>
      <c r="I3662" s="154"/>
      <c r="J3662" s="155"/>
      <c r="K3662" s="156"/>
      <c r="L3662" s="157"/>
      <c r="M3662" s="158" t="s">
        <v>28</v>
      </c>
      <c r="N3662" s="159" t="s">
        <v>29</v>
      </c>
    </row>
    <row r="3663" spans="1:14">
      <c r="A3663" s="148"/>
      <c r="B3663" s="149"/>
      <c r="C3663" s="160"/>
      <c r="D3663" s="151"/>
      <c r="E3663" s="152"/>
      <c r="F3663" s="153"/>
      <c r="G3663" s="154"/>
      <c r="H3663" s="154"/>
      <c r="I3663" s="154"/>
      <c r="J3663" s="155"/>
      <c r="K3663" s="156"/>
      <c r="L3663" s="157"/>
      <c r="M3663" s="158" t="s">
        <v>28</v>
      </c>
      <c r="N3663" s="159" t="s">
        <v>29</v>
      </c>
    </row>
    <row r="3664" spans="1:14">
      <c r="A3664" s="148"/>
      <c r="B3664" s="149"/>
      <c r="C3664" s="160"/>
      <c r="D3664" s="151"/>
      <c r="E3664" s="152"/>
      <c r="F3664" s="153"/>
      <c r="G3664" s="154"/>
      <c r="H3664" s="154"/>
      <c r="I3664" s="154"/>
      <c r="J3664" s="155"/>
      <c r="K3664" s="156"/>
      <c r="L3664" s="157"/>
      <c r="M3664" s="158" t="s">
        <v>28</v>
      </c>
      <c r="N3664" s="159" t="s">
        <v>29</v>
      </c>
    </row>
    <row r="3665" spans="1:14">
      <c r="A3665" s="148"/>
      <c r="B3665" s="149"/>
      <c r="C3665" s="160"/>
      <c r="D3665" s="151"/>
      <c r="E3665" s="152"/>
      <c r="F3665" s="153"/>
      <c r="G3665" s="154"/>
      <c r="H3665" s="154"/>
      <c r="I3665" s="154"/>
      <c r="J3665" s="155"/>
      <c r="K3665" s="156"/>
      <c r="L3665" s="157"/>
      <c r="M3665" s="158" t="s">
        <v>28</v>
      </c>
      <c r="N3665" s="159" t="s">
        <v>29</v>
      </c>
    </row>
    <row r="3666" spans="1:14">
      <c r="A3666" s="148"/>
      <c r="B3666" s="149"/>
      <c r="C3666" s="160"/>
      <c r="D3666" s="151"/>
      <c r="E3666" s="152"/>
      <c r="F3666" s="153"/>
      <c r="G3666" s="154"/>
      <c r="H3666" s="154"/>
      <c r="I3666" s="154"/>
      <c r="J3666" s="155"/>
      <c r="K3666" s="156"/>
      <c r="L3666" s="157"/>
      <c r="M3666" s="158" t="s">
        <v>28</v>
      </c>
      <c r="N3666" s="159" t="s">
        <v>29</v>
      </c>
    </row>
    <row r="3667" spans="1:14">
      <c r="A3667" s="148"/>
      <c r="B3667" s="149"/>
      <c r="C3667" s="160"/>
      <c r="D3667" s="151"/>
      <c r="E3667" s="152"/>
      <c r="F3667" s="153"/>
      <c r="G3667" s="154"/>
      <c r="H3667" s="154"/>
      <c r="I3667" s="154"/>
      <c r="J3667" s="155"/>
      <c r="K3667" s="156"/>
      <c r="L3667" s="157"/>
      <c r="M3667" s="158" t="s">
        <v>28</v>
      </c>
      <c r="N3667" s="159" t="s">
        <v>29</v>
      </c>
    </row>
    <row r="3668" spans="1:14">
      <c r="A3668" s="148"/>
      <c r="B3668" s="149"/>
      <c r="C3668" s="160"/>
      <c r="D3668" s="151"/>
      <c r="E3668" s="152"/>
      <c r="F3668" s="153"/>
      <c r="G3668" s="154"/>
      <c r="H3668" s="154"/>
      <c r="I3668" s="154"/>
      <c r="J3668" s="155"/>
      <c r="K3668" s="156"/>
      <c r="L3668" s="157"/>
      <c r="M3668" s="158" t="s">
        <v>28</v>
      </c>
      <c r="N3668" s="159" t="s">
        <v>29</v>
      </c>
    </row>
    <row r="3669" spans="1:14">
      <c r="A3669" s="148"/>
      <c r="B3669" s="149"/>
      <c r="C3669" s="160"/>
      <c r="D3669" s="151"/>
      <c r="E3669" s="152"/>
      <c r="F3669" s="153"/>
      <c r="G3669" s="154"/>
      <c r="H3669" s="154"/>
      <c r="I3669" s="154"/>
      <c r="J3669" s="155"/>
      <c r="K3669" s="156"/>
      <c r="L3669" s="157"/>
      <c r="M3669" s="158" t="s">
        <v>28</v>
      </c>
      <c r="N3669" s="159" t="s">
        <v>29</v>
      </c>
    </row>
    <row r="3670" spans="1:14">
      <c r="A3670" s="148"/>
      <c r="B3670" s="149"/>
      <c r="C3670" s="160"/>
      <c r="D3670" s="151"/>
      <c r="E3670" s="152"/>
      <c r="F3670" s="153"/>
      <c r="G3670" s="154"/>
      <c r="H3670" s="154"/>
      <c r="I3670" s="154"/>
      <c r="J3670" s="155"/>
      <c r="K3670" s="156"/>
      <c r="L3670" s="157"/>
      <c r="M3670" s="158" t="s">
        <v>28</v>
      </c>
      <c r="N3670" s="159" t="s">
        <v>29</v>
      </c>
    </row>
    <row r="3671" spans="1:14">
      <c r="A3671" s="148"/>
      <c r="B3671" s="149"/>
      <c r="C3671" s="160"/>
      <c r="D3671" s="151"/>
      <c r="E3671" s="152"/>
      <c r="F3671" s="153"/>
      <c r="G3671" s="154"/>
      <c r="H3671" s="154"/>
      <c r="I3671" s="154"/>
      <c r="J3671" s="155"/>
      <c r="K3671" s="156"/>
      <c r="L3671" s="157"/>
      <c r="M3671" s="158" t="s">
        <v>28</v>
      </c>
      <c r="N3671" s="159" t="s">
        <v>29</v>
      </c>
    </row>
    <row r="3672" spans="1:14">
      <c r="A3672" s="148"/>
      <c r="B3672" s="149"/>
      <c r="C3672" s="160"/>
      <c r="D3672" s="151"/>
      <c r="E3672" s="152"/>
      <c r="F3672" s="153"/>
      <c r="G3672" s="154"/>
      <c r="H3672" s="154"/>
      <c r="I3672" s="154"/>
      <c r="J3672" s="155"/>
      <c r="K3672" s="156"/>
      <c r="L3672" s="157"/>
      <c r="M3672" s="158" t="s">
        <v>28</v>
      </c>
      <c r="N3672" s="159" t="s">
        <v>29</v>
      </c>
    </row>
    <row r="3673" spans="1:14">
      <c r="A3673" s="148"/>
      <c r="B3673" s="149"/>
      <c r="C3673" s="160"/>
      <c r="D3673" s="151"/>
      <c r="E3673" s="152"/>
      <c r="F3673" s="153"/>
      <c r="G3673" s="154"/>
      <c r="H3673" s="154"/>
      <c r="I3673" s="154"/>
      <c r="J3673" s="155"/>
      <c r="K3673" s="156"/>
      <c r="L3673" s="157"/>
      <c r="M3673" s="158" t="s">
        <v>28</v>
      </c>
      <c r="N3673" s="159" t="s">
        <v>29</v>
      </c>
    </row>
    <row r="3674" spans="1:14">
      <c r="A3674" s="148"/>
      <c r="B3674" s="149"/>
      <c r="C3674" s="160"/>
      <c r="D3674" s="151"/>
      <c r="E3674" s="152"/>
      <c r="F3674" s="153"/>
      <c r="G3674" s="154"/>
      <c r="H3674" s="154"/>
      <c r="I3674" s="154"/>
      <c r="J3674" s="155"/>
      <c r="K3674" s="156"/>
      <c r="L3674" s="157"/>
      <c r="M3674" s="158" t="s">
        <v>28</v>
      </c>
      <c r="N3674" s="159" t="s">
        <v>29</v>
      </c>
    </row>
    <row r="3675" spans="1:14">
      <c r="A3675" s="148"/>
      <c r="B3675" s="149"/>
      <c r="C3675" s="160"/>
      <c r="D3675" s="151"/>
      <c r="E3675" s="152"/>
      <c r="F3675" s="153"/>
      <c r="G3675" s="154"/>
      <c r="H3675" s="154"/>
      <c r="I3675" s="154"/>
      <c r="J3675" s="155"/>
      <c r="K3675" s="156"/>
      <c r="L3675" s="157"/>
      <c r="M3675" s="158" t="s">
        <v>28</v>
      </c>
      <c r="N3675" s="159" t="s">
        <v>29</v>
      </c>
    </row>
    <row r="3676" spans="1:14">
      <c r="A3676" s="148"/>
      <c r="B3676" s="149"/>
      <c r="C3676" s="160"/>
      <c r="D3676" s="151"/>
      <c r="E3676" s="152"/>
      <c r="F3676" s="153"/>
      <c r="G3676" s="154"/>
      <c r="H3676" s="154"/>
      <c r="I3676" s="154"/>
      <c r="J3676" s="155"/>
      <c r="K3676" s="156"/>
      <c r="L3676" s="157"/>
      <c r="M3676" s="158" t="s">
        <v>28</v>
      </c>
      <c r="N3676" s="159" t="s">
        <v>29</v>
      </c>
    </row>
    <row r="3677" spans="1:14">
      <c r="A3677" s="148"/>
      <c r="B3677" s="149"/>
      <c r="C3677" s="160"/>
      <c r="D3677" s="151"/>
      <c r="E3677" s="152"/>
      <c r="F3677" s="153"/>
      <c r="G3677" s="154"/>
      <c r="H3677" s="154"/>
      <c r="I3677" s="154"/>
      <c r="J3677" s="155"/>
      <c r="K3677" s="156"/>
      <c r="L3677" s="157"/>
      <c r="M3677" s="158" t="s">
        <v>28</v>
      </c>
      <c r="N3677" s="159" t="s">
        <v>29</v>
      </c>
    </row>
    <row r="3678" spans="1:14">
      <c r="A3678" s="148"/>
      <c r="B3678" s="149"/>
      <c r="C3678" s="160"/>
      <c r="D3678" s="151"/>
      <c r="E3678" s="152"/>
      <c r="F3678" s="153"/>
      <c r="G3678" s="154"/>
      <c r="H3678" s="154"/>
      <c r="I3678" s="154"/>
      <c r="J3678" s="155"/>
      <c r="K3678" s="156"/>
      <c r="L3678" s="157"/>
      <c r="M3678" s="158" t="s">
        <v>28</v>
      </c>
      <c r="N3678" s="159" t="s">
        <v>29</v>
      </c>
    </row>
    <row r="3679" spans="1:14">
      <c r="A3679" s="148"/>
      <c r="B3679" s="149"/>
      <c r="C3679" s="160"/>
      <c r="D3679" s="151"/>
      <c r="E3679" s="152"/>
      <c r="F3679" s="153"/>
      <c r="G3679" s="154"/>
      <c r="H3679" s="154"/>
      <c r="I3679" s="154"/>
      <c r="J3679" s="155"/>
      <c r="K3679" s="156"/>
      <c r="L3679" s="157"/>
      <c r="M3679" s="158" t="s">
        <v>28</v>
      </c>
      <c r="N3679" s="159" t="s">
        <v>29</v>
      </c>
    </row>
    <row r="3680" spans="1:14">
      <c r="A3680" s="148"/>
      <c r="B3680" s="149"/>
      <c r="C3680" s="160"/>
      <c r="D3680" s="151"/>
      <c r="E3680" s="152"/>
      <c r="F3680" s="153"/>
      <c r="G3680" s="154"/>
      <c r="H3680" s="154"/>
      <c r="I3680" s="154"/>
      <c r="J3680" s="155"/>
      <c r="K3680" s="156"/>
      <c r="L3680" s="157"/>
      <c r="M3680" s="158" t="s">
        <v>28</v>
      </c>
      <c r="N3680" s="159" t="s">
        <v>29</v>
      </c>
    </row>
    <row r="3681" spans="1:14">
      <c r="A3681" s="148"/>
      <c r="B3681" s="149"/>
      <c r="C3681" s="160"/>
      <c r="D3681" s="151"/>
      <c r="E3681" s="152"/>
      <c r="F3681" s="153"/>
      <c r="G3681" s="154"/>
      <c r="H3681" s="154"/>
      <c r="I3681" s="154"/>
      <c r="J3681" s="155"/>
      <c r="K3681" s="156"/>
      <c r="L3681" s="157"/>
      <c r="M3681" s="158" t="s">
        <v>28</v>
      </c>
      <c r="N3681" s="159" t="s">
        <v>29</v>
      </c>
    </row>
    <row r="3682" spans="1:14">
      <c r="A3682" s="148"/>
      <c r="B3682" s="149"/>
      <c r="C3682" s="160"/>
      <c r="D3682" s="151"/>
      <c r="E3682" s="152"/>
      <c r="F3682" s="153"/>
      <c r="G3682" s="154"/>
      <c r="H3682" s="154"/>
      <c r="I3682" s="154"/>
      <c r="J3682" s="155"/>
      <c r="K3682" s="156"/>
      <c r="L3682" s="157"/>
      <c r="M3682" s="158" t="s">
        <v>28</v>
      </c>
      <c r="N3682" s="159" t="s">
        <v>29</v>
      </c>
    </row>
    <row r="3683" spans="1:14">
      <c r="A3683" s="148"/>
      <c r="B3683" s="149"/>
      <c r="C3683" s="160"/>
      <c r="D3683" s="151"/>
      <c r="E3683" s="152"/>
      <c r="F3683" s="153"/>
      <c r="G3683" s="154"/>
      <c r="H3683" s="154"/>
      <c r="I3683" s="154"/>
      <c r="J3683" s="155"/>
      <c r="K3683" s="156"/>
      <c r="L3683" s="157"/>
      <c r="M3683" s="158" t="s">
        <v>28</v>
      </c>
      <c r="N3683" s="159" t="s">
        <v>29</v>
      </c>
    </row>
    <row r="3684" spans="1:14">
      <c r="A3684" s="148"/>
      <c r="B3684" s="149"/>
      <c r="C3684" s="160"/>
      <c r="D3684" s="151"/>
      <c r="E3684" s="152"/>
      <c r="F3684" s="153"/>
      <c r="G3684" s="154"/>
      <c r="H3684" s="154"/>
      <c r="I3684" s="154"/>
      <c r="J3684" s="155"/>
      <c r="K3684" s="156"/>
      <c r="L3684" s="157"/>
      <c r="M3684" s="158" t="s">
        <v>28</v>
      </c>
      <c r="N3684" s="159" t="s">
        <v>29</v>
      </c>
    </row>
    <row r="3685" spans="1:14">
      <c r="A3685" s="148"/>
      <c r="B3685" s="149"/>
      <c r="C3685" s="160"/>
      <c r="D3685" s="151"/>
      <c r="E3685" s="152"/>
      <c r="F3685" s="153"/>
      <c r="G3685" s="154"/>
      <c r="H3685" s="154"/>
      <c r="I3685" s="154"/>
      <c r="J3685" s="155"/>
      <c r="K3685" s="156"/>
      <c r="L3685" s="157"/>
      <c r="M3685" s="158" t="s">
        <v>28</v>
      </c>
      <c r="N3685" s="159" t="s">
        <v>29</v>
      </c>
    </row>
    <row r="3686" spans="1:14">
      <c r="A3686" s="148"/>
      <c r="B3686" s="149"/>
      <c r="C3686" s="160"/>
      <c r="D3686" s="151"/>
      <c r="E3686" s="152"/>
      <c r="F3686" s="153"/>
      <c r="G3686" s="154"/>
      <c r="H3686" s="154"/>
      <c r="I3686" s="154"/>
      <c r="J3686" s="155"/>
      <c r="K3686" s="156"/>
      <c r="L3686" s="157"/>
      <c r="M3686" s="158" t="s">
        <v>28</v>
      </c>
      <c r="N3686" s="159" t="s">
        <v>29</v>
      </c>
    </row>
    <row r="3687" spans="1:14">
      <c r="A3687" s="148"/>
      <c r="B3687" s="149"/>
      <c r="C3687" s="160"/>
      <c r="D3687" s="151"/>
      <c r="E3687" s="152"/>
      <c r="F3687" s="153"/>
      <c r="G3687" s="154"/>
      <c r="H3687" s="154"/>
      <c r="I3687" s="154"/>
      <c r="J3687" s="155"/>
      <c r="K3687" s="156"/>
      <c r="L3687" s="157"/>
      <c r="M3687" s="158" t="s">
        <v>28</v>
      </c>
      <c r="N3687" s="159" t="s">
        <v>29</v>
      </c>
    </row>
    <row r="3688" spans="1:14">
      <c r="A3688" s="148"/>
      <c r="B3688" s="149"/>
      <c r="C3688" s="160"/>
      <c r="D3688" s="151"/>
      <c r="E3688" s="152"/>
      <c r="F3688" s="153"/>
      <c r="G3688" s="154"/>
      <c r="H3688" s="154"/>
      <c r="I3688" s="154"/>
      <c r="J3688" s="155"/>
      <c r="K3688" s="156"/>
      <c r="L3688" s="157"/>
      <c r="M3688" s="158" t="s">
        <v>28</v>
      </c>
      <c r="N3688" s="159" t="s">
        <v>29</v>
      </c>
    </row>
    <row r="3689" spans="1:14">
      <c r="A3689" s="148"/>
      <c r="B3689" s="149"/>
      <c r="C3689" s="160"/>
      <c r="D3689" s="151"/>
      <c r="E3689" s="152"/>
      <c r="F3689" s="153"/>
      <c r="G3689" s="154"/>
      <c r="H3689" s="154"/>
      <c r="I3689" s="154"/>
      <c r="J3689" s="155"/>
      <c r="K3689" s="156"/>
      <c r="L3689" s="157"/>
      <c r="M3689" s="158" t="s">
        <v>28</v>
      </c>
      <c r="N3689" s="159" t="s">
        <v>29</v>
      </c>
    </row>
    <row r="3690" spans="1:14">
      <c r="A3690" s="148"/>
      <c r="B3690" s="149"/>
      <c r="C3690" s="160"/>
      <c r="D3690" s="151"/>
      <c r="E3690" s="152"/>
      <c r="F3690" s="153"/>
      <c r="G3690" s="154"/>
      <c r="H3690" s="154"/>
      <c r="I3690" s="154"/>
      <c r="J3690" s="155"/>
      <c r="K3690" s="156"/>
      <c r="L3690" s="157"/>
      <c r="M3690" s="158" t="s">
        <v>28</v>
      </c>
      <c r="N3690" s="159" t="s">
        <v>29</v>
      </c>
    </row>
    <row r="3691" spans="1:14">
      <c r="A3691" s="148"/>
      <c r="B3691" s="149"/>
      <c r="C3691" s="160"/>
      <c r="D3691" s="151"/>
      <c r="E3691" s="152"/>
      <c r="F3691" s="153"/>
      <c r="G3691" s="154"/>
      <c r="H3691" s="154"/>
      <c r="I3691" s="154"/>
      <c r="J3691" s="155"/>
      <c r="K3691" s="156"/>
      <c r="L3691" s="157"/>
      <c r="M3691" s="158" t="s">
        <v>28</v>
      </c>
      <c r="N3691" s="159" t="s">
        <v>29</v>
      </c>
    </row>
    <row r="3692" spans="1:14">
      <c r="A3692" s="148"/>
      <c r="B3692" s="149"/>
      <c r="C3692" s="160"/>
      <c r="D3692" s="151"/>
      <c r="E3692" s="152"/>
      <c r="F3692" s="153"/>
      <c r="G3692" s="154"/>
      <c r="H3692" s="154"/>
      <c r="I3692" s="154"/>
      <c r="J3692" s="155"/>
      <c r="K3692" s="156"/>
      <c r="L3692" s="157"/>
      <c r="M3692" s="158" t="s">
        <v>28</v>
      </c>
      <c r="N3692" s="159" t="s">
        <v>29</v>
      </c>
    </row>
    <row r="3693" spans="1:14">
      <c r="A3693" s="148"/>
      <c r="B3693" s="149"/>
      <c r="C3693" s="160"/>
      <c r="D3693" s="151"/>
      <c r="E3693" s="152"/>
      <c r="F3693" s="153"/>
      <c r="G3693" s="154"/>
      <c r="H3693" s="154"/>
      <c r="I3693" s="154"/>
      <c r="J3693" s="155"/>
      <c r="K3693" s="156"/>
      <c r="L3693" s="157"/>
      <c r="M3693" s="158" t="s">
        <v>28</v>
      </c>
      <c r="N3693" s="159" t="s">
        <v>29</v>
      </c>
    </row>
    <row r="3694" spans="1:14">
      <c r="A3694" s="148"/>
      <c r="B3694" s="149"/>
      <c r="C3694" s="160"/>
      <c r="D3694" s="151"/>
      <c r="E3694" s="152"/>
      <c r="F3694" s="153"/>
      <c r="G3694" s="154"/>
      <c r="H3694" s="154"/>
      <c r="I3694" s="154"/>
      <c r="J3694" s="155"/>
      <c r="K3694" s="156"/>
      <c r="L3694" s="157"/>
      <c r="M3694" s="158" t="s">
        <v>28</v>
      </c>
      <c r="N3694" s="159" t="s">
        <v>29</v>
      </c>
    </row>
    <row r="3695" spans="1:14">
      <c r="A3695" s="148"/>
      <c r="B3695" s="149"/>
      <c r="C3695" s="160"/>
      <c r="D3695" s="151"/>
      <c r="E3695" s="152"/>
      <c r="F3695" s="153"/>
      <c r="G3695" s="154"/>
      <c r="H3695" s="154"/>
      <c r="I3695" s="154"/>
      <c r="J3695" s="155"/>
      <c r="K3695" s="156"/>
      <c r="L3695" s="157"/>
      <c r="M3695" s="158" t="s">
        <v>28</v>
      </c>
      <c r="N3695" s="159" t="s">
        <v>29</v>
      </c>
    </row>
    <row r="3696" spans="1:14">
      <c r="A3696" s="148"/>
      <c r="B3696" s="149"/>
      <c r="C3696" s="160"/>
      <c r="D3696" s="151"/>
      <c r="E3696" s="152"/>
      <c r="F3696" s="153"/>
      <c r="G3696" s="154"/>
      <c r="H3696" s="154"/>
      <c r="I3696" s="154"/>
      <c r="J3696" s="155"/>
      <c r="K3696" s="156"/>
      <c r="L3696" s="157"/>
      <c r="M3696" s="158" t="s">
        <v>28</v>
      </c>
      <c r="N3696" s="159" t="s">
        <v>29</v>
      </c>
    </row>
    <row r="3697" spans="1:14">
      <c r="A3697" s="148"/>
      <c r="B3697" s="149"/>
      <c r="C3697" s="160"/>
      <c r="D3697" s="151"/>
      <c r="E3697" s="152"/>
      <c r="F3697" s="153"/>
      <c r="G3697" s="154"/>
      <c r="H3697" s="154"/>
      <c r="I3697" s="154"/>
      <c r="J3697" s="155"/>
      <c r="K3697" s="156"/>
      <c r="L3697" s="157"/>
      <c r="M3697" s="158" t="s">
        <v>28</v>
      </c>
      <c r="N3697" s="159" t="s">
        <v>29</v>
      </c>
    </row>
    <row r="3698" spans="1:14">
      <c r="A3698" s="148"/>
      <c r="B3698" s="149"/>
      <c r="C3698" s="160"/>
      <c r="D3698" s="151"/>
      <c r="E3698" s="152"/>
      <c r="F3698" s="153"/>
      <c r="G3698" s="154"/>
      <c r="H3698" s="154"/>
      <c r="I3698" s="154"/>
      <c r="J3698" s="155"/>
      <c r="K3698" s="156"/>
      <c r="L3698" s="157"/>
      <c r="M3698" s="158" t="s">
        <v>28</v>
      </c>
      <c r="N3698" s="159" t="s">
        <v>29</v>
      </c>
    </row>
    <row r="3699" spans="1:14">
      <c r="A3699" s="148"/>
      <c r="B3699" s="149"/>
      <c r="C3699" s="160"/>
      <c r="D3699" s="151"/>
      <c r="E3699" s="152"/>
      <c r="F3699" s="153"/>
      <c r="G3699" s="154"/>
      <c r="H3699" s="154"/>
      <c r="I3699" s="154"/>
      <c r="J3699" s="155"/>
      <c r="K3699" s="156"/>
      <c r="L3699" s="157"/>
      <c r="M3699" s="158" t="s">
        <v>28</v>
      </c>
      <c r="N3699" s="159" t="s">
        <v>29</v>
      </c>
    </row>
    <row r="3700" spans="1:14">
      <c r="A3700" s="148"/>
      <c r="B3700" s="149"/>
      <c r="C3700" s="160"/>
      <c r="D3700" s="151"/>
      <c r="E3700" s="152"/>
      <c r="F3700" s="153"/>
      <c r="G3700" s="154"/>
      <c r="H3700" s="154"/>
      <c r="I3700" s="154"/>
      <c r="J3700" s="155"/>
      <c r="K3700" s="156"/>
      <c r="L3700" s="157"/>
      <c r="M3700" s="158" t="s">
        <v>28</v>
      </c>
      <c r="N3700" s="159" t="s">
        <v>29</v>
      </c>
    </row>
    <row r="3701" spans="1:14">
      <c r="A3701" s="148"/>
      <c r="B3701" s="149"/>
      <c r="C3701" s="160"/>
      <c r="D3701" s="151"/>
      <c r="E3701" s="152"/>
      <c r="F3701" s="153"/>
      <c r="G3701" s="154"/>
      <c r="H3701" s="154"/>
      <c r="I3701" s="154"/>
      <c r="J3701" s="155"/>
      <c r="K3701" s="156"/>
      <c r="L3701" s="157"/>
      <c r="M3701" s="158" t="s">
        <v>28</v>
      </c>
      <c r="N3701" s="159" t="s">
        <v>29</v>
      </c>
    </row>
    <row r="3702" spans="1:14">
      <c r="A3702" s="148"/>
      <c r="B3702" s="149"/>
      <c r="C3702" s="160"/>
      <c r="D3702" s="151"/>
      <c r="E3702" s="152"/>
      <c r="F3702" s="153"/>
      <c r="G3702" s="154"/>
      <c r="H3702" s="154"/>
      <c r="I3702" s="154"/>
      <c r="J3702" s="155"/>
      <c r="K3702" s="156"/>
      <c r="L3702" s="157"/>
      <c r="M3702" s="158" t="s">
        <v>28</v>
      </c>
      <c r="N3702" s="159" t="s">
        <v>29</v>
      </c>
    </row>
    <row r="3703" spans="1:14">
      <c r="A3703" s="148"/>
      <c r="B3703" s="149"/>
      <c r="C3703" s="160"/>
      <c r="D3703" s="151"/>
      <c r="E3703" s="152"/>
      <c r="F3703" s="153"/>
      <c r="G3703" s="154"/>
      <c r="H3703" s="154"/>
      <c r="I3703" s="154"/>
      <c r="J3703" s="155"/>
      <c r="K3703" s="156"/>
      <c r="L3703" s="157"/>
      <c r="M3703" s="158" t="s">
        <v>28</v>
      </c>
      <c r="N3703" s="159" t="s">
        <v>29</v>
      </c>
    </row>
    <row r="3704" spans="1:14">
      <c r="A3704" s="148"/>
      <c r="B3704" s="149"/>
      <c r="C3704" s="160"/>
      <c r="D3704" s="151"/>
      <c r="E3704" s="152"/>
      <c r="F3704" s="153"/>
      <c r="G3704" s="154"/>
      <c r="H3704" s="154"/>
      <c r="I3704" s="154"/>
      <c r="J3704" s="155"/>
      <c r="K3704" s="156"/>
      <c r="L3704" s="157"/>
      <c r="M3704" s="158" t="s">
        <v>28</v>
      </c>
      <c r="N3704" s="159" t="s">
        <v>29</v>
      </c>
    </row>
    <row r="3705" spans="1:14">
      <c r="A3705" s="148"/>
      <c r="B3705" s="149"/>
      <c r="C3705" s="160"/>
      <c r="D3705" s="151"/>
      <c r="E3705" s="152"/>
      <c r="F3705" s="153"/>
      <c r="G3705" s="154"/>
      <c r="H3705" s="154"/>
      <c r="I3705" s="154"/>
      <c r="J3705" s="155"/>
      <c r="K3705" s="156"/>
      <c r="L3705" s="157"/>
      <c r="M3705" s="158" t="s">
        <v>28</v>
      </c>
      <c r="N3705" s="159" t="s">
        <v>29</v>
      </c>
    </row>
    <row r="3706" spans="1:14">
      <c r="A3706" s="148"/>
      <c r="B3706" s="149"/>
      <c r="C3706" s="160"/>
      <c r="D3706" s="151"/>
      <c r="E3706" s="152"/>
      <c r="F3706" s="153"/>
      <c r="G3706" s="154"/>
      <c r="H3706" s="154"/>
      <c r="I3706" s="154"/>
      <c r="J3706" s="155"/>
      <c r="K3706" s="156"/>
      <c r="L3706" s="157"/>
      <c r="M3706" s="158" t="s">
        <v>28</v>
      </c>
      <c r="N3706" s="159" t="s">
        <v>29</v>
      </c>
    </row>
    <row r="3707" spans="1:14">
      <c r="A3707" s="148"/>
      <c r="B3707" s="149"/>
      <c r="C3707" s="160"/>
      <c r="D3707" s="151"/>
      <c r="E3707" s="152"/>
      <c r="F3707" s="153"/>
      <c r="G3707" s="154"/>
      <c r="H3707" s="154"/>
      <c r="I3707" s="154"/>
      <c r="J3707" s="155"/>
      <c r="K3707" s="156"/>
      <c r="L3707" s="157"/>
      <c r="M3707" s="158" t="s">
        <v>28</v>
      </c>
      <c r="N3707" s="159" t="s">
        <v>29</v>
      </c>
    </row>
    <row r="3708" spans="1:14">
      <c r="A3708" s="148"/>
      <c r="B3708" s="149"/>
      <c r="C3708" s="160"/>
      <c r="D3708" s="151"/>
      <c r="E3708" s="152"/>
      <c r="F3708" s="153"/>
      <c r="G3708" s="154"/>
      <c r="H3708" s="154"/>
      <c r="I3708" s="154"/>
      <c r="J3708" s="155"/>
      <c r="K3708" s="156"/>
      <c r="L3708" s="157"/>
      <c r="M3708" s="158" t="s">
        <v>28</v>
      </c>
      <c r="N3708" s="159" t="s">
        <v>29</v>
      </c>
    </row>
    <row r="3709" spans="1:14">
      <c r="A3709" s="148"/>
      <c r="B3709" s="149"/>
      <c r="C3709" s="160"/>
      <c r="D3709" s="151"/>
      <c r="E3709" s="152"/>
      <c r="F3709" s="153"/>
      <c r="G3709" s="154"/>
      <c r="H3709" s="154"/>
      <c r="I3709" s="154"/>
      <c r="J3709" s="155"/>
      <c r="K3709" s="156"/>
      <c r="L3709" s="157"/>
      <c r="M3709" s="158" t="s">
        <v>28</v>
      </c>
      <c r="N3709" s="159" t="s">
        <v>29</v>
      </c>
    </row>
    <row r="3710" spans="1:14">
      <c r="A3710" s="148"/>
      <c r="B3710" s="149"/>
      <c r="C3710" s="160"/>
      <c r="D3710" s="151"/>
      <c r="E3710" s="152"/>
      <c r="F3710" s="153"/>
      <c r="G3710" s="154"/>
      <c r="H3710" s="154"/>
      <c r="I3710" s="154"/>
      <c r="J3710" s="155"/>
      <c r="K3710" s="156"/>
      <c r="L3710" s="157"/>
      <c r="M3710" s="158" t="s">
        <v>28</v>
      </c>
      <c r="N3710" s="159" t="s">
        <v>29</v>
      </c>
    </row>
    <row r="3711" spans="1:14">
      <c r="A3711" s="148"/>
      <c r="B3711" s="149"/>
      <c r="C3711" s="160"/>
      <c r="D3711" s="151"/>
      <c r="E3711" s="152"/>
      <c r="F3711" s="153"/>
      <c r="G3711" s="154"/>
      <c r="H3711" s="154"/>
      <c r="I3711" s="154"/>
      <c r="J3711" s="155"/>
      <c r="K3711" s="156"/>
      <c r="L3711" s="157"/>
      <c r="M3711" s="158" t="s">
        <v>28</v>
      </c>
      <c r="N3711" s="159" t="s">
        <v>29</v>
      </c>
    </row>
    <row r="3712" spans="1:14">
      <c r="A3712" s="148"/>
      <c r="B3712" s="149"/>
      <c r="C3712" s="160"/>
      <c r="D3712" s="151"/>
      <c r="E3712" s="152"/>
      <c r="F3712" s="153"/>
      <c r="G3712" s="154"/>
      <c r="H3712" s="154"/>
      <c r="I3712" s="154"/>
      <c r="J3712" s="155"/>
      <c r="K3712" s="156"/>
      <c r="L3712" s="157"/>
      <c r="M3712" s="158" t="s">
        <v>28</v>
      </c>
      <c r="N3712" s="159" t="s">
        <v>29</v>
      </c>
    </row>
    <row r="3713" spans="1:14">
      <c r="A3713" s="148"/>
      <c r="B3713" s="149"/>
      <c r="C3713" s="160"/>
      <c r="D3713" s="151"/>
      <c r="E3713" s="152"/>
      <c r="F3713" s="153"/>
      <c r="G3713" s="154"/>
      <c r="H3713" s="154"/>
      <c r="I3713" s="154"/>
      <c r="J3713" s="155"/>
      <c r="K3713" s="156"/>
      <c r="L3713" s="157"/>
      <c r="M3713" s="158" t="s">
        <v>28</v>
      </c>
      <c r="N3713" s="159" t="s">
        <v>29</v>
      </c>
    </row>
    <row r="3714" spans="1:14">
      <c r="A3714" s="148"/>
      <c r="B3714" s="149"/>
      <c r="C3714" s="160"/>
      <c r="D3714" s="151"/>
      <c r="E3714" s="152"/>
      <c r="F3714" s="153"/>
      <c r="G3714" s="154"/>
      <c r="H3714" s="154"/>
      <c r="I3714" s="154"/>
      <c r="J3714" s="155"/>
      <c r="K3714" s="156"/>
      <c r="L3714" s="157"/>
      <c r="M3714" s="158" t="s">
        <v>28</v>
      </c>
      <c r="N3714" s="159" t="s">
        <v>29</v>
      </c>
    </row>
    <row r="3715" spans="1:14">
      <c r="A3715" s="148"/>
      <c r="B3715" s="149"/>
      <c r="C3715" s="160"/>
      <c r="D3715" s="151"/>
      <c r="E3715" s="152"/>
      <c r="F3715" s="153"/>
      <c r="G3715" s="154"/>
      <c r="H3715" s="154"/>
      <c r="I3715" s="154"/>
      <c r="J3715" s="155"/>
      <c r="K3715" s="156"/>
      <c r="L3715" s="157"/>
      <c r="M3715" s="158" t="s">
        <v>28</v>
      </c>
      <c r="N3715" s="159" t="s">
        <v>29</v>
      </c>
    </row>
    <row r="3716" spans="1:14">
      <c r="A3716" s="148"/>
      <c r="B3716" s="149"/>
      <c r="C3716" s="160"/>
      <c r="D3716" s="151"/>
      <c r="E3716" s="152"/>
      <c r="F3716" s="153"/>
      <c r="G3716" s="154"/>
      <c r="H3716" s="154"/>
      <c r="I3716" s="154"/>
      <c r="J3716" s="155"/>
      <c r="K3716" s="156"/>
      <c r="L3716" s="157"/>
      <c r="M3716" s="158" t="s">
        <v>28</v>
      </c>
      <c r="N3716" s="159" t="s">
        <v>29</v>
      </c>
    </row>
    <row r="3717" spans="1:14">
      <c r="A3717" s="148"/>
      <c r="B3717" s="149"/>
      <c r="C3717" s="160"/>
      <c r="D3717" s="151"/>
      <c r="E3717" s="152"/>
      <c r="F3717" s="153"/>
      <c r="G3717" s="154"/>
      <c r="H3717" s="154"/>
      <c r="I3717" s="154"/>
      <c r="J3717" s="155"/>
      <c r="K3717" s="156"/>
      <c r="L3717" s="157"/>
      <c r="M3717" s="158" t="s">
        <v>28</v>
      </c>
      <c r="N3717" s="159" t="s">
        <v>29</v>
      </c>
    </row>
    <row r="3718" spans="1:14">
      <c r="A3718" s="148"/>
      <c r="B3718" s="149"/>
      <c r="C3718" s="160"/>
      <c r="D3718" s="151"/>
      <c r="E3718" s="152"/>
      <c r="F3718" s="153"/>
      <c r="G3718" s="154"/>
      <c r="H3718" s="154"/>
      <c r="I3718" s="154"/>
      <c r="J3718" s="155"/>
      <c r="K3718" s="156"/>
      <c r="L3718" s="157"/>
      <c r="M3718" s="158" t="s">
        <v>28</v>
      </c>
      <c r="N3718" s="159" t="s">
        <v>29</v>
      </c>
    </row>
    <row r="3719" spans="1:14">
      <c r="A3719" s="148"/>
      <c r="B3719" s="149"/>
      <c r="C3719" s="160"/>
      <c r="D3719" s="151"/>
      <c r="E3719" s="152"/>
      <c r="F3719" s="153"/>
      <c r="G3719" s="154"/>
      <c r="H3719" s="154"/>
      <c r="I3719" s="154"/>
      <c r="J3719" s="155"/>
      <c r="K3719" s="156"/>
      <c r="L3719" s="157"/>
      <c r="M3719" s="158" t="s">
        <v>28</v>
      </c>
      <c r="N3719" s="159" t="s">
        <v>29</v>
      </c>
    </row>
    <row r="3720" spans="1:14">
      <c r="A3720" s="148"/>
      <c r="B3720" s="149"/>
      <c r="C3720" s="160"/>
      <c r="D3720" s="151"/>
      <c r="E3720" s="152"/>
      <c r="F3720" s="153"/>
      <c r="G3720" s="154"/>
      <c r="H3720" s="154"/>
      <c r="I3720" s="154"/>
      <c r="J3720" s="155"/>
      <c r="K3720" s="156"/>
      <c r="L3720" s="157"/>
      <c r="M3720" s="158" t="s">
        <v>28</v>
      </c>
      <c r="N3720" s="159" t="s">
        <v>29</v>
      </c>
    </row>
    <row r="3721" spans="1:14">
      <c r="A3721" s="148"/>
      <c r="B3721" s="149"/>
      <c r="C3721" s="160"/>
      <c r="D3721" s="151"/>
      <c r="E3721" s="152"/>
      <c r="F3721" s="153"/>
      <c r="G3721" s="154"/>
      <c r="H3721" s="154"/>
      <c r="I3721" s="154"/>
      <c r="J3721" s="155"/>
      <c r="K3721" s="156"/>
      <c r="L3721" s="157"/>
      <c r="M3721" s="158" t="s">
        <v>28</v>
      </c>
      <c r="N3721" s="159" t="s">
        <v>29</v>
      </c>
    </row>
    <row r="3722" spans="1:14">
      <c r="A3722" s="148"/>
      <c r="B3722" s="149"/>
      <c r="C3722" s="160"/>
      <c r="D3722" s="151"/>
      <c r="E3722" s="152"/>
      <c r="F3722" s="153"/>
      <c r="G3722" s="154"/>
      <c r="H3722" s="154"/>
      <c r="I3722" s="154"/>
      <c r="J3722" s="155"/>
      <c r="K3722" s="156"/>
      <c r="L3722" s="157"/>
      <c r="M3722" s="158" t="s">
        <v>28</v>
      </c>
      <c r="N3722" s="159" t="s">
        <v>29</v>
      </c>
    </row>
    <row r="3723" spans="1:14">
      <c r="A3723" s="148"/>
      <c r="B3723" s="149"/>
      <c r="C3723" s="160"/>
      <c r="D3723" s="151"/>
      <c r="E3723" s="152"/>
      <c r="F3723" s="153"/>
      <c r="G3723" s="154"/>
      <c r="H3723" s="154"/>
      <c r="I3723" s="154"/>
      <c r="J3723" s="155"/>
      <c r="K3723" s="156"/>
      <c r="L3723" s="157"/>
      <c r="M3723" s="158" t="s">
        <v>28</v>
      </c>
      <c r="N3723" s="159" t="s">
        <v>29</v>
      </c>
    </row>
    <row r="3724" spans="1:14">
      <c r="A3724" s="148"/>
      <c r="B3724" s="149"/>
      <c r="C3724" s="160"/>
      <c r="D3724" s="151"/>
      <c r="E3724" s="152"/>
      <c r="F3724" s="153"/>
      <c r="G3724" s="154"/>
      <c r="H3724" s="154"/>
      <c r="I3724" s="154"/>
      <c r="J3724" s="155"/>
      <c r="K3724" s="156"/>
      <c r="L3724" s="157"/>
      <c r="M3724" s="158" t="s">
        <v>28</v>
      </c>
      <c r="N3724" s="159" t="s">
        <v>29</v>
      </c>
    </row>
    <row r="3725" spans="1:14">
      <c r="A3725" s="148"/>
      <c r="B3725" s="149"/>
      <c r="C3725" s="160"/>
      <c r="D3725" s="151"/>
      <c r="E3725" s="152"/>
      <c r="F3725" s="153"/>
      <c r="G3725" s="154"/>
      <c r="H3725" s="154"/>
      <c r="I3725" s="154"/>
      <c r="J3725" s="155"/>
      <c r="K3725" s="156"/>
      <c r="L3725" s="157"/>
      <c r="M3725" s="158" t="s">
        <v>28</v>
      </c>
      <c r="N3725" s="159" t="s">
        <v>29</v>
      </c>
    </row>
    <row r="3726" spans="1:14">
      <c r="A3726" s="148"/>
      <c r="B3726" s="149"/>
      <c r="C3726" s="160"/>
      <c r="D3726" s="151"/>
      <c r="E3726" s="152"/>
      <c r="F3726" s="153"/>
      <c r="G3726" s="154"/>
      <c r="H3726" s="154"/>
      <c r="I3726" s="154"/>
      <c r="J3726" s="155"/>
      <c r="K3726" s="156"/>
      <c r="L3726" s="157"/>
      <c r="M3726" s="158" t="s">
        <v>28</v>
      </c>
      <c r="N3726" s="159" t="s">
        <v>29</v>
      </c>
    </row>
    <row r="3727" spans="1:14">
      <c r="A3727" s="148"/>
      <c r="B3727" s="149"/>
      <c r="C3727" s="160"/>
      <c r="D3727" s="151"/>
      <c r="E3727" s="152"/>
      <c r="F3727" s="153"/>
      <c r="G3727" s="154"/>
      <c r="H3727" s="154"/>
      <c r="I3727" s="154"/>
      <c r="J3727" s="155"/>
      <c r="K3727" s="156"/>
      <c r="L3727" s="157"/>
      <c r="M3727" s="158" t="s">
        <v>28</v>
      </c>
      <c r="N3727" s="159" t="s">
        <v>29</v>
      </c>
    </row>
    <row r="3728" spans="1:14">
      <c r="A3728" s="148"/>
      <c r="B3728" s="149"/>
      <c r="C3728" s="160"/>
      <c r="D3728" s="151"/>
      <c r="E3728" s="152"/>
      <c r="F3728" s="153"/>
      <c r="G3728" s="154"/>
      <c r="H3728" s="154"/>
      <c r="I3728" s="154"/>
      <c r="J3728" s="155"/>
      <c r="K3728" s="156"/>
      <c r="L3728" s="157"/>
      <c r="M3728" s="158" t="s">
        <v>28</v>
      </c>
      <c r="N3728" s="159" t="s">
        <v>29</v>
      </c>
    </row>
    <row r="3729" spans="1:14">
      <c r="A3729" s="148"/>
      <c r="B3729" s="149"/>
      <c r="C3729" s="160"/>
      <c r="D3729" s="151"/>
      <c r="E3729" s="152"/>
      <c r="F3729" s="153"/>
      <c r="G3729" s="154"/>
      <c r="H3729" s="154"/>
      <c r="I3729" s="154"/>
      <c r="J3729" s="155"/>
      <c r="K3729" s="156"/>
      <c r="L3729" s="157"/>
      <c r="M3729" s="158" t="s">
        <v>28</v>
      </c>
      <c r="N3729" s="159" t="s">
        <v>29</v>
      </c>
    </row>
    <row r="3730" spans="1:14">
      <c r="A3730" s="148"/>
      <c r="B3730" s="149"/>
      <c r="C3730" s="160"/>
      <c r="D3730" s="151"/>
      <c r="E3730" s="152"/>
      <c r="F3730" s="153"/>
      <c r="G3730" s="154"/>
      <c r="H3730" s="154"/>
      <c r="I3730" s="154"/>
      <c r="J3730" s="155"/>
      <c r="K3730" s="156"/>
      <c r="L3730" s="157"/>
      <c r="M3730" s="158" t="s">
        <v>28</v>
      </c>
      <c r="N3730" s="159" t="s">
        <v>29</v>
      </c>
    </row>
    <row r="3731" spans="1:14">
      <c r="A3731" s="148"/>
      <c r="B3731" s="149"/>
      <c r="C3731" s="160"/>
      <c r="D3731" s="151"/>
      <c r="E3731" s="152"/>
      <c r="F3731" s="153"/>
      <c r="G3731" s="154"/>
      <c r="H3731" s="154"/>
      <c r="I3731" s="154"/>
      <c r="J3731" s="155"/>
      <c r="K3731" s="156"/>
      <c r="L3731" s="157"/>
      <c r="M3731" s="158" t="s">
        <v>28</v>
      </c>
      <c r="N3731" s="159" t="s">
        <v>29</v>
      </c>
    </row>
    <row r="3732" spans="1:14">
      <c r="A3732" s="148"/>
      <c r="B3732" s="149"/>
      <c r="C3732" s="160"/>
      <c r="D3732" s="151"/>
      <c r="E3732" s="152"/>
      <c r="F3732" s="153"/>
      <c r="G3732" s="154"/>
      <c r="H3732" s="154"/>
      <c r="I3732" s="154"/>
      <c r="J3732" s="155"/>
      <c r="K3732" s="156"/>
      <c r="L3732" s="157"/>
      <c r="M3732" s="158" t="s">
        <v>28</v>
      </c>
      <c r="N3732" s="159" t="s">
        <v>29</v>
      </c>
    </row>
    <row r="3733" spans="1:14">
      <c r="A3733" s="148"/>
      <c r="B3733" s="149"/>
      <c r="C3733" s="160"/>
      <c r="D3733" s="151"/>
      <c r="E3733" s="152"/>
      <c r="F3733" s="153"/>
      <c r="G3733" s="154"/>
      <c r="H3733" s="154"/>
      <c r="I3733" s="154"/>
      <c r="J3733" s="155"/>
      <c r="K3733" s="156"/>
      <c r="L3733" s="157"/>
      <c r="M3733" s="158" t="s">
        <v>28</v>
      </c>
      <c r="N3733" s="159" t="s">
        <v>29</v>
      </c>
    </row>
    <row r="3734" spans="1:14">
      <c r="A3734" s="148"/>
      <c r="B3734" s="149"/>
      <c r="C3734" s="160"/>
      <c r="D3734" s="151"/>
      <c r="E3734" s="152"/>
      <c r="F3734" s="153"/>
      <c r="G3734" s="154"/>
      <c r="H3734" s="154"/>
      <c r="I3734" s="154"/>
      <c r="J3734" s="155"/>
      <c r="K3734" s="156"/>
      <c r="L3734" s="157"/>
      <c r="M3734" s="158" t="s">
        <v>28</v>
      </c>
      <c r="N3734" s="159" t="s">
        <v>29</v>
      </c>
    </row>
    <row r="3735" spans="1:14">
      <c r="A3735" s="148"/>
      <c r="B3735" s="149"/>
      <c r="C3735" s="160"/>
      <c r="D3735" s="151"/>
      <c r="E3735" s="152"/>
      <c r="F3735" s="153"/>
      <c r="G3735" s="154"/>
      <c r="H3735" s="154"/>
      <c r="I3735" s="154"/>
      <c r="J3735" s="155"/>
      <c r="K3735" s="156"/>
      <c r="L3735" s="157"/>
      <c r="M3735" s="158" t="s">
        <v>28</v>
      </c>
      <c r="N3735" s="159" t="s">
        <v>29</v>
      </c>
    </row>
    <row r="3736" spans="1:14">
      <c r="A3736" s="148"/>
      <c r="B3736" s="149"/>
      <c r="C3736" s="160"/>
      <c r="D3736" s="151"/>
      <c r="E3736" s="152"/>
      <c r="F3736" s="153"/>
      <c r="G3736" s="154"/>
      <c r="H3736" s="154"/>
      <c r="I3736" s="154"/>
      <c r="J3736" s="155"/>
      <c r="K3736" s="156"/>
      <c r="L3736" s="157"/>
      <c r="M3736" s="158" t="s">
        <v>28</v>
      </c>
      <c r="N3736" s="159" t="s">
        <v>29</v>
      </c>
    </row>
    <row r="3737" spans="1:14">
      <c r="A3737" s="148"/>
      <c r="B3737" s="149"/>
      <c r="C3737" s="160"/>
      <c r="D3737" s="151"/>
      <c r="E3737" s="152"/>
      <c r="F3737" s="153"/>
      <c r="G3737" s="154"/>
      <c r="H3737" s="154"/>
      <c r="I3737" s="154"/>
      <c r="J3737" s="155"/>
      <c r="K3737" s="156"/>
      <c r="L3737" s="157"/>
      <c r="M3737" s="158" t="s">
        <v>28</v>
      </c>
      <c r="N3737" s="159" t="s">
        <v>29</v>
      </c>
    </row>
    <row r="3738" spans="1:14">
      <c r="A3738" s="148"/>
      <c r="B3738" s="149"/>
      <c r="C3738" s="160"/>
      <c r="D3738" s="151"/>
      <c r="E3738" s="152"/>
      <c r="F3738" s="153"/>
      <c r="G3738" s="154"/>
      <c r="H3738" s="154"/>
      <c r="I3738" s="154"/>
      <c r="J3738" s="155"/>
      <c r="K3738" s="156"/>
      <c r="L3738" s="157"/>
      <c r="M3738" s="158" t="s">
        <v>28</v>
      </c>
      <c r="N3738" s="159" t="s">
        <v>29</v>
      </c>
    </row>
    <row r="3739" spans="1:14">
      <c r="A3739" s="148"/>
      <c r="B3739" s="149"/>
      <c r="C3739" s="160"/>
      <c r="D3739" s="151"/>
      <c r="E3739" s="152"/>
      <c r="F3739" s="153"/>
      <c r="G3739" s="154"/>
      <c r="H3739" s="154"/>
      <c r="I3739" s="154"/>
      <c r="J3739" s="155"/>
      <c r="K3739" s="156"/>
      <c r="L3739" s="157"/>
      <c r="M3739" s="158" t="s">
        <v>28</v>
      </c>
      <c r="N3739" s="159" t="s">
        <v>29</v>
      </c>
    </row>
    <row r="3740" spans="1:14">
      <c r="A3740" s="148"/>
      <c r="B3740" s="149"/>
      <c r="C3740" s="160"/>
      <c r="D3740" s="151"/>
      <c r="E3740" s="152"/>
      <c r="F3740" s="153"/>
      <c r="G3740" s="154"/>
      <c r="H3740" s="154"/>
      <c r="I3740" s="154"/>
      <c r="J3740" s="155"/>
      <c r="K3740" s="156"/>
      <c r="L3740" s="157"/>
      <c r="M3740" s="158" t="s">
        <v>28</v>
      </c>
      <c r="N3740" s="159" t="s">
        <v>29</v>
      </c>
    </row>
    <row r="3741" spans="1:14">
      <c r="A3741" s="148"/>
      <c r="B3741" s="149"/>
      <c r="C3741" s="160"/>
      <c r="D3741" s="151"/>
      <c r="E3741" s="152"/>
      <c r="F3741" s="153"/>
      <c r="G3741" s="154"/>
      <c r="H3741" s="154"/>
      <c r="I3741" s="154"/>
      <c r="J3741" s="155"/>
      <c r="K3741" s="156"/>
      <c r="L3741" s="157"/>
      <c r="M3741" s="158" t="s">
        <v>28</v>
      </c>
      <c r="N3741" s="159" t="s">
        <v>29</v>
      </c>
    </row>
    <row r="3742" spans="1:14">
      <c r="A3742" s="148"/>
      <c r="B3742" s="149"/>
      <c r="C3742" s="160"/>
      <c r="D3742" s="151"/>
      <c r="E3742" s="152"/>
      <c r="F3742" s="153"/>
      <c r="G3742" s="154"/>
      <c r="H3742" s="154"/>
      <c r="I3742" s="154"/>
      <c r="J3742" s="155"/>
      <c r="K3742" s="156"/>
      <c r="L3742" s="157"/>
      <c r="M3742" s="158" t="s">
        <v>28</v>
      </c>
      <c r="N3742" s="159" t="s">
        <v>29</v>
      </c>
    </row>
    <row r="3743" spans="1:14">
      <c r="A3743" s="148"/>
      <c r="B3743" s="149"/>
      <c r="C3743" s="160"/>
      <c r="D3743" s="151"/>
      <c r="E3743" s="152"/>
      <c r="F3743" s="153"/>
      <c r="G3743" s="154"/>
      <c r="H3743" s="154"/>
      <c r="I3743" s="154"/>
      <c r="J3743" s="155"/>
      <c r="K3743" s="156"/>
      <c r="L3743" s="157"/>
      <c r="M3743" s="158" t="s">
        <v>28</v>
      </c>
      <c r="N3743" s="159" t="s">
        <v>29</v>
      </c>
    </row>
    <row r="3744" spans="1:14">
      <c r="A3744" s="148"/>
      <c r="B3744" s="149"/>
      <c r="C3744" s="160"/>
      <c r="D3744" s="151"/>
      <c r="E3744" s="152"/>
      <c r="F3744" s="153"/>
      <c r="G3744" s="154"/>
      <c r="H3744" s="154"/>
      <c r="I3744" s="154"/>
      <c r="J3744" s="155"/>
      <c r="K3744" s="156"/>
      <c r="L3744" s="157"/>
      <c r="M3744" s="158" t="s">
        <v>28</v>
      </c>
      <c r="N3744" s="159" t="s">
        <v>29</v>
      </c>
    </row>
    <row r="3745" spans="1:14">
      <c r="A3745" s="148"/>
      <c r="B3745" s="149"/>
      <c r="C3745" s="160"/>
      <c r="D3745" s="151"/>
      <c r="E3745" s="152"/>
      <c r="F3745" s="153"/>
      <c r="G3745" s="154"/>
      <c r="H3745" s="154"/>
      <c r="I3745" s="154"/>
      <c r="J3745" s="155"/>
      <c r="K3745" s="156"/>
      <c r="L3745" s="157"/>
      <c r="M3745" s="158" t="s">
        <v>28</v>
      </c>
      <c r="N3745" s="159" t="s">
        <v>29</v>
      </c>
    </row>
    <row r="3746" spans="1:14">
      <c r="A3746" s="148"/>
      <c r="B3746" s="149"/>
      <c r="C3746" s="160"/>
      <c r="D3746" s="151"/>
      <c r="E3746" s="152"/>
      <c r="F3746" s="153"/>
      <c r="G3746" s="154"/>
      <c r="H3746" s="154"/>
      <c r="I3746" s="154"/>
      <c r="J3746" s="155"/>
      <c r="K3746" s="156"/>
      <c r="L3746" s="157"/>
      <c r="M3746" s="158" t="s">
        <v>28</v>
      </c>
      <c r="N3746" s="159" t="s">
        <v>29</v>
      </c>
    </row>
    <row r="3747" spans="1:14">
      <c r="A3747" s="148"/>
      <c r="B3747" s="149"/>
      <c r="C3747" s="160"/>
      <c r="D3747" s="151"/>
      <c r="E3747" s="152"/>
      <c r="F3747" s="153"/>
      <c r="G3747" s="154"/>
      <c r="H3747" s="154"/>
      <c r="I3747" s="154"/>
      <c r="J3747" s="155"/>
      <c r="K3747" s="156"/>
      <c r="L3747" s="157"/>
      <c r="M3747" s="158" t="s">
        <v>28</v>
      </c>
      <c r="N3747" s="159" t="s">
        <v>29</v>
      </c>
    </row>
    <row r="3748" spans="1:14">
      <c r="A3748" s="148"/>
      <c r="B3748" s="149"/>
      <c r="C3748" s="160"/>
      <c r="D3748" s="151"/>
      <c r="E3748" s="152"/>
      <c r="F3748" s="153"/>
      <c r="G3748" s="154"/>
      <c r="H3748" s="154"/>
      <c r="I3748" s="154"/>
      <c r="J3748" s="155"/>
      <c r="K3748" s="156"/>
      <c r="L3748" s="157"/>
      <c r="M3748" s="158" t="s">
        <v>28</v>
      </c>
      <c r="N3748" s="159" t="s">
        <v>29</v>
      </c>
    </row>
    <row r="3749" spans="1:14">
      <c r="A3749" s="148"/>
      <c r="B3749" s="149"/>
      <c r="C3749" s="160"/>
      <c r="D3749" s="151"/>
      <c r="E3749" s="152"/>
      <c r="F3749" s="153"/>
      <c r="G3749" s="154"/>
      <c r="H3749" s="154"/>
      <c r="I3749" s="154"/>
      <c r="J3749" s="155"/>
      <c r="K3749" s="156"/>
      <c r="L3749" s="157"/>
      <c r="M3749" s="158" t="s">
        <v>28</v>
      </c>
      <c r="N3749" s="159" t="s">
        <v>29</v>
      </c>
    </row>
    <row r="3750" spans="1:14">
      <c r="A3750" s="148"/>
      <c r="B3750" s="149"/>
      <c r="C3750" s="160"/>
      <c r="D3750" s="151"/>
      <c r="E3750" s="152"/>
      <c r="F3750" s="153"/>
      <c r="G3750" s="154"/>
      <c r="H3750" s="154"/>
      <c r="I3750" s="154"/>
      <c r="J3750" s="155"/>
      <c r="K3750" s="156"/>
      <c r="L3750" s="157"/>
      <c r="M3750" s="158" t="s">
        <v>28</v>
      </c>
      <c r="N3750" s="159" t="s">
        <v>29</v>
      </c>
    </row>
    <row r="3751" spans="1:14">
      <c r="A3751" s="148"/>
      <c r="B3751" s="149"/>
      <c r="C3751" s="160"/>
      <c r="D3751" s="151"/>
      <c r="E3751" s="152"/>
      <c r="F3751" s="153"/>
      <c r="G3751" s="154"/>
      <c r="H3751" s="154"/>
      <c r="I3751" s="154"/>
      <c r="J3751" s="155"/>
      <c r="K3751" s="156"/>
      <c r="L3751" s="157"/>
      <c r="M3751" s="158" t="s">
        <v>28</v>
      </c>
      <c r="N3751" s="159" t="s">
        <v>29</v>
      </c>
    </row>
    <row r="3752" spans="1:14">
      <c r="A3752" s="148"/>
      <c r="B3752" s="149"/>
      <c r="C3752" s="160"/>
      <c r="D3752" s="151"/>
      <c r="E3752" s="152"/>
      <c r="F3752" s="153"/>
      <c r="G3752" s="154"/>
      <c r="H3752" s="154"/>
      <c r="I3752" s="154"/>
      <c r="J3752" s="155"/>
      <c r="K3752" s="156"/>
      <c r="L3752" s="157"/>
      <c r="M3752" s="158" t="s">
        <v>28</v>
      </c>
      <c r="N3752" s="159" t="s">
        <v>29</v>
      </c>
    </row>
    <row r="3753" spans="1:14">
      <c r="A3753" s="148"/>
      <c r="B3753" s="149"/>
      <c r="C3753" s="160"/>
      <c r="D3753" s="151"/>
      <c r="E3753" s="152"/>
      <c r="F3753" s="153"/>
      <c r="G3753" s="154"/>
      <c r="H3753" s="154"/>
      <c r="I3753" s="154"/>
      <c r="J3753" s="155"/>
      <c r="K3753" s="156"/>
      <c r="L3753" s="157"/>
      <c r="M3753" s="158" t="s">
        <v>28</v>
      </c>
      <c r="N3753" s="159" t="s">
        <v>29</v>
      </c>
    </row>
    <row r="3754" spans="1:14">
      <c r="A3754" s="148"/>
      <c r="B3754" s="149"/>
      <c r="C3754" s="160"/>
      <c r="D3754" s="151"/>
      <c r="E3754" s="152"/>
      <c r="F3754" s="153"/>
      <c r="G3754" s="154"/>
      <c r="H3754" s="154"/>
      <c r="I3754" s="154"/>
      <c r="J3754" s="155"/>
      <c r="K3754" s="156"/>
      <c r="L3754" s="157"/>
      <c r="M3754" s="158" t="s">
        <v>28</v>
      </c>
      <c r="N3754" s="159" t="s">
        <v>29</v>
      </c>
    </row>
    <row r="3755" spans="1:14">
      <c r="A3755" s="148"/>
      <c r="B3755" s="149"/>
      <c r="C3755" s="160"/>
      <c r="D3755" s="151"/>
      <c r="E3755" s="152"/>
      <c r="F3755" s="153"/>
      <c r="G3755" s="154"/>
      <c r="H3755" s="154"/>
      <c r="I3755" s="154"/>
      <c r="J3755" s="155"/>
      <c r="K3755" s="156"/>
      <c r="L3755" s="157"/>
      <c r="M3755" s="158" t="s">
        <v>28</v>
      </c>
      <c r="N3755" s="159" t="s">
        <v>29</v>
      </c>
    </row>
    <row r="3756" spans="1:14">
      <c r="A3756" s="148"/>
      <c r="B3756" s="149"/>
      <c r="C3756" s="160"/>
      <c r="D3756" s="151"/>
      <c r="E3756" s="152"/>
      <c r="F3756" s="153"/>
      <c r="G3756" s="154"/>
      <c r="H3756" s="154"/>
      <c r="I3756" s="154"/>
      <c r="J3756" s="155"/>
      <c r="K3756" s="156"/>
      <c r="L3756" s="157"/>
      <c r="M3756" s="158" t="s">
        <v>28</v>
      </c>
      <c r="N3756" s="159" t="s">
        <v>29</v>
      </c>
    </row>
    <row r="3757" spans="1:14">
      <c r="A3757" s="148"/>
      <c r="B3757" s="149"/>
      <c r="C3757" s="160"/>
      <c r="D3757" s="151"/>
      <c r="E3757" s="152"/>
      <c r="F3757" s="153"/>
      <c r="G3757" s="154"/>
      <c r="H3757" s="154"/>
      <c r="I3757" s="154"/>
      <c r="J3757" s="155"/>
      <c r="K3757" s="156"/>
      <c r="L3757" s="157"/>
      <c r="M3757" s="158" t="s">
        <v>28</v>
      </c>
      <c r="N3757" s="159" t="s">
        <v>29</v>
      </c>
    </row>
    <row r="3758" spans="1:14">
      <c r="A3758" s="148"/>
      <c r="B3758" s="149"/>
      <c r="C3758" s="160"/>
      <c r="D3758" s="151"/>
      <c r="E3758" s="152"/>
      <c r="F3758" s="153"/>
      <c r="G3758" s="154"/>
      <c r="H3758" s="154"/>
      <c r="I3758" s="154"/>
      <c r="J3758" s="155"/>
      <c r="K3758" s="156"/>
      <c r="L3758" s="157"/>
      <c r="M3758" s="158" t="s">
        <v>28</v>
      </c>
      <c r="N3758" s="159" t="s">
        <v>29</v>
      </c>
    </row>
    <row r="3759" spans="1:14">
      <c r="A3759" s="148"/>
      <c r="B3759" s="149"/>
      <c r="C3759" s="160"/>
      <c r="D3759" s="151"/>
      <c r="E3759" s="152"/>
      <c r="F3759" s="153"/>
      <c r="G3759" s="154"/>
      <c r="H3759" s="154"/>
      <c r="I3759" s="154"/>
      <c r="J3759" s="155"/>
      <c r="K3759" s="156"/>
      <c r="L3759" s="157"/>
      <c r="M3759" s="158" t="s">
        <v>28</v>
      </c>
      <c r="N3759" s="159" t="s">
        <v>29</v>
      </c>
    </row>
    <row r="3760" spans="1:14">
      <c r="A3760" s="148"/>
      <c r="B3760" s="149"/>
      <c r="C3760" s="160"/>
      <c r="D3760" s="151"/>
      <c r="E3760" s="152"/>
      <c r="F3760" s="153"/>
      <c r="G3760" s="154"/>
      <c r="H3760" s="154"/>
      <c r="I3760" s="154"/>
      <c r="J3760" s="155"/>
      <c r="K3760" s="156"/>
      <c r="L3760" s="157"/>
      <c r="M3760" s="158" t="s">
        <v>28</v>
      </c>
      <c r="N3760" s="159" t="s">
        <v>29</v>
      </c>
    </row>
    <row r="3761" spans="1:14">
      <c r="A3761" s="148"/>
      <c r="B3761" s="149"/>
      <c r="C3761" s="160"/>
      <c r="D3761" s="151"/>
      <c r="E3761" s="152"/>
      <c r="F3761" s="153"/>
      <c r="G3761" s="154"/>
      <c r="H3761" s="154"/>
      <c r="I3761" s="154"/>
      <c r="J3761" s="155"/>
      <c r="K3761" s="156"/>
      <c r="L3761" s="157"/>
      <c r="M3761" s="158" t="s">
        <v>28</v>
      </c>
      <c r="N3761" s="159" t="s">
        <v>29</v>
      </c>
    </row>
    <row r="3762" spans="1:14">
      <c r="A3762" s="148"/>
      <c r="B3762" s="149"/>
      <c r="C3762" s="160"/>
      <c r="D3762" s="151"/>
      <c r="E3762" s="152"/>
      <c r="F3762" s="153"/>
      <c r="G3762" s="154"/>
      <c r="H3762" s="154"/>
      <c r="I3762" s="154"/>
      <c r="J3762" s="155"/>
      <c r="K3762" s="156"/>
      <c r="L3762" s="157"/>
      <c r="M3762" s="158" t="s">
        <v>28</v>
      </c>
      <c r="N3762" s="159" t="s">
        <v>29</v>
      </c>
    </row>
    <row r="3763" spans="1:14">
      <c r="A3763" s="148"/>
      <c r="B3763" s="149"/>
      <c r="C3763" s="160"/>
      <c r="D3763" s="151"/>
      <c r="E3763" s="152"/>
      <c r="F3763" s="153"/>
      <c r="G3763" s="154"/>
      <c r="H3763" s="154"/>
      <c r="I3763" s="154"/>
      <c r="J3763" s="155"/>
      <c r="K3763" s="156"/>
      <c r="L3763" s="157"/>
      <c r="M3763" s="158" t="s">
        <v>28</v>
      </c>
      <c r="N3763" s="159" t="s">
        <v>29</v>
      </c>
    </row>
    <row r="3764" spans="1:14">
      <c r="A3764" s="148"/>
      <c r="B3764" s="149"/>
      <c r="C3764" s="160"/>
      <c r="D3764" s="151"/>
      <c r="E3764" s="152"/>
      <c r="F3764" s="153"/>
      <c r="G3764" s="154"/>
      <c r="H3764" s="154"/>
      <c r="I3764" s="154"/>
      <c r="J3764" s="155"/>
      <c r="K3764" s="156"/>
      <c r="L3764" s="157"/>
      <c r="M3764" s="158" t="s">
        <v>28</v>
      </c>
      <c r="N3764" s="159" t="s">
        <v>29</v>
      </c>
    </row>
    <row r="3765" spans="1:14">
      <c r="A3765" s="148"/>
      <c r="B3765" s="149"/>
      <c r="C3765" s="160"/>
      <c r="D3765" s="151"/>
      <c r="E3765" s="152"/>
      <c r="F3765" s="153"/>
      <c r="G3765" s="154"/>
      <c r="H3765" s="154"/>
      <c r="I3765" s="154"/>
      <c r="J3765" s="155"/>
      <c r="K3765" s="156"/>
      <c r="L3765" s="157"/>
      <c r="M3765" s="158" t="s">
        <v>28</v>
      </c>
      <c r="N3765" s="159" t="s">
        <v>29</v>
      </c>
    </row>
    <row r="3766" spans="1:14">
      <c r="A3766" s="148"/>
      <c r="B3766" s="149"/>
      <c r="C3766" s="160"/>
      <c r="D3766" s="151"/>
      <c r="E3766" s="152"/>
      <c r="F3766" s="153"/>
      <c r="G3766" s="154"/>
      <c r="H3766" s="154"/>
      <c r="I3766" s="154"/>
      <c r="J3766" s="155"/>
      <c r="K3766" s="156"/>
      <c r="L3766" s="157"/>
      <c r="M3766" s="158" t="s">
        <v>28</v>
      </c>
      <c r="N3766" s="159" t="s">
        <v>29</v>
      </c>
    </row>
    <row r="3767" spans="1:14">
      <c r="A3767" s="148"/>
      <c r="B3767" s="149"/>
      <c r="C3767" s="160"/>
      <c r="D3767" s="151"/>
      <c r="E3767" s="152"/>
      <c r="F3767" s="153"/>
      <c r="G3767" s="154"/>
      <c r="H3767" s="154"/>
      <c r="I3767" s="154"/>
      <c r="J3767" s="155"/>
      <c r="K3767" s="156"/>
      <c r="L3767" s="157"/>
      <c r="M3767" s="158" t="s">
        <v>28</v>
      </c>
      <c r="N3767" s="159" t="s">
        <v>29</v>
      </c>
    </row>
    <row r="3768" spans="1:14">
      <c r="A3768" s="148"/>
      <c r="B3768" s="149"/>
      <c r="C3768" s="160"/>
      <c r="D3768" s="151"/>
      <c r="E3768" s="152"/>
      <c r="F3768" s="153"/>
      <c r="G3768" s="154"/>
      <c r="H3768" s="154"/>
      <c r="I3768" s="154"/>
      <c r="J3768" s="155"/>
      <c r="K3768" s="156"/>
      <c r="L3768" s="157"/>
      <c r="M3768" s="158" t="s">
        <v>28</v>
      </c>
      <c r="N3768" s="159" t="s">
        <v>29</v>
      </c>
    </row>
    <row r="3769" spans="1:14">
      <c r="A3769" s="148"/>
      <c r="B3769" s="149"/>
      <c r="C3769" s="160"/>
      <c r="D3769" s="151"/>
      <c r="E3769" s="152"/>
      <c r="F3769" s="153"/>
      <c r="G3769" s="154"/>
      <c r="H3769" s="154"/>
      <c r="I3769" s="154"/>
      <c r="J3769" s="155"/>
      <c r="K3769" s="156"/>
      <c r="L3769" s="157"/>
      <c r="M3769" s="158" t="s">
        <v>28</v>
      </c>
      <c r="N3769" s="159" t="s">
        <v>29</v>
      </c>
    </row>
    <row r="3770" spans="1:14">
      <c r="A3770" s="148"/>
      <c r="B3770" s="149"/>
      <c r="C3770" s="160"/>
      <c r="D3770" s="151"/>
      <c r="E3770" s="152"/>
      <c r="F3770" s="153"/>
      <c r="G3770" s="154"/>
      <c r="H3770" s="154"/>
      <c r="I3770" s="154"/>
      <c r="J3770" s="155"/>
      <c r="K3770" s="156"/>
      <c r="L3770" s="157"/>
      <c r="M3770" s="158" t="s">
        <v>28</v>
      </c>
      <c r="N3770" s="159" t="s">
        <v>29</v>
      </c>
    </row>
    <row r="3771" spans="1:14">
      <c r="A3771" s="148"/>
      <c r="B3771" s="149"/>
      <c r="C3771" s="160"/>
      <c r="D3771" s="151"/>
      <c r="E3771" s="152"/>
      <c r="F3771" s="153"/>
      <c r="G3771" s="154"/>
      <c r="H3771" s="154"/>
      <c r="I3771" s="154"/>
      <c r="J3771" s="155"/>
      <c r="K3771" s="156"/>
      <c r="L3771" s="157"/>
      <c r="M3771" s="158" t="s">
        <v>28</v>
      </c>
      <c r="N3771" s="159" t="s">
        <v>29</v>
      </c>
    </row>
    <row r="3772" spans="1:14">
      <c r="A3772" s="148"/>
      <c r="B3772" s="149"/>
      <c r="C3772" s="160"/>
      <c r="D3772" s="151"/>
      <c r="E3772" s="152"/>
      <c r="F3772" s="153"/>
      <c r="G3772" s="154"/>
      <c r="H3772" s="154"/>
      <c r="I3772" s="154"/>
      <c r="J3772" s="155"/>
      <c r="K3772" s="156"/>
      <c r="L3772" s="157"/>
      <c r="M3772" s="158" t="s">
        <v>28</v>
      </c>
      <c r="N3772" s="159" t="s">
        <v>29</v>
      </c>
    </row>
    <row r="3773" spans="1:14">
      <c r="A3773" s="148"/>
      <c r="B3773" s="149"/>
      <c r="C3773" s="160"/>
      <c r="D3773" s="151"/>
      <c r="E3773" s="152"/>
      <c r="F3773" s="153"/>
      <c r="G3773" s="154"/>
      <c r="H3773" s="154"/>
      <c r="I3773" s="154"/>
      <c r="J3773" s="155"/>
      <c r="K3773" s="156"/>
      <c r="L3773" s="157"/>
      <c r="M3773" s="158" t="s">
        <v>28</v>
      </c>
      <c r="N3773" s="159" t="s">
        <v>29</v>
      </c>
    </row>
    <row r="3774" spans="1:14">
      <c r="A3774" s="148"/>
      <c r="B3774" s="149"/>
      <c r="C3774" s="160"/>
      <c r="D3774" s="151"/>
      <c r="E3774" s="152"/>
      <c r="F3774" s="153"/>
      <c r="G3774" s="154"/>
      <c r="H3774" s="154"/>
      <c r="I3774" s="154"/>
      <c r="J3774" s="155"/>
      <c r="K3774" s="156"/>
      <c r="L3774" s="157"/>
      <c r="M3774" s="158" t="s">
        <v>28</v>
      </c>
      <c r="N3774" s="159" t="s">
        <v>29</v>
      </c>
    </row>
    <row r="3775" spans="1:14">
      <c r="A3775" s="148"/>
      <c r="B3775" s="149"/>
      <c r="C3775" s="160"/>
      <c r="D3775" s="151"/>
      <c r="E3775" s="152"/>
      <c r="F3775" s="153"/>
      <c r="G3775" s="154"/>
      <c r="H3775" s="154"/>
      <c r="I3775" s="154"/>
      <c r="J3775" s="155"/>
      <c r="K3775" s="156"/>
      <c r="L3775" s="157"/>
      <c r="M3775" s="158" t="s">
        <v>28</v>
      </c>
      <c r="N3775" s="159" t="s">
        <v>29</v>
      </c>
    </row>
    <row r="3776" spans="1:14">
      <c r="A3776" s="148"/>
      <c r="B3776" s="149"/>
      <c r="C3776" s="160"/>
      <c r="D3776" s="151"/>
      <c r="E3776" s="152"/>
      <c r="F3776" s="153"/>
      <c r="G3776" s="154"/>
      <c r="H3776" s="154"/>
      <c r="I3776" s="154"/>
      <c r="J3776" s="155"/>
      <c r="K3776" s="156"/>
      <c r="L3776" s="157"/>
      <c r="M3776" s="158" t="s">
        <v>28</v>
      </c>
      <c r="N3776" s="159" t="s">
        <v>29</v>
      </c>
    </row>
    <row r="3777" spans="1:14">
      <c r="A3777" s="148"/>
      <c r="B3777" s="149"/>
      <c r="C3777" s="160"/>
      <c r="D3777" s="151"/>
      <c r="E3777" s="152"/>
      <c r="F3777" s="153"/>
      <c r="G3777" s="154"/>
      <c r="H3777" s="154"/>
      <c r="I3777" s="154"/>
      <c r="J3777" s="155"/>
      <c r="K3777" s="156"/>
      <c r="L3777" s="157"/>
      <c r="M3777" s="158" t="s">
        <v>28</v>
      </c>
      <c r="N3777" s="159" t="s">
        <v>29</v>
      </c>
    </row>
    <row r="3778" spans="1:14">
      <c r="A3778" s="148"/>
      <c r="B3778" s="149"/>
      <c r="C3778" s="160"/>
      <c r="D3778" s="151"/>
      <c r="E3778" s="152"/>
      <c r="F3778" s="153"/>
      <c r="G3778" s="154"/>
      <c r="H3778" s="154"/>
      <c r="I3778" s="154"/>
      <c r="J3778" s="155"/>
      <c r="K3778" s="156"/>
      <c r="L3778" s="157"/>
      <c r="M3778" s="158" t="s">
        <v>28</v>
      </c>
      <c r="N3778" s="159" t="s">
        <v>29</v>
      </c>
    </row>
    <row r="3779" spans="1:14">
      <c r="A3779" s="148"/>
      <c r="B3779" s="149"/>
      <c r="C3779" s="160"/>
      <c r="D3779" s="151"/>
      <c r="E3779" s="152"/>
      <c r="F3779" s="153"/>
      <c r="G3779" s="154"/>
      <c r="H3779" s="154"/>
      <c r="I3779" s="154"/>
      <c r="J3779" s="155"/>
      <c r="K3779" s="156"/>
      <c r="L3779" s="157"/>
      <c r="M3779" s="158" t="s">
        <v>28</v>
      </c>
      <c r="N3779" s="159" t="s">
        <v>29</v>
      </c>
    </row>
    <row r="3780" spans="1:14">
      <c r="A3780" s="148"/>
      <c r="B3780" s="149"/>
      <c r="C3780" s="160"/>
      <c r="D3780" s="151"/>
      <c r="E3780" s="152"/>
      <c r="F3780" s="153"/>
      <c r="G3780" s="154"/>
      <c r="H3780" s="154"/>
      <c r="I3780" s="154"/>
      <c r="J3780" s="155"/>
      <c r="K3780" s="156"/>
      <c r="L3780" s="157"/>
      <c r="M3780" s="158" t="s">
        <v>28</v>
      </c>
      <c r="N3780" s="159" t="s">
        <v>29</v>
      </c>
    </row>
    <row r="3781" spans="1:14">
      <c r="A3781" s="148"/>
      <c r="B3781" s="149"/>
      <c r="C3781" s="160"/>
      <c r="D3781" s="151"/>
      <c r="E3781" s="152"/>
      <c r="F3781" s="153"/>
      <c r="G3781" s="154"/>
      <c r="H3781" s="154"/>
      <c r="I3781" s="154"/>
      <c r="J3781" s="155"/>
      <c r="K3781" s="156"/>
      <c r="L3781" s="157"/>
      <c r="M3781" s="158" t="s">
        <v>28</v>
      </c>
      <c r="N3781" s="159" t="s">
        <v>29</v>
      </c>
    </row>
    <row r="3782" spans="1:14">
      <c r="A3782" s="148"/>
      <c r="B3782" s="149"/>
      <c r="C3782" s="160"/>
      <c r="D3782" s="151"/>
      <c r="E3782" s="152"/>
      <c r="F3782" s="153"/>
      <c r="G3782" s="154"/>
      <c r="H3782" s="154"/>
      <c r="I3782" s="154"/>
      <c r="J3782" s="155"/>
      <c r="K3782" s="156"/>
      <c r="L3782" s="157"/>
      <c r="M3782" s="158" t="s">
        <v>28</v>
      </c>
      <c r="N3782" s="159" t="s">
        <v>29</v>
      </c>
    </row>
    <row r="3783" spans="1:14">
      <c r="A3783" s="148"/>
      <c r="B3783" s="149"/>
      <c r="C3783" s="160"/>
      <c r="D3783" s="151"/>
      <c r="E3783" s="152"/>
      <c r="F3783" s="153"/>
      <c r="G3783" s="154"/>
      <c r="H3783" s="154"/>
      <c r="I3783" s="154"/>
      <c r="J3783" s="155"/>
      <c r="K3783" s="156"/>
      <c r="L3783" s="157"/>
      <c r="M3783" s="158" t="s">
        <v>28</v>
      </c>
      <c r="N3783" s="159" t="s">
        <v>29</v>
      </c>
    </row>
    <row r="3784" spans="1:14">
      <c r="A3784" s="148"/>
      <c r="B3784" s="149"/>
      <c r="C3784" s="160"/>
      <c r="D3784" s="151"/>
      <c r="E3784" s="152"/>
      <c r="F3784" s="153"/>
      <c r="G3784" s="154"/>
      <c r="H3784" s="154"/>
      <c r="I3784" s="154"/>
      <c r="J3784" s="155"/>
      <c r="K3784" s="156"/>
      <c r="L3784" s="157"/>
      <c r="M3784" s="158" t="s">
        <v>28</v>
      </c>
      <c r="N3784" s="159" t="s">
        <v>29</v>
      </c>
    </row>
    <row r="3785" spans="1:14">
      <c r="A3785" s="148"/>
      <c r="B3785" s="149"/>
      <c r="C3785" s="160"/>
      <c r="D3785" s="151"/>
      <c r="E3785" s="152"/>
      <c r="F3785" s="153"/>
      <c r="G3785" s="154"/>
      <c r="H3785" s="154"/>
      <c r="I3785" s="154"/>
      <c r="J3785" s="155"/>
      <c r="K3785" s="156"/>
      <c r="L3785" s="157"/>
      <c r="M3785" s="158" t="s">
        <v>28</v>
      </c>
      <c r="N3785" s="159" t="s">
        <v>29</v>
      </c>
    </row>
    <row r="3786" spans="1:14">
      <c r="A3786" s="148"/>
      <c r="B3786" s="149"/>
      <c r="C3786" s="160"/>
      <c r="D3786" s="151"/>
      <c r="E3786" s="152"/>
      <c r="F3786" s="153"/>
      <c r="G3786" s="154"/>
      <c r="H3786" s="154"/>
      <c r="I3786" s="154"/>
      <c r="J3786" s="155"/>
      <c r="K3786" s="156"/>
      <c r="L3786" s="157"/>
      <c r="M3786" s="158" t="s">
        <v>28</v>
      </c>
      <c r="N3786" s="159" t="s">
        <v>29</v>
      </c>
    </row>
    <row r="3787" spans="1:14">
      <c r="A3787" s="148"/>
      <c r="B3787" s="149"/>
      <c r="C3787" s="160"/>
      <c r="D3787" s="151"/>
      <c r="E3787" s="152"/>
      <c r="F3787" s="153"/>
      <c r="G3787" s="154"/>
      <c r="H3787" s="154"/>
      <c r="I3787" s="154"/>
      <c r="J3787" s="155"/>
      <c r="K3787" s="156"/>
      <c r="L3787" s="157"/>
      <c r="M3787" s="158" t="s">
        <v>28</v>
      </c>
      <c r="N3787" s="159" t="s">
        <v>29</v>
      </c>
    </row>
    <row r="3788" spans="1:14">
      <c r="A3788" s="148"/>
      <c r="B3788" s="149"/>
      <c r="C3788" s="160"/>
      <c r="D3788" s="151"/>
      <c r="E3788" s="152"/>
      <c r="F3788" s="153"/>
      <c r="G3788" s="154"/>
      <c r="H3788" s="154"/>
      <c r="I3788" s="154"/>
      <c r="J3788" s="155"/>
      <c r="K3788" s="156"/>
      <c r="L3788" s="157"/>
      <c r="M3788" s="158" t="s">
        <v>28</v>
      </c>
      <c r="N3788" s="159" t="s">
        <v>29</v>
      </c>
    </row>
    <row r="3789" spans="1:14">
      <c r="A3789" s="148"/>
      <c r="B3789" s="149"/>
      <c r="C3789" s="160"/>
      <c r="D3789" s="151"/>
      <c r="E3789" s="152"/>
      <c r="F3789" s="153"/>
      <c r="G3789" s="154"/>
      <c r="H3789" s="154"/>
      <c r="I3789" s="154"/>
      <c r="J3789" s="155"/>
      <c r="K3789" s="156"/>
      <c r="L3789" s="157"/>
      <c r="M3789" s="158" t="s">
        <v>28</v>
      </c>
      <c r="N3789" s="159" t="s">
        <v>29</v>
      </c>
    </row>
    <row r="3790" spans="1:14">
      <c r="A3790" s="148"/>
      <c r="B3790" s="149"/>
      <c r="C3790" s="160"/>
      <c r="D3790" s="151"/>
      <c r="E3790" s="152"/>
      <c r="F3790" s="153"/>
      <c r="G3790" s="154"/>
      <c r="H3790" s="154"/>
      <c r="I3790" s="154"/>
      <c r="J3790" s="155"/>
      <c r="K3790" s="156"/>
      <c r="L3790" s="157"/>
      <c r="M3790" s="158" t="s">
        <v>28</v>
      </c>
      <c r="N3790" s="159" t="s">
        <v>29</v>
      </c>
    </row>
    <row r="3791" spans="1:14">
      <c r="A3791" s="148"/>
      <c r="B3791" s="149"/>
      <c r="C3791" s="160"/>
      <c r="D3791" s="151"/>
      <c r="E3791" s="152"/>
      <c r="F3791" s="153"/>
      <c r="G3791" s="154"/>
      <c r="H3791" s="154"/>
      <c r="I3791" s="154"/>
      <c r="J3791" s="155"/>
      <c r="K3791" s="156"/>
      <c r="L3791" s="157"/>
      <c r="M3791" s="158" t="s">
        <v>28</v>
      </c>
      <c r="N3791" s="159" t="s">
        <v>29</v>
      </c>
    </row>
    <row r="3792" spans="1:14">
      <c r="A3792" s="148"/>
      <c r="B3792" s="149"/>
      <c r="C3792" s="160"/>
      <c r="D3792" s="151"/>
      <c r="E3792" s="152"/>
      <c r="F3792" s="153"/>
      <c r="G3792" s="154"/>
      <c r="H3792" s="154"/>
      <c r="I3792" s="154"/>
      <c r="J3792" s="155"/>
      <c r="K3792" s="156"/>
      <c r="L3792" s="157"/>
      <c r="M3792" s="158" t="s">
        <v>28</v>
      </c>
      <c r="N3792" s="159" t="s">
        <v>29</v>
      </c>
    </row>
    <row r="3793" spans="1:14">
      <c r="A3793" s="148"/>
      <c r="B3793" s="149"/>
      <c r="C3793" s="160"/>
      <c r="D3793" s="151"/>
      <c r="E3793" s="152"/>
      <c r="F3793" s="153"/>
      <c r="G3793" s="154"/>
      <c r="H3793" s="154"/>
      <c r="I3793" s="154"/>
      <c r="J3793" s="155"/>
      <c r="K3793" s="156"/>
      <c r="L3793" s="157"/>
      <c r="M3793" s="158" t="s">
        <v>28</v>
      </c>
      <c r="N3793" s="159" t="s">
        <v>29</v>
      </c>
    </row>
    <row r="3794" spans="1:14">
      <c r="A3794" s="148"/>
      <c r="B3794" s="149"/>
      <c r="C3794" s="160"/>
      <c r="D3794" s="151"/>
      <c r="E3794" s="152"/>
      <c r="F3794" s="153"/>
      <c r="G3794" s="154"/>
      <c r="H3794" s="154"/>
      <c r="I3794" s="154"/>
      <c r="J3794" s="155"/>
      <c r="K3794" s="156"/>
      <c r="L3794" s="157"/>
      <c r="M3794" s="158" t="s">
        <v>28</v>
      </c>
      <c r="N3794" s="159" t="s">
        <v>29</v>
      </c>
    </row>
    <row r="3795" spans="1:14">
      <c r="A3795" s="148"/>
      <c r="B3795" s="149"/>
      <c r="C3795" s="160"/>
      <c r="D3795" s="151"/>
      <c r="E3795" s="152"/>
      <c r="F3795" s="153"/>
      <c r="G3795" s="154"/>
      <c r="H3795" s="154"/>
      <c r="I3795" s="154"/>
      <c r="J3795" s="155"/>
      <c r="K3795" s="156"/>
      <c r="L3795" s="157"/>
      <c r="M3795" s="158" t="s">
        <v>28</v>
      </c>
      <c r="N3795" s="159" t="s">
        <v>29</v>
      </c>
    </row>
    <row r="3796" spans="1:14">
      <c r="A3796" s="148"/>
      <c r="B3796" s="149"/>
      <c r="C3796" s="160"/>
      <c r="D3796" s="151"/>
      <c r="E3796" s="152"/>
      <c r="F3796" s="153"/>
      <c r="G3796" s="154"/>
      <c r="H3796" s="154"/>
      <c r="I3796" s="154"/>
      <c r="J3796" s="155"/>
      <c r="K3796" s="156"/>
      <c r="L3796" s="157"/>
      <c r="M3796" s="158" t="s">
        <v>28</v>
      </c>
      <c r="N3796" s="159" t="s">
        <v>29</v>
      </c>
    </row>
    <row r="3797" spans="1:14">
      <c r="A3797" s="148"/>
      <c r="B3797" s="149"/>
      <c r="C3797" s="160"/>
      <c r="D3797" s="151"/>
      <c r="E3797" s="152"/>
      <c r="F3797" s="153"/>
      <c r="G3797" s="154"/>
      <c r="H3797" s="154"/>
      <c r="I3797" s="154"/>
      <c r="J3797" s="155"/>
      <c r="K3797" s="156"/>
      <c r="L3797" s="157"/>
      <c r="M3797" s="158" t="s">
        <v>28</v>
      </c>
      <c r="N3797" s="159" t="s">
        <v>29</v>
      </c>
    </row>
    <row r="3798" spans="1:14">
      <c r="A3798" s="148"/>
      <c r="B3798" s="149"/>
      <c r="C3798" s="160"/>
      <c r="D3798" s="151"/>
      <c r="E3798" s="152"/>
      <c r="F3798" s="153"/>
      <c r="G3798" s="154"/>
      <c r="H3798" s="154"/>
      <c r="I3798" s="154"/>
      <c r="J3798" s="155"/>
      <c r="K3798" s="156"/>
      <c r="L3798" s="157"/>
      <c r="M3798" s="158" t="s">
        <v>28</v>
      </c>
      <c r="N3798" s="159" t="s">
        <v>29</v>
      </c>
    </row>
    <row r="3799" spans="1:14">
      <c r="A3799" s="148"/>
      <c r="B3799" s="149"/>
      <c r="C3799" s="160"/>
      <c r="D3799" s="151"/>
      <c r="E3799" s="152"/>
      <c r="F3799" s="153"/>
      <c r="G3799" s="154"/>
      <c r="H3799" s="154"/>
      <c r="I3799" s="154"/>
      <c r="J3799" s="155"/>
      <c r="K3799" s="156"/>
      <c r="L3799" s="157"/>
      <c r="M3799" s="158" t="s">
        <v>28</v>
      </c>
      <c r="N3799" s="159" t="s">
        <v>29</v>
      </c>
    </row>
    <row r="3800" spans="1:14">
      <c r="A3800" s="148"/>
      <c r="B3800" s="149"/>
      <c r="C3800" s="160"/>
      <c r="D3800" s="151"/>
      <c r="E3800" s="152"/>
      <c r="F3800" s="153"/>
      <c r="G3800" s="154"/>
      <c r="H3800" s="154"/>
      <c r="I3800" s="154"/>
      <c r="J3800" s="155"/>
      <c r="K3800" s="156"/>
      <c r="L3800" s="157"/>
      <c r="M3800" s="158" t="s">
        <v>28</v>
      </c>
      <c r="N3800" s="159" t="s">
        <v>29</v>
      </c>
    </row>
    <row r="3801" spans="1:14">
      <c r="A3801" s="148"/>
      <c r="B3801" s="149"/>
      <c r="C3801" s="160"/>
      <c r="D3801" s="151"/>
      <c r="E3801" s="152"/>
      <c r="F3801" s="153"/>
      <c r="G3801" s="154"/>
      <c r="H3801" s="154"/>
      <c r="I3801" s="154"/>
      <c r="J3801" s="155"/>
      <c r="K3801" s="156"/>
      <c r="L3801" s="157"/>
      <c r="M3801" s="158" t="s">
        <v>28</v>
      </c>
      <c r="N3801" s="159" t="s">
        <v>29</v>
      </c>
    </row>
    <row r="3802" spans="1:14">
      <c r="A3802" s="148"/>
      <c r="B3802" s="149"/>
      <c r="C3802" s="160"/>
      <c r="D3802" s="151"/>
      <c r="E3802" s="152"/>
      <c r="F3802" s="153"/>
      <c r="G3802" s="154"/>
      <c r="H3802" s="154"/>
      <c r="I3802" s="154"/>
      <c r="J3802" s="155"/>
      <c r="K3802" s="156"/>
      <c r="L3802" s="157"/>
      <c r="M3802" s="158" t="s">
        <v>28</v>
      </c>
      <c r="N3802" s="159" t="s">
        <v>29</v>
      </c>
    </row>
    <row r="3803" spans="1:14">
      <c r="A3803" s="148"/>
      <c r="B3803" s="149"/>
      <c r="C3803" s="160"/>
      <c r="D3803" s="151"/>
      <c r="E3803" s="152"/>
      <c r="F3803" s="153"/>
      <c r="G3803" s="154"/>
      <c r="H3803" s="154"/>
      <c r="I3803" s="154"/>
      <c r="J3803" s="155"/>
      <c r="K3803" s="156"/>
      <c r="L3803" s="157"/>
      <c r="M3803" s="158" t="s">
        <v>28</v>
      </c>
      <c r="N3803" s="159" t="s">
        <v>29</v>
      </c>
    </row>
    <row r="3804" spans="1:14">
      <c r="A3804" s="148"/>
      <c r="B3804" s="149"/>
      <c r="C3804" s="160"/>
      <c r="D3804" s="151"/>
      <c r="E3804" s="152"/>
      <c r="F3804" s="153"/>
      <c r="G3804" s="154"/>
      <c r="H3804" s="154"/>
      <c r="I3804" s="154"/>
      <c r="J3804" s="155"/>
      <c r="K3804" s="156"/>
      <c r="L3804" s="157"/>
      <c r="M3804" s="158" t="s">
        <v>28</v>
      </c>
      <c r="N3804" s="159" t="s">
        <v>29</v>
      </c>
    </row>
    <row r="3805" spans="1:14">
      <c r="A3805" s="148"/>
      <c r="B3805" s="149"/>
      <c r="C3805" s="160"/>
      <c r="D3805" s="151"/>
      <c r="E3805" s="152"/>
      <c r="F3805" s="153"/>
      <c r="G3805" s="154"/>
      <c r="H3805" s="154"/>
      <c r="I3805" s="154"/>
      <c r="J3805" s="155"/>
      <c r="K3805" s="156"/>
      <c r="L3805" s="157"/>
      <c r="M3805" s="158" t="s">
        <v>28</v>
      </c>
      <c r="N3805" s="159" t="s">
        <v>29</v>
      </c>
    </row>
    <row r="3806" spans="1:14">
      <c r="A3806" s="148"/>
      <c r="B3806" s="149"/>
      <c r="C3806" s="160"/>
      <c r="D3806" s="151"/>
      <c r="E3806" s="152"/>
      <c r="F3806" s="153"/>
      <c r="G3806" s="154"/>
      <c r="H3806" s="154"/>
      <c r="I3806" s="154"/>
      <c r="J3806" s="155"/>
      <c r="K3806" s="156"/>
      <c r="L3806" s="157"/>
      <c r="M3806" s="158" t="s">
        <v>28</v>
      </c>
      <c r="N3806" s="159" t="s">
        <v>29</v>
      </c>
    </row>
    <row r="3807" spans="1:14">
      <c r="A3807" s="148"/>
      <c r="B3807" s="149"/>
      <c r="C3807" s="160"/>
      <c r="D3807" s="151"/>
      <c r="E3807" s="152"/>
      <c r="F3807" s="153"/>
      <c r="G3807" s="154"/>
      <c r="H3807" s="154"/>
      <c r="I3807" s="154"/>
      <c r="J3807" s="155"/>
      <c r="K3807" s="156"/>
      <c r="L3807" s="157"/>
      <c r="M3807" s="158" t="s">
        <v>28</v>
      </c>
      <c r="N3807" s="159" t="s">
        <v>29</v>
      </c>
    </row>
    <row r="3808" spans="1:14">
      <c r="A3808" s="148"/>
      <c r="B3808" s="149"/>
      <c r="C3808" s="160"/>
      <c r="D3808" s="151"/>
      <c r="E3808" s="152"/>
      <c r="F3808" s="153"/>
      <c r="G3808" s="154"/>
      <c r="H3808" s="154"/>
      <c r="I3808" s="154"/>
      <c r="J3808" s="155"/>
      <c r="K3808" s="156"/>
      <c r="L3808" s="157"/>
      <c r="M3808" s="158" t="s">
        <v>28</v>
      </c>
      <c r="N3808" s="159" t="s">
        <v>29</v>
      </c>
    </row>
    <row r="3809" spans="1:14">
      <c r="A3809" s="148"/>
      <c r="B3809" s="149"/>
      <c r="C3809" s="160"/>
      <c r="D3809" s="151"/>
      <c r="E3809" s="152"/>
      <c r="F3809" s="153"/>
      <c r="G3809" s="154"/>
      <c r="H3809" s="154"/>
      <c r="I3809" s="154"/>
      <c r="J3809" s="155"/>
      <c r="K3809" s="156"/>
      <c r="L3809" s="157"/>
      <c r="M3809" s="158" t="s">
        <v>28</v>
      </c>
      <c r="N3809" s="159" t="s">
        <v>29</v>
      </c>
    </row>
    <row r="3810" spans="1:14">
      <c r="A3810" s="148"/>
      <c r="B3810" s="149"/>
      <c r="C3810" s="160"/>
      <c r="D3810" s="151"/>
      <c r="E3810" s="152"/>
      <c r="F3810" s="153"/>
      <c r="G3810" s="154"/>
      <c r="H3810" s="154"/>
      <c r="I3810" s="154"/>
      <c r="J3810" s="155"/>
      <c r="K3810" s="156"/>
      <c r="L3810" s="157"/>
      <c r="M3810" s="158" t="s">
        <v>28</v>
      </c>
      <c r="N3810" s="159" t="s">
        <v>29</v>
      </c>
    </row>
    <row r="3811" spans="1:14">
      <c r="A3811" s="148"/>
      <c r="B3811" s="149"/>
      <c r="C3811" s="160"/>
      <c r="D3811" s="151"/>
      <c r="E3811" s="152"/>
      <c r="F3811" s="153"/>
      <c r="G3811" s="154"/>
      <c r="H3811" s="154"/>
      <c r="I3811" s="154"/>
      <c r="J3811" s="155"/>
      <c r="K3811" s="156"/>
      <c r="L3811" s="157"/>
      <c r="M3811" s="158" t="s">
        <v>28</v>
      </c>
      <c r="N3811" s="159" t="s">
        <v>29</v>
      </c>
    </row>
    <row r="3812" spans="1:14">
      <c r="A3812" s="148"/>
      <c r="B3812" s="149"/>
      <c r="C3812" s="160"/>
      <c r="D3812" s="151"/>
      <c r="E3812" s="152"/>
      <c r="F3812" s="153"/>
      <c r="G3812" s="154"/>
      <c r="H3812" s="154"/>
      <c r="I3812" s="154"/>
      <c r="J3812" s="155"/>
      <c r="K3812" s="156"/>
      <c r="L3812" s="157"/>
      <c r="M3812" s="158" t="s">
        <v>28</v>
      </c>
      <c r="N3812" s="159" t="s">
        <v>29</v>
      </c>
    </row>
    <row r="3813" spans="1:14">
      <c r="A3813" s="148"/>
      <c r="B3813" s="149"/>
      <c r="C3813" s="160"/>
      <c r="D3813" s="151"/>
      <c r="E3813" s="152"/>
      <c r="F3813" s="153"/>
      <c r="G3813" s="154"/>
      <c r="H3813" s="154"/>
      <c r="I3813" s="154"/>
      <c r="J3813" s="155"/>
      <c r="K3813" s="156"/>
      <c r="L3813" s="157"/>
      <c r="M3813" s="158" t="s">
        <v>28</v>
      </c>
      <c r="N3813" s="159" t="s">
        <v>29</v>
      </c>
    </row>
    <row r="3814" spans="1:14">
      <c r="A3814" s="148"/>
      <c r="B3814" s="149"/>
      <c r="C3814" s="160"/>
      <c r="D3814" s="151"/>
      <c r="E3814" s="152"/>
      <c r="F3814" s="153"/>
      <c r="G3814" s="154"/>
      <c r="H3814" s="154"/>
      <c r="I3814" s="154"/>
      <c r="J3814" s="155"/>
      <c r="K3814" s="156"/>
      <c r="L3814" s="157"/>
      <c r="M3814" s="158" t="s">
        <v>28</v>
      </c>
      <c r="N3814" s="159" t="s">
        <v>29</v>
      </c>
    </row>
    <row r="3815" spans="1:14">
      <c r="A3815" s="148"/>
      <c r="B3815" s="149"/>
      <c r="C3815" s="160"/>
      <c r="D3815" s="151"/>
      <c r="E3815" s="152"/>
      <c r="F3815" s="153"/>
      <c r="G3815" s="154"/>
      <c r="H3815" s="154"/>
      <c r="I3815" s="154"/>
      <c r="J3815" s="155"/>
      <c r="K3815" s="156"/>
      <c r="L3815" s="157"/>
      <c r="M3815" s="158" t="s">
        <v>28</v>
      </c>
      <c r="N3815" s="159" t="s">
        <v>29</v>
      </c>
    </row>
    <row r="3816" spans="1:14">
      <c r="A3816" s="148"/>
      <c r="B3816" s="149"/>
      <c r="C3816" s="160"/>
      <c r="D3816" s="151"/>
      <c r="E3816" s="152"/>
      <c r="F3816" s="153"/>
      <c r="G3816" s="154"/>
      <c r="H3816" s="154"/>
      <c r="I3816" s="154"/>
      <c r="J3816" s="155"/>
      <c r="K3816" s="156"/>
      <c r="L3816" s="157"/>
      <c r="M3816" s="158" t="s">
        <v>28</v>
      </c>
      <c r="N3816" s="159" t="s">
        <v>29</v>
      </c>
    </row>
    <row r="3817" spans="1:14">
      <c r="A3817" s="148"/>
      <c r="B3817" s="149"/>
      <c r="C3817" s="160"/>
      <c r="D3817" s="151"/>
      <c r="E3817" s="152"/>
      <c r="F3817" s="153"/>
      <c r="G3817" s="154"/>
      <c r="H3817" s="154"/>
      <c r="I3817" s="154"/>
      <c r="J3817" s="155"/>
      <c r="K3817" s="156"/>
      <c r="L3817" s="157"/>
      <c r="M3817" s="158" t="s">
        <v>28</v>
      </c>
      <c r="N3817" s="159" t="s">
        <v>29</v>
      </c>
    </row>
    <row r="3818" spans="1:14">
      <c r="A3818" s="148"/>
      <c r="B3818" s="149"/>
      <c r="C3818" s="160"/>
      <c r="D3818" s="151"/>
      <c r="E3818" s="152"/>
      <c r="F3818" s="153"/>
      <c r="G3818" s="154"/>
      <c r="H3818" s="154"/>
      <c r="I3818" s="154"/>
      <c r="J3818" s="155"/>
      <c r="K3818" s="156"/>
      <c r="L3818" s="157"/>
      <c r="M3818" s="158" t="s">
        <v>28</v>
      </c>
      <c r="N3818" s="159" t="s">
        <v>29</v>
      </c>
    </row>
    <row r="3819" spans="1:14">
      <c r="A3819" s="148"/>
      <c r="B3819" s="149"/>
      <c r="C3819" s="160"/>
      <c r="D3819" s="151"/>
      <c r="E3819" s="152"/>
      <c r="F3819" s="153"/>
      <c r="G3819" s="154"/>
      <c r="H3819" s="154"/>
      <c r="I3819" s="154"/>
      <c r="J3819" s="155"/>
      <c r="K3819" s="156"/>
      <c r="L3819" s="157"/>
      <c r="M3819" s="158" t="s">
        <v>28</v>
      </c>
      <c r="N3819" s="159" t="s">
        <v>29</v>
      </c>
    </row>
    <row r="3820" spans="1:14">
      <c r="A3820" s="148"/>
      <c r="B3820" s="149"/>
      <c r="C3820" s="160"/>
      <c r="D3820" s="151"/>
      <c r="E3820" s="152"/>
      <c r="F3820" s="153"/>
      <c r="G3820" s="154"/>
      <c r="H3820" s="154"/>
      <c r="I3820" s="154"/>
      <c r="J3820" s="155"/>
      <c r="K3820" s="156"/>
      <c r="L3820" s="157"/>
      <c r="M3820" s="158" t="s">
        <v>28</v>
      </c>
      <c r="N3820" s="159" t="s">
        <v>29</v>
      </c>
    </row>
    <row r="3821" spans="1:14">
      <c r="A3821" s="148"/>
      <c r="B3821" s="149"/>
      <c r="C3821" s="160"/>
      <c r="D3821" s="151"/>
      <c r="E3821" s="152"/>
      <c r="F3821" s="153"/>
      <c r="G3821" s="154"/>
      <c r="H3821" s="154"/>
      <c r="I3821" s="154"/>
      <c r="J3821" s="155"/>
      <c r="K3821" s="156"/>
      <c r="L3821" s="157"/>
      <c r="M3821" s="158" t="s">
        <v>28</v>
      </c>
      <c r="N3821" s="159" t="s">
        <v>29</v>
      </c>
    </row>
    <row r="3822" spans="1:14">
      <c r="A3822" s="148"/>
      <c r="B3822" s="149"/>
      <c r="C3822" s="160"/>
      <c r="D3822" s="151"/>
      <c r="E3822" s="152"/>
      <c r="F3822" s="153"/>
      <c r="G3822" s="154"/>
      <c r="H3822" s="154"/>
      <c r="I3822" s="154"/>
      <c r="J3822" s="155"/>
      <c r="K3822" s="156"/>
      <c r="L3822" s="157"/>
      <c r="M3822" s="158" t="s">
        <v>28</v>
      </c>
      <c r="N3822" s="159" t="s">
        <v>29</v>
      </c>
    </row>
    <row r="3823" spans="1:14">
      <c r="A3823" s="148"/>
      <c r="B3823" s="149"/>
      <c r="C3823" s="160"/>
      <c r="D3823" s="151"/>
      <c r="E3823" s="152"/>
      <c r="F3823" s="153"/>
      <c r="G3823" s="154"/>
      <c r="H3823" s="154"/>
      <c r="I3823" s="154"/>
      <c r="J3823" s="155"/>
      <c r="K3823" s="156"/>
      <c r="L3823" s="157"/>
      <c r="M3823" s="158" t="s">
        <v>28</v>
      </c>
      <c r="N3823" s="159" t="s">
        <v>29</v>
      </c>
    </row>
    <row r="3824" spans="1:14">
      <c r="A3824" s="148"/>
      <c r="B3824" s="149"/>
      <c r="C3824" s="160"/>
      <c r="D3824" s="151"/>
      <c r="E3824" s="152"/>
      <c r="F3824" s="153"/>
      <c r="G3824" s="154"/>
      <c r="H3824" s="154"/>
      <c r="I3824" s="154"/>
      <c r="J3824" s="155"/>
      <c r="K3824" s="156"/>
      <c r="L3824" s="157"/>
      <c r="M3824" s="158" t="s">
        <v>28</v>
      </c>
      <c r="N3824" s="159" t="s">
        <v>29</v>
      </c>
    </row>
    <row r="3825" spans="1:14">
      <c r="A3825" s="148"/>
      <c r="B3825" s="149"/>
      <c r="C3825" s="160"/>
      <c r="D3825" s="151"/>
      <c r="E3825" s="152"/>
      <c r="F3825" s="153"/>
      <c r="G3825" s="154"/>
      <c r="H3825" s="154"/>
      <c r="I3825" s="154"/>
      <c r="J3825" s="155"/>
      <c r="K3825" s="156"/>
      <c r="L3825" s="157"/>
      <c r="M3825" s="158" t="s">
        <v>28</v>
      </c>
      <c r="N3825" s="159" t="s">
        <v>29</v>
      </c>
    </row>
    <row r="3826" spans="1:14">
      <c r="A3826" s="148"/>
      <c r="B3826" s="149"/>
      <c r="C3826" s="160"/>
      <c r="D3826" s="151"/>
      <c r="E3826" s="152"/>
      <c r="F3826" s="153"/>
      <c r="G3826" s="154"/>
      <c r="H3826" s="154"/>
      <c r="I3826" s="154"/>
      <c r="J3826" s="155"/>
      <c r="K3826" s="156"/>
      <c r="L3826" s="157"/>
      <c r="M3826" s="158" t="s">
        <v>28</v>
      </c>
      <c r="N3826" s="159" t="s">
        <v>29</v>
      </c>
    </row>
    <row r="3827" spans="1:14">
      <c r="A3827" s="148"/>
      <c r="B3827" s="149"/>
      <c r="C3827" s="160"/>
      <c r="D3827" s="151"/>
      <c r="E3827" s="152"/>
      <c r="F3827" s="153"/>
      <c r="G3827" s="154"/>
      <c r="H3827" s="154"/>
      <c r="I3827" s="154"/>
      <c r="J3827" s="155"/>
      <c r="K3827" s="156"/>
      <c r="L3827" s="157"/>
      <c r="M3827" s="158" t="s">
        <v>28</v>
      </c>
      <c r="N3827" s="159" t="s">
        <v>29</v>
      </c>
    </row>
    <row r="3828" spans="1:14">
      <c r="A3828" s="148"/>
      <c r="B3828" s="149"/>
      <c r="C3828" s="160"/>
      <c r="D3828" s="151"/>
      <c r="E3828" s="152"/>
      <c r="F3828" s="153"/>
      <c r="G3828" s="154"/>
      <c r="H3828" s="154"/>
      <c r="I3828" s="154"/>
      <c r="J3828" s="155"/>
      <c r="K3828" s="156"/>
      <c r="L3828" s="157"/>
      <c r="M3828" s="158" t="s">
        <v>28</v>
      </c>
      <c r="N3828" s="159" t="s">
        <v>29</v>
      </c>
    </row>
    <row r="3829" spans="1:14">
      <c r="A3829" s="148"/>
      <c r="B3829" s="149"/>
      <c r="C3829" s="160"/>
      <c r="D3829" s="151"/>
      <c r="E3829" s="152"/>
      <c r="F3829" s="153"/>
      <c r="G3829" s="154"/>
      <c r="H3829" s="154"/>
      <c r="I3829" s="154"/>
      <c r="J3829" s="155"/>
      <c r="K3829" s="156"/>
      <c r="L3829" s="157"/>
      <c r="M3829" s="158" t="s">
        <v>28</v>
      </c>
      <c r="N3829" s="159" t="s">
        <v>29</v>
      </c>
    </row>
    <row r="3830" spans="1:14">
      <c r="A3830" s="148"/>
      <c r="B3830" s="149"/>
      <c r="C3830" s="160"/>
      <c r="D3830" s="151"/>
      <c r="E3830" s="152"/>
      <c r="F3830" s="153"/>
      <c r="G3830" s="154"/>
      <c r="H3830" s="154"/>
      <c r="I3830" s="154"/>
      <c r="J3830" s="155"/>
      <c r="K3830" s="156"/>
      <c r="L3830" s="157"/>
      <c r="M3830" s="158" t="s">
        <v>28</v>
      </c>
      <c r="N3830" s="159" t="s">
        <v>29</v>
      </c>
    </row>
    <row r="3831" spans="1:14">
      <c r="A3831" s="148"/>
      <c r="B3831" s="149"/>
      <c r="C3831" s="160"/>
      <c r="D3831" s="151"/>
      <c r="E3831" s="152"/>
      <c r="F3831" s="153"/>
      <c r="G3831" s="154"/>
      <c r="H3831" s="154"/>
      <c r="I3831" s="154"/>
      <c r="J3831" s="155"/>
      <c r="K3831" s="156"/>
      <c r="L3831" s="157"/>
      <c r="M3831" s="158" t="s">
        <v>28</v>
      </c>
      <c r="N3831" s="159" t="s">
        <v>29</v>
      </c>
    </row>
    <row r="3832" spans="1:14">
      <c r="A3832" s="148"/>
      <c r="B3832" s="149"/>
      <c r="C3832" s="160"/>
      <c r="D3832" s="151"/>
      <c r="E3832" s="152"/>
      <c r="F3832" s="153"/>
      <c r="G3832" s="154"/>
      <c r="H3832" s="154"/>
      <c r="I3832" s="154"/>
      <c r="J3832" s="155"/>
      <c r="K3832" s="156"/>
      <c r="L3832" s="157"/>
      <c r="M3832" s="158" t="s">
        <v>28</v>
      </c>
      <c r="N3832" s="159" t="s">
        <v>29</v>
      </c>
    </row>
    <row r="3833" spans="1:14">
      <c r="A3833" s="148"/>
      <c r="B3833" s="149"/>
      <c r="C3833" s="160"/>
      <c r="D3833" s="151"/>
      <c r="E3833" s="152"/>
      <c r="F3833" s="153"/>
      <c r="G3833" s="154"/>
      <c r="H3833" s="154"/>
      <c r="I3833" s="154"/>
      <c r="J3833" s="155"/>
      <c r="K3833" s="156"/>
      <c r="L3833" s="157"/>
      <c r="M3833" s="158" t="s">
        <v>28</v>
      </c>
      <c r="N3833" s="159" t="s">
        <v>29</v>
      </c>
    </row>
    <row r="3834" spans="1:14">
      <c r="A3834" s="148"/>
      <c r="B3834" s="149"/>
      <c r="C3834" s="160"/>
      <c r="D3834" s="151"/>
      <c r="E3834" s="152"/>
      <c r="F3834" s="153"/>
      <c r="G3834" s="154"/>
      <c r="H3834" s="154"/>
      <c r="I3834" s="154"/>
      <c r="J3834" s="155"/>
      <c r="K3834" s="156"/>
      <c r="L3834" s="157"/>
      <c r="M3834" s="158" t="s">
        <v>28</v>
      </c>
      <c r="N3834" s="159" t="s">
        <v>29</v>
      </c>
    </row>
    <row r="3835" spans="1:14">
      <c r="A3835" s="148"/>
      <c r="B3835" s="149"/>
      <c r="C3835" s="160"/>
      <c r="D3835" s="151"/>
      <c r="E3835" s="152"/>
      <c r="F3835" s="153"/>
      <c r="G3835" s="154"/>
      <c r="H3835" s="154"/>
      <c r="I3835" s="154"/>
      <c r="J3835" s="155"/>
      <c r="K3835" s="156"/>
      <c r="L3835" s="157"/>
      <c r="M3835" s="158" t="s">
        <v>28</v>
      </c>
      <c r="N3835" s="159" t="s">
        <v>29</v>
      </c>
    </row>
    <row r="3836" spans="1:14">
      <c r="A3836" s="148"/>
      <c r="B3836" s="149"/>
      <c r="C3836" s="160"/>
      <c r="D3836" s="151"/>
      <c r="E3836" s="152"/>
      <c r="F3836" s="153"/>
      <c r="G3836" s="154"/>
      <c r="H3836" s="154"/>
      <c r="I3836" s="154"/>
      <c r="J3836" s="155"/>
      <c r="K3836" s="156"/>
      <c r="L3836" s="157"/>
      <c r="M3836" s="158" t="s">
        <v>28</v>
      </c>
      <c r="N3836" s="159" t="s">
        <v>29</v>
      </c>
    </row>
    <row r="3837" spans="1:14">
      <c r="A3837" s="148"/>
      <c r="B3837" s="149"/>
      <c r="C3837" s="160"/>
      <c r="D3837" s="151"/>
      <c r="E3837" s="152"/>
      <c r="F3837" s="153"/>
      <c r="G3837" s="154"/>
      <c r="H3837" s="154"/>
      <c r="I3837" s="154"/>
      <c r="J3837" s="155"/>
      <c r="K3837" s="156"/>
      <c r="L3837" s="157"/>
      <c r="M3837" s="158" t="s">
        <v>28</v>
      </c>
      <c r="N3837" s="159" t="s">
        <v>29</v>
      </c>
    </row>
    <row r="3838" spans="1:14">
      <c r="A3838" s="148"/>
      <c r="B3838" s="149"/>
      <c r="C3838" s="160"/>
      <c r="D3838" s="151"/>
      <c r="E3838" s="152"/>
      <c r="F3838" s="153"/>
      <c r="G3838" s="154"/>
      <c r="H3838" s="154"/>
      <c r="I3838" s="154"/>
      <c r="J3838" s="155"/>
      <c r="K3838" s="156"/>
      <c r="L3838" s="157"/>
      <c r="M3838" s="158" t="s">
        <v>28</v>
      </c>
      <c r="N3838" s="159" t="s">
        <v>29</v>
      </c>
    </row>
    <row r="3839" spans="1:14">
      <c r="A3839" s="148"/>
      <c r="B3839" s="149"/>
      <c r="C3839" s="160"/>
      <c r="D3839" s="151"/>
      <c r="E3839" s="152"/>
      <c r="F3839" s="153"/>
      <c r="G3839" s="154"/>
      <c r="H3839" s="154"/>
      <c r="I3839" s="154"/>
      <c r="J3839" s="155"/>
      <c r="K3839" s="156"/>
      <c r="L3839" s="157"/>
      <c r="M3839" s="158" t="s">
        <v>28</v>
      </c>
      <c r="N3839" s="159" t="s">
        <v>29</v>
      </c>
    </row>
    <row r="3840" spans="1:14">
      <c r="A3840" s="148"/>
      <c r="B3840" s="149"/>
      <c r="C3840" s="160"/>
      <c r="D3840" s="151"/>
      <c r="E3840" s="152"/>
      <c r="F3840" s="153"/>
      <c r="G3840" s="154"/>
      <c r="H3840" s="154"/>
      <c r="I3840" s="154"/>
      <c r="J3840" s="155"/>
      <c r="K3840" s="156"/>
      <c r="L3840" s="157"/>
      <c r="M3840" s="158" t="s">
        <v>28</v>
      </c>
      <c r="N3840" s="159" t="s">
        <v>29</v>
      </c>
    </row>
    <row r="3841" spans="1:14">
      <c r="A3841" s="148"/>
      <c r="B3841" s="149"/>
      <c r="C3841" s="160"/>
      <c r="D3841" s="151"/>
      <c r="E3841" s="152"/>
      <c r="F3841" s="153"/>
      <c r="G3841" s="154"/>
      <c r="H3841" s="154"/>
      <c r="I3841" s="154"/>
      <c r="J3841" s="155"/>
      <c r="K3841" s="156"/>
      <c r="L3841" s="157"/>
      <c r="M3841" s="158" t="s">
        <v>28</v>
      </c>
      <c r="N3841" s="159" t="s">
        <v>29</v>
      </c>
    </row>
    <row r="3842" spans="1:14">
      <c r="A3842" s="148"/>
      <c r="B3842" s="149"/>
      <c r="C3842" s="160"/>
      <c r="D3842" s="151"/>
      <c r="E3842" s="152"/>
      <c r="F3842" s="153"/>
      <c r="G3842" s="154"/>
      <c r="H3842" s="154"/>
      <c r="I3842" s="154"/>
      <c r="J3842" s="155"/>
      <c r="K3842" s="156"/>
      <c r="L3842" s="157"/>
      <c r="M3842" s="158" t="s">
        <v>28</v>
      </c>
      <c r="N3842" s="159" t="s">
        <v>29</v>
      </c>
    </row>
    <row r="3843" spans="1:14">
      <c r="A3843" s="148"/>
      <c r="B3843" s="149"/>
      <c r="C3843" s="160"/>
      <c r="D3843" s="151"/>
      <c r="E3843" s="152"/>
      <c r="F3843" s="153"/>
      <c r="G3843" s="154"/>
      <c r="H3843" s="154"/>
      <c r="I3843" s="154"/>
      <c r="J3843" s="155"/>
      <c r="K3843" s="156"/>
      <c r="L3843" s="157"/>
      <c r="M3843" s="158" t="s">
        <v>28</v>
      </c>
      <c r="N3843" s="159" t="s">
        <v>29</v>
      </c>
    </row>
    <row r="3844" spans="1:14">
      <c r="A3844" s="148"/>
      <c r="B3844" s="149"/>
      <c r="C3844" s="160"/>
      <c r="D3844" s="151"/>
      <c r="E3844" s="152"/>
      <c r="F3844" s="153"/>
      <c r="G3844" s="154"/>
      <c r="H3844" s="154"/>
      <c r="I3844" s="154"/>
      <c r="J3844" s="155"/>
      <c r="K3844" s="156"/>
      <c r="L3844" s="157"/>
      <c r="M3844" s="158" t="s">
        <v>28</v>
      </c>
      <c r="N3844" s="159" t="s">
        <v>29</v>
      </c>
    </row>
    <row r="3845" spans="1:14">
      <c r="A3845" s="148"/>
      <c r="B3845" s="149"/>
      <c r="C3845" s="160"/>
      <c r="D3845" s="151"/>
      <c r="E3845" s="152"/>
      <c r="F3845" s="153"/>
      <c r="G3845" s="154"/>
      <c r="H3845" s="154"/>
      <c r="I3845" s="154"/>
      <c r="J3845" s="155"/>
      <c r="K3845" s="156"/>
      <c r="L3845" s="157"/>
      <c r="M3845" s="158" t="s">
        <v>28</v>
      </c>
      <c r="N3845" s="159" t="s">
        <v>29</v>
      </c>
    </row>
    <row r="3846" spans="1:14">
      <c r="A3846" s="148"/>
      <c r="B3846" s="149"/>
      <c r="C3846" s="160"/>
      <c r="D3846" s="151"/>
      <c r="E3846" s="152"/>
      <c r="F3846" s="153"/>
      <c r="G3846" s="154"/>
      <c r="H3846" s="154"/>
      <c r="I3846" s="154"/>
      <c r="J3846" s="155"/>
      <c r="K3846" s="156"/>
      <c r="L3846" s="157"/>
      <c r="M3846" s="158" t="s">
        <v>28</v>
      </c>
      <c r="N3846" s="159" t="s">
        <v>29</v>
      </c>
    </row>
    <row r="3847" spans="1:14">
      <c r="A3847" s="148"/>
      <c r="B3847" s="149"/>
      <c r="C3847" s="160"/>
      <c r="D3847" s="151"/>
      <c r="E3847" s="152"/>
      <c r="F3847" s="153"/>
      <c r="G3847" s="154"/>
      <c r="H3847" s="154"/>
      <c r="I3847" s="154"/>
      <c r="J3847" s="155"/>
      <c r="K3847" s="156"/>
      <c r="L3847" s="157"/>
      <c r="M3847" s="158" t="s">
        <v>28</v>
      </c>
      <c r="N3847" s="159" t="s">
        <v>29</v>
      </c>
    </row>
    <row r="3848" spans="1:14">
      <c r="A3848" s="148"/>
      <c r="B3848" s="149"/>
      <c r="C3848" s="160"/>
      <c r="D3848" s="151"/>
      <c r="E3848" s="152"/>
      <c r="F3848" s="153"/>
      <c r="G3848" s="154"/>
      <c r="H3848" s="154"/>
      <c r="I3848" s="154"/>
      <c r="J3848" s="155"/>
      <c r="K3848" s="156"/>
      <c r="L3848" s="157"/>
      <c r="M3848" s="158" t="s">
        <v>28</v>
      </c>
      <c r="N3848" s="159" t="s">
        <v>29</v>
      </c>
    </row>
    <row r="3849" spans="1:14">
      <c r="A3849" s="148"/>
      <c r="B3849" s="149"/>
      <c r="C3849" s="160"/>
      <c r="D3849" s="151"/>
      <c r="E3849" s="152"/>
      <c r="F3849" s="153"/>
      <c r="G3849" s="154"/>
      <c r="H3849" s="154"/>
      <c r="I3849" s="154"/>
      <c r="J3849" s="155"/>
      <c r="K3849" s="156"/>
      <c r="L3849" s="157"/>
      <c r="M3849" s="158" t="s">
        <v>28</v>
      </c>
      <c r="N3849" s="159" t="s">
        <v>29</v>
      </c>
    </row>
    <row r="3850" spans="1:14">
      <c r="A3850" s="148"/>
      <c r="B3850" s="149"/>
      <c r="C3850" s="160"/>
      <c r="D3850" s="151"/>
      <c r="E3850" s="152"/>
      <c r="F3850" s="153"/>
      <c r="G3850" s="154"/>
      <c r="H3850" s="154"/>
      <c r="I3850" s="154"/>
      <c r="J3850" s="155"/>
      <c r="K3850" s="156"/>
      <c r="L3850" s="157"/>
      <c r="M3850" s="158" t="s">
        <v>28</v>
      </c>
      <c r="N3850" s="159" t="s">
        <v>29</v>
      </c>
    </row>
    <row r="3851" spans="1:14">
      <c r="A3851" s="148"/>
      <c r="B3851" s="149"/>
      <c r="C3851" s="160"/>
      <c r="D3851" s="151"/>
      <c r="E3851" s="152"/>
      <c r="F3851" s="153"/>
      <c r="G3851" s="154"/>
      <c r="H3851" s="154"/>
      <c r="I3851" s="154"/>
      <c r="J3851" s="155"/>
      <c r="K3851" s="156"/>
      <c r="L3851" s="157"/>
      <c r="M3851" s="158" t="s">
        <v>28</v>
      </c>
      <c r="N3851" s="159" t="s">
        <v>29</v>
      </c>
    </row>
    <row r="3852" spans="1:14">
      <c r="A3852" s="148"/>
      <c r="B3852" s="149"/>
      <c r="C3852" s="160"/>
      <c r="D3852" s="151"/>
      <c r="E3852" s="152"/>
      <c r="F3852" s="153"/>
      <c r="G3852" s="154"/>
      <c r="H3852" s="154"/>
      <c r="I3852" s="154"/>
      <c r="J3852" s="155"/>
      <c r="K3852" s="156"/>
      <c r="L3852" s="157"/>
      <c r="M3852" s="158" t="s">
        <v>28</v>
      </c>
      <c r="N3852" s="159" t="s">
        <v>29</v>
      </c>
    </row>
    <row r="3853" spans="1:14">
      <c r="A3853" s="148"/>
      <c r="B3853" s="149"/>
      <c r="C3853" s="160"/>
      <c r="D3853" s="151"/>
      <c r="E3853" s="152"/>
      <c r="F3853" s="153"/>
      <c r="G3853" s="154"/>
      <c r="H3853" s="154"/>
      <c r="I3853" s="154"/>
      <c r="J3853" s="155"/>
      <c r="K3853" s="156"/>
      <c r="L3853" s="157"/>
      <c r="M3853" s="158" t="s">
        <v>28</v>
      </c>
      <c r="N3853" s="159" t="s">
        <v>29</v>
      </c>
    </row>
    <row r="3854" spans="1:14">
      <c r="A3854" s="148"/>
      <c r="B3854" s="149"/>
      <c r="C3854" s="160"/>
      <c r="D3854" s="151"/>
      <c r="E3854" s="152"/>
      <c r="F3854" s="153"/>
      <c r="G3854" s="154"/>
      <c r="H3854" s="154"/>
      <c r="I3854" s="154"/>
      <c r="J3854" s="155"/>
      <c r="K3854" s="156"/>
      <c r="L3854" s="157"/>
      <c r="M3854" s="158" t="s">
        <v>28</v>
      </c>
      <c r="N3854" s="159" t="s">
        <v>29</v>
      </c>
    </row>
    <row r="3855" spans="1:14">
      <c r="A3855" s="148"/>
      <c r="B3855" s="149"/>
      <c r="C3855" s="160"/>
      <c r="D3855" s="151"/>
      <c r="E3855" s="152"/>
      <c r="F3855" s="153"/>
      <c r="G3855" s="154"/>
      <c r="H3855" s="154"/>
      <c r="I3855" s="154"/>
      <c r="J3855" s="155"/>
      <c r="K3855" s="156"/>
      <c r="L3855" s="157"/>
      <c r="M3855" s="158" t="s">
        <v>28</v>
      </c>
      <c r="N3855" s="159" t="s">
        <v>29</v>
      </c>
    </row>
    <row r="3856" spans="1:14">
      <c r="A3856" s="148"/>
      <c r="B3856" s="149"/>
      <c r="C3856" s="160"/>
      <c r="D3856" s="151"/>
      <c r="E3856" s="152"/>
      <c r="F3856" s="153"/>
      <c r="G3856" s="154"/>
      <c r="H3856" s="154"/>
      <c r="I3856" s="154"/>
      <c r="J3856" s="155"/>
      <c r="K3856" s="156"/>
      <c r="L3856" s="157"/>
      <c r="M3856" s="158" t="s">
        <v>28</v>
      </c>
      <c r="N3856" s="159" t="s">
        <v>29</v>
      </c>
    </row>
    <row r="3857" spans="1:14">
      <c r="A3857" s="148"/>
      <c r="B3857" s="149"/>
      <c r="C3857" s="160"/>
      <c r="D3857" s="151"/>
      <c r="E3857" s="152"/>
      <c r="F3857" s="153"/>
      <c r="G3857" s="154"/>
      <c r="H3857" s="154"/>
      <c r="I3857" s="154"/>
      <c r="J3857" s="155"/>
      <c r="K3857" s="156"/>
      <c r="L3857" s="157"/>
      <c r="M3857" s="158" t="s">
        <v>28</v>
      </c>
      <c r="N3857" s="159" t="s">
        <v>29</v>
      </c>
    </row>
    <row r="3858" spans="1:14">
      <c r="A3858" s="148"/>
      <c r="B3858" s="149"/>
      <c r="C3858" s="160"/>
      <c r="D3858" s="151"/>
      <c r="E3858" s="152"/>
      <c r="F3858" s="153"/>
      <c r="G3858" s="154"/>
      <c r="H3858" s="154"/>
      <c r="I3858" s="154"/>
      <c r="J3858" s="155"/>
      <c r="K3858" s="156"/>
      <c r="L3858" s="157"/>
      <c r="M3858" s="158" t="s">
        <v>28</v>
      </c>
      <c r="N3858" s="159" t="s">
        <v>29</v>
      </c>
    </row>
    <row r="3859" spans="1:14">
      <c r="A3859" s="148"/>
      <c r="B3859" s="149"/>
      <c r="C3859" s="160"/>
      <c r="D3859" s="151"/>
      <c r="E3859" s="152"/>
      <c r="F3859" s="153"/>
      <c r="G3859" s="154"/>
      <c r="H3859" s="154"/>
      <c r="I3859" s="154"/>
      <c r="J3859" s="155"/>
      <c r="K3859" s="156"/>
      <c r="L3859" s="157"/>
      <c r="M3859" s="158" t="s">
        <v>28</v>
      </c>
      <c r="N3859" s="159" t="s">
        <v>29</v>
      </c>
    </row>
    <row r="3860" spans="1:14">
      <c r="A3860" s="148"/>
      <c r="B3860" s="149"/>
      <c r="C3860" s="160"/>
      <c r="D3860" s="151"/>
      <c r="E3860" s="152"/>
      <c r="F3860" s="153"/>
      <c r="G3860" s="154"/>
      <c r="H3860" s="154"/>
      <c r="I3860" s="154"/>
      <c r="J3860" s="155"/>
      <c r="K3860" s="156"/>
      <c r="L3860" s="157"/>
      <c r="M3860" s="158" t="s">
        <v>28</v>
      </c>
      <c r="N3860" s="159" t="s">
        <v>29</v>
      </c>
    </row>
    <row r="3861" spans="1:14">
      <c r="A3861" s="148"/>
      <c r="B3861" s="149"/>
      <c r="C3861" s="160"/>
      <c r="D3861" s="151"/>
      <c r="E3861" s="152"/>
      <c r="F3861" s="153"/>
      <c r="G3861" s="154"/>
      <c r="H3861" s="154"/>
      <c r="I3861" s="154"/>
      <c r="J3861" s="155"/>
      <c r="K3861" s="156"/>
      <c r="L3861" s="157"/>
      <c r="M3861" s="158" t="s">
        <v>28</v>
      </c>
      <c r="N3861" s="159" t="s">
        <v>29</v>
      </c>
    </row>
    <row r="3862" spans="1:14">
      <c r="A3862" s="148"/>
      <c r="B3862" s="149"/>
      <c r="C3862" s="160"/>
      <c r="D3862" s="151"/>
      <c r="E3862" s="152"/>
      <c r="F3862" s="153"/>
      <c r="G3862" s="154"/>
      <c r="H3862" s="154"/>
      <c r="I3862" s="154"/>
      <c r="J3862" s="155"/>
      <c r="K3862" s="156"/>
      <c r="L3862" s="157"/>
      <c r="M3862" s="158" t="s">
        <v>28</v>
      </c>
      <c r="N3862" s="159" t="s">
        <v>29</v>
      </c>
    </row>
    <row r="3863" spans="1:14">
      <c r="A3863" s="148"/>
      <c r="B3863" s="149"/>
      <c r="C3863" s="160"/>
      <c r="D3863" s="151"/>
      <c r="E3863" s="152"/>
      <c r="F3863" s="153"/>
      <c r="G3863" s="154"/>
      <c r="H3863" s="154"/>
      <c r="I3863" s="154"/>
      <c r="J3863" s="155"/>
      <c r="K3863" s="156"/>
      <c r="L3863" s="157"/>
      <c r="M3863" s="158" t="s">
        <v>28</v>
      </c>
      <c r="N3863" s="159" t="s">
        <v>29</v>
      </c>
    </row>
    <row r="3864" spans="1:14">
      <c r="A3864" s="148"/>
      <c r="B3864" s="149"/>
      <c r="C3864" s="160"/>
      <c r="D3864" s="151"/>
      <c r="E3864" s="152"/>
      <c r="F3864" s="153"/>
      <c r="G3864" s="154"/>
      <c r="H3864" s="154"/>
      <c r="I3864" s="154"/>
      <c r="J3864" s="155"/>
      <c r="K3864" s="156"/>
      <c r="L3864" s="157"/>
      <c r="M3864" s="158" t="s">
        <v>28</v>
      </c>
      <c r="N3864" s="159" t="s">
        <v>29</v>
      </c>
    </row>
    <row r="3865" spans="1:14">
      <c r="A3865" s="148"/>
      <c r="B3865" s="149"/>
      <c r="C3865" s="160"/>
      <c r="D3865" s="151"/>
      <c r="E3865" s="152"/>
      <c r="F3865" s="153"/>
      <c r="G3865" s="154"/>
      <c r="H3865" s="154"/>
      <c r="I3865" s="154"/>
      <c r="J3865" s="155"/>
      <c r="K3865" s="156"/>
      <c r="L3865" s="157"/>
      <c r="M3865" s="158" t="s">
        <v>28</v>
      </c>
      <c r="N3865" s="159" t="s">
        <v>29</v>
      </c>
    </row>
    <row r="3866" spans="1:14">
      <c r="A3866" s="148"/>
      <c r="B3866" s="149"/>
      <c r="C3866" s="160"/>
      <c r="D3866" s="151"/>
      <c r="E3866" s="152"/>
      <c r="F3866" s="153"/>
      <c r="G3866" s="154"/>
      <c r="H3866" s="154"/>
      <c r="I3866" s="154"/>
      <c r="J3866" s="155"/>
      <c r="K3866" s="156"/>
      <c r="L3866" s="157"/>
      <c r="M3866" s="158" t="s">
        <v>28</v>
      </c>
      <c r="N3866" s="159" t="s">
        <v>29</v>
      </c>
    </row>
    <row r="3867" spans="1:14">
      <c r="A3867" s="148"/>
      <c r="B3867" s="149"/>
      <c r="C3867" s="160"/>
      <c r="D3867" s="151"/>
      <c r="E3867" s="152"/>
      <c r="F3867" s="153"/>
      <c r="G3867" s="154"/>
      <c r="H3867" s="154"/>
      <c r="I3867" s="154"/>
      <c r="J3867" s="155"/>
      <c r="K3867" s="156"/>
      <c r="L3867" s="157"/>
      <c r="M3867" s="158" t="s">
        <v>28</v>
      </c>
      <c r="N3867" s="159" t="s">
        <v>29</v>
      </c>
    </row>
    <row r="3868" spans="1:14">
      <c r="A3868" s="148"/>
      <c r="B3868" s="149"/>
      <c r="C3868" s="160"/>
      <c r="D3868" s="151"/>
      <c r="E3868" s="152"/>
      <c r="F3868" s="153"/>
      <c r="G3868" s="154"/>
      <c r="H3868" s="154"/>
      <c r="I3868" s="154"/>
      <c r="J3868" s="155"/>
      <c r="K3868" s="156"/>
      <c r="L3868" s="157"/>
      <c r="M3868" s="158" t="s">
        <v>28</v>
      </c>
      <c r="N3868" s="159" t="s">
        <v>29</v>
      </c>
    </row>
    <row r="3869" spans="1:14">
      <c r="A3869" s="148"/>
      <c r="B3869" s="149"/>
      <c r="C3869" s="160"/>
      <c r="D3869" s="151"/>
      <c r="E3869" s="152"/>
      <c r="F3869" s="153"/>
      <c r="G3869" s="154"/>
      <c r="H3869" s="154"/>
      <c r="I3869" s="154"/>
      <c r="J3869" s="155"/>
      <c r="K3869" s="156"/>
      <c r="L3869" s="157"/>
      <c r="M3869" s="158" t="s">
        <v>28</v>
      </c>
      <c r="N3869" s="159" t="s">
        <v>29</v>
      </c>
    </row>
    <row r="3870" spans="1:14">
      <c r="A3870" s="148"/>
      <c r="B3870" s="149"/>
      <c r="C3870" s="160"/>
      <c r="D3870" s="151"/>
      <c r="E3870" s="152"/>
      <c r="F3870" s="153"/>
      <c r="G3870" s="154"/>
      <c r="H3870" s="154"/>
      <c r="I3870" s="154"/>
      <c r="J3870" s="155"/>
      <c r="K3870" s="156"/>
      <c r="L3870" s="157"/>
      <c r="M3870" s="158" t="s">
        <v>28</v>
      </c>
      <c r="N3870" s="159" t="s">
        <v>29</v>
      </c>
    </row>
    <row r="3871" spans="1:14">
      <c r="A3871" s="148"/>
      <c r="B3871" s="149"/>
      <c r="C3871" s="160"/>
      <c r="D3871" s="151"/>
      <c r="E3871" s="152"/>
      <c r="F3871" s="153"/>
      <c r="G3871" s="154"/>
      <c r="H3871" s="154"/>
      <c r="I3871" s="154"/>
      <c r="J3871" s="155"/>
      <c r="K3871" s="156"/>
      <c r="L3871" s="157"/>
      <c r="M3871" s="158" t="s">
        <v>28</v>
      </c>
      <c r="N3871" s="159" t="s">
        <v>29</v>
      </c>
    </row>
    <row r="3872" spans="1:14">
      <c r="A3872" s="148"/>
      <c r="B3872" s="149"/>
      <c r="C3872" s="160"/>
      <c r="D3872" s="151"/>
      <c r="E3872" s="152"/>
      <c r="F3872" s="153"/>
      <c r="G3872" s="154"/>
      <c r="H3872" s="154"/>
      <c r="I3872" s="154"/>
      <c r="J3872" s="155"/>
      <c r="K3872" s="156"/>
      <c r="L3872" s="157"/>
      <c r="M3872" s="158" t="s">
        <v>28</v>
      </c>
      <c r="N3872" s="159" t="s">
        <v>29</v>
      </c>
    </row>
    <row r="3873" spans="1:14">
      <c r="A3873" s="148"/>
      <c r="B3873" s="149"/>
      <c r="C3873" s="160"/>
      <c r="D3873" s="151"/>
      <c r="E3873" s="152"/>
      <c r="F3873" s="153"/>
      <c r="G3873" s="154"/>
      <c r="H3873" s="154"/>
      <c r="I3873" s="154"/>
      <c r="J3873" s="155"/>
      <c r="K3873" s="156"/>
      <c r="L3873" s="157"/>
      <c r="M3873" s="158" t="s">
        <v>28</v>
      </c>
      <c r="N3873" s="159" t="s">
        <v>29</v>
      </c>
    </row>
    <row r="3874" spans="1:14">
      <c r="A3874" s="148"/>
      <c r="B3874" s="149"/>
      <c r="C3874" s="160"/>
      <c r="D3874" s="151"/>
      <c r="E3874" s="152"/>
      <c r="F3874" s="153"/>
      <c r="G3874" s="154"/>
      <c r="H3874" s="154"/>
      <c r="I3874" s="154"/>
      <c r="J3874" s="155"/>
      <c r="K3874" s="156"/>
      <c r="L3874" s="157"/>
      <c r="M3874" s="158" t="s">
        <v>28</v>
      </c>
      <c r="N3874" s="159" t="s">
        <v>29</v>
      </c>
    </row>
    <row r="3875" spans="1:14">
      <c r="A3875" s="148"/>
      <c r="B3875" s="149"/>
      <c r="C3875" s="160"/>
      <c r="D3875" s="151"/>
      <c r="E3875" s="152"/>
      <c r="F3875" s="153"/>
      <c r="G3875" s="154"/>
      <c r="H3875" s="154"/>
      <c r="I3875" s="154"/>
      <c r="J3875" s="155"/>
      <c r="K3875" s="156"/>
      <c r="L3875" s="157"/>
      <c r="M3875" s="158" t="s">
        <v>28</v>
      </c>
      <c r="N3875" s="159" t="s">
        <v>29</v>
      </c>
    </row>
    <row r="3876" spans="1:14">
      <c r="A3876" s="148"/>
      <c r="B3876" s="149"/>
      <c r="C3876" s="160"/>
      <c r="D3876" s="151"/>
      <c r="E3876" s="152"/>
      <c r="F3876" s="153"/>
      <c r="G3876" s="154"/>
      <c r="H3876" s="154"/>
      <c r="I3876" s="154"/>
      <c r="J3876" s="155"/>
      <c r="K3876" s="156"/>
      <c r="L3876" s="157"/>
      <c r="M3876" s="158" t="s">
        <v>28</v>
      </c>
      <c r="N3876" s="159" t="s">
        <v>29</v>
      </c>
    </row>
    <row r="3877" spans="1:14">
      <c r="A3877" s="148"/>
      <c r="B3877" s="149"/>
      <c r="C3877" s="160"/>
      <c r="D3877" s="151"/>
      <c r="E3877" s="152"/>
      <c r="F3877" s="153"/>
      <c r="G3877" s="154"/>
      <c r="H3877" s="154"/>
      <c r="I3877" s="154"/>
      <c r="J3877" s="155"/>
      <c r="K3877" s="156"/>
      <c r="L3877" s="157"/>
      <c r="M3877" s="158" t="s">
        <v>28</v>
      </c>
      <c r="N3877" s="159" t="s">
        <v>29</v>
      </c>
    </row>
    <row r="3878" spans="1:14">
      <c r="A3878" s="148"/>
      <c r="B3878" s="149"/>
      <c r="C3878" s="160"/>
      <c r="D3878" s="151"/>
      <c r="E3878" s="152"/>
      <c r="F3878" s="153"/>
      <c r="G3878" s="154"/>
      <c r="H3878" s="154"/>
      <c r="I3878" s="154"/>
      <c r="J3878" s="155"/>
      <c r="K3878" s="156"/>
      <c r="L3878" s="157"/>
      <c r="M3878" s="158" t="s">
        <v>28</v>
      </c>
      <c r="N3878" s="159" t="s">
        <v>29</v>
      </c>
    </row>
    <row r="3879" spans="1:14">
      <c r="A3879" s="148"/>
      <c r="B3879" s="149"/>
      <c r="C3879" s="160"/>
      <c r="D3879" s="151"/>
      <c r="E3879" s="152"/>
      <c r="F3879" s="153"/>
      <c r="G3879" s="154"/>
      <c r="H3879" s="154"/>
      <c r="I3879" s="154"/>
      <c r="J3879" s="155"/>
      <c r="K3879" s="156"/>
      <c r="L3879" s="157"/>
      <c r="M3879" s="158" t="s">
        <v>28</v>
      </c>
      <c r="N3879" s="159" t="s">
        <v>29</v>
      </c>
    </row>
    <row r="3880" spans="1:14">
      <c r="A3880" s="148"/>
      <c r="B3880" s="149"/>
      <c r="C3880" s="160"/>
      <c r="D3880" s="151"/>
      <c r="E3880" s="152"/>
      <c r="F3880" s="153"/>
      <c r="G3880" s="154"/>
      <c r="H3880" s="154"/>
      <c r="I3880" s="154"/>
      <c r="J3880" s="155"/>
      <c r="K3880" s="156"/>
      <c r="L3880" s="157"/>
      <c r="M3880" s="158" t="s">
        <v>28</v>
      </c>
      <c r="N3880" s="159" t="s">
        <v>29</v>
      </c>
    </row>
    <row r="3881" spans="1:14">
      <c r="A3881" s="148"/>
      <c r="B3881" s="149"/>
      <c r="C3881" s="160"/>
      <c r="D3881" s="151"/>
      <c r="E3881" s="152"/>
      <c r="F3881" s="153"/>
      <c r="G3881" s="154"/>
      <c r="H3881" s="154"/>
      <c r="I3881" s="154"/>
      <c r="J3881" s="155"/>
      <c r="K3881" s="156"/>
      <c r="L3881" s="157"/>
      <c r="M3881" s="158" t="s">
        <v>28</v>
      </c>
      <c r="N3881" s="159" t="s">
        <v>29</v>
      </c>
    </row>
    <row r="3882" spans="1:14">
      <c r="A3882" s="148"/>
      <c r="B3882" s="149"/>
      <c r="C3882" s="160"/>
      <c r="D3882" s="151"/>
      <c r="E3882" s="152"/>
      <c r="F3882" s="153"/>
      <c r="G3882" s="154"/>
      <c r="H3882" s="154"/>
      <c r="I3882" s="154"/>
      <c r="J3882" s="155"/>
      <c r="K3882" s="156"/>
      <c r="L3882" s="157"/>
      <c r="M3882" s="158" t="s">
        <v>28</v>
      </c>
      <c r="N3882" s="159" t="s">
        <v>29</v>
      </c>
    </row>
    <row r="3883" spans="1:14">
      <c r="A3883" s="148"/>
      <c r="B3883" s="149"/>
      <c r="C3883" s="160"/>
      <c r="D3883" s="151"/>
      <c r="E3883" s="152"/>
      <c r="F3883" s="153"/>
      <c r="G3883" s="154"/>
      <c r="H3883" s="154"/>
      <c r="I3883" s="154"/>
      <c r="J3883" s="155"/>
      <c r="K3883" s="156"/>
      <c r="L3883" s="157"/>
      <c r="M3883" s="158" t="s">
        <v>28</v>
      </c>
      <c r="N3883" s="159" t="s">
        <v>29</v>
      </c>
    </row>
    <row r="3884" spans="1:14">
      <c r="A3884" s="148"/>
      <c r="B3884" s="149"/>
      <c r="C3884" s="160"/>
      <c r="D3884" s="151"/>
      <c r="E3884" s="152"/>
      <c r="F3884" s="153"/>
      <c r="G3884" s="154"/>
      <c r="H3884" s="154"/>
      <c r="I3884" s="154"/>
      <c r="J3884" s="155"/>
      <c r="K3884" s="156"/>
      <c r="L3884" s="157"/>
      <c r="M3884" s="158" t="s">
        <v>28</v>
      </c>
      <c r="N3884" s="159" t="s">
        <v>29</v>
      </c>
    </row>
    <row r="3885" spans="1:14">
      <c r="A3885" s="148"/>
      <c r="B3885" s="149"/>
      <c r="C3885" s="160"/>
      <c r="D3885" s="151"/>
      <c r="E3885" s="152"/>
      <c r="F3885" s="153"/>
      <c r="G3885" s="154"/>
      <c r="H3885" s="154"/>
      <c r="I3885" s="154"/>
      <c r="J3885" s="155"/>
      <c r="K3885" s="156"/>
      <c r="L3885" s="157"/>
      <c r="M3885" s="158" t="s">
        <v>28</v>
      </c>
      <c r="N3885" s="159" t="s">
        <v>29</v>
      </c>
    </row>
    <row r="3886" spans="1:14">
      <c r="A3886" s="148"/>
      <c r="B3886" s="149"/>
      <c r="C3886" s="160"/>
      <c r="D3886" s="151"/>
      <c r="E3886" s="152"/>
      <c r="F3886" s="153"/>
      <c r="G3886" s="154"/>
      <c r="H3886" s="154"/>
      <c r="I3886" s="154"/>
      <c r="J3886" s="155"/>
      <c r="K3886" s="156"/>
      <c r="L3886" s="157"/>
      <c r="M3886" s="158" t="s">
        <v>28</v>
      </c>
      <c r="N3886" s="159" t="s">
        <v>29</v>
      </c>
    </row>
    <row r="3887" spans="1:14">
      <c r="A3887" s="148"/>
      <c r="B3887" s="149"/>
      <c r="C3887" s="160"/>
      <c r="D3887" s="151"/>
      <c r="E3887" s="152"/>
      <c r="F3887" s="153"/>
      <c r="G3887" s="154"/>
      <c r="H3887" s="154"/>
      <c r="I3887" s="154"/>
      <c r="J3887" s="155"/>
      <c r="K3887" s="156"/>
      <c r="L3887" s="157"/>
      <c r="M3887" s="158" t="s">
        <v>28</v>
      </c>
      <c r="N3887" s="159" t="s">
        <v>29</v>
      </c>
    </row>
    <row r="3888" spans="1:14">
      <c r="A3888" s="148"/>
      <c r="B3888" s="149"/>
      <c r="C3888" s="160"/>
      <c r="D3888" s="151"/>
      <c r="E3888" s="152"/>
      <c r="F3888" s="153"/>
      <c r="G3888" s="154"/>
      <c r="H3888" s="154"/>
      <c r="I3888" s="154"/>
      <c r="J3888" s="155"/>
      <c r="K3888" s="156"/>
      <c r="L3888" s="157"/>
      <c r="M3888" s="158" t="s">
        <v>28</v>
      </c>
      <c r="N3888" s="159" t="s">
        <v>29</v>
      </c>
    </row>
    <row r="3889" spans="1:14">
      <c r="A3889" s="148"/>
      <c r="B3889" s="149"/>
      <c r="C3889" s="160"/>
      <c r="D3889" s="151"/>
      <c r="E3889" s="152"/>
      <c r="F3889" s="153"/>
      <c r="G3889" s="154"/>
      <c r="H3889" s="154"/>
      <c r="I3889" s="154"/>
      <c r="J3889" s="155"/>
      <c r="K3889" s="156"/>
      <c r="L3889" s="157"/>
      <c r="M3889" s="158" t="s">
        <v>28</v>
      </c>
      <c r="N3889" s="159" t="s">
        <v>29</v>
      </c>
    </row>
    <row r="3890" spans="1:14">
      <c r="A3890" s="148"/>
      <c r="B3890" s="149"/>
      <c r="C3890" s="160"/>
      <c r="D3890" s="151"/>
      <c r="E3890" s="152"/>
      <c r="F3890" s="153"/>
      <c r="G3890" s="154"/>
      <c r="H3890" s="154"/>
      <c r="I3890" s="154"/>
      <c r="J3890" s="155"/>
      <c r="K3890" s="156"/>
      <c r="L3890" s="157"/>
      <c r="M3890" s="158" t="s">
        <v>28</v>
      </c>
      <c r="N3890" s="159" t="s">
        <v>29</v>
      </c>
    </row>
    <row r="3891" spans="1:14">
      <c r="A3891" s="148"/>
      <c r="B3891" s="149"/>
      <c r="C3891" s="160"/>
      <c r="D3891" s="151"/>
      <c r="E3891" s="152"/>
      <c r="F3891" s="153"/>
      <c r="G3891" s="154"/>
      <c r="H3891" s="154"/>
      <c r="I3891" s="154"/>
      <c r="J3891" s="155"/>
      <c r="K3891" s="156"/>
      <c r="L3891" s="157"/>
      <c r="M3891" s="158" t="s">
        <v>28</v>
      </c>
      <c r="N3891" s="159" t="s">
        <v>29</v>
      </c>
    </row>
    <row r="3892" spans="1:14">
      <c r="A3892" s="148"/>
      <c r="B3892" s="149"/>
      <c r="C3892" s="160"/>
      <c r="D3892" s="151"/>
      <c r="E3892" s="152"/>
      <c r="F3892" s="153"/>
      <c r="G3892" s="154"/>
      <c r="H3892" s="154"/>
      <c r="I3892" s="154"/>
      <c r="J3892" s="155"/>
      <c r="K3892" s="156"/>
      <c r="L3892" s="157"/>
      <c r="M3892" s="158" t="s">
        <v>28</v>
      </c>
      <c r="N3892" s="159" t="s">
        <v>29</v>
      </c>
    </row>
    <row r="3893" spans="1:14">
      <c r="A3893" s="148"/>
      <c r="B3893" s="149"/>
      <c r="C3893" s="160"/>
      <c r="D3893" s="151"/>
      <c r="E3893" s="152"/>
      <c r="F3893" s="153"/>
      <c r="G3893" s="154"/>
      <c r="H3893" s="154"/>
      <c r="I3893" s="154"/>
      <c r="J3893" s="155"/>
      <c r="K3893" s="156"/>
      <c r="L3893" s="157"/>
      <c r="M3893" s="158" t="s">
        <v>28</v>
      </c>
      <c r="N3893" s="159" t="s">
        <v>29</v>
      </c>
    </row>
    <row r="3894" spans="1:14">
      <c r="A3894" s="148"/>
      <c r="B3894" s="149"/>
      <c r="C3894" s="160"/>
      <c r="D3894" s="151"/>
      <c r="E3894" s="152"/>
      <c r="F3894" s="153"/>
      <c r="G3894" s="154"/>
      <c r="H3894" s="154"/>
      <c r="I3894" s="154"/>
      <c r="J3894" s="155"/>
      <c r="K3894" s="156"/>
      <c r="L3894" s="157"/>
      <c r="M3894" s="158" t="s">
        <v>28</v>
      </c>
      <c r="N3894" s="159" t="s">
        <v>29</v>
      </c>
    </row>
    <row r="3895" spans="1:14">
      <c r="A3895" s="148"/>
      <c r="B3895" s="149"/>
      <c r="C3895" s="160"/>
      <c r="D3895" s="151"/>
      <c r="E3895" s="152"/>
      <c r="F3895" s="153"/>
      <c r="G3895" s="154"/>
      <c r="H3895" s="154"/>
      <c r="I3895" s="154"/>
      <c r="J3895" s="155"/>
      <c r="K3895" s="156"/>
      <c r="L3895" s="157"/>
      <c r="M3895" s="158" t="s">
        <v>28</v>
      </c>
      <c r="N3895" s="159" t="s">
        <v>29</v>
      </c>
    </row>
    <row r="3896" spans="1:14">
      <c r="A3896" s="148"/>
      <c r="B3896" s="149"/>
      <c r="C3896" s="160"/>
      <c r="D3896" s="151"/>
      <c r="E3896" s="152"/>
      <c r="F3896" s="153"/>
      <c r="G3896" s="154"/>
      <c r="H3896" s="154"/>
      <c r="I3896" s="154"/>
      <c r="J3896" s="155"/>
      <c r="K3896" s="156"/>
      <c r="L3896" s="157"/>
      <c r="M3896" s="158" t="s">
        <v>28</v>
      </c>
      <c r="N3896" s="159" t="s">
        <v>29</v>
      </c>
    </row>
    <row r="3897" spans="1:14">
      <c r="A3897" s="148"/>
      <c r="B3897" s="149"/>
      <c r="C3897" s="160"/>
      <c r="D3897" s="151"/>
      <c r="E3897" s="152"/>
      <c r="F3897" s="153"/>
      <c r="G3897" s="154"/>
      <c r="H3897" s="154"/>
      <c r="I3897" s="154"/>
      <c r="J3897" s="155"/>
      <c r="K3897" s="156"/>
      <c r="L3897" s="157"/>
      <c r="M3897" s="158" t="s">
        <v>28</v>
      </c>
      <c r="N3897" s="159" t="s">
        <v>29</v>
      </c>
    </row>
    <row r="3898" spans="1:14">
      <c r="A3898" s="148"/>
      <c r="B3898" s="149"/>
      <c r="C3898" s="160"/>
      <c r="D3898" s="151"/>
      <c r="E3898" s="152"/>
      <c r="F3898" s="153"/>
      <c r="G3898" s="154"/>
      <c r="H3898" s="154"/>
      <c r="I3898" s="154"/>
      <c r="J3898" s="155"/>
      <c r="K3898" s="156"/>
      <c r="L3898" s="157"/>
      <c r="M3898" s="158" t="s">
        <v>28</v>
      </c>
      <c r="N3898" s="159" t="s">
        <v>29</v>
      </c>
    </row>
    <row r="3899" spans="1:14">
      <c r="A3899" s="148"/>
      <c r="B3899" s="149"/>
      <c r="C3899" s="160"/>
      <c r="D3899" s="151"/>
      <c r="E3899" s="152"/>
      <c r="F3899" s="153"/>
      <c r="G3899" s="154"/>
      <c r="H3899" s="154"/>
      <c r="I3899" s="154"/>
      <c r="J3899" s="155"/>
      <c r="K3899" s="156"/>
      <c r="L3899" s="157"/>
      <c r="M3899" s="158" t="s">
        <v>28</v>
      </c>
      <c r="N3899" s="159" t="s">
        <v>29</v>
      </c>
    </row>
    <row r="3900" spans="1:14">
      <c r="A3900" s="148"/>
      <c r="B3900" s="149"/>
      <c r="C3900" s="160"/>
      <c r="D3900" s="151"/>
      <c r="E3900" s="152"/>
      <c r="F3900" s="153"/>
      <c r="G3900" s="154"/>
      <c r="H3900" s="154"/>
      <c r="I3900" s="154"/>
      <c r="J3900" s="155"/>
      <c r="K3900" s="156"/>
      <c r="L3900" s="157"/>
      <c r="M3900" s="158" t="s">
        <v>28</v>
      </c>
      <c r="N3900" s="159" t="s">
        <v>29</v>
      </c>
    </row>
    <row r="3901" spans="1:14">
      <c r="A3901" s="148"/>
      <c r="B3901" s="149"/>
      <c r="C3901" s="160"/>
      <c r="D3901" s="151"/>
      <c r="E3901" s="152"/>
      <c r="F3901" s="153"/>
      <c r="G3901" s="154"/>
      <c r="H3901" s="154"/>
      <c r="I3901" s="154"/>
      <c r="J3901" s="155"/>
      <c r="K3901" s="156"/>
      <c r="L3901" s="157"/>
      <c r="M3901" s="158" t="s">
        <v>28</v>
      </c>
      <c r="N3901" s="159" t="s">
        <v>29</v>
      </c>
    </row>
    <row r="3902" spans="1:14">
      <c r="A3902" s="148"/>
      <c r="B3902" s="149"/>
      <c r="C3902" s="160"/>
      <c r="D3902" s="151"/>
      <c r="E3902" s="152"/>
      <c r="F3902" s="153"/>
      <c r="G3902" s="154"/>
      <c r="H3902" s="154"/>
      <c r="I3902" s="154"/>
      <c r="J3902" s="155"/>
      <c r="K3902" s="156"/>
      <c r="L3902" s="157"/>
      <c r="M3902" s="158" t="s">
        <v>28</v>
      </c>
      <c r="N3902" s="159" t="s">
        <v>29</v>
      </c>
    </row>
    <row r="3903" spans="1:14">
      <c r="A3903" s="148"/>
      <c r="B3903" s="149"/>
      <c r="C3903" s="160"/>
      <c r="D3903" s="151"/>
      <c r="E3903" s="152"/>
      <c r="F3903" s="153"/>
      <c r="G3903" s="154"/>
      <c r="H3903" s="154"/>
      <c r="I3903" s="154"/>
      <c r="J3903" s="155"/>
      <c r="K3903" s="156"/>
      <c r="L3903" s="157"/>
      <c r="M3903" s="158" t="s">
        <v>28</v>
      </c>
      <c r="N3903" s="159" t="s">
        <v>29</v>
      </c>
    </row>
    <row r="3904" spans="1:14">
      <c r="A3904" s="148"/>
      <c r="B3904" s="149"/>
      <c r="C3904" s="160"/>
      <c r="D3904" s="151"/>
      <c r="E3904" s="152"/>
      <c r="F3904" s="153"/>
      <c r="G3904" s="154"/>
      <c r="H3904" s="154"/>
      <c r="I3904" s="154"/>
      <c r="J3904" s="155"/>
      <c r="K3904" s="156"/>
      <c r="L3904" s="157"/>
      <c r="M3904" s="158" t="s">
        <v>28</v>
      </c>
      <c r="N3904" s="159" t="s">
        <v>29</v>
      </c>
    </row>
    <row r="3905" spans="1:14">
      <c r="A3905" s="148"/>
      <c r="B3905" s="149"/>
      <c r="C3905" s="160"/>
      <c r="D3905" s="151"/>
      <c r="E3905" s="152"/>
      <c r="F3905" s="153"/>
      <c r="G3905" s="154"/>
      <c r="H3905" s="154"/>
      <c r="I3905" s="154"/>
      <c r="J3905" s="155"/>
      <c r="K3905" s="156"/>
      <c r="L3905" s="157"/>
      <c r="M3905" s="158" t="s">
        <v>28</v>
      </c>
      <c r="N3905" s="159" t="s">
        <v>29</v>
      </c>
    </row>
    <row r="3906" spans="1:14">
      <c r="A3906" s="148"/>
      <c r="B3906" s="149"/>
      <c r="C3906" s="160"/>
      <c r="D3906" s="151"/>
      <c r="E3906" s="152"/>
      <c r="F3906" s="153"/>
      <c r="G3906" s="154"/>
      <c r="H3906" s="154"/>
      <c r="I3906" s="154"/>
      <c r="J3906" s="155"/>
      <c r="K3906" s="156"/>
      <c r="L3906" s="157"/>
      <c r="M3906" s="158" t="s">
        <v>28</v>
      </c>
      <c r="N3906" s="159" t="s">
        <v>29</v>
      </c>
    </row>
    <row r="3907" spans="1:14">
      <c r="A3907" s="148"/>
      <c r="B3907" s="149"/>
      <c r="C3907" s="160"/>
      <c r="D3907" s="151"/>
      <c r="E3907" s="152"/>
      <c r="F3907" s="153"/>
      <c r="G3907" s="154"/>
      <c r="H3907" s="154"/>
      <c r="I3907" s="154"/>
      <c r="J3907" s="155"/>
      <c r="K3907" s="156"/>
      <c r="L3907" s="157"/>
      <c r="M3907" s="158" t="s">
        <v>28</v>
      </c>
      <c r="N3907" s="159" t="s">
        <v>29</v>
      </c>
    </row>
    <row r="3908" spans="1:14">
      <c r="A3908" s="148"/>
      <c r="B3908" s="149"/>
      <c r="C3908" s="160"/>
      <c r="D3908" s="151"/>
      <c r="E3908" s="152"/>
      <c r="F3908" s="153"/>
      <c r="G3908" s="154"/>
      <c r="H3908" s="154"/>
      <c r="I3908" s="154"/>
      <c r="J3908" s="155"/>
      <c r="K3908" s="156"/>
      <c r="L3908" s="157"/>
      <c r="M3908" s="158" t="s">
        <v>28</v>
      </c>
      <c r="N3908" s="159" t="s">
        <v>29</v>
      </c>
    </row>
    <row r="3909" spans="1:14">
      <c r="A3909" s="148"/>
      <c r="B3909" s="149"/>
      <c r="C3909" s="160"/>
      <c r="D3909" s="151"/>
      <c r="E3909" s="152"/>
      <c r="F3909" s="153"/>
      <c r="G3909" s="154"/>
      <c r="H3909" s="154"/>
      <c r="I3909" s="154"/>
      <c r="J3909" s="155"/>
      <c r="K3909" s="156"/>
      <c r="L3909" s="157"/>
      <c r="M3909" s="158" t="s">
        <v>28</v>
      </c>
      <c r="N3909" s="159" t="s">
        <v>29</v>
      </c>
    </row>
    <row r="3910" spans="1:14">
      <c r="A3910" s="148"/>
      <c r="B3910" s="149"/>
      <c r="C3910" s="160"/>
      <c r="D3910" s="151"/>
      <c r="E3910" s="152"/>
      <c r="F3910" s="153"/>
      <c r="G3910" s="154"/>
      <c r="H3910" s="154"/>
      <c r="I3910" s="154"/>
      <c r="J3910" s="155"/>
      <c r="K3910" s="156"/>
      <c r="L3910" s="157"/>
      <c r="M3910" s="158" t="s">
        <v>28</v>
      </c>
      <c r="N3910" s="159" t="s">
        <v>29</v>
      </c>
    </row>
    <row r="3911" spans="1:14">
      <c r="A3911" s="148"/>
      <c r="B3911" s="149"/>
      <c r="C3911" s="160"/>
      <c r="D3911" s="151"/>
      <c r="E3911" s="152"/>
      <c r="F3911" s="153"/>
      <c r="G3911" s="154"/>
      <c r="H3911" s="154"/>
      <c r="I3911" s="154"/>
      <c r="J3911" s="155"/>
      <c r="K3911" s="156"/>
      <c r="L3911" s="157"/>
      <c r="M3911" s="158" t="s">
        <v>28</v>
      </c>
      <c r="N3911" s="159" t="s">
        <v>29</v>
      </c>
    </row>
    <row r="3912" spans="1:14">
      <c r="A3912" s="148"/>
      <c r="B3912" s="149"/>
      <c r="C3912" s="160"/>
      <c r="D3912" s="151"/>
      <c r="E3912" s="152"/>
      <c r="F3912" s="153"/>
      <c r="G3912" s="154"/>
      <c r="H3912" s="154"/>
      <c r="I3912" s="154"/>
      <c r="J3912" s="155"/>
      <c r="K3912" s="156"/>
      <c r="L3912" s="157"/>
      <c r="M3912" s="158" t="s">
        <v>28</v>
      </c>
      <c r="N3912" s="159" t="s">
        <v>29</v>
      </c>
    </row>
    <row r="3913" spans="1:14">
      <c r="A3913" s="148"/>
      <c r="B3913" s="149"/>
      <c r="C3913" s="160"/>
      <c r="D3913" s="151"/>
      <c r="E3913" s="152"/>
      <c r="F3913" s="153"/>
      <c r="G3913" s="154"/>
      <c r="H3913" s="154"/>
      <c r="I3913" s="154"/>
      <c r="J3913" s="155"/>
      <c r="K3913" s="156"/>
      <c r="L3913" s="157"/>
      <c r="M3913" s="158" t="s">
        <v>28</v>
      </c>
      <c r="N3913" s="159" t="s">
        <v>29</v>
      </c>
    </row>
    <row r="3914" spans="1:14">
      <c r="A3914" s="148"/>
      <c r="B3914" s="149"/>
      <c r="C3914" s="160"/>
      <c r="D3914" s="151"/>
      <c r="E3914" s="152"/>
      <c r="F3914" s="153"/>
      <c r="G3914" s="154"/>
      <c r="H3914" s="154"/>
      <c r="I3914" s="154"/>
      <c r="J3914" s="155"/>
      <c r="K3914" s="156"/>
      <c r="L3914" s="157"/>
      <c r="M3914" s="158" t="s">
        <v>28</v>
      </c>
      <c r="N3914" s="159" t="s">
        <v>29</v>
      </c>
    </row>
    <row r="3915" spans="1:14">
      <c r="A3915" s="148"/>
      <c r="B3915" s="149"/>
      <c r="C3915" s="160"/>
      <c r="D3915" s="151"/>
      <c r="E3915" s="152"/>
      <c r="F3915" s="153"/>
      <c r="G3915" s="154"/>
      <c r="H3915" s="154"/>
      <c r="I3915" s="154"/>
      <c r="J3915" s="155"/>
      <c r="K3915" s="156"/>
      <c r="L3915" s="157"/>
      <c r="M3915" s="158" t="s">
        <v>28</v>
      </c>
      <c r="N3915" s="159" t="s">
        <v>29</v>
      </c>
    </row>
    <row r="3916" spans="1:14">
      <c r="A3916" s="148"/>
      <c r="B3916" s="149"/>
      <c r="C3916" s="160"/>
      <c r="D3916" s="151"/>
      <c r="E3916" s="152"/>
      <c r="F3916" s="153"/>
      <c r="G3916" s="154"/>
      <c r="H3916" s="154"/>
      <c r="I3916" s="154"/>
      <c r="J3916" s="155"/>
      <c r="K3916" s="156"/>
      <c r="L3916" s="157"/>
      <c r="M3916" s="158" t="s">
        <v>28</v>
      </c>
      <c r="N3916" s="159" t="s">
        <v>29</v>
      </c>
    </row>
    <row r="3917" spans="1:14">
      <c r="A3917" s="148"/>
      <c r="B3917" s="149"/>
      <c r="C3917" s="160"/>
      <c r="D3917" s="151"/>
      <c r="E3917" s="152"/>
      <c r="F3917" s="153"/>
      <c r="G3917" s="154"/>
      <c r="H3917" s="154"/>
      <c r="I3917" s="154"/>
      <c r="J3917" s="155"/>
      <c r="K3917" s="156"/>
      <c r="L3917" s="157"/>
      <c r="M3917" s="158" t="s">
        <v>28</v>
      </c>
      <c r="N3917" s="159" t="s">
        <v>29</v>
      </c>
    </row>
    <row r="3918" spans="1:14">
      <c r="A3918" s="148"/>
      <c r="B3918" s="149"/>
      <c r="C3918" s="160"/>
      <c r="D3918" s="151"/>
      <c r="E3918" s="152"/>
      <c r="F3918" s="153"/>
      <c r="G3918" s="154"/>
      <c r="H3918" s="154"/>
      <c r="I3918" s="154"/>
      <c r="J3918" s="155"/>
      <c r="K3918" s="156"/>
      <c r="L3918" s="157"/>
      <c r="M3918" s="158" t="s">
        <v>28</v>
      </c>
      <c r="N3918" s="159" t="s">
        <v>29</v>
      </c>
    </row>
    <row r="3919" spans="1:14">
      <c r="A3919" s="148"/>
      <c r="B3919" s="149"/>
      <c r="C3919" s="160"/>
      <c r="D3919" s="151"/>
      <c r="E3919" s="152"/>
      <c r="F3919" s="153"/>
      <c r="G3919" s="154"/>
      <c r="H3919" s="154"/>
      <c r="I3919" s="154"/>
      <c r="J3919" s="155"/>
      <c r="K3919" s="156"/>
      <c r="L3919" s="157"/>
      <c r="M3919" s="158" t="s">
        <v>28</v>
      </c>
      <c r="N3919" s="159" t="s">
        <v>29</v>
      </c>
    </row>
    <row r="3920" spans="1:14">
      <c r="A3920" s="148"/>
      <c r="B3920" s="149"/>
      <c r="C3920" s="160"/>
      <c r="D3920" s="151"/>
      <c r="E3920" s="152"/>
      <c r="F3920" s="153"/>
      <c r="G3920" s="154"/>
      <c r="H3920" s="154"/>
      <c r="I3920" s="154"/>
      <c r="J3920" s="155"/>
      <c r="K3920" s="156"/>
      <c r="L3920" s="157"/>
      <c r="M3920" s="158" t="s">
        <v>28</v>
      </c>
      <c r="N3920" s="159" t="s">
        <v>29</v>
      </c>
    </row>
    <row r="3921" spans="1:14">
      <c r="A3921" s="148"/>
      <c r="B3921" s="149"/>
      <c r="C3921" s="160"/>
      <c r="D3921" s="151"/>
      <c r="E3921" s="152"/>
      <c r="F3921" s="153"/>
      <c r="G3921" s="154"/>
      <c r="H3921" s="154"/>
      <c r="I3921" s="154"/>
      <c r="J3921" s="155"/>
      <c r="K3921" s="156"/>
      <c r="L3921" s="157"/>
      <c r="M3921" s="158" t="s">
        <v>28</v>
      </c>
      <c r="N3921" s="159" t="s">
        <v>29</v>
      </c>
    </row>
    <row r="3922" spans="1:14">
      <c r="A3922" s="148"/>
      <c r="B3922" s="149"/>
      <c r="C3922" s="160"/>
      <c r="D3922" s="151"/>
      <c r="E3922" s="152"/>
      <c r="F3922" s="153"/>
      <c r="G3922" s="154"/>
      <c r="H3922" s="154"/>
      <c r="I3922" s="154"/>
      <c r="J3922" s="155"/>
      <c r="K3922" s="156"/>
      <c r="L3922" s="157"/>
      <c r="M3922" s="158" t="s">
        <v>28</v>
      </c>
      <c r="N3922" s="159" t="s">
        <v>29</v>
      </c>
    </row>
    <row r="3923" spans="1:14">
      <c r="A3923" s="148"/>
      <c r="B3923" s="149"/>
      <c r="C3923" s="160"/>
      <c r="D3923" s="151"/>
      <c r="E3923" s="152"/>
      <c r="F3923" s="153"/>
      <c r="G3923" s="154"/>
      <c r="H3923" s="154"/>
      <c r="I3923" s="154"/>
      <c r="J3923" s="155"/>
      <c r="K3923" s="156"/>
      <c r="L3923" s="157"/>
      <c r="M3923" s="158" t="s">
        <v>28</v>
      </c>
      <c r="N3923" s="159" t="s">
        <v>29</v>
      </c>
    </row>
    <row r="3924" spans="1:14">
      <c r="A3924" s="148"/>
      <c r="B3924" s="149"/>
      <c r="C3924" s="160"/>
      <c r="D3924" s="151"/>
      <c r="E3924" s="152"/>
      <c r="F3924" s="153"/>
      <c r="G3924" s="154"/>
      <c r="H3924" s="154"/>
      <c r="I3924" s="154"/>
      <c r="J3924" s="155"/>
      <c r="K3924" s="156"/>
      <c r="L3924" s="157"/>
      <c r="M3924" s="158" t="s">
        <v>28</v>
      </c>
      <c r="N3924" s="159" t="s">
        <v>29</v>
      </c>
    </row>
    <row r="3925" spans="1:14">
      <c r="A3925" s="148"/>
      <c r="B3925" s="149"/>
      <c r="C3925" s="160"/>
      <c r="D3925" s="151"/>
      <c r="E3925" s="152"/>
      <c r="F3925" s="153"/>
      <c r="G3925" s="154"/>
      <c r="H3925" s="154"/>
      <c r="I3925" s="154"/>
      <c r="J3925" s="155"/>
      <c r="K3925" s="156"/>
      <c r="L3925" s="157"/>
      <c r="M3925" s="158" t="s">
        <v>28</v>
      </c>
      <c r="N3925" s="159" t="s">
        <v>29</v>
      </c>
    </row>
    <row r="3926" spans="1:14">
      <c r="A3926" s="148"/>
      <c r="B3926" s="149"/>
      <c r="C3926" s="160"/>
      <c r="D3926" s="151"/>
      <c r="E3926" s="152"/>
      <c r="F3926" s="153"/>
      <c r="G3926" s="154"/>
      <c r="H3926" s="154"/>
      <c r="I3926" s="154"/>
      <c r="J3926" s="155"/>
      <c r="K3926" s="156"/>
      <c r="L3926" s="157"/>
      <c r="M3926" s="158" t="s">
        <v>28</v>
      </c>
      <c r="N3926" s="159" t="s">
        <v>29</v>
      </c>
    </row>
    <row r="3927" spans="1:14">
      <c r="A3927" s="148"/>
      <c r="B3927" s="149"/>
      <c r="C3927" s="160"/>
      <c r="D3927" s="151"/>
      <c r="E3927" s="152"/>
      <c r="F3927" s="153"/>
      <c r="G3927" s="154"/>
      <c r="H3927" s="154"/>
      <c r="I3927" s="154"/>
      <c r="J3927" s="155"/>
      <c r="K3927" s="156"/>
      <c r="L3927" s="157"/>
      <c r="M3927" s="158" t="s">
        <v>28</v>
      </c>
      <c r="N3927" s="159" t="s">
        <v>29</v>
      </c>
    </row>
    <row r="3928" spans="1:14">
      <c r="A3928" s="148"/>
      <c r="B3928" s="149"/>
      <c r="C3928" s="160"/>
      <c r="D3928" s="151"/>
      <c r="E3928" s="152"/>
      <c r="F3928" s="153"/>
      <c r="G3928" s="154"/>
      <c r="H3928" s="154"/>
      <c r="I3928" s="154"/>
      <c r="J3928" s="155"/>
      <c r="K3928" s="156"/>
      <c r="L3928" s="157"/>
      <c r="M3928" s="158" t="s">
        <v>28</v>
      </c>
      <c r="N3928" s="159" t="s">
        <v>29</v>
      </c>
    </row>
    <row r="3929" spans="1:14">
      <c r="A3929" s="148"/>
      <c r="B3929" s="149"/>
      <c r="C3929" s="160"/>
      <c r="D3929" s="151"/>
      <c r="E3929" s="152"/>
      <c r="F3929" s="153"/>
      <c r="G3929" s="154"/>
      <c r="H3929" s="154"/>
      <c r="I3929" s="154"/>
      <c r="J3929" s="155"/>
      <c r="K3929" s="156"/>
      <c r="L3929" s="157"/>
      <c r="M3929" s="158" t="s">
        <v>28</v>
      </c>
      <c r="N3929" s="159" t="s">
        <v>29</v>
      </c>
    </row>
    <row r="3930" spans="1:14">
      <c r="A3930" s="148"/>
      <c r="B3930" s="149"/>
      <c r="C3930" s="160"/>
      <c r="D3930" s="151"/>
      <c r="E3930" s="152"/>
      <c r="F3930" s="153"/>
      <c r="G3930" s="154"/>
      <c r="H3930" s="154"/>
      <c r="I3930" s="154"/>
      <c r="J3930" s="155"/>
      <c r="K3930" s="156"/>
      <c r="L3930" s="157"/>
      <c r="M3930" s="158" t="s">
        <v>28</v>
      </c>
      <c r="N3930" s="159" t="s">
        <v>29</v>
      </c>
    </row>
    <row r="3931" spans="1:14">
      <c r="A3931" s="148"/>
      <c r="B3931" s="149"/>
      <c r="C3931" s="160"/>
      <c r="D3931" s="151"/>
      <c r="E3931" s="152"/>
      <c r="F3931" s="153"/>
      <c r="G3931" s="154"/>
      <c r="H3931" s="154"/>
      <c r="I3931" s="154"/>
      <c r="J3931" s="155"/>
      <c r="K3931" s="156"/>
      <c r="L3931" s="157"/>
      <c r="M3931" s="158" t="s">
        <v>28</v>
      </c>
      <c r="N3931" s="159" t="s">
        <v>29</v>
      </c>
    </row>
    <row r="3932" spans="1:14">
      <c r="A3932" s="148"/>
      <c r="B3932" s="149"/>
      <c r="C3932" s="160"/>
      <c r="D3932" s="151"/>
      <c r="E3932" s="152"/>
      <c r="F3932" s="153"/>
      <c r="G3932" s="154"/>
      <c r="H3932" s="154"/>
      <c r="I3932" s="154"/>
      <c r="J3932" s="155"/>
      <c r="K3932" s="156"/>
      <c r="L3932" s="157"/>
      <c r="M3932" s="158" t="s">
        <v>28</v>
      </c>
      <c r="N3932" s="159" t="s">
        <v>29</v>
      </c>
    </row>
    <row r="3933" spans="1:14">
      <c r="A3933" s="148"/>
      <c r="B3933" s="149"/>
      <c r="C3933" s="160"/>
      <c r="D3933" s="151"/>
      <c r="E3933" s="152"/>
      <c r="F3933" s="153"/>
      <c r="G3933" s="154"/>
      <c r="H3933" s="154"/>
      <c r="I3933" s="154"/>
      <c r="J3933" s="155"/>
      <c r="K3933" s="156"/>
      <c r="L3933" s="157"/>
      <c r="M3933" s="158" t="s">
        <v>28</v>
      </c>
      <c r="N3933" s="159" t="s">
        <v>29</v>
      </c>
    </row>
    <row r="3934" spans="1:14">
      <c r="A3934" s="148"/>
      <c r="B3934" s="149"/>
      <c r="C3934" s="160"/>
      <c r="D3934" s="151"/>
      <c r="E3934" s="152"/>
      <c r="F3934" s="153"/>
      <c r="G3934" s="154"/>
      <c r="H3934" s="154"/>
      <c r="I3934" s="154"/>
      <c r="J3934" s="155"/>
      <c r="K3934" s="156"/>
      <c r="L3934" s="157"/>
      <c r="M3934" s="158" t="s">
        <v>28</v>
      </c>
      <c r="N3934" s="159" t="s">
        <v>29</v>
      </c>
    </row>
    <row r="3935" spans="1:14">
      <c r="A3935" s="148"/>
      <c r="B3935" s="149"/>
      <c r="C3935" s="160"/>
      <c r="D3935" s="151"/>
      <c r="E3935" s="152"/>
      <c r="F3935" s="153"/>
      <c r="G3935" s="154"/>
      <c r="H3935" s="154"/>
      <c r="I3935" s="154"/>
      <c r="J3935" s="155"/>
      <c r="K3935" s="156"/>
      <c r="L3935" s="157"/>
      <c r="M3935" s="158" t="s">
        <v>28</v>
      </c>
      <c r="N3935" s="159" t="s">
        <v>29</v>
      </c>
    </row>
    <row r="3936" spans="1:14">
      <c r="A3936" s="148"/>
      <c r="B3936" s="149"/>
      <c r="C3936" s="160"/>
      <c r="D3936" s="151"/>
      <c r="E3936" s="152"/>
      <c r="F3936" s="153"/>
      <c r="G3936" s="154"/>
      <c r="H3936" s="154"/>
      <c r="I3936" s="154"/>
      <c r="J3936" s="155"/>
      <c r="K3936" s="156"/>
      <c r="L3936" s="157"/>
      <c r="M3936" s="158" t="s">
        <v>28</v>
      </c>
      <c r="N3936" s="159" t="s">
        <v>29</v>
      </c>
    </row>
    <row r="3937" spans="1:14">
      <c r="A3937" s="148"/>
      <c r="B3937" s="149"/>
      <c r="C3937" s="160"/>
      <c r="D3937" s="151"/>
      <c r="E3937" s="152"/>
      <c r="F3937" s="153"/>
      <c r="G3937" s="154"/>
      <c r="H3937" s="154"/>
      <c r="I3937" s="154"/>
      <c r="J3937" s="155"/>
      <c r="K3937" s="156"/>
      <c r="L3937" s="157"/>
      <c r="M3937" s="158" t="s">
        <v>28</v>
      </c>
      <c r="N3937" s="159" t="s">
        <v>29</v>
      </c>
    </row>
    <row r="3938" spans="1:14">
      <c r="A3938" s="148"/>
      <c r="B3938" s="149"/>
      <c r="C3938" s="160"/>
      <c r="D3938" s="151"/>
      <c r="E3938" s="152"/>
      <c r="F3938" s="153"/>
      <c r="G3938" s="154"/>
      <c r="H3938" s="154"/>
      <c r="I3938" s="154"/>
      <c r="J3938" s="155"/>
      <c r="K3938" s="156"/>
      <c r="L3938" s="157"/>
      <c r="M3938" s="158" t="s">
        <v>28</v>
      </c>
      <c r="N3938" s="159" t="s">
        <v>29</v>
      </c>
    </row>
    <row r="3939" spans="1:14">
      <c r="A3939" s="148"/>
      <c r="B3939" s="149"/>
      <c r="C3939" s="160"/>
      <c r="D3939" s="151"/>
      <c r="E3939" s="152"/>
      <c r="F3939" s="153"/>
      <c r="G3939" s="154"/>
      <c r="H3939" s="154"/>
      <c r="I3939" s="154"/>
      <c r="J3939" s="155"/>
      <c r="K3939" s="156"/>
      <c r="L3939" s="157"/>
      <c r="M3939" s="158" t="s">
        <v>28</v>
      </c>
      <c r="N3939" s="159" t="s">
        <v>29</v>
      </c>
    </row>
    <row r="3940" spans="1:14">
      <c r="A3940" s="148"/>
      <c r="B3940" s="149"/>
      <c r="C3940" s="160"/>
      <c r="D3940" s="151"/>
      <c r="E3940" s="152"/>
      <c r="F3940" s="153"/>
      <c r="G3940" s="154"/>
      <c r="H3940" s="154"/>
      <c r="I3940" s="154"/>
      <c r="J3940" s="155"/>
      <c r="K3940" s="156"/>
      <c r="L3940" s="157"/>
      <c r="M3940" s="158" t="s">
        <v>28</v>
      </c>
      <c r="N3940" s="159" t="s">
        <v>29</v>
      </c>
    </row>
    <row r="3941" spans="1:14">
      <c r="A3941" s="148"/>
      <c r="B3941" s="149"/>
      <c r="C3941" s="160"/>
      <c r="D3941" s="151"/>
      <c r="E3941" s="152"/>
      <c r="F3941" s="153"/>
      <c r="G3941" s="154"/>
      <c r="H3941" s="154"/>
      <c r="I3941" s="154"/>
      <c r="J3941" s="155"/>
      <c r="K3941" s="156"/>
      <c r="L3941" s="157"/>
      <c r="M3941" s="158" t="s">
        <v>28</v>
      </c>
      <c r="N3941" s="159" t="s">
        <v>29</v>
      </c>
    </row>
    <row r="3942" spans="1:14">
      <c r="A3942" s="148"/>
      <c r="B3942" s="149"/>
      <c r="C3942" s="160"/>
      <c r="D3942" s="151"/>
      <c r="E3942" s="152"/>
      <c r="F3942" s="153"/>
      <c r="G3942" s="154"/>
      <c r="H3942" s="154"/>
      <c r="I3942" s="154"/>
      <c r="J3942" s="155"/>
      <c r="K3942" s="156"/>
      <c r="L3942" s="157"/>
      <c r="M3942" s="158" t="s">
        <v>28</v>
      </c>
      <c r="N3942" s="159" t="s">
        <v>29</v>
      </c>
    </row>
    <row r="3943" spans="1:14">
      <c r="A3943" s="148"/>
      <c r="B3943" s="149"/>
      <c r="C3943" s="160"/>
      <c r="D3943" s="151"/>
      <c r="E3943" s="152"/>
      <c r="F3943" s="153"/>
      <c r="G3943" s="154"/>
      <c r="H3943" s="154"/>
      <c r="I3943" s="154"/>
      <c r="J3943" s="155"/>
      <c r="K3943" s="156"/>
      <c r="L3943" s="157"/>
      <c r="M3943" s="158" t="s">
        <v>28</v>
      </c>
      <c r="N3943" s="159" t="s">
        <v>29</v>
      </c>
    </row>
    <row r="3944" spans="1:14">
      <c r="A3944" s="148"/>
      <c r="B3944" s="149"/>
      <c r="C3944" s="160"/>
      <c r="D3944" s="151"/>
      <c r="E3944" s="152"/>
      <c r="F3944" s="153"/>
      <c r="G3944" s="154"/>
      <c r="H3944" s="154"/>
      <c r="I3944" s="154"/>
      <c r="J3944" s="155"/>
      <c r="K3944" s="156"/>
      <c r="L3944" s="157"/>
      <c r="M3944" s="158" t="s">
        <v>28</v>
      </c>
      <c r="N3944" s="159" t="s">
        <v>29</v>
      </c>
    </row>
    <row r="3945" spans="1:14">
      <c r="A3945" s="148"/>
      <c r="B3945" s="149"/>
      <c r="C3945" s="160"/>
      <c r="D3945" s="151"/>
      <c r="E3945" s="152"/>
      <c r="F3945" s="153"/>
      <c r="G3945" s="154"/>
      <c r="H3945" s="154"/>
      <c r="I3945" s="154"/>
      <c r="J3945" s="155"/>
      <c r="K3945" s="156"/>
      <c r="L3945" s="157"/>
      <c r="M3945" s="158" t="s">
        <v>28</v>
      </c>
      <c r="N3945" s="159" t="s">
        <v>29</v>
      </c>
    </row>
    <row r="3946" spans="1:14">
      <c r="A3946" s="148"/>
      <c r="B3946" s="149"/>
      <c r="C3946" s="160"/>
      <c r="D3946" s="151"/>
      <c r="E3946" s="152"/>
      <c r="F3946" s="153"/>
      <c r="G3946" s="154"/>
      <c r="H3946" s="154"/>
      <c r="I3946" s="154"/>
      <c r="J3946" s="155"/>
      <c r="K3946" s="156"/>
      <c r="L3946" s="157"/>
      <c r="M3946" s="158" t="s">
        <v>28</v>
      </c>
      <c r="N3946" s="159" t="s">
        <v>29</v>
      </c>
    </row>
    <row r="3947" spans="1:14">
      <c r="A3947" s="148"/>
      <c r="B3947" s="149"/>
      <c r="C3947" s="160"/>
      <c r="D3947" s="151"/>
      <c r="E3947" s="152"/>
      <c r="F3947" s="153"/>
      <c r="G3947" s="154"/>
      <c r="H3947" s="154"/>
      <c r="I3947" s="154"/>
      <c r="J3947" s="155"/>
      <c r="K3947" s="156"/>
      <c r="L3947" s="157"/>
      <c r="M3947" s="158" t="s">
        <v>28</v>
      </c>
      <c r="N3947" s="159" t="s">
        <v>29</v>
      </c>
    </row>
    <row r="3948" spans="1:14">
      <c r="A3948" s="148"/>
      <c r="B3948" s="149"/>
      <c r="C3948" s="160"/>
      <c r="D3948" s="151"/>
      <c r="E3948" s="152"/>
      <c r="F3948" s="153"/>
      <c r="G3948" s="154"/>
      <c r="H3948" s="154"/>
      <c r="I3948" s="154"/>
      <c r="J3948" s="155"/>
      <c r="K3948" s="156"/>
      <c r="L3948" s="157"/>
      <c r="M3948" s="158" t="s">
        <v>28</v>
      </c>
      <c r="N3948" s="159" t="s">
        <v>29</v>
      </c>
    </row>
    <row r="3949" spans="1:14">
      <c r="A3949" s="148"/>
      <c r="B3949" s="149"/>
      <c r="C3949" s="160"/>
      <c r="D3949" s="151"/>
      <c r="E3949" s="152"/>
      <c r="F3949" s="153"/>
      <c r="G3949" s="154"/>
      <c r="H3949" s="154"/>
      <c r="I3949" s="154"/>
      <c r="J3949" s="155"/>
      <c r="K3949" s="156"/>
      <c r="L3949" s="157"/>
      <c r="M3949" s="158" t="s">
        <v>28</v>
      </c>
      <c r="N3949" s="159" t="s">
        <v>29</v>
      </c>
    </row>
    <row r="3950" spans="1:14">
      <c r="A3950" s="148"/>
      <c r="B3950" s="149"/>
      <c r="C3950" s="160"/>
      <c r="D3950" s="151"/>
      <c r="E3950" s="152"/>
      <c r="F3950" s="153"/>
      <c r="G3950" s="154"/>
      <c r="H3950" s="154"/>
      <c r="I3950" s="154"/>
      <c r="J3950" s="155"/>
      <c r="K3950" s="156"/>
      <c r="L3950" s="157"/>
      <c r="M3950" s="158" t="s">
        <v>28</v>
      </c>
      <c r="N3950" s="159" t="s">
        <v>29</v>
      </c>
    </row>
    <row r="3951" spans="1:14">
      <c r="A3951" s="148"/>
      <c r="B3951" s="149"/>
      <c r="C3951" s="160"/>
      <c r="D3951" s="151"/>
      <c r="E3951" s="152"/>
      <c r="F3951" s="153"/>
      <c r="G3951" s="154"/>
      <c r="H3951" s="154"/>
      <c r="I3951" s="154"/>
      <c r="J3951" s="155"/>
      <c r="K3951" s="156"/>
      <c r="L3951" s="157"/>
      <c r="M3951" s="158" t="s">
        <v>28</v>
      </c>
      <c r="N3951" s="159" t="s">
        <v>29</v>
      </c>
    </row>
    <row r="3952" spans="1:14">
      <c r="A3952" s="148"/>
      <c r="B3952" s="149"/>
      <c r="C3952" s="160"/>
      <c r="D3952" s="151"/>
      <c r="E3952" s="152"/>
      <c r="F3952" s="153"/>
      <c r="G3952" s="154"/>
      <c r="H3952" s="154"/>
      <c r="I3952" s="154"/>
      <c r="J3952" s="155"/>
      <c r="K3952" s="156"/>
      <c r="L3952" s="157"/>
      <c r="M3952" s="158" t="s">
        <v>28</v>
      </c>
      <c r="N3952" s="159" t="s">
        <v>29</v>
      </c>
    </row>
    <row r="3953" spans="1:14">
      <c r="A3953" s="148"/>
      <c r="B3953" s="149"/>
      <c r="C3953" s="160"/>
      <c r="D3953" s="151"/>
      <c r="E3953" s="152"/>
      <c r="F3953" s="153"/>
      <c r="G3953" s="154"/>
      <c r="H3953" s="154"/>
      <c r="I3953" s="154"/>
      <c r="J3953" s="155"/>
      <c r="K3953" s="156"/>
      <c r="L3953" s="157"/>
      <c r="M3953" s="158" t="s">
        <v>28</v>
      </c>
      <c r="N3953" s="159" t="s">
        <v>29</v>
      </c>
    </row>
    <row r="3954" spans="1:14">
      <c r="A3954" s="148"/>
      <c r="B3954" s="149"/>
      <c r="C3954" s="160"/>
      <c r="D3954" s="151"/>
      <c r="E3954" s="152"/>
      <c r="F3954" s="153"/>
      <c r="G3954" s="154"/>
      <c r="H3954" s="154"/>
      <c r="I3954" s="154"/>
      <c r="J3954" s="155"/>
      <c r="K3954" s="156"/>
      <c r="L3954" s="157"/>
      <c r="M3954" s="158" t="s">
        <v>28</v>
      </c>
      <c r="N3954" s="159" t="s">
        <v>29</v>
      </c>
    </row>
    <row r="3955" spans="1:14">
      <c r="A3955" s="148"/>
      <c r="B3955" s="149"/>
      <c r="C3955" s="160"/>
      <c r="D3955" s="151"/>
      <c r="E3955" s="152"/>
      <c r="F3955" s="153"/>
      <c r="G3955" s="154"/>
      <c r="H3955" s="154"/>
      <c r="I3955" s="154"/>
      <c r="J3955" s="155"/>
      <c r="K3955" s="156"/>
      <c r="L3955" s="157"/>
      <c r="M3955" s="158" t="s">
        <v>28</v>
      </c>
      <c r="N3955" s="159" t="s">
        <v>29</v>
      </c>
    </row>
    <row r="3956" spans="1:14">
      <c r="A3956" s="148"/>
      <c r="B3956" s="149"/>
      <c r="C3956" s="160"/>
      <c r="D3956" s="151"/>
      <c r="E3956" s="152"/>
      <c r="F3956" s="153"/>
      <c r="G3956" s="154"/>
      <c r="H3956" s="154"/>
      <c r="I3956" s="154"/>
      <c r="J3956" s="155"/>
      <c r="K3956" s="156"/>
      <c r="L3956" s="157"/>
      <c r="M3956" s="158" t="s">
        <v>28</v>
      </c>
      <c r="N3956" s="159" t="s">
        <v>29</v>
      </c>
    </row>
    <row r="3957" spans="1:14">
      <c r="A3957" s="148"/>
      <c r="B3957" s="149"/>
      <c r="C3957" s="160"/>
      <c r="D3957" s="151"/>
      <c r="E3957" s="152"/>
      <c r="F3957" s="153"/>
      <c r="G3957" s="154"/>
      <c r="H3957" s="154"/>
      <c r="I3957" s="154"/>
      <c r="J3957" s="155"/>
      <c r="K3957" s="156"/>
      <c r="L3957" s="157"/>
      <c r="M3957" s="158" t="s">
        <v>28</v>
      </c>
      <c r="N3957" s="159" t="s">
        <v>29</v>
      </c>
    </row>
    <row r="3958" spans="1:14">
      <c r="A3958" s="148"/>
      <c r="B3958" s="149"/>
      <c r="C3958" s="160"/>
      <c r="D3958" s="151"/>
      <c r="E3958" s="152"/>
      <c r="F3958" s="153"/>
      <c r="G3958" s="154"/>
      <c r="H3958" s="154"/>
      <c r="I3958" s="154"/>
      <c r="J3958" s="155"/>
      <c r="K3958" s="156"/>
      <c r="L3958" s="157"/>
      <c r="M3958" s="158" t="s">
        <v>28</v>
      </c>
      <c r="N3958" s="159" t="s">
        <v>29</v>
      </c>
    </row>
    <row r="3959" spans="1:14">
      <c r="A3959" s="148"/>
      <c r="B3959" s="149"/>
      <c r="C3959" s="160"/>
      <c r="D3959" s="151"/>
      <c r="E3959" s="152"/>
      <c r="F3959" s="153"/>
      <c r="G3959" s="154"/>
      <c r="H3959" s="154"/>
      <c r="I3959" s="154"/>
      <c r="J3959" s="155"/>
      <c r="K3959" s="156"/>
      <c r="L3959" s="157"/>
      <c r="M3959" s="158" t="s">
        <v>28</v>
      </c>
      <c r="N3959" s="159" t="s">
        <v>29</v>
      </c>
    </row>
    <row r="3960" spans="1:14">
      <c r="A3960" s="148"/>
      <c r="B3960" s="149"/>
      <c r="C3960" s="160"/>
      <c r="D3960" s="151"/>
      <c r="E3960" s="152"/>
      <c r="F3960" s="153"/>
      <c r="G3960" s="154"/>
      <c r="H3960" s="154"/>
      <c r="I3960" s="154"/>
      <c r="J3960" s="155"/>
      <c r="K3960" s="156"/>
      <c r="L3960" s="157"/>
      <c r="M3960" s="158" t="s">
        <v>28</v>
      </c>
      <c r="N3960" s="159" t="s">
        <v>29</v>
      </c>
    </row>
    <row r="3961" spans="1:14">
      <c r="A3961" s="148"/>
      <c r="B3961" s="149"/>
      <c r="C3961" s="160"/>
      <c r="D3961" s="151"/>
      <c r="E3961" s="152"/>
      <c r="F3961" s="153"/>
      <c r="G3961" s="154"/>
      <c r="H3961" s="154"/>
      <c r="I3961" s="154"/>
      <c r="J3961" s="155"/>
      <c r="K3961" s="156"/>
      <c r="L3961" s="157"/>
      <c r="M3961" s="158" t="s">
        <v>28</v>
      </c>
      <c r="N3961" s="159" t="s">
        <v>29</v>
      </c>
    </row>
    <row r="3962" spans="1:14">
      <c r="A3962" s="148"/>
      <c r="B3962" s="149"/>
      <c r="C3962" s="160"/>
      <c r="D3962" s="151"/>
      <c r="E3962" s="152"/>
      <c r="F3962" s="153"/>
      <c r="G3962" s="154"/>
      <c r="H3962" s="154"/>
      <c r="I3962" s="154"/>
      <c r="J3962" s="155"/>
      <c r="K3962" s="156"/>
      <c r="L3962" s="157"/>
      <c r="M3962" s="158" t="s">
        <v>28</v>
      </c>
      <c r="N3962" s="159" t="s">
        <v>29</v>
      </c>
    </row>
    <row r="3963" spans="1:14">
      <c r="A3963" s="148"/>
      <c r="B3963" s="149"/>
      <c r="C3963" s="160"/>
      <c r="D3963" s="151"/>
      <c r="E3963" s="152"/>
      <c r="F3963" s="153"/>
      <c r="G3963" s="154"/>
      <c r="H3963" s="154"/>
      <c r="I3963" s="154"/>
      <c r="J3963" s="155"/>
      <c r="K3963" s="156"/>
      <c r="L3963" s="157"/>
      <c r="M3963" s="158" t="s">
        <v>28</v>
      </c>
      <c r="N3963" s="159" t="s">
        <v>29</v>
      </c>
    </row>
    <row r="3964" spans="1:14">
      <c r="A3964" s="148"/>
      <c r="B3964" s="149"/>
      <c r="C3964" s="160"/>
      <c r="D3964" s="151"/>
      <c r="E3964" s="152"/>
      <c r="F3964" s="153"/>
      <c r="G3964" s="154"/>
      <c r="H3964" s="154"/>
      <c r="I3964" s="154"/>
      <c r="J3964" s="155"/>
      <c r="K3964" s="156"/>
      <c r="L3964" s="157"/>
      <c r="M3964" s="158" t="s">
        <v>28</v>
      </c>
      <c r="N3964" s="159" t="s">
        <v>29</v>
      </c>
    </row>
    <row r="3965" spans="1:14">
      <c r="A3965" s="148"/>
      <c r="B3965" s="149"/>
      <c r="C3965" s="160"/>
      <c r="D3965" s="151"/>
      <c r="E3965" s="152"/>
      <c r="F3965" s="153"/>
      <c r="G3965" s="154"/>
      <c r="H3965" s="154"/>
      <c r="I3965" s="154"/>
      <c r="J3965" s="155"/>
      <c r="K3965" s="156"/>
      <c r="L3965" s="157"/>
      <c r="M3965" s="158" t="s">
        <v>28</v>
      </c>
      <c r="N3965" s="159" t="s">
        <v>29</v>
      </c>
    </row>
    <row r="3966" spans="1:14">
      <c r="A3966" s="148"/>
      <c r="B3966" s="149"/>
      <c r="C3966" s="160"/>
      <c r="D3966" s="151"/>
      <c r="E3966" s="152"/>
      <c r="F3966" s="153"/>
      <c r="G3966" s="154"/>
      <c r="H3966" s="154"/>
      <c r="I3966" s="154"/>
      <c r="J3966" s="155"/>
      <c r="K3966" s="156"/>
      <c r="L3966" s="157"/>
      <c r="M3966" s="158" t="s">
        <v>28</v>
      </c>
      <c r="N3966" s="159" t="s">
        <v>29</v>
      </c>
    </row>
    <row r="3967" spans="1:14">
      <c r="A3967" s="148"/>
      <c r="B3967" s="149"/>
      <c r="C3967" s="160"/>
      <c r="D3967" s="151"/>
      <c r="E3967" s="152"/>
      <c r="F3967" s="153"/>
      <c r="G3967" s="154"/>
      <c r="H3967" s="154"/>
      <c r="I3967" s="154"/>
      <c r="J3967" s="155"/>
      <c r="K3967" s="156"/>
      <c r="L3967" s="157"/>
      <c r="M3967" s="158" t="s">
        <v>28</v>
      </c>
      <c r="N3967" s="159" t="s">
        <v>29</v>
      </c>
    </row>
    <row r="3968" spans="1:14">
      <c r="A3968" s="148"/>
      <c r="B3968" s="149"/>
      <c r="C3968" s="160"/>
      <c r="D3968" s="151"/>
      <c r="E3968" s="152"/>
      <c r="F3968" s="153"/>
      <c r="G3968" s="154"/>
      <c r="H3968" s="154"/>
      <c r="I3968" s="154"/>
      <c r="J3968" s="155"/>
      <c r="K3968" s="156"/>
      <c r="L3968" s="157"/>
      <c r="M3968" s="158" t="s">
        <v>28</v>
      </c>
      <c r="N3968" s="159" t="s">
        <v>29</v>
      </c>
    </row>
    <row r="3969" spans="1:14">
      <c r="A3969" s="148"/>
      <c r="B3969" s="149"/>
      <c r="C3969" s="160"/>
      <c r="D3969" s="151"/>
      <c r="E3969" s="152"/>
      <c r="F3969" s="153"/>
      <c r="G3969" s="154"/>
      <c r="H3969" s="154"/>
      <c r="I3969" s="154"/>
      <c r="J3969" s="155"/>
      <c r="K3969" s="156"/>
      <c r="L3969" s="157"/>
      <c r="M3969" s="158" t="s">
        <v>28</v>
      </c>
      <c r="N3969" s="159" t="s">
        <v>29</v>
      </c>
    </row>
    <row r="3970" spans="1:14">
      <c r="A3970" s="148"/>
      <c r="B3970" s="149"/>
      <c r="C3970" s="160"/>
      <c r="D3970" s="151"/>
      <c r="E3970" s="152"/>
      <c r="F3970" s="153"/>
      <c r="G3970" s="154"/>
      <c r="H3970" s="154"/>
      <c r="I3970" s="154"/>
      <c r="J3970" s="155"/>
      <c r="K3970" s="156"/>
      <c r="L3970" s="157"/>
      <c r="M3970" s="158" t="s">
        <v>28</v>
      </c>
      <c r="N3970" s="159" t="s">
        <v>29</v>
      </c>
    </row>
    <row r="3971" spans="1:14">
      <c r="A3971" s="148"/>
      <c r="B3971" s="149"/>
      <c r="C3971" s="160"/>
      <c r="D3971" s="151"/>
      <c r="E3971" s="152"/>
      <c r="F3971" s="153"/>
      <c r="G3971" s="154"/>
      <c r="H3971" s="154"/>
      <c r="I3971" s="154"/>
      <c r="J3971" s="155"/>
      <c r="K3971" s="156"/>
      <c r="L3971" s="157"/>
      <c r="M3971" s="158" t="s">
        <v>28</v>
      </c>
      <c r="N3971" s="159" t="s">
        <v>29</v>
      </c>
    </row>
    <row r="3972" spans="1:14">
      <c r="A3972" s="148"/>
      <c r="B3972" s="149"/>
      <c r="C3972" s="160"/>
      <c r="D3972" s="151"/>
      <c r="E3972" s="152"/>
      <c r="F3972" s="153"/>
      <c r="G3972" s="154"/>
      <c r="H3972" s="154"/>
      <c r="I3972" s="154"/>
      <c r="J3972" s="155"/>
      <c r="K3972" s="156"/>
      <c r="L3972" s="157"/>
      <c r="M3972" s="158" t="s">
        <v>28</v>
      </c>
      <c r="N3972" s="159" t="s">
        <v>29</v>
      </c>
    </row>
    <row r="3973" spans="1:14">
      <c r="A3973" s="148"/>
      <c r="B3973" s="149"/>
      <c r="C3973" s="160"/>
      <c r="D3973" s="151"/>
      <c r="E3973" s="152"/>
      <c r="F3973" s="153"/>
      <c r="G3973" s="154"/>
      <c r="H3973" s="154"/>
      <c r="I3973" s="154"/>
      <c r="J3973" s="155"/>
      <c r="K3973" s="156"/>
      <c r="L3973" s="157"/>
      <c r="M3973" s="158" t="s">
        <v>28</v>
      </c>
      <c r="N3973" s="159" t="s">
        <v>29</v>
      </c>
    </row>
    <row r="3974" spans="1:14">
      <c r="A3974" s="148"/>
      <c r="B3974" s="149"/>
      <c r="C3974" s="160"/>
      <c r="D3974" s="151"/>
      <c r="E3974" s="152"/>
      <c r="F3974" s="153"/>
      <c r="G3974" s="154"/>
      <c r="H3974" s="154"/>
      <c r="I3974" s="154"/>
      <c r="J3974" s="155"/>
      <c r="K3974" s="156"/>
      <c r="L3974" s="157"/>
      <c r="M3974" s="158" t="s">
        <v>28</v>
      </c>
      <c r="N3974" s="159" t="s">
        <v>29</v>
      </c>
    </row>
    <row r="3975" spans="1:14">
      <c r="A3975" s="148"/>
      <c r="B3975" s="149"/>
      <c r="C3975" s="160"/>
      <c r="D3975" s="151"/>
      <c r="E3975" s="152"/>
      <c r="F3975" s="153"/>
      <c r="G3975" s="154"/>
      <c r="H3975" s="154"/>
      <c r="I3975" s="154"/>
      <c r="J3975" s="155"/>
      <c r="K3975" s="156"/>
      <c r="L3975" s="157"/>
      <c r="M3975" s="158" t="s">
        <v>28</v>
      </c>
      <c r="N3975" s="159" t="s">
        <v>29</v>
      </c>
    </row>
    <row r="3976" spans="1:14">
      <c r="A3976" s="148"/>
      <c r="B3976" s="149"/>
      <c r="C3976" s="160"/>
      <c r="D3976" s="151"/>
      <c r="E3976" s="152"/>
      <c r="F3976" s="153"/>
      <c r="G3976" s="154"/>
      <c r="H3976" s="154"/>
      <c r="I3976" s="154"/>
      <c r="J3976" s="155"/>
      <c r="K3976" s="156"/>
      <c r="L3976" s="157"/>
      <c r="M3976" s="158" t="s">
        <v>28</v>
      </c>
      <c r="N3976" s="159" t="s">
        <v>29</v>
      </c>
    </row>
    <row r="3977" spans="1:14">
      <c r="A3977" s="148"/>
      <c r="B3977" s="149"/>
      <c r="C3977" s="160"/>
      <c r="D3977" s="151"/>
      <c r="E3977" s="152"/>
      <c r="F3977" s="153"/>
      <c r="G3977" s="154"/>
      <c r="H3977" s="154"/>
      <c r="I3977" s="154"/>
      <c r="J3977" s="155"/>
      <c r="K3977" s="156"/>
      <c r="L3977" s="157"/>
      <c r="M3977" s="158" t="s">
        <v>28</v>
      </c>
      <c r="N3977" s="159" t="s">
        <v>29</v>
      </c>
    </row>
    <row r="3978" spans="1:14">
      <c r="A3978" s="148"/>
      <c r="B3978" s="149"/>
      <c r="C3978" s="160"/>
      <c r="D3978" s="151"/>
      <c r="E3978" s="152"/>
      <c r="F3978" s="153"/>
      <c r="G3978" s="154"/>
      <c r="H3978" s="154"/>
      <c r="I3978" s="154"/>
      <c r="J3978" s="155"/>
      <c r="K3978" s="156"/>
      <c r="L3978" s="157"/>
      <c r="M3978" s="158" t="s">
        <v>28</v>
      </c>
      <c r="N3978" s="159" t="s">
        <v>29</v>
      </c>
    </row>
    <row r="3979" spans="1:14">
      <c r="A3979" s="148"/>
      <c r="B3979" s="149"/>
      <c r="C3979" s="160"/>
      <c r="D3979" s="151"/>
      <c r="E3979" s="152"/>
      <c r="F3979" s="153"/>
      <c r="G3979" s="154"/>
      <c r="H3979" s="154"/>
      <c r="I3979" s="154"/>
      <c r="J3979" s="155"/>
      <c r="K3979" s="156"/>
      <c r="L3979" s="157"/>
      <c r="M3979" s="158" t="s">
        <v>28</v>
      </c>
      <c r="N3979" s="159" t="s">
        <v>29</v>
      </c>
    </row>
    <row r="3980" spans="1:14">
      <c r="A3980" s="148"/>
      <c r="B3980" s="149"/>
      <c r="C3980" s="160"/>
      <c r="D3980" s="151"/>
      <c r="E3980" s="152"/>
      <c r="F3980" s="153"/>
      <c r="G3980" s="154"/>
      <c r="H3980" s="154"/>
      <c r="I3980" s="154"/>
      <c r="J3980" s="155"/>
      <c r="K3980" s="156"/>
      <c r="L3980" s="157"/>
      <c r="M3980" s="158" t="s">
        <v>28</v>
      </c>
      <c r="N3980" s="159" t="s">
        <v>29</v>
      </c>
    </row>
    <row r="3981" spans="1:14">
      <c r="A3981" s="148"/>
      <c r="B3981" s="149"/>
      <c r="C3981" s="160"/>
      <c r="D3981" s="151"/>
      <c r="E3981" s="152"/>
      <c r="F3981" s="153"/>
      <c r="G3981" s="154"/>
      <c r="H3981" s="154"/>
      <c r="I3981" s="154"/>
      <c r="J3981" s="155"/>
      <c r="K3981" s="156"/>
      <c r="L3981" s="157"/>
      <c r="M3981" s="158" t="s">
        <v>28</v>
      </c>
      <c r="N3981" s="159" t="s">
        <v>29</v>
      </c>
    </row>
    <row r="3982" spans="1:14">
      <c r="A3982" s="148"/>
      <c r="B3982" s="149"/>
      <c r="C3982" s="160"/>
      <c r="D3982" s="151"/>
      <c r="E3982" s="152"/>
      <c r="F3982" s="153"/>
      <c r="G3982" s="154"/>
      <c r="H3982" s="154"/>
      <c r="I3982" s="154"/>
      <c r="J3982" s="155"/>
      <c r="K3982" s="156"/>
      <c r="L3982" s="157"/>
      <c r="M3982" s="158" t="s">
        <v>28</v>
      </c>
      <c r="N3982" s="159" t="s">
        <v>29</v>
      </c>
    </row>
    <row r="3983" spans="1:14">
      <c r="A3983" s="148"/>
      <c r="B3983" s="149"/>
      <c r="C3983" s="160"/>
      <c r="D3983" s="151"/>
      <c r="E3983" s="152"/>
      <c r="F3983" s="153"/>
      <c r="G3983" s="154"/>
      <c r="H3983" s="154"/>
      <c r="I3983" s="154"/>
      <c r="J3983" s="155"/>
      <c r="K3983" s="156"/>
      <c r="L3983" s="157"/>
      <c r="M3983" s="158" t="s">
        <v>28</v>
      </c>
      <c r="N3983" s="159" t="s">
        <v>29</v>
      </c>
    </row>
    <row r="3984" spans="1:14">
      <c r="A3984" s="148"/>
      <c r="B3984" s="149"/>
      <c r="C3984" s="160"/>
      <c r="D3984" s="151"/>
      <c r="E3984" s="152"/>
      <c r="F3984" s="153"/>
      <c r="G3984" s="154"/>
      <c r="H3984" s="154"/>
      <c r="I3984" s="154"/>
      <c r="J3984" s="155"/>
      <c r="K3984" s="156"/>
      <c r="L3984" s="157"/>
      <c r="M3984" s="158" t="s">
        <v>28</v>
      </c>
      <c r="N3984" s="159" t="s">
        <v>29</v>
      </c>
    </row>
    <row r="3985" spans="1:14">
      <c r="A3985" s="148"/>
      <c r="B3985" s="149"/>
      <c r="C3985" s="160"/>
      <c r="D3985" s="151"/>
      <c r="E3985" s="152"/>
      <c r="F3985" s="153"/>
      <c r="G3985" s="154"/>
      <c r="H3985" s="154"/>
      <c r="I3985" s="154"/>
      <c r="J3985" s="155"/>
      <c r="K3985" s="156"/>
      <c r="L3985" s="157"/>
      <c r="M3985" s="158" t="s">
        <v>28</v>
      </c>
      <c r="N3985" s="159" t="s">
        <v>29</v>
      </c>
    </row>
    <row r="3986" spans="1:14">
      <c r="A3986" s="148"/>
      <c r="B3986" s="149"/>
      <c r="C3986" s="160"/>
      <c r="D3986" s="151"/>
      <c r="E3986" s="152"/>
      <c r="F3986" s="153"/>
      <c r="G3986" s="154"/>
      <c r="H3986" s="154"/>
      <c r="I3986" s="154"/>
      <c r="J3986" s="155"/>
      <c r="K3986" s="156"/>
      <c r="L3986" s="157"/>
      <c r="M3986" s="158" t="s">
        <v>28</v>
      </c>
      <c r="N3986" s="159" t="s">
        <v>29</v>
      </c>
    </row>
    <row r="3987" spans="1:14">
      <c r="A3987" s="148"/>
      <c r="B3987" s="149"/>
      <c r="C3987" s="160"/>
      <c r="D3987" s="151"/>
      <c r="E3987" s="152"/>
      <c r="F3987" s="153"/>
      <c r="G3987" s="154"/>
      <c r="H3987" s="154"/>
      <c r="I3987" s="154"/>
      <c r="J3987" s="155"/>
      <c r="K3987" s="156"/>
      <c r="L3987" s="157"/>
      <c r="M3987" s="158" t="s">
        <v>28</v>
      </c>
      <c r="N3987" s="159" t="s">
        <v>29</v>
      </c>
    </row>
    <row r="3988" spans="1:14">
      <c r="A3988" s="148"/>
      <c r="B3988" s="149"/>
      <c r="C3988" s="160"/>
      <c r="D3988" s="151"/>
      <c r="E3988" s="152"/>
      <c r="F3988" s="153"/>
      <c r="G3988" s="154"/>
      <c r="H3988" s="154"/>
      <c r="I3988" s="154"/>
      <c r="J3988" s="155"/>
      <c r="K3988" s="156"/>
      <c r="L3988" s="157"/>
      <c r="M3988" s="158" t="s">
        <v>28</v>
      </c>
      <c r="N3988" s="159" t="s">
        <v>29</v>
      </c>
    </row>
    <row r="3989" spans="1:14">
      <c r="A3989" s="148"/>
      <c r="B3989" s="149"/>
      <c r="C3989" s="160"/>
      <c r="D3989" s="151"/>
      <c r="E3989" s="152"/>
      <c r="F3989" s="153"/>
      <c r="G3989" s="154"/>
      <c r="H3989" s="154"/>
      <c r="I3989" s="154"/>
      <c r="J3989" s="155"/>
      <c r="K3989" s="156"/>
      <c r="L3989" s="157"/>
      <c r="M3989" s="158" t="s">
        <v>28</v>
      </c>
      <c r="N3989" s="159" t="s">
        <v>29</v>
      </c>
    </row>
    <row r="3990" spans="1:14">
      <c r="A3990" s="148"/>
      <c r="B3990" s="149"/>
      <c r="C3990" s="160"/>
      <c r="D3990" s="151"/>
      <c r="E3990" s="152"/>
      <c r="F3990" s="153"/>
      <c r="G3990" s="154"/>
      <c r="H3990" s="154"/>
      <c r="I3990" s="154"/>
      <c r="J3990" s="155"/>
      <c r="K3990" s="156"/>
      <c r="L3990" s="157"/>
      <c r="M3990" s="158" t="s">
        <v>28</v>
      </c>
      <c r="N3990" s="159" t="s">
        <v>29</v>
      </c>
    </row>
    <row r="3991" spans="1:14">
      <c r="A3991" s="148"/>
      <c r="B3991" s="149"/>
      <c r="C3991" s="160"/>
      <c r="D3991" s="151"/>
      <c r="E3991" s="152"/>
      <c r="F3991" s="153"/>
      <c r="G3991" s="154"/>
      <c r="H3991" s="154"/>
      <c r="I3991" s="154"/>
      <c r="J3991" s="155"/>
      <c r="K3991" s="156"/>
      <c r="L3991" s="157"/>
      <c r="M3991" s="158" t="s">
        <v>28</v>
      </c>
      <c r="N3991" s="159" t="s">
        <v>29</v>
      </c>
    </row>
    <row r="3992" spans="1:14">
      <c r="A3992" s="148"/>
      <c r="B3992" s="149"/>
      <c r="C3992" s="160"/>
      <c r="D3992" s="151"/>
      <c r="E3992" s="152"/>
      <c r="F3992" s="153"/>
      <c r="G3992" s="154"/>
      <c r="H3992" s="154"/>
      <c r="I3992" s="154"/>
      <c r="J3992" s="155"/>
      <c r="K3992" s="156"/>
      <c r="L3992" s="157"/>
      <c r="M3992" s="158" t="s">
        <v>28</v>
      </c>
      <c r="N3992" s="159" t="s">
        <v>29</v>
      </c>
    </row>
    <row r="3993" spans="1:14">
      <c r="A3993" s="148"/>
      <c r="B3993" s="149"/>
      <c r="C3993" s="160"/>
      <c r="D3993" s="151"/>
      <c r="E3993" s="152"/>
      <c r="F3993" s="153"/>
      <c r="G3993" s="154"/>
      <c r="H3993" s="154"/>
      <c r="I3993" s="154"/>
      <c r="J3993" s="155"/>
      <c r="K3993" s="156"/>
      <c r="L3993" s="157"/>
      <c r="M3993" s="158" t="s">
        <v>28</v>
      </c>
      <c r="N3993" s="159" t="s">
        <v>29</v>
      </c>
    </row>
    <row r="3994" spans="1:14">
      <c r="A3994" s="148"/>
      <c r="B3994" s="149"/>
      <c r="C3994" s="160"/>
      <c r="D3994" s="151"/>
      <c r="E3994" s="152"/>
      <c r="F3994" s="153"/>
      <c r="G3994" s="154"/>
      <c r="H3994" s="154"/>
      <c r="I3994" s="154"/>
      <c r="J3994" s="155"/>
      <c r="K3994" s="156"/>
      <c r="L3994" s="157"/>
      <c r="M3994" s="158" t="s">
        <v>28</v>
      </c>
      <c r="N3994" s="159" t="s">
        <v>29</v>
      </c>
    </row>
    <row r="3995" spans="1:14">
      <c r="A3995" s="148"/>
      <c r="B3995" s="149"/>
      <c r="C3995" s="160"/>
      <c r="D3995" s="151"/>
      <c r="E3995" s="152"/>
      <c r="F3995" s="153"/>
      <c r="G3995" s="154"/>
      <c r="H3995" s="154"/>
      <c r="I3995" s="154"/>
      <c r="J3995" s="155"/>
      <c r="K3995" s="156"/>
      <c r="L3995" s="157"/>
      <c r="M3995" s="158" t="s">
        <v>28</v>
      </c>
      <c r="N3995" s="159" t="s">
        <v>29</v>
      </c>
    </row>
    <row r="3996" spans="1:14">
      <c r="A3996" s="148"/>
      <c r="B3996" s="149"/>
      <c r="C3996" s="160"/>
      <c r="D3996" s="151"/>
      <c r="E3996" s="152"/>
      <c r="F3996" s="153"/>
      <c r="G3996" s="154"/>
      <c r="H3996" s="154"/>
      <c r="I3996" s="154"/>
      <c r="J3996" s="155"/>
      <c r="K3996" s="156"/>
      <c r="L3996" s="157"/>
      <c r="M3996" s="158" t="s">
        <v>28</v>
      </c>
      <c r="N3996" s="159" t="s">
        <v>29</v>
      </c>
    </row>
    <row r="3997" spans="1:14">
      <c r="A3997" s="148"/>
      <c r="B3997" s="149"/>
      <c r="C3997" s="160"/>
      <c r="D3997" s="151"/>
      <c r="E3997" s="152"/>
      <c r="F3997" s="153"/>
      <c r="G3997" s="154"/>
      <c r="H3997" s="154"/>
      <c r="I3997" s="154"/>
      <c r="J3997" s="155"/>
      <c r="K3997" s="156"/>
      <c r="L3997" s="157"/>
      <c r="M3997" s="158" t="s">
        <v>28</v>
      </c>
      <c r="N3997" s="159" t="s">
        <v>29</v>
      </c>
    </row>
    <row r="3998" spans="1:14">
      <c r="A3998" s="148"/>
      <c r="B3998" s="149"/>
      <c r="C3998" s="160"/>
      <c r="D3998" s="151"/>
      <c r="E3998" s="152"/>
      <c r="F3998" s="153"/>
      <c r="G3998" s="154"/>
      <c r="H3998" s="154"/>
      <c r="I3998" s="154"/>
      <c r="J3998" s="155"/>
      <c r="K3998" s="156"/>
      <c r="L3998" s="157"/>
      <c r="M3998" s="158" t="s">
        <v>28</v>
      </c>
      <c r="N3998" s="159" t="s">
        <v>29</v>
      </c>
    </row>
    <row r="3999" spans="1:14">
      <c r="A3999" s="148"/>
      <c r="B3999" s="149"/>
      <c r="C3999" s="160"/>
      <c r="D3999" s="151"/>
      <c r="E3999" s="152"/>
      <c r="F3999" s="153"/>
      <c r="G3999" s="154"/>
      <c r="H3999" s="154"/>
      <c r="I3999" s="154"/>
      <c r="J3999" s="155"/>
      <c r="K3999" s="156"/>
      <c r="L3999" s="157"/>
      <c r="M3999" s="158" t="s">
        <v>28</v>
      </c>
      <c r="N3999" s="159" t="s">
        <v>29</v>
      </c>
    </row>
    <row r="4000" spans="1:14">
      <c r="A4000" s="148"/>
      <c r="B4000" s="149"/>
      <c r="C4000" s="160"/>
      <c r="D4000" s="151"/>
      <c r="E4000" s="152"/>
      <c r="F4000" s="153"/>
      <c r="G4000" s="154"/>
      <c r="H4000" s="154"/>
      <c r="I4000" s="154"/>
      <c r="J4000" s="155"/>
      <c r="K4000" s="156"/>
      <c r="L4000" s="157"/>
      <c r="M4000" s="158" t="s">
        <v>28</v>
      </c>
      <c r="N4000" s="159" t="s">
        <v>29</v>
      </c>
    </row>
    <row r="4001" spans="1:14">
      <c r="A4001" s="148"/>
      <c r="B4001" s="149"/>
      <c r="C4001" s="160"/>
      <c r="D4001" s="151"/>
      <c r="E4001" s="152"/>
      <c r="F4001" s="153"/>
      <c r="G4001" s="154"/>
      <c r="H4001" s="154"/>
      <c r="I4001" s="154"/>
      <c r="J4001" s="155"/>
      <c r="K4001" s="156"/>
      <c r="L4001" s="157"/>
      <c r="M4001" s="158" t="s">
        <v>28</v>
      </c>
      <c r="N4001" s="159" t="s">
        <v>29</v>
      </c>
    </row>
    <row r="4002" spans="1:14">
      <c r="A4002" s="148"/>
      <c r="B4002" s="149"/>
      <c r="C4002" s="160"/>
      <c r="D4002" s="151"/>
      <c r="E4002" s="152"/>
      <c r="F4002" s="153"/>
      <c r="G4002" s="154"/>
      <c r="H4002" s="154"/>
      <c r="I4002" s="154"/>
      <c r="J4002" s="155"/>
      <c r="K4002" s="156"/>
      <c r="L4002" s="157"/>
      <c r="M4002" s="158" t="s">
        <v>28</v>
      </c>
      <c r="N4002" s="159" t="s">
        <v>29</v>
      </c>
    </row>
    <row r="4003" spans="1:14">
      <c r="A4003" s="148"/>
      <c r="B4003" s="149"/>
      <c r="C4003" s="160"/>
      <c r="D4003" s="151"/>
      <c r="E4003" s="152"/>
      <c r="F4003" s="153"/>
      <c r="G4003" s="154"/>
      <c r="H4003" s="154"/>
      <c r="I4003" s="154"/>
      <c r="J4003" s="155"/>
      <c r="K4003" s="156"/>
      <c r="L4003" s="157"/>
      <c r="M4003" s="158" t="s">
        <v>28</v>
      </c>
      <c r="N4003" s="159" t="s">
        <v>29</v>
      </c>
    </row>
    <row r="4004" spans="1:14">
      <c r="A4004" s="148"/>
      <c r="B4004" s="149"/>
      <c r="C4004" s="160"/>
      <c r="D4004" s="151"/>
      <c r="E4004" s="152"/>
      <c r="F4004" s="153"/>
      <c r="G4004" s="154"/>
      <c r="H4004" s="154"/>
      <c r="I4004" s="154"/>
      <c r="J4004" s="155"/>
      <c r="K4004" s="156"/>
      <c r="L4004" s="157"/>
      <c r="M4004" s="158" t="s">
        <v>28</v>
      </c>
      <c r="N4004" s="159" t="s">
        <v>29</v>
      </c>
    </row>
    <row r="4005" spans="1:14">
      <c r="A4005" s="148"/>
      <c r="B4005" s="149"/>
      <c r="C4005" s="160"/>
      <c r="D4005" s="151"/>
      <c r="E4005" s="152"/>
      <c r="F4005" s="153"/>
      <c r="G4005" s="154"/>
      <c r="H4005" s="154"/>
      <c r="I4005" s="154"/>
      <c r="J4005" s="155"/>
      <c r="K4005" s="156"/>
      <c r="L4005" s="157"/>
      <c r="M4005" s="158" t="s">
        <v>28</v>
      </c>
      <c r="N4005" s="159" t="s">
        <v>29</v>
      </c>
    </row>
    <row r="4006" spans="1:14">
      <c r="A4006" s="148"/>
      <c r="B4006" s="149"/>
      <c r="C4006" s="160"/>
      <c r="D4006" s="151"/>
      <c r="E4006" s="152"/>
      <c r="F4006" s="153"/>
      <c r="G4006" s="154"/>
      <c r="H4006" s="154"/>
      <c r="I4006" s="154"/>
      <c r="J4006" s="155"/>
      <c r="K4006" s="156"/>
      <c r="L4006" s="157"/>
      <c r="M4006" s="158" t="s">
        <v>28</v>
      </c>
      <c r="N4006" s="159" t="s">
        <v>29</v>
      </c>
    </row>
    <row r="4007" spans="1:14">
      <c r="A4007" s="148"/>
      <c r="B4007" s="149"/>
      <c r="C4007" s="160"/>
      <c r="D4007" s="151"/>
      <c r="E4007" s="152"/>
      <c r="F4007" s="153"/>
      <c r="G4007" s="154"/>
      <c r="H4007" s="154"/>
      <c r="I4007" s="154"/>
      <c r="J4007" s="155"/>
      <c r="K4007" s="156"/>
      <c r="L4007" s="157"/>
      <c r="M4007" s="158" t="s">
        <v>28</v>
      </c>
      <c r="N4007" s="159" t="s">
        <v>29</v>
      </c>
    </row>
    <row r="4008" spans="1:14">
      <c r="A4008" s="148"/>
      <c r="B4008" s="149"/>
      <c r="C4008" s="160"/>
      <c r="D4008" s="151"/>
      <c r="E4008" s="152"/>
      <c r="F4008" s="153"/>
      <c r="G4008" s="154"/>
      <c r="H4008" s="154"/>
      <c r="I4008" s="154"/>
      <c r="J4008" s="155"/>
      <c r="K4008" s="156"/>
      <c r="L4008" s="157"/>
      <c r="M4008" s="158" t="s">
        <v>28</v>
      </c>
      <c r="N4008" s="159" t="s">
        <v>29</v>
      </c>
    </row>
    <row r="4009" spans="1:14">
      <c r="A4009" s="148"/>
      <c r="B4009" s="149"/>
      <c r="C4009" s="160"/>
      <c r="D4009" s="151"/>
      <c r="E4009" s="152"/>
      <c r="F4009" s="153"/>
      <c r="G4009" s="154"/>
      <c r="H4009" s="154"/>
      <c r="I4009" s="154"/>
      <c r="J4009" s="155"/>
      <c r="K4009" s="156"/>
      <c r="L4009" s="157"/>
      <c r="M4009" s="158" t="s">
        <v>28</v>
      </c>
      <c r="N4009" s="159" t="s">
        <v>29</v>
      </c>
    </row>
    <row r="4010" spans="1:14">
      <c r="A4010" s="148"/>
      <c r="B4010" s="149"/>
      <c r="C4010" s="160"/>
      <c r="D4010" s="151"/>
      <c r="E4010" s="152"/>
      <c r="F4010" s="153"/>
      <c r="G4010" s="154"/>
      <c r="H4010" s="154"/>
      <c r="I4010" s="154"/>
      <c r="J4010" s="155"/>
      <c r="K4010" s="156"/>
      <c r="L4010" s="157"/>
      <c r="M4010" s="158" t="s">
        <v>28</v>
      </c>
      <c r="N4010" s="159" t="s">
        <v>29</v>
      </c>
    </row>
    <row r="4011" spans="1:14">
      <c r="A4011" s="148"/>
      <c r="B4011" s="149"/>
      <c r="C4011" s="160"/>
      <c r="D4011" s="151"/>
      <c r="E4011" s="152"/>
      <c r="F4011" s="153"/>
      <c r="G4011" s="154"/>
      <c r="H4011" s="154"/>
      <c r="I4011" s="154"/>
      <c r="J4011" s="155"/>
      <c r="K4011" s="156"/>
      <c r="L4011" s="157"/>
      <c r="M4011" s="158" t="s">
        <v>28</v>
      </c>
      <c r="N4011" s="159" t="s">
        <v>29</v>
      </c>
    </row>
    <row r="4012" spans="1:14">
      <c r="A4012" s="148"/>
      <c r="B4012" s="149"/>
      <c r="C4012" s="160"/>
      <c r="D4012" s="151"/>
      <c r="E4012" s="152"/>
      <c r="F4012" s="153"/>
      <c r="G4012" s="154"/>
      <c r="H4012" s="154"/>
      <c r="I4012" s="154"/>
      <c r="J4012" s="155"/>
      <c r="K4012" s="156"/>
      <c r="L4012" s="157"/>
      <c r="M4012" s="158" t="s">
        <v>28</v>
      </c>
      <c r="N4012" s="159" t="s">
        <v>29</v>
      </c>
    </row>
    <row r="4013" spans="1:14">
      <c r="A4013" s="148"/>
      <c r="B4013" s="149"/>
      <c r="C4013" s="160"/>
      <c r="D4013" s="151"/>
      <c r="E4013" s="152"/>
      <c r="F4013" s="153"/>
      <c r="G4013" s="154"/>
      <c r="H4013" s="154"/>
      <c r="I4013" s="154"/>
      <c r="J4013" s="155"/>
      <c r="K4013" s="156"/>
      <c r="L4013" s="157"/>
      <c r="M4013" s="158" t="s">
        <v>28</v>
      </c>
      <c r="N4013" s="159" t="s">
        <v>29</v>
      </c>
    </row>
    <row r="4014" spans="1:14">
      <c r="A4014" s="148"/>
      <c r="B4014" s="149"/>
      <c r="C4014" s="160"/>
      <c r="D4014" s="151"/>
      <c r="E4014" s="152"/>
      <c r="F4014" s="153"/>
      <c r="G4014" s="154"/>
      <c r="H4014" s="154"/>
      <c r="I4014" s="154"/>
      <c r="J4014" s="155"/>
      <c r="K4014" s="156"/>
      <c r="L4014" s="157"/>
      <c r="M4014" s="158" t="s">
        <v>28</v>
      </c>
      <c r="N4014" s="159" t="s">
        <v>29</v>
      </c>
    </row>
    <row r="4015" spans="1:14">
      <c r="A4015" s="148"/>
      <c r="B4015" s="149"/>
      <c r="C4015" s="160"/>
      <c r="D4015" s="151"/>
      <c r="E4015" s="152"/>
      <c r="F4015" s="153"/>
      <c r="G4015" s="154"/>
      <c r="H4015" s="154"/>
      <c r="I4015" s="154"/>
      <c r="J4015" s="155"/>
      <c r="K4015" s="156"/>
      <c r="L4015" s="157"/>
      <c r="M4015" s="158" t="s">
        <v>28</v>
      </c>
      <c r="N4015" s="159" t="s">
        <v>29</v>
      </c>
    </row>
    <row r="4016" spans="1:14">
      <c r="A4016" s="148"/>
      <c r="B4016" s="149"/>
      <c r="C4016" s="160"/>
      <c r="D4016" s="151"/>
      <c r="E4016" s="152"/>
      <c r="F4016" s="153"/>
      <c r="G4016" s="154"/>
      <c r="H4016" s="154"/>
      <c r="I4016" s="154"/>
      <c r="J4016" s="155"/>
      <c r="K4016" s="156"/>
      <c r="L4016" s="157"/>
      <c r="M4016" s="158" t="s">
        <v>28</v>
      </c>
      <c r="N4016" s="159" t="s">
        <v>29</v>
      </c>
    </row>
    <row r="4017" spans="1:14">
      <c r="A4017" s="148"/>
      <c r="B4017" s="149"/>
      <c r="C4017" s="160"/>
      <c r="D4017" s="151"/>
      <c r="E4017" s="152"/>
      <c r="F4017" s="153"/>
      <c r="G4017" s="154"/>
      <c r="H4017" s="154"/>
      <c r="I4017" s="154"/>
      <c r="J4017" s="155"/>
      <c r="K4017" s="156"/>
      <c r="L4017" s="157"/>
      <c r="M4017" s="158" t="s">
        <v>28</v>
      </c>
      <c r="N4017" s="159" t="s">
        <v>29</v>
      </c>
    </row>
    <row r="4018" spans="1:14">
      <c r="A4018" s="148"/>
      <c r="B4018" s="149"/>
      <c r="C4018" s="160"/>
      <c r="D4018" s="151"/>
      <c r="E4018" s="152"/>
      <c r="F4018" s="153"/>
      <c r="G4018" s="154"/>
      <c r="H4018" s="154"/>
      <c r="I4018" s="154"/>
      <c r="J4018" s="155"/>
      <c r="K4018" s="156"/>
      <c r="L4018" s="157"/>
      <c r="M4018" s="158" t="s">
        <v>28</v>
      </c>
      <c r="N4018" s="159" t="s">
        <v>29</v>
      </c>
    </row>
    <row r="4019" spans="1:14">
      <c r="A4019" s="148"/>
      <c r="B4019" s="149"/>
      <c r="C4019" s="160"/>
      <c r="D4019" s="151"/>
      <c r="E4019" s="152"/>
      <c r="F4019" s="153"/>
      <c r="G4019" s="154"/>
      <c r="H4019" s="154"/>
      <c r="I4019" s="154"/>
      <c r="J4019" s="155"/>
      <c r="K4019" s="156"/>
      <c r="L4019" s="157"/>
      <c r="M4019" s="158" t="s">
        <v>28</v>
      </c>
      <c r="N4019" s="159" t="s">
        <v>29</v>
      </c>
    </row>
    <row r="4020" spans="1:14">
      <c r="A4020" s="195"/>
      <c r="B4020" s="188"/>
      <c r="C4020" s="173"/>
      <c r="D4020" s="174"/>
      <c r="E4020" s="175"/>
      <c r="F4020" s="161"/>
      <c r="G4020" s="176"/>
      <c r="H4020" s="176"/>
      <c r="I4020" s="176"/>
      <c r="J4020" s="192"/>
      <c r="K4020" s="177"/>
      <c r="L4020" s="157"/>
      <c r="M4020" s="158" t="s">
        <v>28</v>
      </c>
      <c r="N4020" s="159" t="s">
        <v>29</v>
      </c>
    </row>
    <row r="4021" spans="1:14">
      <c r="A4021" s="195"/>
      <c r="B4021" s="188"/>
      <c r="C4021" s="173"/>
      <c r="D4021" s="174"/>
      <c r="E4021" s="175"/>
      <c r="F4021" s="161"/>
      <c r="G4021" s="176"/>
      <c r="H4021" s="176"/>
      <c r="I4021" s="176"/>
      <c r="J4021" s="192"/>
      <c r="K4021" s="177"/>
      <c r="L4021" s="157"/>
      <c r="M4021" s="158" t="s">
        <v>28</v>
      </c>
      <c r="N4021" s="159" t="s">
        <v>29</v>
      </c>
    </row>
    <row r="4022" spans="1:14">
      <c r="A4022" s="195"/>
      <c r="B4022" s="188"/>
      <c r="C4022" s="173"/>
      <c r="D4022" s="174"/>
      <c r="E4022" s="175"/>
      <c r="F4022" s="161"/>
      <c r="G4022" s="176"/>
      <c r="H4022" s="176"/>
      <c r="I4022" s="176"/>
      <c r="J4022" s="192"/>
      <c r="K4022" s="177"/>
      <c r="L4022" s="157"/>
      <c r="M4022" s="158" t="s">
        <v>28</v>
      </c>
      <c r="N4022" s="159" t="s">
        <v>29</v>
      </c>
    </row>
    <row r="4023" spans="1:14">
      <c r="A4023" s="195"/>
      <c r="B4023" s="188"/>
      <c r="C4023" s="173"/>
      <c r="D4023" s="174"/>
      <c r="E4023" s="175"/>
      <c r="F4023" s="161"/>
      <c r="G4023" s="176"/>
      <c r="H4023" s="176"/>
      <c r="I4023" s="176"/>
      <c r="J4023" s="192"/>
      <c r="K4023" s="177"/>
      <c r="L4023" s="157"/>
      <c r="M4023" s="158" t="s">
        <v>28</v>
      </c>
      <c r="N4023" s="159" t="s">
        <v>29</v>
      </c>
    </row>
    <row r="4024" spans="1:14">
      <c r="A4024" s="195"/>
      <c r="B4024" s="188"/>
      <c r="C4024" s="173"/>
      <c r="D4024" s="174"/>
      <c r="E4024" s="175"/>
      <c r="F4024" s="161"/>
      <c r="G4024" s="176"/>
      <c r="H4024" s="176"/>
      <c r="I4024" s="176"/>
      <c r="J4024" s="192"/>
      <c r="K4024" s="177"/>
      <c r="L4024" s="157"/>
      <c r="M4024" s="158" t="s">
        <v>28</v>
      </c>
      <c r="N4024" s="159" t="s">
        <v>29</v>
      </c>
    </row>
    <row r="4025" spans="1:14">
      <c r="A4025" s="195"/>
      <c r="B4025" s="188"/>
      <c r="C4025" s="173"/>
      <c r="D4025" s="174"/>
      <c r="E4025" s="175"/>
      <c r="F4025" s="161"/>
      <c r="G4025" s="176"/>
      <c r="H4025" s="176"/>
      <c r="I4025" s="176"/>
      <c r="J4025" s="192"/>
      <c r="K4025" s="177"/>
      <c r="L4025" s="157"/>
      <c r="M4025" s="158" t="s">
        <v>28</v>
      </c>
      <c r="N4025" s="159" t="s">
        <v>29</v>
      </c>
    </row>
    <row r="4026" spans="1:14">
      <c r="A4026" s="195"/>
      <c r="B4026" s="188"/>
      <c r="C4026" s="173"/>
      <c r="D4026" s="174"/>
      <c r="E4026" s="175"/>
      <c r="F4026" s="161"/>
      <c r="G4026" s="176"/>
      <c r="H4026" s="176"/>
      <c r="I4026" s="176"/>
      <c r="J4026" s="192"/>
      <c r="K4026" s="177"/>
      <c r="L4026" s="157"/>
      <c r="M4026" s="158" t="s">
        <v>28</v>
      </c>
      <c r="N4026" s="159" t="s">
        <v>29</v>
      </c>
    </row>
    <row r="4027" spans="1:14">
      <c r="A4027" s="195"/>
      <c r="B4027" s="188"/>
      <c r="C4027" s="173"/>
      <c r="D4027" s="174"/>
      <c r="E4027" s="175"/>
      <c r="F4027" s="161"/>
      <c r="G4027" s="176"/>
      <c r="H4027" s="176"/>
      <c r="I4027" s="176"/>
      <c r="J4027" s="192"/>
      <c r="K4027" s="177"/>
      <c r="L4027" s="157"/>
      <c r="M4027" s="158" t="s">
        <v>28</v>
      </c>
      <c r="N4027" s="159" t="s">
        <v>29</v>
      </c>
    </row>
    <row r="4028" spans="1:14">
      <c r="A4028" s="195"/>
      <c r="B4028" s="188"/>
      <c r="C4028" s="173"/>
      <c r="D4028" s="174"/>
      <c r="E4028" s="175"/>
      <c r="F4028" s="161"/>
      <c r="G4028" s="176"/>
      <c r="H4028" s="176"/>
      <c r="I4028" s="176"/>
      <c r="J4028" s="192"/>
      <c r="K4028" s="177"/>
      <c r="L4028" s="157"/>
      <c r="M4028" s="158" t="s">
        <v>28</v>
      </c>
      <c r="N4028" s="159" t="s">
        <v>29</v>
      </c>
    </row>
    <row r="4029" spans="1:14">
      <c r="A4029" s="195"/>
      <c r="B4029" s="188"/>
      <c r="C4029" s="173"/>
      <c r="D4029" s="174"/>
      <c r="E4029" s="175"/>
      <c r="F4029" s="161"/>
      <c r="G4029" s="176"/>
      <c r="H4029" s="176"/>
      <c r="I4029" s="176"/>
      <c r="J4029" s="192"/>
      <c r="K4029" s="177"/>
      <c r="L4029" s="157"/>
      <c r="M4029" s="158" t="s">
        <v>28</v>
      </c>
      <c r="N4029" s="159" t="s">
        <v>29</v>
      </c>
    </row>
    <row r="4030" spans="1:14">
      <c r="A4030" s="195"/>
      <c r="B4030" s="188"/>
      <c r="C4030" s="173"/>
      <c r="D4030" s="174"/>
      <c r="E4030" s="175"/>
      <c r="F4030" s="161"/>
      <c r="G4030" s="176"/>
      <c r="H4030" s="176"/>
      <c r="I4030" s="176"/>
      <c r="J4030" s="192"/>
      <c r="K4030" s="177"/>
      <c r="L4030" s="157"/>
      <c r="M4030" s="158" t="s">
        <v>28</v>
      </c>
      <c r="N4030" s="159" t="s">
        <v>29</v>
      </c>
    </row>
    <row r="4031" spans="1:14">
      <c r="A4031" s="195"/>
      <c r="B4031" s="188"/>
      <c r="C4031" s="173"/>
      <c r="D4031" s="174"/>
      <c r="E4031" s="175"/>
      <c r="F4031" s="161"/>
      <c r="G4031" s="176"/>
      <c r="H4031" s="176"/>
      <c r="I4031" s="176"/>
      <c r="J4031" s="192"/>
      <c r="K4031" s="177"/>
      <c r="L4031" s="157"/>
      <c r="M4031" s="158" t="s">
        <v>28</v>
      </c>
      <c r="N4031" s="159" t="s">
        <v>29</v>
      </c>
    </row>
    <row r="4032" spans="1:14">
      <c r="A4032" s="195"/>
      <c r="B4032" s="188"/>
      <c r="C4032" s="173"/>
      <c r="D4032" s="174"/>
      <c r="E4032" s="175"/>
      <c r="F4032" s="161"/>
      <c r="G4032" s="176"/>
      <c r="H4032" s="176"/>
      <c r="I4032" s="176"/>
      <c r="J4032" s="192"/>
      <c r="K4032" s="177"/>
      <c r="L4032" s="157"/>
      <c r="M4032" s="158" t="s">
        <v>28</v>
      </c>
      <c r="N4032" s="159" t="s">
        <v>29</v>
      </c>
    </row>
    <row r="4033" spans="1:14">
      <c r="A4033" s="195"/>
      <c r="B4033" s="188"/>
      <c r="C4033" s="173"/>
      <c r="D4033" s="174"/>
      <c r="E4033" s="175"/>
      <c r="F4033" s="161"/>
      <c r="G4033" s="176"/>
      <c r="H4033" s="176"/>
      <c r="I4033" s="176"/>
      <c r="J4033" s="192"/>
      <c r="K4033" s="177"/>
      <c r="L4033" s="157"/>
      <c r="M4033" s="158" t="s">
        <v>28</v>
      </c>
      <c r="N4033" s="159" t="s">
        <v>29</v>
      </c>
    </row>
    <row r="4034" spans="1:14">
      <c r="A4034" s="195"/>
      <c r="B4034" s="188"/>
      <c r="C4034" s="173"/>
      <c r="D4034" s="174"/>
      <c r="E4034" s="175"/>
      <c r="F4034" s="161"/>
      <c r="G4034" s="176"/>
      <c r="H4034" s="176"/>
      <c r="I4034" s="176"/>
      <c r="J4034" s="192"/>
      <c r="K4034" s="177"/>
      <c r="L4034" s="157"/>
      <c r="M4034" s="158" t="s">
        <v>28</v>
      </c>
      <c r="N4034" s="159" t="s">
        <v>29</v>
      </c>
    </row>
    <row r="4035" spans="1:14">
      <c r="A4035" s="195"/>
      <c r="B4035" s="188"/>
      <c r="C4035" s="173"/>
      <c r="D4035" s="174"/>
      <c r="E4035" s="175"/>
      <c r="F4035" s="161"/>
      <c r="G4035" s="176"/>
      <c r="H4035" s="176"/>
      <c r="I4035" s="176"/>
      <c r="J4035" s="192"/>
      <c r="K4035" s="177"/>
      <c r="L4035" s="157"/>
      <c r="M4035" s="158" t="s">
        <v>28</v>
      </c>
      <c r="N4035" s="159" t="s">
        <v>29</v>
      </c>
    </row>
    <row r="4036" spans="1:14">
      <c r="A4036" s="195"/>
      <c r="B4036" s="188"/>
      <c r="C4036" s="173"/>
      <c r="D4036" s="174"/>
      <c r="E4036" s="175"/>
      <c r="F4036" s="161"/>
      <c r="G4036" s="176"/>
      <c r="H4036" s="176"/>
      <c r="I4036" s="176"/>
      <c r="J4036" s="192"/>
      <c r="K4036" s="177"/>
      <c r="L4036" s="157"/>
      <c r="M4036" s="158" t="s">
        <v>28</v>
      </c>
      <c r="N4036" s="159" t="s">
        <v>29</v>
      </c>
    </row>
    <row r="4037" spans="1:14">
      <c r="A4037" s="195"/>
      <c r="B4037" s="188"/>
      <c r="C4037" s="173"/>
      <c r="D4037" s="174"/>
      <c r="E4037" s="175"/>
      <c r="F4037" s="161"/>
      <c r="G4037" s="176"/>
      <c r="H4037" s="176"/>
      <c r="I4037" s="176"/>
      <c r="J4037" s="192"/>
      <c r="K4037" s="177"/>
      <c r="L4037" s="157"/>
      <c r="M4037" s="158" t="s">
        <v>28</v>
      </c>
      <c r="N4037" s="159" t="s">
        <v>29</v>
      </c>
    </row>
    <row r="4038" spans="1:14">
      <c r="A4038" s="195"/>
      <c r="B4038" s="188"/>
      <c r="C4038" s="173"/>
      <c r="D4038" s="174"/>
      <c r="E4038" s="175"/>
      <c r="F4038" s="161"/>
      <c r="G4038" s="176"/>
      <c r="H4038" s="176"/>
      <c r="I4038" s="176"/>
      <c r="J4038" s="192"/>
      <c r="K4038" s="177"/>
      <c r="L4038" s="157"/>
      <c r="M4038" s="158" t="s">
        <v>28</v>
      </c>
      <c r="N4038" s="159" t="s">
        <v>29</v>
      </c>
    </row>
    <row r="4039" spans="1:14">
      <c r="A4039" s="195"/>
      <c r="B4039" s="188"/>
      <c r="C4039" s="173"/>
      <c r="D4039" s="174"/>
      <c r="E4039" s="175"/>
      <c r="F4039" s="161"/>
      <c r="G4039" s="176"/>
      <c r="H4039" s="176"/>
      <c r="I4039" s="176"/>
      <c r="J4039" s="192"/>
      <c r="K4039" s="177"/>
      <c r="L4039" s="157"/>
      <c r="M4039" s="158" t="s">
        <v>28</v>
      </c>
      <c r="N4039" s="159" t="s">
        <v>29</v>
      </c>
    </row>
    <row r="4040" spans="1:14">
      <c r="A4040" s="195"/>
      <c r="B4040" s="188"/>
      <c r="C4040" s="173"/>
      <c r="D4040" s="174"/>
      <c r="E4040" s="175"/>
      <c r="F4040" s="161"/>
      <c r="G4040" s="176"/>
      <c r="H4040" s="176"/>
      <c r="I4040" s="176"/>
      <c r="J4040" s="192"/>
      <c r="K4040" s="177"/>
      <c r="L4040" s="157"/>
      <c r="M4040" s="158" t="s">
        <v>28</v>
      </c>
      <c r="N4040" s="159" t="s">
        <v>29</v>
      </c>
    </row>
    <row r="4041" spans="1:14">
      <c r="A4041" s="195"/>
      <c r="B4041" s="188"/>
      <c r="C4041" s="173"/>
      <c r="D4041" s="174"/>
      <c r="E4041" s="175"/>
      <c r="F4041" s="161"/>
      <c r="G4041" s="176"/>
      <c r="H4041" s="176"/>
      <c r="I4041" s="176"/>
      <c r="J4041" s="192"/>
      <c r="K4041" s="177"/>
      <c r="L4041" s="157"/>
      <c r="M4041" s="158" t="s">
        <v>28</v>
      </c>
      <c r="N4041" s="159" t="s">
        <v>29</v>
      </c>
    </row>
    <row r="4042" spans="1:14">
      <c r="A4042" s="195"/>
      <c r="B4042" s="188"/>
      <c r="C4042" s="173"/>
      <c r="D4042" s="174"/>
      <c r="E4042" s="175"/>
      <c r="F4042" s="161"/>
      <c r="G4042" s="176"/>
      <c r="H4042" s="176"/>
      <c r="I4042" s="176"/>
      <c r="J4042" s="192"/>
      <c r="K4042" s="177"/>
      <c r="L4042" s="157"/>
      <c r="M4042" s="158" t="s">
        <v>28</v>
      </c>
      <c r="N4042" s="159" t="s">
        <v>29</v>
      </c>
    </row>
    <row r="4043" spans="1:14">
      <c r="A4043" s="195"/>
      <c r="B4043" s="188"/>
      <c r="C4043" s="173"/>
      <c r="D4043" s="174"/>
      <c r="E4043" s="175"/>
      <c r="F4043" s="161"/>
      <c r="G4043" s="176"/>
      <c r="H4043" s="176"/>
      <c r="I4043" s="176"/>
      <c r="J4043" s="192"/>
      <c r="K4043" s="177"/>
      <c r="L4043" s="157"/>
      <c r="M4043" s="158" t="s">
        <v>28</v>
      </c>
      <c r="N4043" s="159" t="s">
        <v>29</v>
      </c>
    </row>
    <row r="4044" spans="1:14">
      <c r="A4044" s="195"/>
      <c r="B4044" s="188"/>
      <c r="C4044" s="173"/>
      <c r="D4044" s="174"/>
      <c r="E4044" s="175"/>
      <c r="F4044" s="161"/>
      <c r="G4044" s="176"/>
      <c r="H4044" s="176"/>
      <c r="I4044" s="176"/>
      <c r="J4044" s="192"/>
      <c r="K4044" s="177"/>
      <c r="L4044" s="157"/>
      <c r="M4044" s="158" t="s">
        <v>28</v>
      </c>
      <c r="N4044" s="159" t="s">
        <v>29</v>
      </c>
    </row>
    <row r="4045" spans="1:14">
      <c r="A4045" s="195"/>
      <c r="B4045" s="188"/>
      <c r="C4045" s="173"/>
      <c r="D4045" s="174"/>
      <c r="E4045" s="175"/>
      <c r="F4045" s="161"/>
      <c r="G4045" s="176"/>
      <c r="H4045" s="176"/>
      <c r="I4045" s="176"/>
      <c r="J4045" s="192"/>
      <c r="K4045" s="177"/>
      <c r="L4045" s="157"/>
      <c r="M4045" s="158" t="s">
        <v>28</v>
      </c>
      <c r="N4045" s="159" t="s">
        <v>29</v>
      </c>
    </row>
    <row r="4046" spans="1:14">
      <c r="A4046" s="195"/>
      <c r="B4046" s="188"/>
      <c r="C4046" s="173"/>
      <c r="D4046" s="174"/>
      <c r="E4046" s="175"/>
      <c r="F4046" s="161"/>
      <c r="G4046" s="176"/>
      <c r="H4046" s="176"/>
      <c r="I4046" s="176"/>
      <c r="J4046" s="192"/>
      <c r="K4046" s="177"/>
      <c r="L4046" s="157"/>
      <c r="M4046" s="158" t="s">
        <v>28</v>
      </c>
      <c r="N4046" s="159" t="s">
        <v>29</v>
      </c>
    </row>
    <row r="4047" spans="1:14">
      <c r="A4047" s="195"/>
      <c r="B4047" s="188"/>
      <c r="C4047" s="173"/>
      <c r="D4047" s="174"/>
      <c r="E4047" s="175"/>
      <c r="F4047" s="161"/>
      <c r="G4047" s="176"/>
      <c r="H4047" s="176"/>
      <c r="I4047" s="176"/>
      <c r="J4047" s="192"/>
      <c r="K4047" s="177"/>
      <c r="L4047" s="157"/>
      <c r="M4047" s="158" t="s">
        <v>28</v>
      </c>
      <c r="N4047" s="159" t="s">
        <v>29</v>
      </c>
    </row>
    <row r="4048" spans="1:14">
      <c r="A4048" s="195"/>
      <c r="B4048" s="188"/>
      <c r="C4048" s="173"/>
      <c r="D4048" s="174"/>
      <c r="E4048" s="175"/>
      <c r="F4048" s="161"/>
      <c r="G4048" s="176"/>
      <c r="H4048" s="176"/>
      <c r="I4048" s="176"/>
      <c r="J4048" s="192"/>
      <c r="K4048" s="177"/>
      <c r="L4048" s="157"/>
      <c r="M4048" s="158" t="s">
        <v>28</v>
      </c>
      <c r="N4048" s="159" t="s">
        <v>29</v>
      </c>
    </row>
    <row r="4049" spans="1:14">
      <c r="A4049" s="195"/>
      <c r="B4049" s="188"/>
      <c r="C4049" s="173"/>
      <c r="D4049" s="174"/>
      <c r="E4049" s="175"/>
      <c r="F4049" s="161"/>
      <c r="G4049" s="176"/>
      <c r="H4049" s="176"/>
      <c r="I4049" s="176"/>
      <c r="J4049" s="192"/>
      <c r="K4049" s="177"/>
      <c r="L4049" s="157"/>
      <c r="M4049" s="158" t="s">
        <v>28</v>
      </c>
      <c r="N4049" s="159" t="s">
        <v>29</v>
      </c>
    </row>
    <row r="4050" spans="1:14">
      <c r="A4050" s="195"/>
      <c r="B4050" s="188"/>
      <c r="C4050" s="173"/>
      <c r="D4050" s="174"/>
      <c r="E4050" s="175"/>
      <c r="F4050" s="161"/>
      <c r="G4050" s="176"/>
      <c r="H4050" s="176"/>
      <c r="I4050" s="176"/>
      <c r="J4050" s="192"/>
      <c r="K4050" s="177"/>
      <c r="L4050" s="157"/>
      <c r="M4050" s="158" t="s">
        <v>28</v>
      </c>
      <c r="N4050" s="159" t="s">
        <v>29</v>
      </c>
    </row>
    <row r="4051" spans="1:14">
      <c r="A4051" s="195"/>
      <c r="B4051" s="188"/>
      <c r="C4051" s="173"/>
      <c r="D4051" s="174"/>
      <c r="E4051" s="175"/>
      <c r="F4051" s="161"/>
      <c r="G4051" s="176"/>
      <c r="H4051" s="176"/>
      <c r="I4051" s="176"/>
      <c r="J4051" s="192"/>
      <c r="K4051" s="177"/>
      <c r="L4051" s="157"/>
      <c r="M4051" s="158" t="s">
        <v>28</v>
      </c>
      <c r="N4051" s="159" t="s">
        <v>29</v>
      </c>
    </row>
    <row r="4052" spans="1:14">
      <c r="A4052" s="195"/>
      <c r="B4052" s="188"/>
      <c r="C4052" s="173"/>
      <c r="D4052" s="174"/>
      <c r="E4052" s="175"/>
      <c r="F4052" s="161"/>
      <c r="G4052" s="176"/>
      <c r="H4052" s="176"/>
      <c r="I4052" s="176"/>
      <c r="J4052" s="192"/>
      <c r="K4052" s="177"/>
      <c r="L4052" s="157"/>
      <c r="M4052" s="158" t="s">
        <v>28</v>
      </c>
      <c r="N4052" s="159" t="s">
        <v>29</v>
      </c>
    </row>
    <row r="4053" spans="1:14">
      <c r="A4053" s="195"/>
      <c r="B4053" s="188"/>
      <c r="C4053" s="173"/>
      <c r="D4053" s="174"/>
      <c r="E4053" s="175"/>
      <c r="F4053" s="161"/>
      <c r="G4053" s="176"/>
      <c r="H4053" s="176"/>
      <c r="I4053" s="176"/>
      <c r="J4053" s="192"/>
      <c r="K4053" s="177"/>
      <c r="L4053" s="157"/>
      <c r="M4053" s="158" t="s">
        <v>28</v>
      </c>
      <c r="N4053" s="159" t="s">
        <v>29</v>
      </c>
    </row>
    <row r="4054" spans="1:14">
      <c r="A4054" s="195"/>
      <c r="B4054" s="188"/>
      <c r="C4054" s="173"/>
      <c r="D4054" s="174"/>
      <c r="E4054" s="175"/>
      <c r="F4054" s="161"/>
      <c r="G4054" s="176"/>
      <c r="H4054" s="176"/>
      <c r="I4054" s="176"/>
      <c r="J4054" s="192"/>
      <c r="K4054" s="177"/>
      <c r="L4054" s="157"/>
      <c r="M4054" s="158" t="s">
        <v>28</v>
      </c>
      <c r="N4054" s="159" t="s">
        <v>29</v>
      </c>
    </row>
    <row r="4055" spans="1:14">
      <c r="A4055" s="195"/>
      <c r="B4055" s="188"/>
      <c r="C4055" s="173"/>
      <c r="D4055" s="174"/>
      <c r="E4055" s="175"/>
      <c r="F4055" s="161"/>
      <c r="G4055" s="176"/>
      <c r="H4055" s="176"/>
      <c r="I4055" s="176"/>
      <c r="J4055" s="192"/>
      <c r="K4055" s="177"/>
      <c r="L4055" s="157"/>
      <c r="M4055" s="158" t="s">
        <v>28</v>
      </c>
      <c r="N4055" s="159" t="s">
        <v>29</v>
      </c>
    </row>
    <row r="4056" spans="1:14">
      <c r="A4056" s="195"/>
      <c r="B4056" s="188"/>
      <c r="C4056" s="173"/>
      <c r="D4056" s="174"/>
      <c r="E4056" s="175"/>
      <c r="F4056" s="161"/>
      <c r="G4056" s="176"/>
      <c r="H4056" s="176"/>
      <c r="I4056" s="176"/>
      <c r="J4056" s="192"/>
      <c r="K4056" s="177"/>
      <c r="L4056" s="157"/>
      <c r="M4056" s="158" t="s">
        <v>28</v>
      </c>
      <c r="N4056" s="159" t="s">
        <v>29</v>
      </c>
    </row>
    <row r="4057" spans="1:14">
      <c r="A4057" s="195"/>
      <c r="B4057" s="188"/>
      <c r="C4057" s="173"/>
      <c r="D4057" s="174"/>
      <c r="E4057" s="175"/>
      <c r="F4057" s="161"/>
      <c r="G4057" s="176"/>
      <c r="H4057" s="176"/>
      <c r="I4057" s="176"/>
      <c r="J4057" s="192"/>
      <c r="K4057" s="177"/>
      <c r="L4057" s="157"/>
      <c r="M4057" s="158" t="s">
        <v>28</v>
      </c>
      <c r="N4057" s="159" t="s">
        <v>29</v>
      </c>
    </row>
    <row r="4058" spans="1:14">
      <c r="A4058" s="195"/>
      <c r="B4058" s="188"/>
      <c r="C4058" s="173"/>
      <c r="D4058" s="174"/>
      <c r="E4058" s="175"/>
      <c r="F4058" s="161"/>
      <c r="G4058" s="176"/>
      <c r="H4058" s="176"/>
      <c r="I4058" s="176"/>
      <c r="J4058" s="192"/>
      <c r="K4058" s="177"/>
      <c r="L4058" s="157"/>
      <c r="M4058" s="158" t="s">
        <v>28</v>
      </c>
      <c r="N4058" s="159" t="s">
        <v>29</v>
      </c>
    </row>
    <row r="4059" spans="1:14">
      <c r="A4059" s="195"/>
      <c r="B4059" s="188"/>
      <c r="C4059" s="173"/>
      <c r="D4059" s="174"/>
      <c r="E4059" s="175"/>
      <c r="F4059" s="161"/>
      <c r="G4059" s="176"/>
      <c r="H4059" s="176"/>
      <c r="I4059" s="176"/>
      <c r="J4059" s="192"/>
      <c r="K4059" s="177"/>
      <c r="L4059" s="157"/>
      <c r="M4059" s="158" t="s">
        <v>28</v>
      </c>
      <c r="N4059" s="159" t="s">
        <v>29</v>
      </c>
    </row>
    <row r="4060" spans="1:14">
      <c r="A4060" s="195"/>
      <c r="B4060" s="188"/>
      <c r="C4060" s="173"/>
      <c r="D4060" s="174"/>
      <c r="E4060" s="175"/>
      <c r="F4060" s="161"/>
      <c r="G4060" s="176"/>
      <c r="H4060" s="176"/>
      <c r="I4060" s="176"/>
      <c r="J4060" s="192"/>
      <c r="K4060" s="177"/>
      <c r="L4060" s="157"/>
      <c r="M4060" s="158" t="s">
        <v>28</v>
      </c>
      <c r="N4060" s="159" t="s">
        <v>29</v>
      </c>
    </row>
    <row r="4061" spans="1:14">
      <c r="A4061" s="195"/>
      <c r="B4061" s="188"/>
      <c r="C4061" s="173"/>
      <c r="D4061" s="174"/>
      <c r="E4061" s="175"/>
      <c r="F4061" s="161"/>
      <c r="G4061" s="176"/>
      <c r="H4061" s="176"/>
      <c r="I4061" s="176"/>
      <c r="J4061" s="192"/>
      <c r="K4061" s="177"/>
      <c r="L4061" s="157"/>
      <c r="M4061" s="158" t="s">
        <v>28</v>
      </c>
      <c r="N4061" s="159" t="s">
        <v>29</v>
      </c>
    </row>
    <row r="4062" spans="1:14">
      <c r="A4062" s="195"/>
      <c r="B4062" s="188"/>
      <c r="C4062" s="173"/>
      <c r="D4062" s="174"/>
      <c r="E4062" s="175"/>
      <c r="F4062" s="161"/>
      <c r="G4062" s="176"/>
      <c r="H4062" s="176"/>
      <c r="I4062" s="176"/>
      <c r="J4062" s="192"/>
      <c r="K4062" s="177"/>
      <c r="L4062" s="157"/>
      <c r="M4062" s="158" t="s">
        <v>28</v>
      </c>
      <c r="N4062" s="159" t="s">
        <v>29</v>
      </c>
    </row>
    <row r="4063" spans="1:14">
      <c r="A4063" s="195"/>
      <c r="B4063" s="188"/>
      <c r="C4063" s="173"/>
      <c r="D4063" s="174"/>
      <c r="E4063" s="175"/>
      <c r="F4063" s="161"/>
      <c r="G4063" s="176"/>
      <c r="H4063" s="176"/>
      <c r="I4063" s="176"/>
      <c r="J4063" s="192"/>
      <c r="K4063" s="177"/>
      <c r="L4063" s="157"/>
      <c r="M4063" s="158" t="s">
        <v>28</v>
      </c>
      <c r="N4063" s="159" t="s">
        <v>29</v>
      </c>
    </row>
    <row r="4064" spans="1:14">
      <c r="A4064" s="195"/>
      <c r="B4064" s="188"/>
      <c r="C4064" s="173"/>
      <c r="D4064" s="174"/>
      <c r="E4064" s="175"/>
      <c r="F4064" s="161"/>
      <c r="G4064" s="176"/>
      <c r="H4064" s="176"/>
      <c r="I4064" s="176"/>
      <c r="J4064" s="192"/>
      <c r="K4064" s="177"/>
      <c r="L4064" s="157"/>
      <c r="M4064" s="158" t="s">
        <v>28</v>
      </c>
      <c r="N4064" s="159" t="s">
        <v>29</v>
      </c>
    </row>
    <row r="4065" spans="1:14">
      <c r="A4065" s="195"/>
      <c r="B4065" s="188"/>
      <c r="C4065" s="173"/>
      <c r="D4065" s="174"/>
      <c r="E4065" s="175"/>
      <c r="F4065" s="161"/>
      <c r="G4065" s="176"/>
      <c r="H4065" s="176"/>
      <c r="I4065" s="176"/>
      <c r="J4065" s="192"/>
      <c r="K4065" s="177"/>
      <c r="L4065" s="157"/>
      <c r="M4065" s="158" t="s">
        <v>28</v>
      </c>
      <c r="N4065" s="159" t="s">
        <v>29</v>
      </c>
    </row>
    <row r="4066" spans="1:14">
      <c r="A4066" s="195"/>
      <c r="B4066" s="188"/>
      <c r="C4066" s="173"/>
      <c r="D4066" s="174"/>
      <c r="E4066" s="175"/>
      <c r="F4066" s="161"/>
      <c r="G4066" s="176"/>
      <c r="H4066" s="176"/>
      <c r="I4066" s="176"/>
      <c r="J4066" s="192"/>
      <c r="K4066" s="177"/>
      <c r="L4066" s="157"/>
      <c r="M4066" s="158" t="s">
        <v>28</v>
      </c>
      <c r="N4066" s="159" t="s">
        <v>29</v>
      </c>
    </row>
    <row r="4067" spans="1:14">
      <c r="A4067" s="195"/>
      <c r="B4067" s="188"/>
      <c r="C4067" s="173"/>
      <c r="D4067" s="174"/>
      <c r="E4067" s="175"/>
      <c r="F4067" s="161"/>
      <c r="G4067" s="176"/>
      <c r="H4067" s="176"/>
      <c r="I4067" s="176"/>
      <c r="J4067" s="192"/>
      <c r="K4067" s="177"/>
      <c r="L4067" s="157"/>
      <c r="M4067" s="158" t="s">
        <v>28</v>
      </c>
      <c r="N4067" s="159" t="s">
        <v>29</v>
      </c>
    </row>
    <row r="4068" spans="1:14">
      <c r="A4068" s="195"/>
      <c r="B4068" s="188"/>
      <c r="C4068" s="173"/>
      <c r="D4068" s="174"/>
      <c r="E4068" s="175"/>
      <c r="F4068" s="161"/>
      <c r="G4068" s="176"/>
      <c r="H4068" s="176"/>
      <c r="I4068" s="176"/>
      <c r="J4068" s="192"/>
      <c r="K4068" s="177"/>
      <c r="L4068" s="157"/>
      <c r="M4068" s="158" t="s">
        <v>28</v>
      </c>
      <c r="N4068" s="159" t="s">
        <v>29</v>
      </c>
    </row>
    <row r="4069" spans="1:14">
      <c r="A4069" s="195"/>
      <c r="B4069" s="188"/>
      <c r="C4069" s="173"/>
      <c r="D4069" s="174"/>
      <c r="E4069" s="175"/>
      <c r="F4069" s="161"/>
      <c r="G4069" s="176"/>
      <c r="H4069" s="176"/>
      <c r="I4069" s="176"/>
      <c r="J4069" s="192"/>
      <c r="K4069" s="177"/>
      <c r="L4069" s="157"/>
      <c r="M4069" s="158" t="s">
        <v>28</v>
      </c>
      <c r="N4069" s="159" t="s">
        <v>29</v>
      </c>
    </row>
    <row r="4070" spans="1:14">
      <c r="A4070" s="195"/>
      <c r="B4070" s="188"/>
      <c r="C4070" s="173"/>
      <c r="D4070" s="174"/>
      <c r="E4070" s="175"/>
      <c r="F4070" s="161"/>
      <c r="G4070" s="176"/>
      <c r="H4070" s="176"/>
      <c r="I4070" s="176"/>
      <c r="J4070" s="192"/>
      <c r="K4070" s="177"/>
      <c r="L4070" s="157"/>
      <c r="M4070" s="158" t="s">
        <v>28</v>
      </c>
      <c r="N4070" s="159" t="s">
        <v>29</v>
      </c>
    </row>
    <row r="4071" spans="1:14">
      <c r="A4071" s="195"/>
      <c r="B4071" s="188"/>
      <c r="C4071" s="173"/>
      <c r="D4071" s="174"/>
      <c r="E4071" s="175"/>
      <c r="F4071" s="161"/>
      <c r="G4071" s="176"/>
      <c r="H4071" s="176"/>
      <c r="I4071" s="176"/>
      <c r="J4071" s="192"/>
      <c r="K4071" s="177"/>
      <c r="L4071" s="157"/>
      <c r="M4071" s="158" t="s">
        <v>28</v>
      </c>
      <c r="N4071" s="159" t="s">
        <v>29</v>
      </c>
    </row>
    <row r="4072" spans="1:14">
      <c r="A4072" s="195"/>
      <c r="B4072" s="188"/>
      <c r="C4072" s="173"/>
      <c r="D4072" s="174"/>
      <c r="E4072" s="175"/>
      <c r="F4072" s="161"/>
      <c r="G4072" s="176"/>
      <c r="H4072" s="176"/>
      <c r="I4072" s="176"/>
      <c r="J4072" s="192"/>
      <c r="K4072" s="177"/>
      <c r="L4072" s="157"/>
      <c r="M4072" s="158" t="s">
        <v>28</v>
      </c>
      <c r="N4072" s="159" t="s">
        <v>29</v>
      </c>
    </row>
    <row r="4073" spans="1:14">
      <c r="A4073" s="195"/>
      <c r="B4073" s="188"/>
      <c r="C4073" s="173"/>
      <c r="D4073" s="174"/>
      <c r="E4073" s="175"/>
      <c r="F4073" s="161"/>
      <c r="G4073" s="176"/>
      <c r="H4073" s="176"/>
      <c r="I4073" s="176"/>
      <c r="J4073" s="192"/>
      <c r="K4073" s="177"/>
      <c r="L4073" s="157"/>
      <c r="M4073" s="158" t="s">
        <v>28</v>
      </c>
      <c r="N4073" s="159" t="s">
        <v>29</v>
      </c>
    </row>
    <row r="4074" spans="1:14">
      <c r="A4074" s="195"/>
      <c r="B4074" s="188"/>
      <c r="C4074" s="173"/>
      <c r="D4074" s="174"/>
      <c r="E4074" s="175"/>
      <c r="F4074" s="161"/>
      <c r="G4074" s="176"/>
      <c r="H4074" s="176"/>
      <c r="I4074" s="176"/>
      <c r="J4074" s="192"/>
      <c r="K4074" s="177"/>
      <c r="L4074" s="157"/>
      <c r="M4074" s="158" t="s">
        <v>28</v>
      </c>
      <c r="N4074" s="159" t="s">
        <v>29</v>
      </c>
    </row>
    <row r="4075" spans="1:14">
      <c r="A4075" s="195"/>
      <c r="B4075" s="188"/>
      <c r="C4075" s="173"/>
      <c r="D4075" s="174"/>
      <c r="E4075" s="175"/>
      <c r="F4075" s="161"/>
      <c r="G4075" s="176"/>
      <c r="H4075" s="176"/>
      <c r="I4075" s="176"/>
      <c r="J4075" s="192"/>
      <c r="K4075" s="177"/>
      <c r="L4075" s="157"/>
      <c r="M4075" s="158" t="s">
        <v>28</v>
      </c>
      <c r="N4075" s="159" t="s">
        <v>29</v>
      </c>
    </row>
    <row r="4076" spans="1:14">
      <c r="A4076" s="195"/>
      <c r="B4076" s="188"/>
      <c r="C4076" s="173"/>
      <c r="D4076" s="174"/>
      <c r="E4076" s="175"/>
      <c r="F4076" s="161"/>
      <c r="G4076" s="176"/>
      <c r="H4076" s="176"/>
      <c r="I4076" s="176"/>
      <c r="J4076" s="192"/>
      <c r="K4076" s="177"/>
      <c r="L4076" s="157"/>
      <c r="M4076" s="158" t="s">
        <v>28</v>
      </c>
      <c r="N4076" s="159" t="s">
        <v>29</v>
      </c>
    </row>
    <row r="4077" spans="1:14">
      <c r="A4077" s="195"/>
      <c r="B4077" s="188"/>
      <c r="C4077" s="173"/>
      <c r="D4077" s="174"/>
      <c r="E4077" s="175"/>
      <c r="F4077" s="161"/>
      <c r="G4077" s="176"/>
      <c r="H4077" s="176"/>
      <c r="I4077" s="176"/>
      <c r="J4077" s="192"/>
      <c r="K4077" s="177"/>
      <c r="L4077" s="157"/>
      <c r="M4077" s="158" t="s">
        <v>28</v>
      </c>
      <c r="N4077" s="159" t="s">
        <v>29</v>
      </c>
    </row>
    <row r="4078" spans="1:14">
      <c r="A4078" s="195"/>
      <c r="B4078" s="188"/>
      <c r="C4078" s="173"/>
      <c r="D4078" s="174"/>
      <c r="E4078" s="175"/>
      <c r="F4078" s="161"/>
      <c r="G4078" s="176"/>
      <c r="H4078" s="176"/>
      <c r="I4078" s="176"/>
      <c r="J4078" s="192"/>
      <c r="K4078" s="177"/>
      <c r="L4078" s="157"/>
      <c r="M4078" s="158" t="s">
        <v>28</v>
      </c>
      <c r="N4078" s="159" t="s">
        <v>29</v>
      </c>
    </row>
    <row r="4079" spans="1:14">
      <c r="A4079" s="195"/>
      <c r="B4079" s="188"/>
      <c r="C4079" s="173"/>
      <c r="D4079" s="174"/>
      <c r="E4079" s="175"/>
      <c r="F4079" s="161"/>
      <c r="G4079" s="176"/>
      <c r="H4079" s="176"/>
      <c r="I4079" s="176"/>
      <c r="J4079" s="192"/>
      <c r="K4079" s="177"/>
      <c r="L4079" s="157"/>
      <c r="M4079" s="158" t="s">
        <v>28</v>
      </c>
      <c r="N4079" s="159" t="s">
        <v>29</v>
      </c>
    </row>
    <row r="4080" spans="1:14">
      <c r="A4080" s="195"/>
      <c r="B4080" s="188"/>
      <c r="C4080" s="173"/>
      <c r="D4080" s="174"/>
      <c r="E4080" s="175"/>
      <c r="F4080" s="161"/>
      <c r="G4080" s="176"/>
      <c r="H4080" s="176"/>
      <c r="I4080" s="176"/>
      <c r="J4080" s="192"/>
      <c r="K4080" s="177"/>
      <c r="L4080" s="157"/>
      <c r="M4080" s="158" t="s">
        <v>28</v>
      </c>
      <c r="N4080" s="159" t="s">
        <v>29</v>
      </c>
    </row>
    <row r="4081" spans="1:14">
      <c r="A4081" s="195"/>
      <c r="B4081" s="188"/>
      <c r="C4081" s="173"/>
      <c r="D4081" s="174"/>
      <c r="E4081" s="175"/>
      <c r="F4081" s="161"/>
      <c r="G4081" s="176"/>
      <c r="H4081" s="176"/>
      <c r="I4081" s="176"/>
      <c r="J4081" s="192"/>
      <c r="K4081" s="177"/>
      <c r="L4081" s="157"/>
      <c r="M4081" s="158" t="s">
        <v>28</v>
      </c>
      <c r="N4081" s="159" t="s">
        <v>29</v>
      </c>
    </row>
    <row r="4082" spans="1:14">
      <c r="A4082" s="195"/>
      <c r="B4082" s="188"/>
      <c r="C4082" s="173"/>
      <c r="D4082" s="174"/>
      <c r="E4082" s="175"/>
      <c r="F4082" s="161"/>
      <c r="G4082" s="176"/>
      <c r="H4082" s="176"/>
      <c r="I4082" s="176"/>
      <c r="J4082" s="192"/>
      <c r="K4082" s="177"/>
      <c r="L4082" s="157"/>
      <c r="M4082" s="158" t="s">
        <v>28</v>
      </c>
      <c r="N4082" s="159" t="s">
        <v>29</v>
      </c>
    </row>
    <row r="4083" spans="1:14">
      <c r="A4083" s="195"/>
      <c r="B4083" s="188"/>
      <c r="C4083" s="173"/>
      <c r="D4083" s="174"/>
      <c r="E4083" s="175"/>
      <c r="F4083" s="161"/>
      <c r="G4083" s="176"/>
      <c r="H4083" s="176"/>
      <c r="I4083" s="176"/>
      <c r="J4083" s="192"/>
      <c r="K4083" s="177"/>
      <c r="L4083" s="157"/>
      <c r="M4083" s="158" t="s">
        <v>28</v>
      </c>
      <c r="N4083" s="159" t="s">
        <v>29</v>
      </c>
    </row>
    <row r="4084" spans="1:14">
      <c r="A4084" s="195"/>
      <c r="B4084" s="188"/>
      <c r="C4084" s="173"/>
      <c r="D4084" s="174"/>
      <c r="E4084" s="175"/>
      <c r="F4084" s="161"/>
      <c r="G4084" s="176"/>
      <c r="H4084" s="176"/>
      <c r="I4084" s="176"/>
      <c r="J4084" s="192"/>
      <c r="K4084" s="177"/>
      <c r="L4084" s="157"/>
      <c r="M4084" s="158" t="s">
        <v>28</v>
      </c>
      <c r="N4084" s="159" t="s">
        <v>29</v>
      </c>
    </row>
    <row r="4085" spans="1:14">
      <c r="A4085" s="195"/>
      <c r="B4085" s="188"/>
      <c r="C4085" s="173"/>
      <c r="D4085" s="174"/>
      <c r="E4085" s="175"/>
      <c r="F4085" s="161"/>
      <c r="G4085" s="176"/>
      <c r="H4085" s="176"/>
      <c r="I4085" s="176"/>
      <c r="J4085" s="192"/>
      <c r="K4085" s="177"/>
      <c r="L4085" s="157"/>
      <c r="M4085" s="158" t="s">
        <v>28</v>
      </c>
      <c r="N4085" s="159" t="s">
        <v>29</v>
      </c>
    </row>
    <row r="4086" spans="1:14">
      <c r="A4086" s="195"/>
      <c r="B4086" s="188"/>
      <c r="C4086" s="173"/>
      <c r="D4086" s="174"/>
      <c r="E4086" s="175"/>
      <c r="F4086" s="161"/>
      <c r="G4086" s="176"/>
      <c r="H4086" s="176"/>
      <c r="I4086" s="176"/>
      <c r="J4086" s="192"/>
      <c r="K4086" s="177"/>
      <c r="L4086" s="157"/>
      <c r="M4086" s="158" t="s">
        <v>28</v>
      </c>
      <c r="N4086" s="159" t="s">
        <v>29</v>
      </c>
    </row>
    <row r="4087" spans="1:14">
      <c r="A4087" s="195"/>
      <c r="B4087" s="188"/>
      <c r="C4087" s="173"/>
      <c r="D4087" s="174"/>
      <c r="E4087" s="175"/>
      <c r="F4087" s="161"/>
      <c r="G4087" s="176"/>
      <c r="H4087" s="176"/>
      <c r="I4087" s="176"/>
      <c r="J4087" s="192"/>
      <c r="K4087" s="177"/>
      <c r="L4087" s="157"/>
      <c r="M4087" s="158" t="s">
        <v>28</v>
      </c>
      <c r="N4087" s="159" t="s">
        <v>29</v>
      </c>
    </row>
    <row r="4088" spans="1:14">
      <c r="M4088" s="193" t="s">
        <v>28</v>
      </c>
      <c r="N4088" s="206" t="s">
        <v>29</v>
      </c>
    </row>
    <row r="4089" spans="1:14">
      <c r="M4089" s="193" t="s">
        <v>28</v>
      </c>
      <c r="N4089" s="206" t="s">
        <v>29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Y23"/>
  <sheetViews>
    <sheetView zoomScale="90" zoomScaleNormal="90" workbookViewId="0">
      <selection sqref="A1:Y23"/>
    </sheetView>
  </sheetViews>
  <sheetFormatPr baseColWidth="10" defaultRowHeight="15"/>
  <cols>
    <col min="1" max="1" width="12.140625" bestFit="1" customWidth="1"/>
    <col min="2" max="2" width="8.85546875" bestFit="1" customWidth="1"/>
    <col min="3" max="3" width="10.42578125" bestFit="1" customWidth="1"/>
    <col min="4" max="4" width="4.42578125" bestFit="1" customWidth="1"/>
    <col min="5" max="7" width="5.140625" bestFit="1" customWidth="1"/>
    <col min="8" max="8" width="6.140625" bestFit="1" customWidth="1"/>
    <col min="9" max="9" width="5.140625" bestFit="1" customWidth="1"/>
    <col min="10" max="10" width="6.140625" bestFit="1" customWidth="1"/>
    <col min="11" max="11" width="6.140625" customWidth="1"/>
    <col min="12" max="12" width="5.140625" bestFit="1" customWidth="1"/>
    <col min="13" max="14" width="6.140625" bestFit="1" customWidth="1"/>
    <col min="15" max="15" width="5.140625" bestFit="1" customWidth="1"/>
    <col min="16" max="16" width="5.7109375" bestFit="1" customWidth="1"/>
    <col min="17" max="18" width="7.85546875"/>
    <col min="19" max="19" width="5.7109375" bestFit="1" customWidth="1"/>
    <col min="20" max="20" width="6.7109375" customWidth="1"/>
  </cols>
  <sheetData>
    <row r="1" spans="1:25">
      <c r="A1" s="258" t="s">
        <v>30</v>
      </c>
      <c r="B1" s="258" t="s">
        <v>23</v>
      </c>
      <c r="C1" s="258" t="s">
        <v>59</v>
      </c>
      <c r="D1" s="258" t="s">
        <v>0</v>
      </c>
      <c r="E1" s="258" t="s">
        <v>31</v>
      </c>
      <c r="F1" s="258" t="s">
        <v>32</v>
      </c>
      <c r="G1" s="258" t="s">
        <v>33</v>
      </c>
      <c r="H1" s="258" t="s">
        <v>34</v>
      </c>
      <c r="I1" s="258" t="s">
        <v>35</v>
      </c>
      <c r="J1" s="258" t="s">
        <v>36</v>
      </c>
      <c r="K1" s="258" t="s">
        <v>37</v>
      </c>
      <c r="L1" s="258" t="s">
        <v>38</v>
      </c>
      <c r="M1" s="258" t="s">
        <v>39</v>
      </c>
      <c r="N1" s="258" t="s">
        <v>40</v>
      </c>
      <c r="O1" s="258" t="s">
        <v>41</v>
      </c>
      <c r="P1" s="258" t="s">
        <v>42</v>
      </c>
      <c r="Q1" s="258" t="s">
        <v>43</v>
      </c>
      <c r="R1" s="258" t="s">
        <v>44</v>
      </c>
      <c r="S1" s="258" t="s">
        <v>45</v>
      </c>
      <c r="T1" s="210"/>
      <c r="U1" s="209" t="s">
        <v>67</v>
      </c>
      <c r="V1" s="210"/>
      <c r="W1" s="210"/>
      <c r="X1" s="210"/>
      <c r="Y1" s="210"/>
    </row>
    <row r="2" spans="1:25">
      <c r="A2" s="259">
        <v>200</v>
      </c>
      <c r="B2" s="259">
        <v>150</v>
      </c>
      <c r="C2" s="259">
        <v>1</v>
      </c>
      <c r="D2" s="259">
        <v>1</v>
      </c>
      <c r="E2" s="259">
        <v>1</v>
      </c>
      <c r="F2" s="259">
        <v>1</v>
      </c>
      <c r="G2" s="259">
        <v>1</v>
      </c>
      <c r="H2" s="259">
        <v>1</v>
      </c>
      <c r="I2" s="259">
        <v>1</v>
      </c>
      <c r="J2" s="259">
        <v>1</v>
      </c>
      <c r="K2" s="259">
        <v>1</v>
      </c>
      <c r="L2" s="259">
        <v>1</v>
      </c>
      <c r="M2" s="259">
        <v>1</v>
      </c>
      <c r="N2" s="259">
        <v>1</v>
      </c>
      <c r="O2" s="259">
        <v>1</v>
      </c>
      <c r="P2" s="259">
        <v>1</v>
      </c>
      <c r="Q2" s="259">
        <v>1</v>
      </c>
      <c r="R2" s="259">
        <v>1</v>
      </c>
      <c r="S2" s="259">
        <v>1</v>
      </c>
      <c r="T2" s="210"/>
      <c r="U2" s="211" t="s">
        <v>68</v>
      </c>
      <c r="V2" s="210"/>
      <c r="W2" s="210"/>
      <c r="X2" s="210"/>
      <c r="Y2" s="210"/>
    </row>
    <row r="3" spans="1:25" ht="15.75" thickBot="1">
      <c r="A3" s="260" t="s">
        <v>46</v>
      </c>
      <c r="B3" s="260" t="s">
        <v>46</v>
      </c>
      <c r="C3" s="260"/>
      <c r="D3" s="261"/>
      <c r="E3" s="261"/>
      <c r="F3" s="261"/>
      <c r="G3" s="261"/>
      <c r="H3" s="261"/>
      <c r="I3" s="261"/>
      <c r="J3" s="261"/>
      <c r="K3" s="261"/>
      <c r="L3" s="261"/>
      <c r="M3" s="261"/>
      <c r="N3" s="261"/>
      <c r="O3" s="261"/>
      <c r="P3" s="261"/>
      <c r="Q3" s="261"/>
      <c r="R3" s="261"/>
      <c r="S3" s="261"/>
      <c r="T3" s="212"/>
      <c r="U3" s="262">
        <v>150</v>
      </c>
      <c r="V3" s="319" t="s">
        <v>69</v>
      </c>
      <c r="W3" s="320"/>
      <c r="X3" s="320"/>
      <c r="Y3" s="320"/>
    </row>
    <row r="4" spans="1:25">
      <c r="A4" s="212"/>
      <c r="B4" s="212"/>
      <c r="C4" s="212"/>
      <c r="D4" s="212"/>
      <c r="F4" s="212"/>
      <c r="G4" s="212"/>
      <c r="H4" s="212"/>
      <c r="I4" s="212"/>
      <c r="J4" s="212"/>
      <c r="K4" s="212"/>
      <c r="L4" s="212"/>
      <c r="M4" s="212"/>
      <c r="N4" s="212"/>
      <c r="O4" s="212"/>
      <c r="P4" s="212"/>
      <c r="Q4" s="212"/>
      <c r="R4" s="212"/>
      <c r="S4" s="212"/>
      <c r="T4" s="212"/>
      <c r="U4" s="212"/>
      <c r="V4" s="212"/>
      <c r="W4" s="212"/>
      <c r="X4" s="212"/>
      <c r="Y4" s="212"/>
    </row>
    <row r="5" spans="1:25">
      <c r="A5" s="212"/>
      <c r="B5" s="212"/>
      <c r="C5" s="212"/>
      <c r="D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  <c r="Q5" s="212"/>
      <c r="R5" s="212"/>
      <c r="S5" s="212"/>
      <c r="T5" s="212"/>
      <c r="U5" s="212"/>
      <c r="V5" s="212"/>
      <c r="W5" s="212"/>
      <c r="X5" s="212"/>
      <c r="Y5" s="212"/>
    </row>
    <row r="6" spans="1:25" ht="15.75">
      <c r="A6" s="247"/>
      <c r="B6" s="248"/>
      <c r="C6" s="212"/>
      <c r="D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/>
      <c r="R6" s="212"/>
      <c r="S6" s="212"/>
      <c r="T6" s="212"/>
      <c r="U6" s="212"/>
      <c r="V6" s="212"/>
      <c r="W6" s="212"/>
      <c r="X6" s="212"/>
      <c r="Y6" s="212"/>
    </row>
    <row r="7" spans="1:25">
      <c r="A7" s="248"/>
      <c r="B7" s="249"/>
      <c r="C7" s="212"/>
      <c r="D7" s="212"/>
      <c r="F7" s="212"/>
      <c r="G7" s="212"/>
      <c r="H7" s="212"/>
      <c r="I7" s="212"/>
      <c r="J7" s="212"/>
      <c r="K7" s="212"/>
      <c r="L7" s="212"/>
      <c r="M7" s="212"/>
      <c r="N7" s="212"/>
      <c r="O7" s="212"/>
      <c r="P7" s="212"/>
      <c r="Q7" s="212"/>
      <c r="R7" s="212"/>
      <c r="S7" s="212"/>
      <c r="T7" s="212"/>
      <c r="U7" s="212"/>
      <c r="V7" s="212"/>
      <c r="W7" s="212"/>
      <c r="X7" s="212"/>
      <c r="Y7" s="212"/>
    </row>
    <row r="8" spans="1:25">
      <c r="A8" s="248"/>
      <c r="B8" s="249"/>
      <c r="C8" s="212"/>
      <c r="D8" s="212"/>
      <c r="F8" s="212"/>
      <c r="G8" s="212"/>
      <c r="H8" s="212"/>
      <c r="I8" s="212"/>
      <c r="J8" s="212"/>
      <c r="K8" s="212"/>
      <c r="L8" s="212"/>
      <c r="M8" s="212"/>
      <c r="N8" s="212"/>
      <c r="O8" s="212"/>
      <c r="P8" s="212"/>
      <c r="Q8" s="212"/>
      <c r="R8" s="212"/>
      <c r="S8" s="212"/>
      <c r="T8" s="212"/>
      <c r="U8" s="212"/>
      <c r="V8" s="212"/>
      <c r="W8" s="212"/>
      <c r="X8" s="212"/>
      <c r="Y8" s="212"/>
    </row>
    <row r="9" spans="1:25">
      <c r="A9" s="248"/>
      <c r="B9" s="249"/>
      <c r="C9" s="212"/>
      <c r="D9" s="212"/>
      <c r="F9" s="212"/>
      <c r="G9" s="212"/>
      <c r="H9" s="212"/>
      <c r="I9" s="212"/>
      <c r="J9" s="212"/>
      <c r="K9" s="212"/>
      <c r="L9" s="212"/>
      <c r="M9" s="212"/>
      <c r="N9" s="212"/>
      <c r="O9" s="212"/>
      <c r="P9" s="212"/>
      <c r="Q9" s="212"/>
      <c r="R9" s="212"/>
      <c r="S9" s="212"/>
      <c r="T9" s="212"/>
      <c r="U9" s="212"/>
      <c r="V9" s="212"/>
      <c r="W9" s="212"/>
      <c r="X9" s="212"/>
      <c r="Y9" s="212"/>
    </row>
    <row r="10" spans="1:25">
      <c r="A10" s="248"/>
      <c r="B10" s="249"/>
      <c r="C10" s="212"/>
      <c r="D10" s="212"/>
      <c r="F10" s="212"/>
      <c r="G10" s="212"/>
      <c r="H10" s="212"/>
      <c r="I10" s="212"/>
      <c r="J10" s="212"/>
      <c r="K10" s="212"/>
      <c r="L10" s="212"/>
      <c r="M10" s="212"/>
      <c r="N10" s="212"/>
      <c r="O10" s="212"/>
      <c r="P10" s="212"/>
      <c r="Q10" s="212"/>
      <c r="R10" s="212"/>
      <c r="S10" s="212"/>
      <c r="T10" s="212"/>
      <c r="U10" s="212"/>
      <c r="V10" s="212"/>
      <c r="W10" s="212"/>
      <c r="X10" s="212"/>
      <c r="Y10" s="212"/>
    </row>
    <row r="11" spans="1:25">
      <c r="A11" s="248"/>
      <c r="B11" s="249"/>
      <c r="C11" s="212"/>
      <c r="D11" s="212"/>
      <c r="F11" s="212"/>
      <c r="G11" s="212"/>
      <c r="H11" s="212"/>
      <c r="I11" s="212"/>
      <c r="J11" s="212"/>
      <c r="K11" s="212"/>
      <c r="L11" s="212"/>
      <c r="M11" s="212"/>
      <c r="N11" s="212"/>
      <c r="O11" s="212"/>
      <c r="P11" s="212"/>
      <c r="Q11" s="212"/>
      <c r="R11" s="212"/>
      <c r="S11" s="212"/>
      <c r="T11" s="212"/>
      <c r="U11" s="212"/>
      <c r="V11" s="212"/>
      <c r="W11" s="212"/>
      <c r="X11" s="212"/>
      <c r="Y11" s="212"/>
    </row>
    <row r="12" spans="1:25">
      <c r="A12" s="248"/>
      <c r="B12" s="249"/>
      <c r="C12" s="212"/>
      <c r="D12" s="212"/>
      <c r="F12" s="212"/>
      <c r="G12" s="212"/>
      <c r="H12" s="212"/>
      <c r="I12" s="212"/>
      <c r="J12" s="212"/>
      <c r="K12" s="212"/>
      <c r="L12" s="212"/>
      <c r="M12" s="212"/>
      <c r="N12" s="212"/>
      <c r="O12" s="212"/>
      <c r="P12" s="212"/>
      <c r="Q12" s="212"/>
      <c r="R12" s="212"/>
      <c r="S12" s="212"/>
      <c r="T12" s="212"/>
      <c r="U12" s="212"/>
      <c r="V12" s="212"/>
      <c r="W12" s="212"/>
      <c r="X12" s="212"/>
      <c r="Y12" s="212"/>
    </row>
    <row r="13" spans="1:25">
      <c r="A13" s="248"/>
      <c r="B13" s="249"/>
      <c r="C13" s="212"/>
      <c r="D13" s="212"/>
      <c r="F13" s="212"/>
      <c r="G13" s="212"/>
      <c r="H13" s="212"/>
      <c r="I13" s="212"/>
      <c r="J13" s="212"/>
      <c r="K13" s="212"/>
      <c r="L13" s="212"/>
      <c r="M13" s="212"/>
      <c r="N13" s="212"/>
      <c r="O13" s="212"/>
      <c r="P13" s="212"/>
      <c r="Q13" s="212"/>
      <c r="R13" s="212"/>
      <c r="S13" s="212"/>
      <c r="T13" s="212"/>
      <c r="U13" s="212"/>
      <c r="V13" s="212"/>
      <c r="W13" s="212"/>
      <c r="X13" s="212"/>
      <c r="Y13" s="212"/>
    </row>
    <row r="14" spans="1:25">
      <c r="A14" s="248"/>
      <c r="B14" s="249"/>
      <c r="C14" s="212"/>
      <c r="D14" s="212"/>
      <c r="F14" s="212"/>
      <c r="G14" s="212"/>
      <c r="H14" s="212"/>
      <c r="I14" s="212"/>
      <c r="J14" s="212"/>
      <c r="K14" s="212"/>
      <c r="L14" s="212"/>
      <c r="M14" s="212"/>
      <c r="N14" s="212"/>
      <c r="O14" s="212"/>
      <c r="P14" s="212"/>
      <c r="Q14" s="212"/>
      <c r="R14" s="212"/>
      <c r="S14" s="212"/>
      <c r="T14" s="212"/>
      <c r="U14" s="212"/>
      <c r="V14" s="212"/>
      <c r="W14" s="212"/>
      <c r="X14" s="212"/>
      <c r="Y14" s="212"/>
    </row>
    <row r="15" spans="1:25">
      <c r="A15" s="248"/>
      <c r="B15" s="249"/>
      <c r="C15" s="212"/>
      <c r="D15" s="212"/>
      <c r="F15" s="212"/>
      <c r="G15" s="212"/>
      <c r="H15" s="212"/>
      <c r="I15" s="212"/>
      <c r="J15" s="212"/>
      <c r="K15" s="212"/>
      <c r="L15" s="212"/>
      <c r="M15" s="212"/>
      <c r="N15" s="212"/>
      <c r="O15" s="212"/>
      <c r="P15" s="212"/>
      <c r="Q15" s="212"/>
      <c r="R15" s="212"/>
      <c r="S15" s="212"/>
      <c r="T15" s="212"/>
      <c r="U15" s="212"/>
      <c r="V15" s="212"/>
      <c r="W15" s="212"/>
      <c r="X15" s="212"/>
      <c r="Y15" s="212"/>
    </row>
    <row r="16" spans="1:25">
      <c r="A16" s="248"/>
      <c r="B16" s="249"/>
      <c r="C16" s="212"/>
      <c r="D16" s="212"/>
      <c r="E16" s="212"/>
      <c r="F16" s="212"/>
      <c r="G16" s="212"/>
      <c r="H16" s="212"/>
      <c r="I16" s="212"/>
      <c r="J16" s="212"/>
      <c r="K16" s="212"/>
      <c r="L16" s="212"/>
      <c r="M16" s="212"/>
      <c r="N16" s="212"/>
      <c r="O16" s="212"/>
      <c r="P16" s="212"/>
      <c r="Q16" s="212"/>
      <c r="R16" s="212"/>
      <c r="S16" s="212"/>
      <c r="T16" s="212"/>
      <c r="U16" s="212"/>
      <c r="V16" s="212"/>
      <c r="W16" s="212"/>
      <c r="X16" s="212"/>
      <c r="Y16" s="212"/>
    </row>
    <row r="17" spans="1:25">
      <c r="A17" s="248"/>
      <c r="B17" s="249"/>
      <c r="C17" s="212"/>
      <c r="D17" s="212"/>
      <c r="E17" s="212"/>
      <c r="F17" s="212"/>
      <c r="G17" s="212"/>
      <c r="H17" s="212"/>
      <c r="I17" s="212"/>
      <c r="J17" s="212"/>
      <c r="K17" s="212"/>
      <c r="L17" s="212"/>
      <c r="M17" s="212"/>
      <c r="N17" s="212"/>
      <c r="O17" s="212"/>
      <c r="P17" s="212"/>
      <c r="Q17" s="212"/>
      <c r="R17" s="212"/>
      <c r="S17" s="212"/>
      <c r="T17" s="212"/>
      <c r="U17" s="212"/>
      <c r="V17" s="212"/>
      <c r="W17" s="212"/>
      <c r="X17" s="212"/>
      <c r="Y17" s="212"/>
    </row>
    <row r="18" spans="1:25">
      <c r="A18" s="248"/>
      <c r="B18" s="249"/>
      <c r="C18" s="212"/>
      <c r="D18" s="212"/>
      <c r="E18" s="212"/>
      <c r="F18" s="212"/>
      <c r="G18" s="212"/>
      <c r="H18" s="212"/>
      <c r="I18" s="212"/>
      <c r="J18" s="212"/>
      <c r="K18" s="212"/>
      <c r="L18" s="212"/>
      <c r="M18" s="212"/>
      <c r="N18" s="212"/>
      <c r="O18" s="212"/>
      <c r="P18" s="212"/>
      <c r="Q18" s="212"/>
      <c r="R18" s="212"/>
      <c r="S18" s="212"/>
      <c r="T18" s="212"/>
      <c r="U18" s="212"/>
      <c r="V18" s="212"/>
      <c r="W18" s="212"/>
      <c r="X18" s="212"/>
      <c r="Y18" s="212"/>
    </row>
    <row r="19" spans="1:25">
      <c r="A19" s="248"/>
      <c r="B19" s="249"/>
      <c r="C19" s="212"/>
      <c r="D19" s="212"/>
      <c r="E19" s="212"/>
      <c r="F19" s="212"/>
      <c r="G19" s="212"/>
      <c r="H19" s="212"/>
      <c r="I19" s="212"/>
      <c r="J19" s="212"/>
      <c r="K19" s="212"/>
      <c r="L19" s="212"/>
      <c r="M19" s="212"/>
      <c r="N19" s="212"/>
      <c r="O19" s="212"/>
      <c r="P19" s="212"/>
      <c r="Q19" s="212"/>
      <c r="R19" s="212"/>
      <c r="S19" s="212"/>
      <c r="T19" s="212"/>
      <c r="U19" s="212"/>
      <c r="V19" s="212"/>
      <c r="W19" s="212"/>
      <c r="X19" s="212"/>
      <c r="Y19" s="212"/>
    </row>
    <row r="20" spans="1:25">
      <c r="A20" s="248"/>
      <c r="B20" s="249"/>
      <c r="C20" s="212"/>
      <c r="D20" s="212"/>
      <c r="E20" s="212"/>
      <c r="F20" s="212"/>
      <c r="G20" s="212"/>
      <c r="H20" s="212"/>
      <c r="I20" s="212"/>
      <c r="J20" s="212"/>
      <c r="K20" s="212"/>
      <c r="L20" s="212"/>
      <c r="M20" s="212"/>
      <c r="N20" s="212"/>
      <c r="O20" s="212"/>
      <c r="P20" s="212"/>
      <c r="Q20" s="212"/>
      <c r="R20" s="212"/>
      <c r="S20" s="212"/>
      <c r="T20" s="212"/>
      <c r="U20" s="212"/>
      <c r="V20" s="212"/>
      <c r="W20" s="212"/>
      <c r="X20" s="212"/>
      <c r="Y20" s="212"/>
    </row>
    <row r="21" spans="1:25">
      <c r="A21" s="248"/>
      <c r="B21" s="249"/>
      <c r="C21" s="212"/>
      <c r="D21" s="212"/>
      <c r="E21" s="212"/>
      <c r="F21" s="212"/>
      <c r="G21" s="212"/>
      <c r="H21" s="212"/>
      <c r="I21" s="212"/>
      <c r="J21" s="212"/>
      <c r="K21" s="212"/>
      <c r="L21" s="212"/>
      <c r="M21" s="212"/>
      <c r="N21" s="212"/>
      <c r="O21" s="212"/>
      <c r="P21" s="212"/>
      <c r="Q21" s="212"/>
      <c r="R21" s="212"/>
      <c r="S21" s="212"/>
      <c r="T21" s="212"/>
      <c r="U21" s="212"/>
      <c r="V21" s="212"/>
      <c r="W21" s="212"/>
      <c r="X21" s="212"/>
      <c r="Y21" s="212"/>
    </row>
    <row r="22" spans="1:25">
      <c r="A22" s="248"/>
      <c r="B22" s="249"/>
      <c r="C22" s="212"/>
      <c r="D22" s="212"/>
      <c r="E22" s="212"/>
      <c r="F22" s="212"/>
      <c r="G22" s="212"/>
      <c r="H22" s="212"/>
      <c r="I22" s="212"/>
      <c r="J22" s="212"/>
      <c r="K22" s="212"/>
      <c r="L22" s="212"/>
      <c r="M22" s="212"/>
      <c r="N22" s="212"/>
      <c r="O22" s="212"/>
      <c r="P22" s="212"/>
      <c r="Q22" s="212"/>
      <c r="R22" s="212"/>
      <c r="S22" s="212"/>
      <c r="T22" s="212"/>
      <c r="U22" s="212"/>
      <c r="V22" s="212"/>
      <c r="W22" s="212"/>
      <c r="X22" s="212"/>
      <c r="Y22" s="212"/>
    </row>
    <row r="23" spans="1:25">
      <c r="A23" s="248"/>
      <c r="B23" s="249"/>
      <c r="C23" s="212"/>
      <c r="D23" s="212"/>
      <c r="E23" s="212"/>
      <c r="F23" s="212"/>
      <c r="G23" s="212"/>
      <c r="H23" s="212"/>
      <c r="I23" s="212"/>
      <c r="J23" s="212"/>
      <c r="K23" s="212"/>
      <c r="L23" s="212"/>
      <c r="M23" s="212"/>
      <c r="N23" s="212"/>
      <c r="O23" s="212"/>
      <c r="P23" s="212"/>
      <c r="Q23" s="212"/>
      <c r="R23" s="212"/>
      <c r="S23" s="212"/>
      <c r="T23" s="212"/>
      <c r="U23" s="212"/>
      <c r="V23" s="212"/>
      <c r="W23" s="212"/>
      <c r="X23" s="212"/>
      <c r="Y23" s="212"/>
    </row>
  </sheetData>
  <mergeCells count="1">
    <mergeCell ref="V3:Y3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29077-4A5D-4401-ACC8-405ED1B7BA4B}">
  <dimension ref="A4:M6729"/>
  <sheetViews>
    <sheetView topLeftCell="A49" workbookViewId="0">
      <selection activeCell="I12" sqref="I12"/>
    </sheetView>
  </sheetViews>
  <sheetFormatPr baseColWidth="10" defaultRowHeight="15"/>
  <sheetData>
    <row r="4" spans="1:13">
      <c r="A4">
        <v>45659</v>
      </c>
      <c r="B4" t="s">
        <v>81</v>
      </c>
      <c r="D4">
        <v>87000</v>
      </c>
      <c r="F4">
        <v>1</v>
      </c>
      <c r="G4" t="s">
        <v>74</v>
      </c>
      <c r="H4" t="s">
        <v>75</v>
      </c>
      <c r="I4" t="s">
        <v>60</v>
      </c>
      <c r="J4" t="s">
        <v>61</v>
      </c>
      <c r="L4" t="s">
        <v>88</v>
      </c>
      <c r="M4" t="s">
        <v>534</v>
      </c>
    </row>
    <row r="5" spans="1:13">
      <c r="A5">
        <v>45659</v>
      </c>
      <c r="B5" t="s">
        <v>63</v>
      </c>
      <c r="D5">
        <v>7000</v>
      </c>
      <c r="F5">
        <v>1</v>
      </c>
      <c r="G5" t="s">
        <v>70</v>
      </c>
      <c r="I5" t="s">
        <v>71</v>
      </c>
      <c r="J5" t="s">
        <v>535</v>
      </c>
      <c r="K5" t="s">
        <v>536</v>
      </c>
      <c r="L5" t="s">
        <v>62</v>
      </c>
      <c r="M5" t="s">
        <v>537</v>
      </c>
    </row>
    <row r="6" spans="1:13">
      <c r="A6">
        <v>45659</v>
      </c>
      <c r="B6" t="s">
        <v>63</v>
      </c>
      <c r="D6">
        <v>18000</v>
      </c>
      <c r="G6" t="s">
        <v>70</v>
      </c>
      <c r="I6" t="s">
        <v>60</v>
      </c>
      <c r="J6" t="s">
        <v>61</v>
      </c>
      <c r="L6" t="s">
        <v>62</v>
      </c>
    </row>
    <row r="7" spans="1:13">
      <c r="A7">
        <v>45659</v>
      </c>
      <c r="B7" t="s">
        <v>538</v>
      </c>
      <c r="F7">
        <v>1</v>
      </c>
      <c r="G7" t="s">
        <v>64</v>
      </c>
      <c r="L7" t="s">
        <v>89</v>
      </c>
      <c r="M7" t="s">
        <v>539</v>
      </c>
    </row>
    <row r="8" spans="1:13">
      <c r="A8">
        <v>45659</v>
      </c>
      <c r="B8" t="s">
        <v>540</v>
      </c>
      <c r="F8">
        <v>1</v>
      </c>
      <c r="G8" t="s">
        <v>64</v>
      </c>
      <c r="L8" t="s">
        <v>89</v>
      </c>
      <c r="M8" t="s">
        <v>541</v>
      </c>
    </row>
    <row r="9" spans="1:13">
      <c r="A9">
        <v>45659</v>
      </c>
      <c r="B9" t="s">
        <v>542</v>
      </c>
      <c r="E9">
        <v>35000</v>
      </c>
      <c r="F9">
        <v>1</v>
      </c>
      <c r="G9" t="s">
        <v>65</v>
      </c>
      <c r="H9" t="s">
        <v>265</v>
      </c>
      <c r="I9" t="s">
        <v>60</v>
      </c>
      <c r="J9" t="s">
        <v>61</v>
      </c>
      <c r="L9" t="s">
        <v>62</v>
      </c>
    </row>
    <row r="10" spans="1:13">
      <c r="A10">
        <v>45659</v>
      </c>
      <c r="B10" t="s">
        <v>543</v>
      </c>
      <c r="F10">
        <v>1</v>
      </c>
      <c r="G10" t="s">
        <v>377</v>
      </c>
      <c r="H10" t="s">
        <v>21</v>
      </c>
      <c r="L10" t="s">
        <v>89</v>
      </c>
    </row>
    <row r="11" spans="1:13">
      <c r="A11">
        <v>45659</v>
      </c>
      <c r="B11" t="s">
        <v>544</v>
      </c>
      <c r="D11">
        <v>500</v>
      </c>
      <c r="F11">
        <v>1</v>
      </c>
      <c r="G11" t="s">
        <v>22</v>
      </c>
      <c r="H11" t="s">
        <v>21</v>
      </c>
      <c r="I11" t="s">
        <v>60</v>
      </c>
      <c r="J11" t="s">
        <v>61</v>
      </c>
      <c r="L11" t="s">
        <v>86</v>
      </c>
    </row>
    <row r="12" spans="1:13">
      <c r="A12">
        <v>45659</v>
      </c>
      <c r="B12" t="s">
        <v>63</v>
      </c>
      <c r="D12">
        <v>19000</v>
      </c>
      <c r="F12">
        <v>1</v>
      </c>
      <c r="G12" t="s">
        <v>70</v>
      </c>
      <c r="I12" t="s">
        <v>71</v>
      </c>
      <c r="J12" t="s">
        <v>72</v>
      </c>
      <c r="K12" t="s">
        <v>545</v>
      </c>
      <c r="L12" t="s">
        <v>62</v>
      </c>
      <c r="M12" t="s">
        <v>90</v>
      </c>
    </row>
    <row r="13" spans="1:13">
      <c r="A13">
        <v>45659</v>
      </c>
      <c r="B13" t="s">
        <v>546</v>
      </c>
      <c r="F13">
        <v>-12</v>
      </c>
      <c r="G13" t="s">
        <v>22</v>
      </c>
      <c r="H13" t="s">
        <v>93</v>
      </c>
      <c r="L13" t="s">
        <v>461</v>
      </c>
    </row>
    <row r="14" spans="1:13">
      <c r="A14">
        <v>45659</v>
      </c>
      <c r="B14" t="s">
        <v>547</v>
      </c>
      <c r="D14">
        <v>500</v>
      </c>
      <c r="F14">
        <v>1</v>
      </c>
      <c r="G14" t="s">
        <v>22</v>
      </c>
      <c r="H14" t="s">
        <v>21</v>
      </c>
      <c r="I14" t="s">
        <v>60</v>
      </c>
      <c r="J14" t="s">
        <v>61</v>
      </c>
      <c r="L14" t="s">
        <v>86</v>
      </c>
    </row>
    <row r="15" spans="1:13">
      <c r="A15">
        <v>45659</v>
      </c>
      <c r="B15" t="s">
        <v>547</v>
      </c>
      <c r="D15">
        <v>0</v>
      </c>
      <c r="F15">
        <v>0</v>
      </c>
      <c r="G15" t="s">
        <v>22</v>
      </c>
      <c r="H15" t="s">
        <v>21</v>
      </c>
      <c r="I15" t="s">
        <v>60</v>
      </c>
      <c r="J15" t="s">
        <v>61</v>
      </c>
      <c r="L15" t="s">
        <v>86</v>
      </c>
      <c r="M15" t="s">
        <v>548</v>
      </c>
    </row>
    <row r="16" spans="1:13">
      <c r="A16">
        <v>45659</v>
      </c>
      <c r="B16" t="s">
        <v>549</v>
      </c>
      <c r="F16">
        <v>1</v>
      </c>
      <c r="G16" t="s">
        <v>79</v>
      </c>
      <c r="H16" t="s">
        <v>21</v>
      </c>
      <c r="L16" t="s">
        <v>86</v>
      </c>
    </row>
    <row r="17" spans="1:13">
      <c r="A17">
        <v>45659</v>
      </c>
      <c r="B17" t="s">
        <v>550</v>
      </c>
      <c r="F17">
        <v>1</v>
      </c>
      <c r="G17" t="s">
        <v>0</v>
      </c>
      <c r="L17" t="s">
        <v>82</v>
      </c>
    </row>
    <row r="18" spans="1:13">
      <c r="A18">
        <v>45660</v>
      </c>
      <c r="B18" t="s">
        <v>81</v>
      </c>
      <c r="D18">
        <v>152000</v>
      </c>
      <c r="F18">
        <v>1</v>
      </c>
      <c r="G18" t="s">
        <v>74</v>
      </c>
      <c r="H18" t="s">
        <v>75</v>
      </c>
      <c r="I18" t="s">
        <v>60</v>
      </c>
      <c r="J18" t="s">
        <v>61</v>
      </c>
      <c r="L18" t="s">
        <v>88</v>
      </c>
      <c r="M18" t="s">
        <v>534</v>
      </c>
    </row>
    <row r="19" spans="1:13">
      <c r="A19">
        <v>45660</v>
      </c>
      <c r="B19" t="s">
        <v>238</v>
      </c>
      <c r="C19" t="s">
        <v>551</v>
      </c>
      <c r="F19">
        <v>4</v>
      </c>
      <c r="G19" t="s">
        <v>22</v>
      </c>
      <c r="H19" t="s">
        <v>21</v>
      </c>
      <c r="L19" t="s">
        <v>95</v>
      </c>
    </row>
    <row r="20" spans="1:13">
      <c r="A20">
        <v>45660</v>
      </c>
      <c r="B20" t="s">
        <v>552</v>
      </c>
      <c r="D20">
        <v>500</v>
      </c>
      <c r="F20">
        <v>1</v>
      </c>
      <c r="G20" t="s">
        <v>22</v>
      </c>
      <c r="H20" t="s">
        <v>21</v>
      </c>
      <c r="I20" t="s">
        <v>60</v>
      </c>
      <c r="J20" t="s">
        <v>61</v>
      </c>
      <c r="L20" t="s">
        <v>82</v>
      </c>
    </row>
    <row r="21" spans="1:13">
      <c r="A21">
        <v>45660</v>
      </c>
      <c r="B21" t="s">
        <v>553</v>
      </c>
      <c r="F21">
        <v>1</v>
      </c>
      <c r="G21" t="s">
        <v>79</v>
      </c>
      <c r="H21" t="s">
        <v>21</v>
      </c>
      <c r="L21" t="s">
        <v>82</v>
      </c>
    </row>
    <row r="22" spans="1:13">
      <c r="A22">
        <v>45660</v>
      </c>
      <c r="B22" t="s">
        <v>554</v>
      </c>
      <c r="F22">
        <v>1</v>
      </c>
      <c r="G22" t="s">
        <v>555</v>
      </c>
      <c r="H22" t="s">
        <v>21</v>
      </c>
      <c r="L22" t="s">
        <v>82</v>
      </c>
    </row>
    <row r="23" spans="1:13">
      <c r="A23">
        <v>45660</v>
      </c>
      <c r="B23" t="s">
        <v>81</v>
      </c>
      <c r="E23">
        <v>2033130</v>
      </c>
      <c r="F23">
        <v>1</v>
      </c>
      <c r="G23" t="s">
        <v>74</v>
      </c>
      <c r="H23" t="s">
        <v>75</v>
      </c>
      <c r="I23" t="s">
        <v>60</v>
      </c>
      <c r="J23" t="s">
        <v>61</v>
      </c>
      <c r="L23" t="s">
        <v>167</v>
      </c>
    </row>
    <row r="24" spans="1:13">
      <c r="A24">
        <v>45660</v>
      </c>
      <c r="B24" t="s">
        <v>76</v>
      </c>
      <c r="D24">
        <v>4500</v>
      </c>
      <c r="G24" t="s">
        <v>77</v>
      </c>
      <c r="I24" t="s">
        <v>60</v>
      </c>
      <c r="J24" t="s">
        <v>61</v>
      </c>
      <c r="L24" t="s">
        <v>62</v>
      </c>
    </row>
    <row r="25" spans="1:13">
      <c r="A25">
        <v>45660</v>
      </c>
      <c r="B25" t="s">
        <v>63</v>
      </c>
      <c r="D25">
        <v>400</v>
      </c>
      <c r="F25">
        <v>4</v>
      </c>
      <c r="G25" t="s">
        <v>22</v>
      </c>
      <c r="H25" t="s">
        <v>93</v>
      </c>
      <c r="I25" t="s">
        <v>60</v>
      </c>
      <c r="J25" t="s">
        <v>61</v>
      </c>
      <c r="L25" t="s">
        <v>62</v>
      </c>
    </row>
    <row r="26" spans="1:13">
      <c r="A26">
        <v>45660</v>
      </c>
      <c r="B26" t="s">
        <v>63</v>
      </c>
      <c r="D26">
        <v>22000</v>
      </c>
      <c r="G26" t="s">
        <v>70</v>
      </c>
      <c r="I26" t="s">
        <v>60</v>
      </c>
      <c r="J26" t="s">
        <v>61</v>
      </c>
      <c r="L26" t="s">
        <v>62</v>
      </c>
    </row>
    <row r="27" spans="1:13">
      <c r="A27">
        <v>45660</v>
      </c>
      <c r="B27" t="s">
        <v>556</v>
      </c>
      <c r="F27">
        <v>1</v>
      </c>
      <c r="G27" t="s">
        <v>377</v>
      </c>
      <c r="H27" t="s">
        <v>21</v>
      </c>
      <c r="L27" t="s">
        <v>86</v>
      </c>
    </row>
    <row r="28" spans="1:13">
      <c r="A28">
        <v>45660</v>
      </c>
      <c r="B28" t="s">
        <v>557</v>
      </c>
      <c r="D28">
        <v>500</v>
      </c>
      <c r="F28">
        <v>1</v>
      </c>
      <c r="G28" t="s">
        <v>22</v>
      </c>
      <c r="H28" t="s">
        <v>21</v>
      </c>
      <c r="I28" t="s">
        <v>60</v>
      </c>
      <c r="J28" t="s">
        <v>61</v>
      </c>
      <c r="L28" t="s">
        <v>86</v>
      </c>
    </row>
    <row r="29" spans="1:13">
      <c r="A29">
        <v>45660</v>
      </c>
      <c r="B29" t="s">
        <v>557</v>
      </c>
      <c r="D29">
        <v>0</v>
      </c>
      <c r="F29">
        <v>0</v>
      </c>
      <c r="G29" t="s">
        <v>22</v>
      </c>
      <c r="H29" t="s">
        <v>21</v>
      </c>
      <c r="I29" t="s">
        <v>60</v>
      </c>
      <c r="J29" t="s">
        <v>61</v>
      </c>
      <c r="L29" t="s">
        <v>86</v>
      </c>
    </row>
    <row r="30" spans="1:13">
      <c r="A30">
        <v>45660</v>
      </c>
      <c r="B30" t="s">
        <v>558</v>
      </c>
      <c r="D30">
        <v>500</v>
      </c>
      <c r="F30">
        <v>1</v>
      </c>
      <c r="G30" t="s">
        <v>22</v>
      </c>
      <c r="H30" t="s">
        <v>21</v>
      </c>
      <c r="I30" t="s">
        <v>60</v>
      </c>
      <c r="J30" t="s">
        <v>61</v>
      </c>
      <c r="L30" t="s">
        <v>86</v>
      </c>
    </row>
    <row r="31" spans="1:13">
      <c r="A31">
        <v>45661</v>
      </c>
      <c r="B31" t="s">
        <v>81</v>
      </c>
      <c r="D31">
        <v>69000</v>
      </c>
      <c r="F31">
        <v>1</v>
      </c>
      <c r="G31" t="s">
        <v>74</v>
      </c>
      <c r="H31" t="s">
        <v>75</v>
      </c>
      <c r="I31" t="s">
        <v>60</v>
      </c>
      <c r="J31" t="s">
        <v>61</v>
      </c>
      <c r="L31" t="s">
        <v>88</v>
      </c>
    </row>
    <row r="32" spans="1:13">
      <c r="A32">
        <v>45661</v>
      </c>
      <c r="B32" t="s">
        <v>559</v>
      </c>
      <c r="E32">
        <v>10000</v>
      </c>
      <c r="F32">
        <v>1</v>
      </c>
      <c r="G32" t="s">
        <v>65</v>
      </c>
      <c r="H32" t="s">
        <v>560</v>
      </c>
      <c r="I32" t="s">
        <v>60</v>
      </c>
      <c r="J32" t="s">
        <v>61</v>
      </c>
      <c r="L32" t="s">
        <v>62</v>
      </c>
    </row>
    <row r="33" spans="1:13">
      <c r="A33">
        <v>45661</v>
      </c>
      <c r="B33" t="s">
        <v>561</v>
      </c>
      <c r="E33">
        <v>8000</v>
      </c>
      <c r="F33">
        <v>1</v>
      </c>
      <c r="G33" t="s">
        <v>65</v>
      </c>
      <c r="H33" t="s">
        <v>560</v>
      </c>
      <c r="I33" t="s">
        <v>60</v>
      </c>
      <c r="J33" t="s">
        <v>61</v>
      </c>
      <c r="L33" t="s">
        <v>62</v>
      </c>
    </row>
    <row r="34" spans="1:13">
      <c r="A34">
        <v>45661</v>
      </c>
      <c r="B34" t="s">
        <v>546</v>
      </c>
      <c r="F34">
        <v>-4</v>
      </c>
      <c r="G34" t="s">
        <v>22</v>
      </c>
      <c r="H34" t="s">
        <v>93</v>
      </c>
      <c r="L34" t="s">
        <v>461</v>
      </c>
    </row>
    <row r="35" spans="1:13">
      <c r="A35">
        <v>45661</v>
      </c>
      <c r="B35" t="s">
        <v>562</v>
      </c>
      <c r="D35">
        <v>17500</v>
      </c>
      <c r="G35" t="s">
        <v>77</v>
      </c>
      <c r="I35" t="s">
        <v>60</v>
      </c>
      <c r="J35" t="s">
        <v>61</v>
      </c>
      <c r="L35" t="s">
        <v>62</v>
      </c>
    </row>
    <row r="36" spans="1:13">
      <c r="A36">
        <v>45661</v>
      </c>
      <c r="B36" t="s">
        <v>563</v>
      </c>
      <c r="F36">
        <v>1</v>
      </c>
      <c r="G36" t="s">
        <v>564</v>
      </c>
      <c r="H36" t="s">
        <v>21</v>
      </c>
      <c r="L36" t="s">
        <v>89</v>
      </c>
    </row>
    <row r="37" spans="1:13">
      <c r="A37">
        <v>45661</v>
      </c>
      <c r="B37" t="s">
        <v>565</v>
      </c>
      <c r="F37">
        <v>1</v>
      </c>
      <c r="G37" t="s">
        <v>79</v>
      </c>
      <c r="H37" t="s">
        <v>21</v>
      </c>
      <c r="L37" t="s">
        <v>89</v>
      </c>
    </row>
    <row r="38" spans="1:13">
      <c r="A38">
        <v>45661</v>
      </c>
      <c r="B38" t="s">
        <v>63</v>
      </c>
      <c r="D38">
        <v>100</v>
      </c>
      <c r="F38">
        <v>1</v>
      </c>
      <c r="G38" t="s">
        <v>22</v>
      </c>
      <c r="H38" t="s">
        <v>93</v>
      </c>
      <c r="I38" t="s">
        <v>60</v>
      </c>
      <c r="J38" t="s">
        <v>61</v>
      </c>
      <c r="L38" t="s">
        <v>62</v>
      </c>
    </row>
    <row r="39" spans="1:13">
      <c r="A39">
        <v>45661</v>
      </c>
      <c r="B39" t="s">
        <v>566</v>
      </c>
      <c r="D39">
        <v>500</v>
      </c>
      <c r="F39">
        <v>1</v>
      </c>
      <c r="G39" t="s">
        <v>22</v>
      </c>
      <c r="H39" t="s">
        <v>21</v>
      </c>
      <c r="I39" t="s">
        <v>60</v>
      </c>
      <c r="J39" t="s">
        <v>61</v>
      </c>
      <c r="L39" t="s">
        <v>86</v>
      </c>
    </row>
    <row r="40" spans="1:13">
      <c r="A40">
        <v>45661</v>
      </c>
      <c r="B40" t="s">
        <v>567</v>
      </c>
      <c r="F40">
        <v>1</v>
      </c>
      <c r="G40" t="s">
        <v>79</v>
      </c>
      <c r="H40" t="s">
        <v>21</v>
      </c>
      <c r="L40" t="s">
        <v>86</v>
      </c>
    </row>
    <row r="41" spans="1:13">
      <c r="A41">
        <v>45661</v>
      </c>
      <c r="B41" t="s">
        <v>568</v>
      </c>
      <c r="F41">
        <v>1</v>
      </c>
      <c r="G41" t="s">
        <v>64</v>
      </c>
      <c r="L41" t="s">
        <v>86</v>
      </c>
      <c r="M41" t="s">
        <v>569</v>
      </c>
    </row>
    <row r="42" spans="1:13">
      <c r="A42">
        <v>45661</v>
      </c>
      <c r="B42" t="s">
        <v>570</v>
      </c>
      <c r="F42">
        <v>1</v>
      </c>
      <c r="G42" t="s">
        <v>319</v>
      </c>
      <c r="H42" t="s">
        <v>21</v>
      </c>
      <c r="L42" t="s">
        <v>86</v>
      </c>
    </row>
    <row r="43" spans="1:13">
      <c r="A43">
        <v>45661</v>
      </c>
      <c r="B43" t="s">
        <v>63</v>
      </c>
      <c r="D43">
        <v>21000</v>
      </c>
      <c r="G43" t="s">
        <v>70</v>
      </c>
      <c r="I43" t="s">
        <v>60</v>
      </c>
      <c r="J43" t="s">
        <v>61</v>
      </c>
      <c r="L43" t="s">
        <v>62</v>
      </c>
    </row>
    <row r="44" spans="1:13">
      <c r="A44">
        <v>45661</v>
      </c>
      <c r="B44" t="s">
        <v>63</v>
      </c>
      <c r="D44">
        <v>18000</v>
      </c>
      <c r="F44">
        <v>2</v>
      </c>
      <c r="G44" t="s">
        <v>70</v>
      </c>
      <c r="I44" t="s">
        <v>71</v>
      </c>
      <c r="J44" t="s">
        <v>72</v>
      </c>
      <c r="K44" t="s">
        <v>571</v>
      </c>
      <c r="L44" t="s">
        <v>62</v>
      </c>
      <c r="M44" t="s">
        <v>90</v>
      </c>
    </row>
    <row r="45" spans="1:13">
      <c r="A45">
        <v>45661</v>
      </c>
      <c r="B45" t="s">
        <v>63</v>
      </c>
      <c r="D45">
        <v>12000</v>
      </c>
      <c r="F45">
        <v>1</v>
      </c>
      <c r="G45" t="s">
        <v>70</v>
      </c>
      <c r="I45" t="s">
        <v>71</v>
      </c>
      <c r="J45" t="s">
        <v>72</v>
      </c>
      <c r="K45" t="s">
        <v>572</v>
      </c>
      <c r="L45" t="s">
        <v>62</v>
      </c>
      <c r="M45" t="s">
        <v>573</v>
      </c>
    </row>
    <row r="46" spans="1:13">
      <c r="A46">
        <v>45661</v>
      </c>
      <c r="B46" t="s">
        <v>574</v>
      </c>
      <c r="D46">
        <v>500</v>
      </c>
      <c r="F46">
        <v>1</v>
      </c>
      <c r="G46" t="s">
        <v>22</v>
      </c>
      <c r="H46" t="s">
        <v>21</v>
      </c>
      <c r="I46" t="s">
        <v>60</v>
      </c>
      <c r="J46" t="s">
        <v>61</v>
      </c>
      <c r="L46" t="s">
        <v>86</v>
      </c>
    </row>
    <row r="47" spans="1:13">
      <c r="A47">
        <v>45661</v>
      </c>
      <c r="B47" t="s">
        <v>575</v>
      </c>
      <c r="F47">
        <v>1</v>
      </c>
      <c r="G47" t="s">
        <v>564</v>
      </c>
      <c r="H47" t="s">
        <v>21</v>
      </c>
      <c r="L47" t="s">
        <v>86</v>
      </c>
    </row>
    <row r="48" spans="1:13">
      <c r="A48">
        <v>45661</v>
      </c>
      <c r="B48" t="s">
        <v>575</v>
      </c>
      <c r="F48">
        <v>1</v>
      </c>
      <c r="G48" t="s">
        <v>64</v>
      </c>
      <c r="L48" t="s">
        <v>86</v>
      </c>
      <c r="M48" t="s">
        <v>576</v>
      </c>
    </row>
    <row r="49" spans="1:13">
      <c r="A49">
        <v>45661</v>
      </c>
      <c r="B49" t="s">
        <v>577</v>
      </c>
      <c r="F49">
        <v>1</v>
      </c>
      <c r="G49" t="s">
        <v>377</v>
      </c>
      <c r="H49" t="s">
        <v>21</v>
      </c>
      <c r="L49" t="s">
        <v>86</v>
      </c>
    </row>
    <row r="50" spans="1:13">
      <c r="A50">
        <v>45661</v>
      </c>
      <c r="B50" t="s">
        <v>578</v>
      </c>
      <c r="F50">
        <v>1</v>
      </c>
      <c r="G50" t="s">
        <v>377</v>
      </c>
      <c r="H50" t="s">
        <v>21</v>
      </c>
      <c r="L50" t="s">
        <v>86</v>
      </c>
    </row>
    <row r="51" spans="1:13">
      <c r="A51">
        <v>45661</v>
      </c>
      <c r="B51" t="s">
        <v>579</v>
      </c>
      <c r="D51">
        <v>500</v>
      </c>
      <c r="F51">
        <v>1</v>
      </c>
      <c r="G51" t="s">
        <v>22</v>
      </c>
      <c r="H51" t="s">
        <v>21</v>
      </c>
      <c r="I51" t="s">
        <v>60</v>
      </c>
      <c r="J51" t="s">
        <v>61</v>
      </c>
      <c r="L51" t="s">
        <v>86</v>
      </c>
    </row>
    <row r="52" spans="1:13">
      <c r="A52">
        <v>45661</v>
      </c>
      <c r="B52" t="s">
        <v>580</v>
      </c>
      <c r="F52">
        <v>1</v>
      </c>
      <c r="G52" t="s">
        <v>377</v>
      </c>
      <c r="H52" t="s">
        <v>21</v>
      </c>
      <c r="L52" t="s">
        <v>86</v>
      </c>
    </row>
    <row r="53" spans="1:13">
      <c r="A53">
        <v>45661</v>
      </c>
      <c r="B53" t="s">
        <v>63</v>
      </c>
      <c r="D53">
        <v>6000</v>
      </c>
      <c r="F53">
        <v>1</v>
      </c>
      <c r="G53" t="s">
        <v>70</v>
      </c>
      <c r="I53" t="s">
        <v>71</v>
      </c>
      <c r="J53" t="s">
        <v>72</v>
      </c>
      <c r="K53" t="s">
        <v>581</v>
      </c>
      <c r="L53" t="s">
        <v>62</v>
      </c>
      <c r="M53" t="s">
        <v>92</v>
      </c>
    </row>
    <row r="54" spans="1:13">
      <c r="A54">
        <v>45662</v>
      </c>
      <c r="B54" t="s">
        <v>63</v>
      </c>
      <c r="D54">
        <v>11500</v>
      </c>
      <c r="G54" t="s">
        <v>70</v>
      </c>
      <c r="I54" t="s">
        <v>60</v>
      </c>
      <c r="J54" t="s">
        <v>61</v>
      </c>
      <c r="L54" t="s">
        <v>62</v>
      </c>
    </row>
    <row r="55" spans="1:13">
      <c r="A55">
        <v>45662</v>
      </c>
      <c r="B55" t="s">
        <v>582</v>
      </c>
      <c r="F55">
        <v>1</v>
      </c>
      <c r="G55" t="s">
        <v>22</v>
      </c>
      <c r="H55" t="s">
        <v>93</v>
      </c>
      <c r="L55" t="s">
        <v>461</v>
      </c>
      <c r="M55" t="s">
        <v>583</v>
      </c>
    </row>
    <row r="56" spans="1:13">
      <c r="A56">
        <v>45662</v>
      </c>
      <c r="B56" t="s">
        <v>582</v>
      </c>
      <c r="D56">
        <v>0</v>
      </c>
      <c r="F56">
        <v>0</v>
      </c>
      <c r="G56" t="s">
        <v>22</v>
      </c>
      <c r="H56" t="s">
        <v>21</v>
      </c>
      <c r="I56" t="s">
        <v>60</v>
      </c>
      <c r="J56" t="s">
        <v>61</v>
      </c>
      <c r="L56" t="s">
        <v>82</v>
      </c>
      <c r="M56" t="s">
        <v>548</v>
      </c>
    </row>
    <row r="57" spans="1:13">
      <c r="A57">
        <v>45662</v>
      </c>
      <c r="B57" t="s">
        <v>584</v>
      </c>
      <c r="F57">
        <v>1</v>
      </c>
      <c r="G57" t="s">
        <v>377</v>
      </c>
      <c r="H57" t="s">
        <v>21</v>
      </c>
      <c r="L57" t="s">
        <v>82</v>
      </c>
    </row>
    <row r="58" spans="1:13">
      <c r="A58">
        <v>45662</v>
      </c>
      <c r="B58" t="s">
        <v>584</v>
      </c>
      <c r="D58">
        <v>0</v>
      </c>
      <c r="F58">
        <v>0</v>
      </c>
      <c r="G58" t="s">
        <v>22</v>
      </c>
      <c r="H58" t="s">
        <v>21</v>
      </c>
      <c r="I58" t="s">
        <v>60</v>
      </c>
      <c r="J58" t="s">
        <v>61</v>
      </c>
      <c r="L58" t="s">
        <v>82</v>
      </c>
      <c r="M58" t="s">
        <v>548</v>
      </c>
    </row>
    <row r="59" spans="1:13">
      <c r="A59">
        <v>45662</v>
      </c>
      <c r="B59" t="s">
        <v>76</v>
      </c>
      <c r="D59">
        <v>1000</v>
      </c>
      <c r="G59" t="s">
        <v>77</v>
      </c>
      <c r="I59" t="s">
        <v>60</v>
      </c>
      <c r="J59" t="s">
        <v>61</v>
      </c>
      <c r="L59" t="s">
        <v>62</v>
      </c>
    </row>
    <row r="60" spans="1:13">
      <c r="A60">
        <v>45662</v>
      </c>
      <c r="B60" t="s">
        <v>63</v>
      </c>
      <c r="D60">
        <v>300</v>
      </c>
      <c r="F60">
        <v>3</v>
      </c>
      <c r="G60" t="s">
        <v>22</v>
      </c>
      <c r="H60" t="s">
        <v>93</v>
      </c>
      <c r="I60" t="s">
        <v>60</v>
      </c>
      <c r="J60" t="s">
        <v>61</v>
      </c>
      <c r="L60" t="s">
        <v>62</v>
      </c>
    </row>
    <row r="61" spans="1:13">
      <c r="A61">
        <v>45662</v>
      </c>
      <c r="B61" t="s">
        <v>585</v>
      </c>
      <c r="D61">
        <v>500</v>
      </c>
      <c r="F61">
        <v>1</v>
      </c>
      <c r="G61" t="s">
        <v>22</v>
      </c>
      <c r="H61" t="s">
        <v>21</v>
      </c>
      <c r="I61" t="s">
        <v>60</v>
      </c>
      <c r="J61" t="s">
        <v>61</v>
      </c>
      <c r="L61" t="s">
        <v>86</v>
      </c>
    </row>
    <row r="62" spans="1:13">
      <c r="A62">
        <v>45662</v>
      </c>
      <c r="B62" t="s">
        <v>586</v>
      </c>
      <c r="F62">
        <v>1</v>
      </c>
      <c r="G62" t="s">
        <v>587</v>
      </c>
      <c r="H62" t="s">
        <v>21</v>
      </c>
      <c r="L62" t="s">
        <v>86</v>
      </c>
    </row>
    <row r="63" spans="1:13">
      <c r="A63">
        <v>45662</v>
      </c>
      <c r="B63" t="s">
        <v>588</v>
      </c>
      <c r="D63">
        <v>500</v>
      </c>
      <c r="F63">
        <v>1</v>
      </c>
      <c r="G63" t="s">
        <v>22</v>
      </c>
      <c r="H63" t="s">
        <v>21</v>
      </c>
      <c r="I63" t="s">
        <v>60</v>
      </c>
      <c r="J63" t="s">
        <v>61</v>
      </c>
      <c r="L63" t="s">
        <v>86</v>
      </c>
    </row>
    <row r="64" spans="1:13">
      <c r="A64">
        <v>45662</v>
      </c>
      <c r="B64" t="s">
        <v>589</v>
      </c>
      <c r="F64">
        <v>1</v>
      </c>
      <c r="G64" t="s">
        <v>590</v>
      </c>
      <c r="H64" t="s">
        <v>21</v>
      </c>
      <c r="L64" t="s">
        <v>86</v>
      </c>
      <c r="M64" t="s">
        <v>591</v>
      </c>
    </row>
    <row r="65" spans="1:13">
      <c r="A65">
        <v>45662</v>
      </c>
      <c r="B65" t="s">
        <v>592</v>
      </c>
      <c r="F65">
        <v>1</v>
      </c>
      <c r="G65" t="s">
        <v>564</v>
      </c>
      <c r="H65" t="s">
        <v>21</v>
      </c>
      <c r="L65" t="s">
        <v>82</v>
      </c>
    </row>
    <row r="66" spans="1:13">
      <c r="A66">
        <v>45662</v>
      </c>
      <c r="B66" t="s">
        <v>63</v>
      </c>
      <c r="D66">
        <v>17000</v>
      </c>
      <c r="F66">
        <v>3</v>
      </c>
      <c r="G66" t="s">
        <v>70</v>
      </c>
      <c r="I66" t="s">
        <v>71</v>
      </c>
      <c r="J66" t="s">
        <v>72</v>
      </c>
      <c r="K66" t="s">
        <v>593</v>
      </c>
      <c r="L66" t="s">
        <v>62</v>
      </c>
      <c r="M66" t="s">
        <v>90</v>
      </c>
    </row>
    <row r="67" spans="1:13">
      <c r="A67">
        <v>45663</v>
      </c>
      <c r="B67" t="s">
        <v>81</v>
      </c>
      <c r="D67">
        <v>301000</v>
      </c>
      <c r="F67">
        <v>1</v>
      </c>
      <c r="G67" t="s">
        <v>74</v>
      </c>
      <c r="H67" t="s">
        <v>75</v>
      </c>
      <c r="I67" t="s">
        <v>60</v>
      </c>
      <c r="J67" t="s">
        <v>61</v>
      </c>
      <c r="L67" t="s">
        <v>88</v>
      </c>
      <c r="M67" t="s">
        <v>594</v>
      </c>
    </row>
    <row r="68" spans="1:13">
      <c r="A68">
        <v>45663</v>
      </c>
      <c r="B68" t="s">
        <v>595</v>
      </c>
      <c r="D68">
        <v>500</v>
      </c>
      <c r="F68">
        <v>1</v>
      </c>
      <c r="G68" t="s">
        <v>22</v>
      </c>
      <c r="H68" t="s">
        <v>21</v>
      </c>
      <c r="I68" t="s">
        <v>60</v>
      </c>
      <c r="J68" t="s">
        <v>61</v>
      </c>
      <c r="L68" t="s">
        <v>82</v>
      </c>
    </row>
    <row r="69" spans="1:13">
      <c r="A69">
        <v>45663</v>
      </c>
      <c r="B69" t="s">
        <v>596</v>
      </c>
      <c r="F69">
        <v>2</v>
      </c>
      <c r="G69" t="s">
        <v>107</v>
      </c>
      <c r="H69" t="s">
        <v>21</v>
      </c>
      <c r="L69" t="s">
        <v>82</v>
      </c>
    </row>
    <row r="70" spans="1:13">
      <c r="A70">
        <v>45663</v>
      </c>
      <c r="B70" t="s">
        <v>597</v>
      </c>
      <c r="F70">
        <v>1</v>
      </c>
      <c r="G70" t="s">
        <v>564</v>
      </c>
      <c r="H70" t="s">
        <v>21</v>
      </c>
      <c r="L70" t="s">
        <v>82</v>
      </c>
    </row>
    <row r="71" spans="1:13">
      <c r="A71">
        <v>45663</v>
      </c>
      <c r="B71" t="s">
        <v>598</v>
      </c>
      <c r="F71">
        <v>1</v>
      </c>
      <c r="G71" t="s">
        <v>99</v>
      </c>
      <c r="H71" t="s">
        <v>21</v>
      </c>
      <c r="L71" t="s">
        <v>82</v>
      </c>
    </row>
    <row r="72" spans="1:13">
      <c r="A72">
        <v>45663</v>
      </c>
      <c r="B72" t="s">
        <v>599</v>
      </c>
      <c r="D72">
        <v>500</v>
      </c>
      <c r="F72">
        <v>1</v>
      </c>
      <c r="G72" t="s">
        <v>22</v>
      </c>
      <c r="H72" t="s">
        <v>21</v>
      </c>
      <c r="I72" t="s">
        <v>60</v>
      </c>
      <c r="J72" t="s">
        <v>61</v>
      </c>
      <c r="L72" t="s">
        <v>82</v>
      </c>
    </row>
    <row r="73" spans="1:13">
      <c r="A73">
        <v>45663</v>
      </c>
      <c r="B73" t="s">
        <v>600</v>
      </c>
      <c r="F73">
        <v>1</v>
      </c>
      <c r="G73" t="s">
        <v>601</v>
      </c>
      <c r="H73" t="s">
        <v>21</v>
      </c>
      <c r="L73" t="s">
        <v>89</v>
      </c>
    </row>
    <row r="74" spans="1:13">
      <c r="A74">
        <v>45663</v>
      </c>
      <c r="B74" t="s">
        <v>602</v>
      </c>
      <c r="F74">
        <v>1</v>
      </c>
      <c r="G74" t="s">
        <v>603</v>
      </c>
      <c r="H74" t="s">
        <v>21</v>
      </c>
      <c r="L74" t="s">
        <v>89</v>
      </c>
    </row>
    <row r="75" spans="1:13">
      <c r="A75">
        <v>45663</v>
      </c>
      <c r="B75" t="s">
        <v>562</v>
      </c>
      <c r="D75">
        <v>14200</v>
      </c>
      <c r="G75" t="s">
        <v>77</v>
      </c>
      <c r="I75" t="s">
        <v>60</v>
      </c>
      <c r="J75" t="s">
        <v>61</v>
      </c>
      <c r="L75" t="s">
        <v>62</v>
      </c>
    </row>
    <row r="76" spans="1:13">
      <c r="A76">
        <v>45663</v>
      </c>
      <c r="B76" t="s">
        <v>63</v>
      </c>
      <c r="D76">
        <v>300</v>
      </c>
      <c r="F76">
        <v>3</v>
      </c>
      <c r="G76" t="s">
        <v>22</v>
      </c>
      <c r="H76" t="s">
        <v>93</v>
      </c>
      <c r="I76" t="s">
        <v>60</v>
      </c>
      <c r="J76" t="s">
        <v>61</v>
      </c>
      <c r="L76" t="s">
        <v>62</v>
      </c>
    </row>
    <row r="77" spans="1:13">
      <c r="A77">
        <v>45663</v>
      </c>
      <c r="B77" t="s">
        <v>604</v>
      </c>
      <c r="E77">
        <v>65000</v>
      </c>
      <c r="F77">
        <v>1</v>
      </c>
      <c r="G77" t="s">
        <v>65</v>
      </c>
      <c r="H77" t="s">
        <v>348</v>
      </c>
      <c r="I77" t="s">
        <v>60</v>
      </c>
      <c r="J77" t="s">
        <v>61</v>
      </c>
      <c r="L77" t="s">
        <v>62</v>
      </c>
      <c r="M77" t="s">
        <v>605</v>
      </c>
    </row>
    <row r="78" spans="1:13">
      <c r="A78">
        <v>45663</v>
      </c>
      <c r="B78" t="s">
        <v>606</v>
      </c>
      <c r="E78">
        <v>60000</v>
      </c>
      <c r="F78">
        <v>1</v>
      </c>
      <c r="G78" t="s">
        <v>65</v>
      </c>
      <c r="H78" t="s">
        <v>348</v>
      </c>
      <c r="I78" t="s">
        <v>60</v>
      </c>
      <c r="J78" t="s">
        <v>61</v>
      </c>
      <c r="L78" t="s">
        <v>62</v>
      </c>
      <c r="M78" t="s">
        <v>605</v>
      </c>
    </row>
    <row r="79" spans="1:13">
      <c r="A79">
        <v>45663</v>
      </c>
      <c r="B79" t="s">
        <v>248</v>
      </c>
      <c r="E79">
        <v>60000</v>
      </c>
      <c r="F79">
        <v>1</v>
      </c>
      <c r="G79" t="s">
        <v>65</v>
      </c>
      <c r="H79" t="s">
        <v>348</v>
      </c>
      <c r="I79" t="s">
        <v>60</v>
      </c>
      <c r="J79" t="s">
        <v>61</v>
      </c>
      <c r="L79" t="s">
        <v>62</v>
      </c>
      <c r="M79" t="s">
        <v>605</v>
      </c>
    </row>
    <row r="80" spans="1:13">
      <c r="A80">
        <v>45663</v>
      </c>
      <c r="B80" t="s">
        <v>63</v>
      </c>
      <c r="D80">
        <v>46000</v>
      </c>
      <c r="G80" t="s">
        <v>70</v>
      </c>
      <c r="I80" t="s">
        <v>60</v>
      </c>
      <c r="J80" t="s">
        <v>61</v>
      </c>
      <c r="L80" t="s">
        <v>62</v>
      </c>
    </row>
    <row r="81" spans="1:13">
      <c r="A81">
        <v>45663</v>
      </c>
      <c r="B81" t="s">
        <v>607</v>
      </c>
      <c r="C81" t="s">
        <v>608</v>
      </c>
      <c r="E81">
        <v>4700</v>
      </c>
      <c r="F81">
        <v>1</v>
      </c>
      <c r="G81" t="s">
        <v>65</v>
      </c>
      <c r="H81" t="s">
        <v>292</v>
      </c>
      <c r="I81" t="s">
        <v>60</v>
      </c>
      <c r="J81" t="s">
        <v>61</v>
      </c>
      <c r="L81" t="s">
        <v>62</v>
      </c>
      <c r="M81" t="s">
        <v>609</v>
      </c>
    </row>
    <row r="82" spans="1:13">
      <c r="A82">
        <v>45663</v>
      </c>
      <c r="B82" t="s">
        <v>610</v>
      </c>
      <c r="F82">
        <v>1</v>
      </c>
      <c r="G82" t="s">
        <v>64</v>
      </c>
      <c r="L82" t="s">
        <v>89</v>
      </c>
      <c r="M82" t="s">
        <v>611</v>
      </c>
    </row>
    <row r="83" spans="1:13">
      <c r="A83">
        <v>45663</v>
      </c>
      <c r="B83" t="s">
        <v>612</v>
      </c>
      <c r="F83">
        <v>1</v>
      </c>
      <c r="G83" t="s">
        <v>377</v>
      </c>
      <c r="H83" t="s">
        <v>21</v>
      </c>
      <c r="L83" t="s">
        <v>89</v>
      </c>
    </row>
    <row r="84" spans="1:13">
      <c r="A84">
        <v>45663</v>
      </c>
      <c r="B84" t="s">
        <v>613</v>
      </c>
      <c r="F84">
        <v>1</v>
      </c>
      <c r="G84" t="s">
        <v>64</v>
      </c>
      <c r="L84" t="s">
        <v>89</v>
      </c>
      <c r="M84" t="s">
        <v>539</v>
      </c>
    </row>
    <row r="85" spans="1:13">
      <c r="A85">
        <v>45663</v>
      </c>
      <c r="B85" t="s">
        <v>63</v>
      </c>
      <c r="D85">
        <v>6500</v>
      </c>
      <c r="F85">
        <v>1</v>
      </c>
      <c r="G85" t="s">
        <v>70</v>
      </c>
      <c r="I85" t="s">
        <v>71</v>
      </c>
      <c r="J85" t="s">
        <v>72</v>
      </c>
      <c r="K85" t="s">
        <v>614</v>
      </c>
      <c r="L85" t="s">
        <v>62</v>
      </c>
      <c r="M85" t="s">
        <v>90</v>
      </c>
    </row>
    <row r="86" spans="1:13">
      <c r="A86">
        <v>45663</v>
      </c>
      <c r="B86" t="s">
        <v>615</v>
      </c>
      <c r="D86">
        <v>500</v>
      </c>
      <c r="F86">
        <v>1</v>
      </c>
      <c r="G86" t="s">
        <v>22</v>
      </c>
      <c r="H86" t="s">
        <v>21</v>
      </c>
      <c r="I86" t="s">
        <v>60</v>
      </c>
      <c r="J86" t="s">
        <v>61</v>
      </c>
      <c r="L86" t="s">
        <v>62</v>
      </c>
    </row>
    <row r="87" spans="1:13">
      <c r="A87">
        <v>45663</v>
      </c>
      <c r="B87" t="s">
        <v>616</v>
      </c>
      <c r="F87">
        <v>1</v>
      </c>
      <c r="G87" t="s">
        <v>0</v>
      </c>
      <c r="L87" t="s">
        <v>86</v>
      </c>
    </row>
    <row r="88" spans="1:13">
      <c r="A88">
        <v>45663</v>
      </c>
      <c r="B88" t="s">
        <v>617</v>
      </c>
      <c r="F88">
        <v>1</v>
      </c>
      <c r="G88" t="s">
        <v>0</v>
      </c>
      <c r="L88" t="s">
        <v>82</v>
      </c>
    </row>
    <row r="89" spans="1:13">
      <c r="A89">
        <v>45664</v>
      </c>
      <c r="B89" t="s">
        <v>81</v>
      </c>
      <c r="D89">
        <v>113500</v>
      </c>
      <c r="F89">
        <v>1</v>
      </c>
      <c r="G89" t="s">
        <v>74</v>
      </c>
      <c r="H89" t="s">
        <v>75</v>
      </c>
      <c r="I89" t="s">
        <v>60</v>
      </c>
      <c r="J89" t="s">
        <v>61</v>
      </c>
      <c r="L89" t="s">
        <v>88</v>
      </c>
      <c r="M89" t="s">
        <v>618</v>
      </c>
    </row>
    <row r="90" spans="1:13">
      <c r="A90">
        <v>45664</v>
      </c>
      <c r="B90" t="s">
        <v>619</v>
      </c>
      <c r="D90">
        <v>1275000</v>
      </c>
      <c r="G90" t="s">
        <v>620</v>
      </c>
      <c r="H90" t="s">
        <v>621</v>
      </c>
      <c r="I90" t="s">
        <v>622</v>
      </c>
      <c r="J90" t="s">
        <v>1</v>
      </c>
      <c r="L90" t="s">
        <v>623</v>
      </c>
    </row>
    <row r="91" spans="1:13">
      <c r="A91">
        <v>45664</v>
      </c>
      <c r="B91" t="s">
        <v>624</v>
      </c>
      <c r="D91">
        <v>-20800</v>
      </c>
      <c r="G91" t="s">
        <v>77</v>
      </c>
      <c r="I91" t="s">
        <v>60</v>
      </c>
      <c r="J91" t="s">
        <v>61</v>
      </c>
      <c r="L91" t="s">
        <v>62</v>
      </c>
    </row>
    <row r="92" spans="1:13">
      <c r="A92">
        <v>45664</v>
      </c>
      <c r="B92" t="s">
        <v>624</v>
      </c>
      <c r="E92">
        <v>-1100</v>
      </c>
      <c r="F92">
        <v>1</v>
      </c>
      <c r="G92" t="s">
        <v>65</v>
      </c>
      <c r="H92" t="s">
        <v>85</v>
      </c>
      <c r="I92" t="s">
        <v>60</v>
      </c>
      <c r="J92" t="s">
        <v>61</v>
      </c>
      <c r="L92" t="s">
        <v>62</v>
      </c>
    </row>
    <row r="93" spans="1:13">
      <c r="A93">
        <v>45664</v>
      </c>
      <c r="B93" t="s">
        <v>625</v>
      </c>
      <c r="F93">
        <v>1</v>
      </c>
      <c r="G93" t="s">
        <v>564</v>
      </c>
      <c r="H93" t="s">
        <v>21</v>
      </c>
      <c r="L93" t="s">
        <v>89</v>
      </c>
    </row>
    <row r="94" spans="1:13">
      <c r="A94">
        <v>45664</v>
      </c>
      <c r="B94" t="s">
        <v>626</v>
      </c>
      <c r="D94">
        <v>500</v>
      </c>
      <c r="F94">
        <v>1</v>
      </c>
      <c r="G94" t="s">
        <v>22</v>
      </c>
      <c r="H94" t="s">
        <v>21</v>
      </c>
      <c r="I94" t="s">
        <v>60</v>
      </c>
      <c r="J94" t="s">
        <v>61</v>
      </c>
      <c r="L94" t="s">
        <v>89</v>
      </c>
    </row>
    <row r="95" spans="1:13">
      <c r="A95">
        <v>45664</v>
      </c>
      <c r="B95" t="s">
        <v>627</v>
      </c>
      <c r="F95">
        <v>1</v>
      </c>
      <c r="G95" t="s">
        <v>79</v>
      </c>
      <c r="H95" t="s">
        <v>21</v>
      </c>
      <c r="L95" t="s">
        <v>89</v>
      </c>
    </row>
    <row r="96" spans="1:13">
      <c r="A96">
        <v>45664</v>
      </c>
      <c r="B96" t="s">
        <v>628</v>
      </c>
      <c r="D96">
        <v>500</v>
      </c>
      <c r="F96">
        <v>1</v>
      </c>
      <c r="G96" t="s">
        <v>22</v>
      </c>
      <c r="H96" t="s">
        <v>21</v>
      </c>
      <c r="I96" t="s">
        <v>60</v>
      </c>
      <c r="J96" t="s">
        <v>61</v>
      </c>
      <c r="L96" t="s">
        <v>89</v>
      </c>
    </row>
    <row r="97" spans="1:13">
      <c r="A97">
        <v>45664</v>
      </c>
      <c r="B97" t="s">
        <v>629</v>
      </c>
      <c r="D97">
        <v>500</v>
      </c>
      <c r="F97">
        <v>1</v>
      </c>
      <c r="G97" t="s">
        <v>22</v>
      </c>
      <c r="H97" t="s">
        <v>21</v>
      </c>
      <c r="I97" t="s">
        <v>60</v>
      </c>
      <c r="J97" t="s">
        <v>61</v>
      </c>
      <c r="L97" t="s">
        <v>82</v>
      </c>
    </row>
    <row r="98" spans="1:13">
      <c r="A98">
        <v>45664</v>
      </c>
      <c r="B98" t="s">
        <v>629</v>
      </c>
      <c r="D98">
        <v>0</v>
      </c>
      <c r="F98">
        <v>0</v>
      </c>
      <c r="G98" t="s">
        <v>22</v>
      </c>
      <c r="H98" t="s">
        <v>21</v>
      </c>
      <c r="I98" t="s">
        <v>60</v>
      </c>
      <c r="J98" t="s">
        <v>61</v>
      </c>
      <c r="L98" t="s">
        <v>82</v>
      </c>
      <c r="M98" t="s">
        <v>83</v>
      </c>
    </row>
    <row r="99" spans="1:13">
      <c r="A99">
        <v>45664</v>
      </c>
      <c r="B99" t="s">
        <v>63</v>
      </c>
      <c r="D99">
        <v>25500</v>
      </c>
      <c r="G99" t="s">
        <v>70</v>
      </c>
      <c r="I99" t="s">
        <v>60</v>
      </c>
      <c r="J99" t="s">
        <v>61</v>
      </c>
      <c r="L99" t="s">
        <v>62</v>
      </c>
    </row>
    <row r="100" spans="1:13">
      <c r="A100">
        <v>45664</v>
      </c>
      <c r="B100" t="s">
        <v>630</v>
      </c>
      <c r="F100">
        <v>1</v>
      </c>
      <c r="G100" t="s">
        <v>564</v>
      </c>
      <c r="H100" t="s">
        <v>21</v>
      </c>
      <c r="L100" t="s">
        <v>82</v>
      </c>
    </row>
    <row r="101" spans="1:13">
      <c r="A101">
        <v>45664</v>
      </c>
      <c r="B101" t="s">
        <v>631</v>
      </c>
      <c r="D101">
        <v>500</v>
      </c>
      <c r="F101">
        <v>1</v>
      </c>
      <c r="G101" t="s">
        <v>22</v>
      </c>
      <c r="H101" t="s">
        <v>21</v>
      </c>
      <c r="I101" t="s">
        <v>60</v>
      </c>
      <c r="J101" t="s">
        <v>61</v>
      </c>
      <c r="L101" t="s">
        <v>82</v>
      </c>
    </row>
    <row r="102" spans="1:13">
      <c r="A102">
        <v>45664</v>
      </c>
      <c r="B102" t="s">
        <v>632</v>
      </c>
      <c r="D102">
        <v>500</v>
      </c>
      <c r="F102">
        <v>1</v>
      </c>
      <c r="G102" t="s">
        <v>22</v>
      </c>
      <c r="H102" t="s">
        <v>21</v>
      </c>
      <c r="I102" t="s">
        <v>60</v>
      </c>
      <c r="J102" t="s">
        <v>61</v>
      </c>
      <c r="L102" t="s">
        <v>82</v>
      </c>
    </row>
    <row r="103" spans="1:13">
      <c r="A103">
        <v>45664</v>
      </c>
      <c r="B103" t="s">
        <v>633</v>
      </c>
      <c r="F103">
        <v>1</v>
      </c>
      <c r="G103" t="s">
        <v>603</v>
      </c>
      <c r="H103" t="s">
        <v>21</v>
      </c>
      <c r="L103" t="s">
        <v>82</v>
      </c>
    </row>
    <row r="104" spans="1:13">
      <c r="A104">
        <v>45664</v>
      </c>
      <c r="B104" t="s">
        <v>634</v>
      </c>
      <c r="D104">
        <v>500</v>
      </c>
      <c r="F104">
        <v>1</v>
      </c>
      <c r="G104" t="s">
        <v>22</v>
      </c>
      <c r="H104" t="s">
        <v>21</v>
      </c>
      <c r="I104" t="s">
        <v>60</v>
      </c>
      <c r="J104" t="s">
        <v>61</v>
      </c>
      <c r="L104" t="s">
        <v>82</v>
      </c>
    </row>
    <row r="105" spans="1:13">
      <c r="A105">
        <v>45664</v>
      </c>
      <c r="B105" t="s">
        <v>63</v>
      </c>
      <c r="D105">
        <v>500</v>
      </c>
      <c r="F105">
        <v>5</v>
      </c>
      <c r="G105" t="s">
        <v>22</v>
      </c>
      <c r="H105" t="s">
        <v>93</v>
      </c>
      <c r="I105" t="s">
        <v>60</v>
      </c>
      <c r="J105" t="s">
        <v>61</v>
      </c>
      <c r="L105" t="s">
        <v>62</v>
      </c>
    </row>
    <row r="106" spans="1:13">
      <c r="A106">
        <v>45664</v>
      </c>
      <c r="B106" t="s">
        <v>635</v>
      </c>
      <c r="F106">
        <v>1</v>
      </c>
      <c r="G106" t="s">
        <v>0</v>
      </c>
      <c r="L106" t="s">
        <v>89</v>
      </c>
    </row>
    <row r="107" spans="1:13">
      <c r="A107">
        <v>45665</v>
      </c>
      <c r="B107" t="s">
        <v>81</v>
      </c>
      <c r="D107">
        <v>214200</v>
      </c>
      <c r="F107">
        <v>1</v>
      </c>
      <c r="G107" t="s">
        <v>74</v>
      </c>
      <c r="H107" t="s">
        <v>75</v>
      </c>
      <c r="I107" t="s">
        <v>60</v>
      </c>
      <c r="J107" t="s">
        <v>61</v>
      </c>
      <c r="L107" t="s">
        <v>88</v>
      </c>
      <c r="M107" t="s">
        <v>636</v>
      </c>
    </row>
    <row r="108" spans="1:13">
      <c r="A108">
        <v>45665</v>
      </c>
      <c r="B108" t="s">
        <v>637</v>
      </c>
      <c r="D108">
        <v>500</v>
      </c>
      <c r="F108">
        <v>1</v>
      </c>
      <c r="G108" t="s">
        <v>22</v>
      </c>
      <c r="H108" t="s">
        <v>21</v>
      </c>
      <c r="I108" t="s">
        <v>60</v>
      </c>
      <c r="J108" t="s">
        <v>61</v>
      </c>
      <c r="L108" t="s">
        <v>82</v>
      </c>
    </row>
    <row r="109" spans="1:13">
      <c r="A109">
        <v>45665</v>
      </c>
      <c r="B109" t="s">
        <v>638</v>
      </c>
      <c r="D109">
        <v>500</v>
      </c>
      <c r="F109">
        <v>1</v>
      </c>
      <c r="G109" t="s">
        <v>22</v>
      </c>
      <c r="H109" t="s">
        <v>21</v>
      </c>
      <c r="I109" t="s">
        <v>60</v>
      </c>
      <c r="J109" t="s">
        <v>61</v>
      </c>
      <c r="L109" t="s">
        <v>82</v>
      </c>
    </row>
    <row r="110" spans="1:13">
      <c r="A110">
        <v>45665</v>
      </c>
      <c r="B110" t="s">
        <v>639</v>
      </c>
      <c r="F110">
        <v>1</v>
      </c>
      <c r="G110" t="s">
        <v>377</v>
      </c>
      <c r="H110" t="s">
        <v>21</v>
      </c>
      <c r="L110" t="s">
        <v>82</v>
      </c>
    </row>
    <row r="111" spans="1:13">
      <c r="A111">
        <v>45665</v>
      </c>
      <c r="B111" t="s">
        <v>63</v>
      </c>
      <c r="D111">
        <v>9000</v>
      </c>
      <c r="F111">
        <v>2</v>
      </c>
      <c r="G111" t="s">
        <v>70</v>
      </c>
      <c r="I111" t="s">
        <v>71</v>
      </c>
      <c r="J111" t="s">
        <v>72</v>
      </c>
      <c r="K111" t="s">
        <v>640</v>
      </c>
      <c r="L111" t="s">
        <v>62</v>
      </c>
      <c r="M111" t="s">
        <v>90</v>
      </c>
    </row>
    <row r="112" spans="1:13">
      <c r="A112">
        <v>45665</v>
      </c>
      <c r="B112" t="s">
        <v>63</v>
      </c>
      <c r="D112">
        <v>11500</v>
      </c>
      <c r="G112" t="s">
        <v>70</v>
      </c>
      <c r="I112" t="s">
        <v>60</v>
      </c>
      <c r="J112" t="s">
        <v>61</v>
      </c>
      <c r="L112" t="s">
        <v>62</v>
      </c>
    </row>
    <row r="113" spans="1:13">
      <c r="A113">
        <v>45665</v>
      </c>
      <c r="B113" t="s">
        <v>105</v>
      </c>
      <c r="E113">
        <v>552000</v>
      </c>
      <c r="F113">
        <v>1</v>
      </c>
      <c r="G113" t="s">
        <v>65</v>
      </c>
      <c r="H113" t="s">
        <v>66</v>
      </c>
      <c r="I113" t="s">
        <v>60</v>
      </c>
      <c r="J113" t="s">
        <v>61</v>
      </c>
      <c r="L113" t="s">
        <v>641</v>
      </c>
      <c r="M113" t="s">
        <v>642</v>
      </c>
    </row>
    <row r="114" spans="1:13">
      <c r="A114">
        <v>45665</v>
      </c>
      <c r="B114" t="s">
        <v>643</v>
      </c>
      <c r="E114">
        <v>16500</v>
      </c>
      <c r="F114">
        <v>1</v>
      </c>
      <c r="G114" t="s">
        <v>65</v>
      </c>
      <c r="H114" t="s">
        <v>348</v>
      </c>
      <c r="I114" t="s">
        <v>60</v>
      </c>
      <c r="J114" t="s">
        <v>61</v>
      </c>
      <c r="L114" t="s">
        <v>0</v>
      </c>
    </row>
    <row r="115" spans="1:13">
      <c r="A115">
        <v>45665</v>
      </c>
      <c r="B115" t="s">
        <v>644</v>
      </c>
      <c r="D115">
        <v>500</v>
      </c>
      <c r="F115">
        <v>1</v>
      </c>
      <c r="G115" t="s">
        <v>22</v>
      </c>
      <c r="H115" t="s">
        <v>21</v>
      </c>
      <c r="I115" t="s">
        <v>60</v>
      </c>
      <c r="J115" t="s">
        <v>61</v>
      </c>
      <c r="L115" t="s">
        <v>86</v>
      </c>
    </row>
    <row r="116" spans="1:13">
      <c r="A116">
        <v>45665</v>
      </c>
      <c r="B116" t="s">
        <v>645</v>
      </c>
      <c r="D116">
        <v>500</v>
      </c>
      <c r="F116">
        <v>1</v>
      </c>
      <c r="G116" t="s">
        <v>22</v>
      </c>
      <c r="H116" t="s">
        <v>21</v>
      </c>
      <c r="I116" t="s">
        <v>60</v>
      </c>
      <c r="J116" t="s">
        <v>61</v>
      </c>
      <c r="L116" t="s">
        <v>86</v>
      </c>
    </row>
    <row r="117" spans="1:13">
      <c r="A117">
        <v>45665</v>
      </c>
      <c r="B117" t="s">
        <v>645</v>
      </c>
      <c r="D117">
        <v>0</v>
      </c>
      <c r="F117">
        <v>0</v>
      </c>
      <c r="G117" t="s">
        <v>22</v>
      </c>
      <c r="H117" t="s">
        <v>21</v>
      </c>
      <c r="I117" t="s">
        <v>60</v>
      </c>
      <c r="J117" t="s">
        <v>61</v>
      </c>
      <c r="L117" t="s">
        <v>86</v>
      </c>
      <c r="M117" t="s">
        <v>548</v>
      </c>
    </row>
    <row r="118" spans="1:13">
      <c r="A118">
        <v>45665</v>
      </c>
      <c r="B118" t="s">
        <v>646</v>
      </c>
      <c r="F118">
        <v>1</v>
      </c>
      <c r="G118" t="s">
        <v>64</v>
      </c>
      <c r="L118" t="s">
        <v>86</v>
      </c>
      <c r="M118" t="s">
        <v>647</v>
      </c>
    </row>
    <row r="119" spans="1:13">
      <c r="A119">
        <v>45665</v>
      </c>
      <c r="B119" t="s">
        <v>648</v>
      </c>
      <c r="F119">
        <v>1</v>
      </c>
      <c r="G119" t="s">
        <v>377</v>
      </c>
      <c r="H119" t="s">
        <v>21</v>
      </c>
      <c r="L119" t="s">
        <v>86</v>
      </c>
    </row>
    <row r="120" spans="1:13">
      <c r="A120">
        <v>45665</v>
      </c>
      <c r="B120" t="s">
        <v>649</v>
      </c>
      <c r="F120">
        <v>1</v>
      </c>
      <c r="G120" t="s">
        <v>0</v>
      </c>
      <c r="L120" t="s">
        <v>89</v>
      </c>
    </row>
    <row r="121" spans="1:13">
      <c r="A121">
        <v>45666</v>
      </c>
      <c r="B121" t="s">
        <v>650</v>
      </c>
      <c r="F121">
        <v>1</v>
      </c>
      <c r="G121" t="s">
        <v>79</v>
      </c>
      <c r="H121" t="s">
        <v>21</v>
      </c>
      <c r="L121" t="s">
        <v>86</v>
      </c>
    </row>
    <row r="122" spans="1:13">
      <c r="A122">
        <v>45666</v>
      </c>
      <c r="B122" t="s">
        <v>81</v>
      </c>
      <c r="D122">
        <v>111000</v>
      </c>
      <c r="F122">
        <v>1</v>
      </c>
      <c r="G122" t="s">
        <v>74</v>
      </c>
      <c r="H122" t="s">
        <v>75</v>
      </c>
      <c r="I122" t="s">
        <v>60</v>
      </c>
      <c r="J122" t="s">
        <v>61</v>
      </c>
      <c r="L122" t="s">
        <v>88</v>
      </c>
    </row>
    <row r="123" spans="1:13">
      <c r="A123">
        <v>45666</v>
      </c>
      <c r="B123" t="s">
        <v>651</v>
      </c>
      <c r="D123">
        <v>500</v>
      </c>
      <c r="F123">
        <v>1</v>
      </c>
      <c r="G123" t="s">
        <v>22</v>
      </c>
      <c r="H123" t="s">
        <v>21</v>
      </c>
      <c r="I123" t="s">
        <v>60</v>
      </c>
      <c r="J123" t="s">
        <v>61</v>
      </c>
      <c r="L123" t="s">
        <v>86</v>
      </c>
    </row>
    <row r="124" spans="1:13">
      <c r="A124">
        <v>45666</v>
      </c>
      <c r="B124" t="s">
        <v>651</v>
      </c>
      <c r="D124">
        <v>0</v>
      </c>
      <c r="F124">
        <v>0</v>
      </c>
      <c r="G124" t="s">
        <v>22</v>
      </c>
      <c r="H124" t="s">
        <v>21</v>
      </c>
      <c r="I124" t="s">
        <v>60</v>
      </c>
      <c r="J124" t="s">
        <v>61</v>
      </c>
      <c r="L124" t="s">
        <v>86</v>
      </c>
      <c r="M124" t="s">
        <v>548</v>
      </c>
    </row>
    <row r="125" spans="1:13">
      <c r="A125">
        <v>45666</v>
      </c>
      <c r="B125" t="s">
        <v>652</v>
      </c>
      <c r="D125">
        <v>0</v>
      </c>
      <c r="F125">
        <v>0</v>
      </c>
      <c r="G125" t="s">
        <v>22</v>
      </c>
      <c r="H125" t="s">
        <v>21</v>
      </c>
      <c r="I125" t="s">
        <v>60</v>
      </c>
      <c r="J125" t="s">
        <v>61</v>
      </c>
      <c r="L125" t="s">
        <v>86</v>
      </c>
      <c r="M125" t="s">
        <v>653</v>
      </c>
    </row>
    <row r="126" spans="1:13">
      <c r="A126">
        <v>45666</v>
      </c>
      <c r="B126" t="s">
        <v>654</v>
      </c>
      <c r="D126">
        <v>500</v>
      </c>
      <c r="F126">
        <v>1</v>
      </c>
      <c r="G126" t="s">
        <v>22</v>
      </c>
      <c r="H126" t="s">
        <v>21</v>
      </c>
      <c r="I126" t="s">
        <v>60</v>
      </c>
      <c r="J126" t="s">
        <v>61</v>
      </c>
      <c r="L126" t="s">
        <v>89</v>
      </c>
    </row>
    <row r="127" spans="1:13">
      <c r="A127">
        <v>45666</v>
      </c>
      <c r="B127" t="s">
        <v>655</v>
      </c>
      <c r="D127">
        <v>500</v>
      </c>
      <c r="F127">
        <v>1</v>
      </c>
      <c r="G127" t="s">
        <v>22</v>
      </c>
      <c r="H127" t="s">
        <v>21</v>
      </c>
      <c r="I127" t="s">
        <v>60</v>
      </c>
      <c r="J127" t="s">
        <v>61</v>
      </c>
      <c r="L127" t="s">
        <v>89</v>
      </c>
    </row>
    <row r="128" spans="1:13">
      <c r="A128">
        <v>45666</v>
      </c>
      <c r="B128" t="s">
        <v>656</v>
      </c>
      <c r="D128">
        <v>500</v>
      </c>
      <c r="F128">
        <v>1</v>
      </c>
      <c r="G128" t="s">
        <v>22</v>
      </c>
      <c r="H128" t="s">
        <v>21</v>
      </c>
      <c r="I128" t="s">
        <v>60</v>
      </c>
      <c r="J128" t="s">
        <v>61</v>
      </c>
      <c r="L128" t="s">
        <v>89</v>
      </c>
    </row>
    <row r="129" spans="1:13">
      <c r="A129">
        <v>45666</v>
      </c>
      <c r="B129" t="s">
        <v>657</v>
      </c>
      <c r="D129">
        <v>500</v>
      </c>
      <c r="F129">
        <v>1</v>
      </c>
      <c r="G129" t="s">
        <v>22</v>
      </c>
      <c r="H129" t="s">
        <v>21</v>
      </c>
      <c r="I129" t="s">
        <v>60</v>
      </c>
      <c r="J129" t="s">
        <v>61</v>
      </c>
      <c r="L129" t="s">
        <v>89</v>
      </c>
    </row>
    <row r="130" spans="1:13">
      <c r="A130">
        <v>45666</v>
      </c>
      <c r="B130" t="s">
        <v>658</v>
      </c>
      <c r="D130">
        <v>500</v>
      </c>
      <c r="F130">
        <v>1</v>
      </c>
      <c r="G130" t="s">
        <v>22</v>
      </c>
      <c r="H130" t="s">
        <v>21</v>
      </c>
      <c r="I130" t="s">
        <v>60</v>
      </c>
      <c r="J130" t="s">
        <v>61</v>
      </c>
      <c r="L130" t="s">
        <v>89</v>
      </c>
    </row>
    <row r="131" spans="1:13">
      <c r="A131">
        <v>45666</v>
      </c>
      <c r="B131" t="s">
        <v>659</v>
      </c>
      <c r="D131">
        <v>500</v>
      </c>
      <c r="F131">
        <v>1</v>
      </c>
      <c r="G131" t="s">
        <v>22</v>
      </c>
      <c r="H131" t="s">
        <v>21</v>
      </c>
      <c r="I131" t="s">
        <v>60</v>
      </c>
      <c r="J131" t="s">
        <v>61</v>
      </c>
      <c r="L131" t="s">
        <v>89</v>
      </c>
    </row>
    <row r="132" spans="1:13">
      <c r="A132">
        <v>45666</v>
      </c>
      <c r="B132" t="s">
        <v>660</v>
      </c>
      <c r="D132">
        <v>500</v>
      </c>
      <c r="F132">
        <v>1</v>
      </c>
      <c r="G132" t="s">
        <v>22</v>
      </c>
      <c r="H132" t="s">
        <v>21</v>
      </c>
      <c r="I132" t="s">
        <v>60</v>
      </c>
      <c r="J132" t="s">
        <v>61</v>
      </c>
      <c r="L132" t="s">
        <v>89</v>
      </c>
    </row>
    <row r="133" spans="1:13">
      <c r="A133">
        <v>45666</v>
      </c>
      <c r="B133" t="s">
        <v>63</v>
      </c>
      <c r="D133">
        <v>100</v>
      </c>
      <c r="F133">
        <v>1</v>
      </c>
      <c r="G133" t="s">
        <v>22</v>
      </c>
      <c r="H133" t="s">
        <v>93</v>
      </c>
      <c r="I133" t="s">
        <v>60</v>
      </c>
      <c r="J133" t="s">
        <v>61</v>
      </c>
      <c r="L133" t="s">
        <v>89</v>
      </c>
    </row>
    <row r="134" spans="1:13">
      <c r="A134">
        <v>45667</v>
      </c>
      <c r="B134" t="s">
        <v>81</v>
      </c>
      <c r="D134">
        <v>100500</v>
      </c>
      <c r="F134">
        <v>1</v>
      </c>
      <c r="G134" t="s">
        <v>74</v>
      </c>
      <c r="H134" t="s">
        <v>75</v>
      </c>
      <c r="I134" t="s">
        <v>60</v>
      </c>
      <c r="J134" t="s">
        <v>61</v>
      </c>
      <c r="L134" t="s">
        <v>88</v>
      </c>
    </row>
    <row r="135" spans="1:13">
      <c r="A135">
        <v>45667</v>
      </c>
      <c r="B135" t="s">
        <v>661</v>
      </c>
      <c r="E135">
        <v>641600</v>
      </c>
      <c r="F135">
        <v>1</v>
      </c>
      <c r="G135" t="s">
        <v>74</v>
      </c>
      <c r="H135" t="s">
        <v>75</v>
      </c>
      <c r="I135" t="s">
        <v>60</v>
      </c>
      <c r="J135" t="s">
        <v>61</v>
      </c>
      <c r="L135" t="s">
        <v>641</v>
      </c>
      <c r="M135" t="s">
        <v>662</v>
      </c>
    </row>
    <row r="136" spans="1:13">
      <c r="A136">
        <v>45667</v>
      </c>
      <c r="B136" t="s">
        <v>81</v>
      </c>
      <c r="E136">
        <v>256000</v>
      </c>
      <c r="F136">
        <v>1</v>
      </c>
      <c r="G136" t="s">
        <v>74</v>
      </c>
      <c r="H136" t="s">
        <v>75</v>
      </c>
      <c r="I136" t="s">
        <v>60</v>
      </c>
      <c r="J136" t="s">
        <v>61</v>
      </c>
      <c r="L136" t="s">
        <v>641</v>
      </c>
      <c r="M136" t="s">
        <v>663</v>
      </c>
    </row>
    <row r="137" spans="1:13">
      <c r="A137">
        <v>45667</v>
      </c>
      <c r="B137" t="s">
        <v>664</v>
      </c>
      <c r="D137">
        <v>500</v>
      </c>
      <c r="F137">
        <v>1</v>
      </c>
      <c r="G137" t="s">
        <v>22</v>
      </c>
      <c r="H137" t="s">
        <v>21</v>
      </c>
      <c r="I137" t="s">
        <v>60</v>
      </c>
      <c r="J137" t="s">
        <v>61</v>
      </c>
      <c r="L137" t="s">
        <v>82</v>
      </c>
    </row>
    <row r="138" spans="1:13">
      <c r="A138">
        <v>45667</v>
      </c>
      <c r="B138" t="s">
        <v>63</v>
      </c>
      <c r="D138">
        <v>6000</v>
      </c>
      <c r="G138" t="s">
        <v>70</v>
      </c>
      <c r="I138" t="s">
        <v>60</v>
      </c>
      <c r="J138" t="s">
        <v>61</v>
      </c>
      <c r="L138" t="s">
        <v>62</v>
      </c>
    </row>
    <row r="139" spans="1:13">
      <c r="A139">
        <v>45667</v>
      </c>
      <c r="B139" t="s">
        <v>665</v>
      </c>
      <c r="D139">
        <v>500</v>
      </c>
      <c r="F139">
        <v>1</v>
      </c>
      <c r="G139" t="s">
        <v>22</v>
      </c>
      <c r="H139" t="s">
        <v>21</v>
      </c>
      <c r="I139" t="s">
        <v>60</v>
      </c>
      <c r="J139" t="s">
        <v>61</v>
      </c>
      <c r="L139" t="s">
        <v>89</v>
      </c>
    </row>
    <row r="140" spans="1:13">
      <c r="A140">
        <v>45667</v>
      </c>
      <c r="B140" t="s">
        <v>666</v>
      </c>
      <c r="F140">
        <v>1</v>
      </c>
      <c r="G140" t="s">
        <v>564</v>
      </c>
      <c r="H140" t="s">
        <v>21</v>
      </c>
      <c r="L140" t="s">
        <v>82</v>
      </c>
    </row>
    <row r="141" spans="1:13">
      <c r="A141">
        <v>45667</v>
      </c>
      <c r="B141" t="s">
        <v>667</v>
      </c>
      <c r="D141">
        <v>0</v>
      </c>
      <c r="F141">
        <v>0</v>
      </c>
      <c r="G141" t="s">
        <v>22</v>
      </c>
      <c r="H141" t="s">
        <v>21</v>
      </c>
      <c r="I141" t="s">
        <v>60</v>
      </c>
      <c r="J141" t="s">
        <v>61</v>
      </c>
      <c r="L141" t="s">
        <v>89</v>
      </c>
      <c r="M141" t="s">
        <v>668</v>
      </c>
    </row>
    <row r="142" spans="1:13">
      <c r="A142">
        <v>45667</v>
      </c>
      <c r="B142" t="s">
        <v>669</v>
      </c>
      <c r="D142">
        <v>0</v>
      </c>
      <c r="F142">
        <v>0</v>
      </c>
      <c r="G142" t="s">
        <v>22</v>
      </c>
      <c r="H142" t="s">
        <v>21</v>
      </c>
      <c r="I142" t="s">
        <v>60</v>
      </c>
      <c r="J142" t="s">
        <v>61</v>
      </c>
      <c r="L142" t="s">
        <v>82</v>
      </c>
      <c r="M142" t="s">
        <v>668</v>
      </c>
    </row>
    <row r="143" spans="1:13">
      <c r="A143">
        <v>45667</v>
      </c>
      <c r="B143" t="s">
        <v>233</v>
      </c>
      <c r="E143">
        <v>150000</v>
      </c>
      <c r="F143">
        <v>1</v>
      </c>
      <c r="G143" t="s">
        <v>65</v>
      </c>
      <c r="H143" t="s">
        <v>348</v>
      </c>
      <c r="I143" t="s">
        <v>60</v>
      </c>
      <c r="J143" t="s">
        <v>61</v>
      </c>
      <c r="L143" t="s">
        <v>0</v>
      </c>
      <c r="M143" t="s">
        <v>670</v>
      </c>
    </row>
    <row r="144" spans="1:13">
      <c r="A144">
        <v>45667</v>
      </c>
      <c r="B144" t="s">
        <v>604</v>
      </c>
      <c r="E144">
        <v>25000</v>
      </c>
      <c r="F144">
        <v>1</v>
      </c>
      <c r="G144" t="s">
        <v>65</v>
      </c>
      <c r="H144" t="s">
        <v>348</v>
      </c>
      <c r="I144" t="s">
        <v>60</v>
      </c>
      <c r="J144" t="s">
        <v>61</v>
      </c>
      <c r="L144" t="s">
        <v>62</v>
      </c>
      <c r="M144" t="s">
        <v>671</v>
      </c>
    </row>
    <row r="145" spans="1:13">
      <c r="A145">
        <v>45667</v>
      </c>
      <c r="B145" t="s">
        <v>606</v>
      </c>
      <c r="E145">
        <v>22500</v>
      </c>
      <c r="F145">
        <v>1</v>
      </c>
      <c r="G145" t="s">
        <v>65</v>
      </c>
      <c r="H145" t="s">
        <v>348</v>
      </c>
      <c r="I145" t="s">
        <v>60</v>
      </c>
      <c r="J145" t="s">
        <v>61</v>
      </c>
      <c r="L145" t="s">
        <v>62</v>
      </c>
      <c r="M145" t="s">
        <v>671</v>
      </c>
    </row>
    <row r="146" spans="1:13">
      <c r="A146">
        <v>45667</v>
      </c>
      <c r="B146" t="s">
        <v>248</v>
      </c>
      <c r="E146">
        <v>22500</v>
      </c>
      <c r="F146">
        <v>1</v>
      </c>
      <c r="G146" t="s">
        <v>65</v>
      </c>
      <c r="H146" t="s">
        <v>348</v>
      </c>
      <c r="I146" t="s">
        <v>60</v>
      </c>
      <c r="J146" t="s">
        <v>61</v>
      </c>
      <c r="L146" t="s">
        <v>62</v>
      </c>
      <c r="M146" t="s">
        <v>671</v>
      </c>
    </row>
    <row r="147" spans="1:13">
      <c r="A147">
        <v>45667</v>
      </c>
      <c r="B147" t="s">
        <v>672</v>
      </c>
      <c r="D147">
        <v>500</v>
      </c>
      <c r="F147">
        <v>1</v>
      </c>
      <c r="G147" t="s">
        <v>22</v>
      </c>
      <c r="H147" t="s">
        <v>21</v>
      </c>
      <c r="I147" t="s">
        <v>60</v>
      </c>
      <c r="J147" t="s">
        <v>61</v>
      </c>
      <c r="L147" t="s">
        <v>89</v>
      </c>
    </row>
    <row r="148" spans="1:13">
      <c r="A148">
        <v>45667</v>
      </c>
      <c r="B148" t="s">
        <v>673</v>
      </c>
      <c r="D148">
        <v>500</v>
      </c>
      <c r="F148">
        <v>1</v>
      </c>
      <c r="G148" t="s">
        <v>22</v>
      </c>
      <c r="H148" t="s">
        <v>21</v>
      </c>
      <c r="I148" t="s">
        <v>60</v>
      </c>
      <c r="J148" t="s">
        <v>61</v>
      </c>
      <c r="L148" t="s">
        <v>89</v>
      </c>
    </row>
    <row r="149" spans="1:13">
      <c r="A149">
        <v>45667</v>
      </c>
      <c r="B149" t="s">
        <v>674</v>
      </c>
      <c r="D149">
        <v>500</v>
      </c>
      <c r="F149">
        <v>1</v>
      </c>
      <c r="G149" t="s">
        <v>22</v>
      </c>
      <c r="H149" t="s">
        <v>21</v>
      </c>
      <c r="I149" t="s">
        <v>60</v>
      </c>
      <c r="J149" t="s">
        <v>61</v>
      </c>
      <c r="L149" t="s">
        <v>89</v>
      </c>
    </row>
    <row r="150" spans="1:13">
      <c r="A150">
        <v>45668</v>
      </c>
      <c r="B150" t="s">
        <v>81</v>
      </c>
      <c r="D150">
        <v>27000</v>
      </c>
      <c r="F150">
        <v>1</v>
      </c>
      <c r="G150" t="s">
        <v>74</v>
      </c>
      <c r="H150" t="s">
        <v>75</v>
      </c>
      <c r="I150" t="s">
        <v>60</v>
      </c>
      <c r="J150" t="s">
        <v>61</v>
      </c>
      <c r="L150" t="s">
        <v>88</v>
      </c>
      <c r="M150" t="s">
        <v>675</v>
      </c>
    </row>
    <row r="151" spans="1:13">
      <c r="A151">
        <v>45668</v>
      </c>
      <c r="B151" t="s">
        <v>559</v>
      </c>
      <c r="E151">
        <v>10000</v>
      </c>
      <c r="F151">
        <v>1</v>
      </c>
      <c r="G151" t="s">
        <v>65</v>
      </c>
      <c r="H151" t="s">
        <v>560</v>
      </c>
      <c r="I151" t="s">
        <v>60</v>
      </c>
      <c r="J151" t="s">
        <v>61</v>
      </c>
      <c r="L151" t="s">
        <v>62</v>
      </c>
    </row>
    <row r="152" spans="1:13">
      <c r="A152">
        <v>45668</v>
      </c>
      <c r="B152" t="s">
        <v>561</v>
      </c>
      <c r="E152">
        <v>8000</v>
      </c>
      <c r="F152">
        <v>1</v>
      </c>
      <c r="G152" t="s">
        <v>65</v>
      </c>
      <c r="H152" t="s">
        <v>560</v>
      </c>
      <c r="I152" t="s">
        <v>60</v>
      </c>
      <c r="J152" t="s">
        <v>61</v>
      </c>
      <c r="L152" t="s">
        <v>62</v>
      </c>
    </row>
    <row r="153" spans="1:13">
      <c r="A153">
        <v>45668</v>
      </c>
      <c r="B153" t="s">
        <v>63</v>
      </c>
      <c r="D153">
        <v>19000</v>
      </c>
      <c r="G153" t="s">
        <v>70</v>
      </c>
      <c r="I153" t="s">
        <v>60</v>
      </c>
      <c r="J153" t="s">
        <v>61</v>
      </c>
      <c r="L153" t="s">
        <v>62</v>
      </c>
    </row>
    <row r="154" spans="1:13">
      <c r="A154">
        <v>45668</v>
      </c>
      <c r="B154" t="s">
        <v>63</v>
      </c>
      <c r="D154">
        <v>13500</v>
      </c>
      <c r="F154">
        <v>2</v>
      </c>
      <c r="G154" t="s">
        <v>70</v>
      </c>
      <c r="I154" t="s">
        <v>71</v>
      </c>
      <c r="J154" t="s">
        <v>72</v>
      </c>
      <c r="K154" t="s">
        <v>676</v>
      </c>
      <c r="L154" t="s">
        <v>62</v>
      </c>
      <c r="M154" t="s">
        <v>90</v>
      </c>
    </row>
    <row r="155" spans="1:13">
      <c r="A155">
        <v>45668</v>
      </c>
      <c r="B155" t="s">
        <v>677</v>
      </c>
      <c r="D155">
        <v>500</v>
      </c>
      <c r="F155">
        <v>1</v>
      </c>
      <c r="G155" t="s">
        <v>22</v>
      </c>
      <c r="H155" t="s">
        <v>21</v>
      </c>
      <c r="I155" t="s">
        <v>60</v>
      </c>
      <c r="J155" t="s">
        <v>61</v>
      </c>
      <c r="L155" t="s">
        <v>89</v>
      </c>
    </row>
    <row r="156" spans="1:13">
      <c r="A156">
        <v>45668</v>
      </c>
      <c r="B156" t="s">
        <v>678</v>
      </c>
      <c r="F156">
        <v>1</v>
      </c>
      <c r="G156" t="s">
        <v>64</v>
      </c>
      <c r="L156" t="s">
        <v>89</v>
      </c>
      <c r="M156" t="s">
        <v>679</v>
      </c>
    </row>
    <row r="157" spans="1:13">
      <c r="A157">
        <v>45668</v>
      </c>
      <c r="B157" t="s">
        <v>680</v>
      </c>
      <c r="F157">
        <v>1</v>
      </c>
      <c r="G157" t="s">
        <v>377</v>
      </c>
      <c r="H157" t="s">
        <v>21</v>
      </c>
      <c r="L157" t="s">
        <v>89</v>
      </c>
    </row>
    <row r="158" spans="1:13">
      <c r="A158">
        <v>45668</v>
      </c>
      <c r="B158" t="s">
        <v>681</v>
      </c>
      <c r="D158">
        <v>500</v>
      </c>
      <c r="F158">
        <v>1</v>
      </c>
      <c r="G158" t="s">
        <v>22</v>
      </c>
      <c r="H158" t="s">
        <v>21</v>
      </c>
      <c r="I158" t="s">
        <v>60</v>
      </c>
      <c r="J158" t="s">
        <v>61</v>
      </c>
      <c r="L158" t="s">
        <v>89</v>
      </c>
    </row>
    <row r="159" spans="1:13">
      <c r="A159">
        <v>45668</v>
      </c>
      <c r="B159" t="s">
        <v>682</v>
      </c>
      <c r="D159">
        <v>500</v>
      </c>
      <c r="F159">
        <v>1</v>
      </c>
      <c r="G159" t="s">
        <v>22</v>
      </c>
      <c r="H159" t="s">
        <v>21</v>
      </c>
      <c r="I159" t="s">
        <v>60</v>
      </c>
      <c r="J159" t="s">
        <v>61</v>
      </c>
      <c r="L159" t="s">
        <v>86</v>
      </c>
    </row>
    <row r="160" spans="1:13">
      <c r="A160">
        <v>45668</v>
      </c>
      <c r="B160" t="s">
        <v>63</v>
      </c>
      <c r="D160">
        <v>100</v>
      </c>
      <c r="F160">
        <v>1</v>
      </c>
      <c r="G160" t="s">
        <v>22</v>
      </c>
      <c r="H160" t="s">
        <v>93</v>
      </c>
      <c r="I160" t="s">
        <v>60</v>
      </c>
      <c r="J160" t="s">
        <v>61</v>
      </c>
      <c r="L160" t="s">
        <v>62</v>
      </c>
    </row>
    <row r="161" spans="1:13">
      <c r="A161">
        <v>45668</v>
      </c>
      <c r="B161" t="s">
        <v>683</v>
      </c>
      <c r="D161">
        <v>500</v>
      </c>
      <c r="F161">
        <v>1</v>
      </c>
      <c r="G161" t="s">
        <v>22</v>
      </c>
      <c r="H161" t="s">
        <v>21</v>
      </c>
      <c r="I161" t="s">
        <v>60</v>
      </c>
      <c r="J161" t="s">
        <v>61</v>
      </c>
      <c r="L161" t="s">
        <v>86</v>
      </c>
    </row>
    <row r="162" spans="1:13">
      <c r="A162">
        <v>45668</v>
      </c>
      <c r="B162" t="s">
        <v>684</v>
      </c>
      <c r="F162">
        <v>1</v>
      </c>
      <c r="G162" t="s">
        <v>22</v>
      </c>
      <c r="H162" t="s">
        <v>21</v>
      </c>
      <c r="L162" t="s">
        <v>461</v>
      </c>
      <c r="M162" t="s">
        <v>685</v>
      </c>
    </row>
    <row r="163" spans="1:13">
      <c r="A163">
        <v>45668</v>
      </c>
      <c r="B163" t="s">
        <v>684</v>
      </c>
      <c r="D163">
        <v>0</v>
      </c>
      <c r="F163">
        <v>0</v>
      </c>
      <c r="G163" t="s">
        <v>22</v>
      </c>
      <c r="H163" t="s">
        <v>21</v>
      </c>
      <c r="L163" t="s">
        <v>86</v>
      </c>
      <c r="M163" t="s">
        <v>548</v>
      </c>
    </row>
    <row r="164" spans="1:13">
      <c r="A164">
        <v>45669</v>
      </c>
      <c r="B164" t="s">
        <v>63</v>
      </c>
      <c r="D164">
        <v>5000</v>
      </c>
      <c r="G164" t="s">
        <v>70</v>
      </c>
      <c r="I164" t="s">
        <v>60</v>
      </c>
      <c r="J164" t="s">
        <v>61</v>
      </c>
      <c r="L164" t="s">
        <v>62</v>
      </c>
    </row>
    <row r="165" spans="1:13">
      <c r="A165">
        <v>45669</v>
      </c>
      <c r="B165" t="s">
        <v>686</v>
      </c>
      <c r="D165">
        <v>500</v>
      </c>
      <c r="F165">
        <v>1</v>
      </c>
      <c r="G165" t="s">
        <v>22</v>
      </c>
      <c r="H165" t="s">
        <v>21</v>
      </c>
      <c r="I165" t="s">
        <v>60</v>
      </c>
      <c r="J165" t="s">
        <v>61</v>
      </c>
      <c r="L165" t="s">
        <v>86</v>
      </c>
    </row>
    <row r="166" spans="1:13">
      <c r="A166">
        <v>45669</v>
      </c>
      <c r="B166" t="s">
        <v>687</v>
      </c>
      <c r="D166">
        <v>500</v>
      </c>
      <c r="F166">
        <v>1</v>
      </c>
      <c r="G166" t="s">
        <v>22</v>
      </c>
      <c r="H166" t="s">
        <v>21</v>
      </c>
      <c r="I166" t="s">
        <v>60</v>
      </c>
      <c r="J166" t="s">
        <v>61</v>
      </c>
      <c r="L166" t="s">
        <v>86</v>
      </c>
    </row>
    <row r="167" spans="1:13">
      <c r="A167">
        <v>45669</v>
      </c>
      <c r="B167" t="s">
        <v>688</v>
      </c>
      <c r="F167">
        <v>1</v>
      </c>
      <c r="G167" t="s">
        <v>564</v>
      </c>
      <c r="H167" t="s">
        <v>21</v>
      </c>
      <c r="L167" t="s">
        <v>82</v>
      </c>
    </row>
    <row r="168" spans="1:13">
      <c r="A168">
        <v>45669</v>
      </c>
      <c r="B168" t="s">
        <v>689</v>
      </c>
      <c r="D168">
        <v>500</v>
      </c>
      <c r="F168">
        <v>1</v>
      </c>
      <c r="G168" t="s">
        <v>22</v>
      </c>
      <c r="H168" t="s">
        <v>21</v>
      </c>
      <c r="I168" t="s">
        <v>60</v>
      </c>
      <c r="J168" t="s">
        <v>61</v>
      </c>
      <c r="L168" t="s">
        <v>82</v>
      </c>
    </row>
    <row r="169" spans="1:13">
      <c r="A169">
        <v>45669</v>
      </c>
      <c r="B169" t="s">
        <v>690</v>
      </c>
      <c r="F169">
        <v>1</v>
      </c>
      <c r="G169" t="s">
        <v>79</v>
      </c>
      <c r="H169" t="s">
        <v>21</v>
      </c>
      <c r="L169" t="s">
        <v>82</v>
      </c>
    </row>
    <row r="170" spans="1:13">
      <c r="A170">
        <v>45669</v>
      </c>
      <c r="B170" t="s">
        <v>691</v>
      </c>
      <c r="F170">
        <v>1</v>
      </c>
      <c r="G170" t="s">
        <v>64</v>
      </c>
      <c r="L170" t="s">
        <v>82</v>
      </c>
      <c r="M170" t="s">
        <v>96</v>
      </c>
    </row>
    <row r="171" spans="1:13">
      <c r="A171">
        <v>45669</v>
      </c>
      <c r="B171" t="s">
        <v>692</v>
      </c>
      <c r="D171">
        <v>500</v>
      </c>
      <c r="F171">
        <v>1</v>
      </c>
      <c r="G171" t="s">
        <v>22</v>
      </c>
      <c r="H171" t="s">
        <v>21</v>
      </c>
      <c r="I171" t="s">
        <v>60</v>
      </c>
      <c r="J171" t="s">
        <v>61</v>
      </c>
      <c r="L171" t="s">
        <v>82</v>
      </c>
    </row>
    <row r="172" spans="1:13">
      <c r="A172">
        <v>45669</v>
      </c>
      <c r="B172" t="s">
        <v>693</v>
      </c>
      <c r="D172">
        <v>500</v>
      </c>
      <c r="F172">
        <v>1</v>
      </c>
      <c r="G172" t="s">
        <v>22</v>
      </c>
      <c r="H172" t="s">
        <v>21</v>
      </c>
      <c r="I172" t="s">
        <v>60</v>
      </c>
      <c r="J172" t="s">
        <v>61</v>
      </c>
      <c r="L172" t="s">
        <v>82</v>
      </c>
    </row>
    <row r="173" spans="1:13">
      <c r="A173">
        <v>45669</v>
      </c>
      <c r="B173" t="s">
        <v>694</v>
      </c>
      <c r="F173">
        <v>3</v>
      </c>
      <c r="G173" t="s">
        <v>603</v>
      </c>
      <c r="H173" t="s">
        <v>21</v>
      </c>
      <c r="L173" t="s">
        <v>86</v>
      </c>
    </row>
    <row r="174" spans="1:13">
      <c r="A174">
        <v>45669</v>
      </c>
      <c r="B174" t="s">
        <v>695</v>
      </c>
      <c r="D174">
        <v>500</v>
      </c>
      <c r="F174">
        <v>1</v>
      </c>
      <c r="G174" t="s">
        <v>22</v>
      </c>
      <c r="H174" t="s">
        <v>21</v>
      </c>
      <c r="I174" t="s">
        <v>60</v>
      </c>
      <c r="J174" t="s">
        <v>61</v>
      </c>
      <c r="L174" t="s">
        <v>82</v>
      </c>
    </row>
    <row r="175" spans="1:13">
      <c r="A175">
        <v>45669</v>
      </c>
      <c r="B175" t="s">
        <v>76</v>
      </c>
      <c r="D175">
        <v>5000</v>
      </c>
      <c r="G175" t="s">
        <v>77</v>
      </c>
      <c r="I175" t="s">
        <v>60</v>
      </c>
      <c r="J175" t="s">
        <v>61</v>
      </c>
      <c r="L175" t="s">
        <v>62</v>
      </c>
    </row>
    <row r="176" spans="1:13">
      <c r="A176">
        <v>45670</v>
      </c>
      <c r="B176" t="s">
        <v>81</v>
      </c>
      <c r="D176">
        <v>161500</v>
      </c>
      <c r="F176">
        <v>1</v>
      </c>
      <c r="G176" t="s">
        <v>74</v>
      </c>
      <c r="H176" t="s">
        <v>75</v>
      </c>
      <c r="I176" t="s">
        <v>60</v>
      </c>
      <c r="J176" t="s">
        <v>61</v>
      </c>
      <c r="L176" t="s">
        <v>88</v>
      </c>
    </row>
    <row r="177" spans="1:13">
      <c r="A177">
        <v>45670</v>
      </c>
      <c r="B177" t="s">
        <v>63</v>
      </c>
      <c r="D177">
        <v>17000</v>
      </c>
      <c r="G177" t="s">
        <v>70</v>
      </c>
      <c r="I177" t="s">
        <v>60</v>
      </c>
      <c r="J177" t="s">
        <v>61</v>
      </c>
      <c r="L177" t="s">
        <v>62</v>
      </c>
    </row>
    <row r="178" spans="1:13">
      <c r="A178">
        <v>45670</v>
      </c>
      <c r="B178" t="s">
        <v>696</v>
      </c>
      <c r="F178">
        <v>1</v>
      </c>
      <c r="G178" t="s">
        <v>64</v>
      </c>
      <c r="L178" t="s">
        <v>86</v>
      </c>
      <c r="M178" t="s">
        <v>697</v>
      </c>
    </row>
    <row r="179" spans="1:13">
      <c r="A179">
        <v>45670</v>
      </c>
      <c r="B179" t="s">
        <v>698</v>
      </c>
      <c r="F179">
        <v>1</v>
      </c>
      <c r="G179" t="s">
        <v>79</v>
      </c>
      <c r="H179" t="s">
        <v>21</v>
      </c>
      <c r="L179" t="s">
        <v>86</v>
      </c>
    </row>
    <row r="180" spans="1:13">
      <c r="A180">
        <v>45670</v>
      </c>
      <c r="B180" t="s">
        <v>76</v>
      </c>
      <c r="D180">
        <v>5500</v>
      </c>
      <c r="G180" t="s">
        <v>77</v>
      </c>
      <c r="I180" t="s">
        <v>60</v>
      </c>
      <c r="J180" t="s">
        <v>61</v>
      </c>
      <c r="L180" t="s">
        <v>62</v>
      </c>
    </row>
    <row r="181" spans="1:13">
      <c r="A181">
        <v>45670</v>
      </c>
      <c r="B181" t="s">
        <v>699</v>
      </c>
      <c r="D181">
        <v>200000</v>
      </c>
      <c r="F181">
        <v>1</v>
      </c>
      <c r="G181" t="s">
        <v>64</v>
      </c>
      <c r="I181" t="s">
        <v>60</v>
      </c>
      <c r="J181" t="s">
        <v>61</v>
      </c>
      <c r="L181" t="s">
        <v>86</v>
      </c>
      <c r="M181" t="s">
        <v>700</v>
      </c>
    </row>
    <row r="182" spans="1:13">
      <c r="A182">
        <v>45670</v>
      </c>
      <c r="B182" t="s">
        <v>701</v>
      </c>
      <c r="D182">
        <v>500</v>
      </c>
      <c r="F182">
        <v>1</v>
      </c>
      <c r="G182" t="s">
        <v>22</v>
      </c>
      <c r="H182" t="s">
        <v>21</v>
      </c>
      <c r="I182" t="s">
        <v>60</v>
      </c>
      <c r="J182" t="s">
        <v>61</v>
      </c>
      <c r="L182" t="s">
        <v>86</v>
      </c>
    </row>
    <row r="183" spans="1:13">
      <c r="A183">
        <v>45670</v>
      </c>
      <c r="B183" t="s">
        <v>702</v>
      </c>
      <c r="F183">
        <v>1</v>
      </c>
      <c r="G183" t="s">
        <v>64</v>
      </c>
      <c r="L183" t="s">
        <v>86</v>
      </c>
      <c r="M183" t="s">
        <v>569</v>
      </c>
    </row>
    <row r="184" spans="1:13">
      <c r="A184">
        <v>45670</v>
      </c>
      <c r="B184" t="s">
        <v>703</v>
      </c>
      <c r="F184">
        <v>1</v>
      </c>
      <c r="G184" t="s">
        <v>64</v>
      </c>
      <c r="L184" t="s">
        <v>86</v>
      </c>
      <c r="M184" t="s">
        <v>569</v>
      </c>
    </row>
    <row r="185" spans="1:13">
      <c r="A185">
        <v>45670</v>
      </c>
      <c r="B185" t="s">
        <v>704</v>
      </c>
      <c r="D185">
        <v>500</v>
      </c>
      <c r="F185">
        <v>1</v>
      </c>
      <c r="G185" t="s">
        <v>22</v>
      </c>
      <c r="H185" t="s">
        <v>21</v>
      </c>
      <c r="I185" t="s">
        <v>60</v>
      </c>
      <c r="J185" t="s">
        <v>61</v>
      </c>
      <c r="L185" t="s">
        <v>86</v>
      </c>
    </row>
    <row r="186" spans="1:13">
      <c r="A186">
        <v>45670</v>
      </c>
      <c r="B186" t="s">
        <v>704</v>
      </c>
      <c r="D186">
        <v>0</v>
      </c>
      <c r="F186">
        <v>0</v>
      </c>
      <c r="G186" t="s">
        <v>22</v>
      </c>
      <c r="H186" t="s">
        <v>21</v>
      </c>
      <c r="I186" t="s">
        <v>60</v>
      </c>
      <c r="J186" t="s">
        <v>61</v>
      </c>
      <c r="L186" t="s">
        <v>86</v>
      </c>
      <c r="M186" t="s">
        <v>548</v>
      </c>
    </row>
    <row r="187" spans="1:13">
      <c r="A187">
        <v>45670</v>
      </c>
      <c r="B187" t="s">
        <v>705</v>
      </c>
      <c r="D187">
        <v>500</v>
      </c>
      <c r="F187">
        <v>1</v>
      </c>
      <c r="G187" t="s">
        <v>22</v>
      </c>
      <c r="H187" t="s">
        <v>21</v>
      </c>
      <c r="I187" t="s">
        <v>60</v>
      </c>
      <c r="J187" t="s">
        <v>61</v>
      </c>
      <c r="L187" t="s">
        <v>86</v>
      </c>
    </row>
    <row r="188" spans="1:13">
      <c r="A188">
        <v>45670</v>
      </c>
      <c r="B188" t="s">
        <v>706</v>
      </c>
      <c r="F188">
        <v>1</v>
      </c>
      <c r="G188" t="s">
        <v>564</v>
      </c>
      <c r="H188" t="s">
        <v>21</v>
      </c>
      <c r="L188" t="s">
        <v>86</v>
      </c>
    </row>
    <row r="189" spans="1:13">
      <c r="A189">
        <v>45670</v>
      </c>
      <c r="B189" t="s">
        <v>707</v>
      </c>
      <c r="D189">
        <v>500</v>
      </c>
      <c r="F189">
        <v>1</v>
      </c>
      <c r="G189" t="s">
        <v>22</v>
      </c>
      <c r="H189" t="s">
        <v>21</v>
      </c>
      <c r="I189" t="s">
        <v>60</v>
      </c>
      <c r="J189" t="s">
        <v>61</v>
      </c>
      <c r="L189" t="s">
        <v>86</v>
      </c>
    </row>
    <row r="190" spans="1:13">
      <c r="A190">
        <v>45670</v>
      </c>
      <c r="B190" t="s">
        <v>708</v>
      </c>
      <c r="D190">
        <v>500</v>
      </c>
      <c r="F190">
        <v>1</v>
      </c>
      <c r="G190" t="s">
        <v>22</v>
      </c>
      <c r="H190" t="s">
        <v>21</v>
      </c>
      <c r="I190" t="s">
        <v>60</v>
      </c>
      <c r="J190" t="s">
        <v>61</v>
      </c>
      <c r="L190" t="s">
        <v>86</v>
      </c>
    </row>
    <row r="191" spans="1:13">
      <c r="A191">
        <v>45670</v>
      </c>
      <c r="B191" t="s">
        <v>709</v>
      </c>
      <c r="D191">
        <v>500</v>
      </c>
      <c r="F191">
        <v>1</v>
      </c>
      <c r="G191" t="s">
        <v>22</v>
      </c>
      <c r="H191" t="s">
        <v>21</v>
      </c>
      <c r="I191" t="s">
        <v>60</v>
      </c>
      <c r="J191" t="s">
        <v>61</v>
      </c>
      <c r="L191" t="s">
        <v>86</v>
      </c>
    </row>
    <row r="192" spans="1:13">
      <c r="A192">
        <v>45670</v>
      </c>
      <c r="B192" t="s">
        <v>710</v>
      </c>
      <c r="D192">
        <v>500</v>
      </c>
      <c r="F192">
        <v>1</v>
      </c>
      <c r="G192" t="s">
        <v>22</v>
      </c>
      <c r="H192" t="s">
        <v>21</v>
      </c>
      <c r="I192" t="s">
        <v>60</v>
      </c>
      <c r="J192" t="s">
        <v>61</v>
      </c>
      <c r="L192" t="s">
        <v>86</v>
      </c>
    </row>
    <row r="193" spans="1:13">
      <c r="A193">
        <v>45670</v>
      </c>
      <c r="B193" t="s">
        <v>711</v>
      </c>
      <c r="F193">
        <v>1</v>
      </c>
      <c r="G193" t="s">
        <v>22</v>
      </c>
      <c r="H193" t="s">
        <v>21</v>
      </c>
      <c r="L193" t="s">
        <v>461</v>
      </c>
      <c r="M193" t="s">
        <v>712</v>
      </c>
    </row>
    <row r="194" spans="1:13">
      <c r="A194">
        <v>45670</v>
      </c>
      <c r="B194" t="s">
        <v>713</v>
      </c>
      <c r="F194">
        <v>1</v>
      </c>
      <c r="G194" t="s">
        <v>79</v>
      </c>
      <c r="H194" t="s">
        <v>21</v>
      </c>
      <c r="L194" t="s">
        <v>86</v>
      </c>
    </row>
    <row r="195" spans="1:13">
      <c r="A195">
        <v>45670</v>
      </c>
      <c r="B195" t="s">
        <v>714</v>
      </c>
      <c r="D195">
        <v>500</v>
      </c>
      <c r="F195">
        <v>1</v>
      </c>
      <c r="G195" t="s">
        <v>22</v>
      </c>
      <c r="H195" t="s">
        <v>21</v>
      </c>
      <c r="I195" t="s">
        <v>60</v>
      </c>
      <c r="J195" t="s">
        <v>61</v>
      </c>
      <c r="L195" t="s">
        <v>86</v>
      </c>
    </row>
    <row r="196" spans="1:13">
      <c r="A196">
        <v>45670</v>
      </c>
      <c r="B196" t="s">
        <v>715</v>
      </c>
      <c r="D196">
        <v>500</v>
      </c>
      <c r="F196">
        <v>1</v>
      </c>
      <c r="G196" t="s">
        <v>22</v>
      </c>
      <c r="H196" t="s">
        <v>21</v>
      </c>
      <c r="I196" t="s">
        <v>60</v>
      </c>
      <c r="J196" t="s">
        <v>61</v>
      </c>
      <c r="L196" t="s">
        <v>86</v>
      </c>
    </row>
    <row r="197" spans="1:13">
      <c r="A197">
        <v>45670</v>
      </c>
      <c r="B197" t="s">
        <v>715</v>
      </c>
      <c r="D197">
        <v>0</v>
      </c>
      <c r="F197">
        <v>0</v>
      </c>
      <c r="G197" t="s">
        <v>22</v>
      </c>
      <c r="H197" t="s">
        <v>21</v>
      </c>
      <c r="I197" t="s">
        <v>60</v>
      </c>
      <c r="J197" t="s">
        <v>61</v>
      </c>
      <c r="L197" t="s">
        <v>86</v>
      </c>
      <c r="M197" t="s">
        <v>548</v>
      </c>
    </row>
    <row r="198" spans="1:13">
      <c r="A198">
        <v>45670</v>
      </c>
      <c r="B198" t="s">
        <v>716</v>
      </c>
      <c r="F198">
        <v>1</v>
      </c>
      <c r="G198" t="s">
        <v>0</v>
      </c>
      <c r="L198" t="s">
        <v>89</v>
      </c>
    </row>
    <row r="199" spans="1:13">
      <c r="A199">
        <v>45671</v>
      </c>
      <c r="B199" t="s">
        <v>81</v>
      </c>
      <c r="D199">
        <v>60000</v>
      </c>
      <c r="F199">
        <v>1</v>
      </c>
      <c r="G199" t="s">
        <v>74</v>
      </c>
      <c r="H199" t="s">
        <v>75</v>
      </c>
      <c r="I199" t="s">
        <v>60</v>
      </c>
      <c r="J199" t="s">
        <v>61</v>
      </c>
      <c r="L199" t="s">
        <v>88</v>
      </c>
    </row>
    <row r="200" spans="1:13">
      <c r="A200">
        <v>45671</v>
      </c>
      <c r="B200" t="s">
        <v>717</v>
      </c>
      <c r="D200">
        <v>500</v>
      </c>
      <c r="F200">
        <v>1</v>
      </c>
      <c r="G200" t="s">
        <v>22</v>
      </c>
      <c r="H200" t="s">
        <v>21</v>
      </c>
      <c r="I200" t="s">
        <v>60</v>
      </c>
      <c r="J200" t="s">
        <v>61</v>
      </c>
      <c r="L200" t="s">
        <v>86</v>
      </c>
    </row>
    <row r="201" spans="1:13">
      <c r="A201">
        <v>45671</v>
      </c>
      <c r="B201" t="s">
        <v>76</v>
      </c>
      <c r="D201">
        <v>3500</v>
      </c>
      <c r="G201" t="s">
        <v>77</v>
      </c>
      <c r="I201" t="s">
        <v>60</v>
      </c>
      <c r="J201" t="s">
        <v>61</v>
      </c>
      <c r="L201" t="s">
        <v>62</v>
      </c>
    </row>
    <row r="202" spans="1:13">
      <c r="A202">
        <v>45671</v>
      </c>
      <c r="B202" t="s">
        <v>63</v>
      </c>
      <c r="D202">
        <v>5000</v>
      </c>
      <c r="G202" t="s">
        <v>70</v>
      </c>
      <c r="I202" t="s">
        <v>60</v>
      </c>
      <c r="J202" t="s">
        <v>61</v>
      </c>
      <c r="L202" t="s">
        <v>62</v>
      </c>
    </row>
    <row r="203" spans="1:13">
      <c r="A203">
        <v>45671</v>
      </c>
      <c r="B203" t="s">
        <v>718</v>
      </c>
      <c r="D203">
        <v>500</v>
      </c>
      <c r="F203">
        <v>1</v>
      </c>
      <c r="G203" t="s">
        <v>22</v>
      </c>
      <c r="H203" t="s">
        <v>21</v>
      </c>
      <c r="I203" t="s">
        <v>60</v>
      </c>
      <c r="J203" t="s">
        <v>61</v>
      </c>
      <c r="L203" t="s">
        <v>86</v>
      </c>
    </row>
    <row r="204" spans="1:13">
      <c r="A204">
        <v>45671</v>
      </c>
      <c r="B204" t="s">
        <v>719</v>
      </c>
      <c r="E204">
        <v>95711</v>
      </c>
      <c r="F204">
        <v>1</v>
      </c>
      <c r="G204" t="s">
        <v>65</v>
      </c>
      <c r="H204" t="s">
        <v>348</v>
      </c>
      <c r="I204" t="s">
        <v>60</v>
      </c>
      <c r="J204" t="s">
        <v>61</v>
      </c>
      <c r="L204" t="s">
        <v>88</v>
      </c>
      <c r="M204" t="s">
        <v>670</v>
      </c>
    </row>
    <row r="205" spans="1:13">
      <c r="A205">
        <v>45671</v>
      </c>
      <c r="B205" t="s">
        <v>63</v>
      </c>
      <c r="D205">
        <v>200</v>
      </c>
      <c r="F205">
        <v>1</v>
      </c>
      <c r="G205" t="s">
        <v>22</v>
      </c>
      <c r="H205" t="s">
        <v>93</v>
      </c>
      <c r="I205" t="s">
        <v>60</v>
      </c>
      <c r="J205" t="s">
        <v>61</v>
      </c>
      <c r="L205" t="s">
        <v>62</v>
      </c>
    </row>
    <row r="206" spans="1:13">
      <c r="A206">
        <v>45672</v>
      </c>
      <c r="B206" t="s">
        <v>720</v>
      </c>
      <c r="F206">
        <v>1</v>
      </c>
      <c r="G206" t="s">
        <v>64</v>
      </c>
      <c r="L206" t="s">
        <v>86</v>
      </c>
      <c r="M206" t="s">
        <v>721</v>
      </c>
    </row>
    <row r="207" spans="1:13">
      <c r="A207">
        <v>45672</v>
      </c>
      <c r="B207" t="s">
        <v>722</v>
      </c>
      <c r="D207">
        <v>500</v>
      </c>
      <c r="F207">
        <v>1</v>
      </c>
      <c r="G207" t="s">
        <v>22</v>
      </c>
      <c r="H207" t="s">
        <v>21</v>
      </c>
      <c r="I207" t="s">
        <v>60</v>
      </c>
      <c r="J207" t="s">
        <v>61</v>
      </c>
      <c r="L207" t="s">
        <v>86</v>
      </c>
    </row>
    <row r="208" spans="1:13">
      <c r="A208">
        <v>45672</v>
      </c>
      <c r="B208" t="s">
        <v>63</v>
      </c>
      <c r="D208">
        <v>200</v>
      </c>
      <c r="F208">
        <v>2</v>
      </c>
      <c r="G208" t="s">
        <v>22</v>
      </c>
      <c r="H208" t="s">
        <v>93</v>
      </c>
      <c r="I208" t="s">
        <v>60</v>
      </c>
      <c r="J208" t="s">
        <v>61</v>
      </c>
      <c r="L208" t="s">
        <v>62</v>
      </c>
    </row>
    <row r="209" spans="1:13">
      <c r="A209">
        <v>45672</v>
      </c>
      <c r="B209" t="s">
        <v>723</v>
      </c>
      <c r="F209">
        <v>1</v>
      </c>
      <c r="G209" t="s">
        <v>64</v>
      </c>
      <c r="L209" t="s">
        <v>86</v>
      </c>
      <c r="M209" t="s">
        <v>724</v>
      </c>
    </row>
    <row r="210" spans="1:13">
      <c r="A210">
        <v>45672</v>
      </c>
      <c r="B210" t="s">
        <v>725</v>
      </c>
      <c r="E210">
        <v>4000</v>
      </c>
      <c r="F210">
        <v>1</v>
      </c>
      <c r="G210" t="s">
        <v>65</v>
      </c>
      <c r="H210" t="s">
        <v>726</v>
      </c>
      <c r="I210" t="s">
        <v>60</v>
      </c>
      <c r="J210" t="s">
        <v>61</v>
      </c>
      <c r="L210" t="s">
        <v>62</v>
      </c>
    </row>
    <row r="211" spans="1:13">
      <c r="A211">
        <v>45672</v>
      </c>
      <c r="B211" t="s">
        <v>624</v>
      </c>
      <c r="D211">
        <v>-20800</v>
      </c>
      <c r="G211" t="s">
        <v>77</v>
      </c>
      <c r="I211" t="s">
        <v>60</v>
      </c>
      <c r="J211" t="s">
        <v>61</v>
      </c>
      <c r="L211" t="s">
        <v>62</v>
      </c>
    </row>
    <row r="212" spans="1:13">
      <c r="A212">
        <v>45672</v>
      </c>
      <c r="B212" t="s">
        <v>624</v>
      </c>
      <c r="E212">
        <v>-1100</v>
      </c>
      <c r="F212">
        <v>1</v>
      </c>
      <c r="G212" t="s">
        <v>65</v>
      </c>
      <c r="H212" t="s">
        <v>85</v>
      </c>
      <c r="I212" t="s">
        <v>60</v>
      </c>
      <c r="J212" t="s">
        <v>61</v>
      </c>
      <c r="L212" t="s">
        <v>62</v>
      </c>
    </row>
    <row r="213" spans="1:13">
      <c r="A213">
        <v>45672</v>
      </c>
      <c r="B213" t="s">
        <v>727</v>
      </c>
      <c r="C213" t="s">
        <v>728</v>
      </c>
      <c r="E213">
        <v>28000</v>
      </c>
      <c r="F213">
        <v>1</v>
      </c>
      <c r="G213" t="s">
        <v>65</v>
      </c>
      <c r="H213" t="s">
        <v>265</v>
      </c>
      <c r="I213" t="s">
        <v>60</v>
      </c>
      <c r="J213" t="s">
        <v>61</v>
      </c>
      <c r="L213" t="s">
        <v>62</v>
      </c>
    </row>
    <row r="214" spans="1:13">
      <c r="A214">
        <v>45672</v>
      </c>
      <c r="B214" t="s">
        <v>729</v>
      </c>
      <c r="D214">
        <v>500</v>
      </c>
      <c r="F214">
        <v>1</v>
      </c>
      <c r="G214" t="s">
        <v>22</v>
      </c>
      <c r="H214" t="s">
        <v>21</v>
      </c>
      <c r="I214" t="s">
        <v>60</v>
      </c>
      <c r="J214" t="s">
        <v>61</v>
      </c>
      <c r="L214" t="s">
        <v>86</v>
      </c>
    </row>
    <row r="215" spans="1:13">
      <c r="A215">
        <v>45672</v>
      </c>
      <c r="B215" t="s">
        <v>63</v>
      </c>
      <c r="D215">
        <v>4500</v>
      </c>
      <c r="F215">
        <v>1</v>
      </c>
      <c r="G215" t="s">
        <v>70</v>
      </c>
      <c r="I215" t="s">
        <v>71</v>
      </c>
      <c r="J215" t="s">
        <v>72</v>
      </c>
      <c r="K215" t="s">
        <v>730</v>
      </c>
      <c r="L215" t="s">
        <v>62</v>
      </c>
      <c r="M215" t="s">
        <v>90</v>
      </c>
    </row>
    <row r="216" spans="1:13">
      <c r="A216">
        <v>45672</v>
      </c>
      <c r="B216" t="s">
        <v>731</v>
      </c>
      <c r="D216">
        <v>500</v>
      </c>
      <c r="F216">
        <v>1</v>
      </c>
      <c r="G216" t="s">
        <v>22</v>
      </c>
      <c r="H216" t="s">
        <v>21</v>
      </c>
      <c r="I216" t="s">
        <v>60</v>
      </c>
      <c r="J216" t="s">
        <v>61</v>
      </c>
      <c r="L216" t="s">
        <v>86</v>
      </c>
    </row>
    <row r="217" spans="1:13">
      <c r="A217">
        <v>45672</v>
      </c>
      <c r="B217" t="s">
        <v>732</v>
      </c>
      <c r="D217">
        <v>500</v>
      </c>
      <c r="F217">
        <v>1</v>
      </c>
      <c r="G217" t="s">
        <v>22</v>
      </c>
      <c r="H217" t="s">
        <v>21</v>
      </c>
      <c r="I217" t="s">
        <v>60</v>
      </c>
      <c r="J217" t="s">
        <v>61</v>
      </c>
      <c r="L217" t="s">
        <v>86</v>
      </c>
    </row>
    <row r="218" spans="1:13">
      <c r="A218">
        <v>45672</v>
      </c>
      <c r="B218" t="s">
        <v>63</v>
      </c>
      <c r="D218">
        <v>18000</v>
      </c>
      <c r="F218">
        <v>2</v>
      </c>
      <c r="G218" t="s">
        <v>70</v>
      </c>
      <c r="I218" t="s">
        <v>71</v>
      </c>
      <c r="J218" t="s">
        <v>72</v>
      </c>
      <c r="K218" t="s">
        <v>733</v>
      </c>
      <c r="L218" t="s">
        <v>62</v>
      </c>
      <c r="M218" t="s">
        <v>734</v>
      </c>
    </row>
    <row r="219" spans="1:13">
      <c r="A219">
        <v>45672</v>
      </c>
      <c r="B219" t="s">
        <v>735</v>
      </c>
      <c r="D219">
        <v>500</v>
      </c>
      <c r="F219">
        <v>1</v>
      </c>
      <c r="G219" t="s">
        <v>22</v>
      </c>
      <c r="H219" t="s">
        <v>21</v>
      </c>
      <c r="I219" t="s">
        <v>60</v>
      </c>
      <c r="J219" t="s">
        <v>61</v>
      </c>
      <c r="L219" t="s">
        <v>86</v>
      </c>
    </row>
    <row r="220" spans="1:13">
      <c r="A220">
        <v>45672</v>
      </c>
      <c r="B220" t="s">
        <v>735</v>
      </c>
      <c r="D220">
        <v>0</v>
      </c>
      <c r="F220">
        <v>0</v>
      </c>
      <c r="G220" t="s">
        <v>22</v>
      </c>
      <c r="H220" t="s">
        <v>21</v>
      </c>
      <c r="I220" t="s">
        <v>60</v>
      </c>
      <c r="J220" t="s">
        <v>61</v>
      </c>
      <c r="L220" t="s">
        <v>86</v>
      </c>
      <c r="M220" t="s">
        <v>548</v>
      </c>
    </row>
    <row r="221" spans="1:13">
      <c r="A221">
        <v>45672</v>
      </c>
      <c r="B221" t="s">
        <v>736</v>
      </c>
      <c r="F221">
        <v>1</v>
      </c>
      <c r="G221" t="s">
        <v>98</v>
      </c>
      <c r="H221" t="s">
        <v>21</v>
      </c>
      <c r="L221" t="s">
        <v>86</v>
      </c>
    </row>
    <row r="222" spans="1:13">
      <c r="A222">
        <v>45672</v>
      </c>
      <c r="B222" t="s">
        <v>736</v>
      </c>
      <c r="D222">
        <v>0</v>
      </c>
      <c r="F222">
        <v>0</v>
      </c>
      <c r="G222" t="s">
        <v>22</v>
      </c>
      <c r="H222" t="s">
        <v>21</v>
      </c>
      <c r="I222" t="s">
        <v>60</v>
      </c>
      <c r="J222" t="s">
        <v>61</v>
      </c>
      <c r="L222" t="s">
        <v>86</v>
      </c>
      <c r="M222" t="s">
        <v>548</v>
      </c>
    </row>
    <row r="223" spans="1:13">
      <c r="A223">
        <v>45673</v>
      </c>
      <c r="B223" t="s">
        <v>737</v>
      </c>
      <c r="F223">
        <v>1</v>
      </c>
      <c r="G223" t="s">
        <v>79</v>
      </c>
      <c r="H223" t="s">
        <v>21</v>
      </c>
      <c r="L223" t="s">
        <v>89</v>
      </c>
    </row>
    <row r="224" spans="1:13">
      <c r="A224">
        <v>45673</v>
      </c>
      <c r="B224" t="s">
        <v>737</v>
      </c>
      <c r="D224">
        <v>189999</v>
      </c>
      <c r="F224">
        <v>1</v>
      </c>
      <c r="G224" t="s">
        <v>64</v>
      </c>
      <c r="I224" t="s">
        <v>60</v>
      </c>
      <c r="J224" t="s">
        <v>61</v>
      </c>
      <c r="L224" t="s">
        <v>89</v>
      </c>
    </row>
    <row r="225" spans="1:13">
      <c r="A225">
        <v>45673</v>
      </c>
      <c r="B225" t="s">
        <v>738</v>
      </c>
      <c r="D225">
        <v>500</v>
      </c>
      <c r="F225">
        <v>1</v>
      </c>
      <c r="G225" t="s">
        <v>22</v>
      </c>
      <c r="H225" t="s">
        <v>21</v>
      </c>
      <c r="I225" t="s">
        <v>60</v>
      </c>
      <c r="J225" t="s">
        <v>61</v>
      </c>
      <c r="L225" t="s">
        <v>89</v>
      </c>
    </row>
    <row r="226" spans="1:13">
      <c r="A226">
        <v>45673</v>
      </c>
      <c r="B226" t="s">
        <v>739</v>
      </c>
      <c r="F226">
        <v>1</v>
      </c>
      <c r="G226" t="s">
        <v>79</v>
      </c>
      <c r="H226" t="s">
        <v>21</v>
      </c>
      <c r="L226" t="s">
        <v>89</v>
      </c>
    </row>
    <row r="227" spans="1:13">
      <c r="A227">
        <v>45673</v>
      </c>
      <c r="B227" t="s">
        <v>739</v>
      </c>
      <c r="D227">
        <v>0</v>
      </c>
      <c r="F227">
        <v>0</v>
      </c>
      <c r="G227" t="s">
        <v>22</v>
      </c>
      <c r="H227" t="s">
        <v>21</v>
      </c>
      <c r="I227" t="s">
        <v>60</v>
      </c>
      <c r="J227" t="s">
        <v>61</v>
      </c>
      <c r="L227" t="s">
        <v>89</v>
      </c>
      <c r="M227" t="s">
        <v>548</v>
      </c>
    </row>
    <row r="228" spans="1:13">
      <c r="A228">
        <v>45673</v>
      </c>
      <c r="B228" t="s">
        <v>63</v>
      </c>
      <c r="D228">
        <v>14000</v>
      </c>
      <c r="G228" t="s">
        <v>70</v>
      </c>
      <c r="I228" t="s">
        <v>60</v>
      </c>
      <c r="J228" t="s">
        <v>61</v>
      </c>
      <c r="L228" t="s">
        <v>62</v>
      </c>
    </row>
    <row r="229" spans="1:13">
      <c r="A229">
        <v>45673</v>
      </c>
      <c r="B229" t="s">
        <v>63</v>
      </c>
      <c r="D229">
        <v>300</v>
      </c>
      <c r="F229">
        <v>3</v>
      </c>
      <c r="G229" t="s">
        <v>22</v>
      </c>
      <c r="H229" t="s">
        <v>93</v>
      </c>
      <c r="I229" t="s">
        <v>60</v>
      </c>
      <c r="J229" t="s">
        <v>61</v>
      </c>
      <c r="L229" t="s">
        <v>62</v>
      </c>
    </row>
    <row r="230" spans="1:13">
      <c r="A230">
        <v>45673</v>
      </c>
      <c r="B230" t="s">
        <v>76</v>
      </c>
      <c r="D230">
        <v>11700</v>
      </c>
      <c r="G230" t="s">
        <v>77</v>
      </c>
      <c r="I230" t="s">
        <v>60</v>
      </c>
      <c r="J230" t="s">
        <v>61</v>
      </c>
      <c r="L230" t="s">
        <v>62</v>
      </c>
    </row>
    <row r="231" spans="1:13">
      <c r="A231">
        <v>45673</v>
      </c>
      <c r="B231" t="s">
        <v>740</v>
      </c>
      <c r="D231">
        <v>500</v>
      </c>
      <c r="F231">
        <v>1</v>
      </c>
      <c r="G231" t="s">
        <v>22</v>
      </c>
      <c r="H231" t="s">
        <v>21</v>
      </c>
      <c r="I231" t="s">
        <v>60</v>
      </c>
      <c r="J231" t="s">
        <v>61</v>
      </c>
      <c r="L231" t="s">
        <v>86</v>
      </c>
    </row>
    <row r="232" spans="1:13">
      <c r="A232">
        <v>45673</v>
      </c>
      <c r="B232" t="s">
        <v>740</v>
      </c>
      <c r="F232">
        <v>1</v>
      </c>
      <c r="G232" t="s">
        <v>64</v>
      </c>
      <c r="L232" t="s">
        <v>86</v>
      </c>
      <c r="M232" t="s">
        <v>721</v>
      </c>
    </row>
    <row r="233" spans="1:13">
      <c r="A233">
        <v>45673</v>
      </c>
      <c r="B233" t="s">
        <v>741</v>
      </c>
      <c r="F233">
        <v>1</v>
      </c>
      <c r="G233" t="s">
        <v>377</v>
      </c>
      <c r="H233" t="s">
        <v>21</v>
      </c>
      <c r="L233" t="s">
        <v>86</v>
      </c>
    </row>
    <row r="234" spans="1:13">
      <c r="A234">
        <v>45673</v>
      </c>
      <c r="B234" t="s">
        <v>742</v>
      </c>
      <c r="D234">
        <v>500</v>
      </c>
      <c r="F234">
        <v>1</v>
      </c>
      <c r="G234" t="s">
        <v>22</v>
      </c>
      <c r="H234" t="s">
        <v>21</v>
      </c>
      <c r="I234" t="s">
        <v>60</v>
      </c>
      <c r="J234" t="s">
        <v>61</v>
      </c>
      <c r="L234" t="s">
        <v>86</v>
      </c>
    </row>
    <row r="235" spans="1:13">
      <c r="A235">
        <v>45673</v>
      </c>
      <c r="B235" t="s">
        <v>743</v>
      </c>
      <c r="F235">
        <v>1</v>
      </c>
      <c r="G235" t="s">
        <v>587</v>
      </c>
      <c r="H235" t="s">
        <v>21</v>
      </c>
      <c r="L235" t="s">
        <v>86</v>
      </c>
    </row>
    <row r="236" spans="1:13">
      <c r="A236">
        <v>45673</v>
      </c>
      <c r="B236" t="s">
        <v>744</v>
      </c>
      <c r="D236">
        <v>500</v>
      </c>
      <c r="F236">
        <v>1</v>
      </c>
      <c r="G236" t="s">
        <v>22</v>
      </c>
      <c r="H236" t="s">
        <v>21</v>
      </c>
      <c r="I236" t="s">
        <v>60</v>
      </c>
      <c r="J236" t="s">
        <v>61</v>
      </c>
      <c r="L236" t="s">
        <v>86</v>
      </c>
    </row>
    <row r="237" spans="1:13">
      <c r="A237">
        <v>45674</v>
      </c>
      <c r="B237" t="s">
        <v>63</v>
      </c>
      <c r="D237">
        <v>17000</v>
      </c>
      <c r="G237" t="s">
        <v>70</v>
      </c>
      <c r="I237" t="s">
        <v>60</v>
      </c>
      <c r="J237" t="s">
        <v>61</v>
      </c>
      <c r="L237" t="s">
        <v>62</v>
      </c>
    </row>
    <row r="238" spans="1:13">
      <c r="A238">
        <v>45674</v>
      </c>
      <c r="B238" t="s">
        <v>745</v>
      </c>
      <c r="D238">
        <v>500</v>
      </c>
      <c r="F238">
        <v>1</v>
      </c>
      <c r="G238" t="s">
        <v>22</v>
      </c>
      <c r="H238" t="s">
        <v>21</v>
      </c>
      <c r="I238" t="s">
        <v>60</v>
      </c>
      <c r="J238" t="s">
        <v>61</v>
      </c>
      <c r="L238" t="s">
        <v>89</v>
      </c>
      <c r="M238" t="s">
        <v>746</v>
      </c>
    </row>
    <row r="239" spans="1:13">
      <c r="A239">
        <v>45674</v>
      </c>
      <c r="B239" t="s">
        <v>747</v>
      </c>
      <c r="D239">
        <v>500</v>
      </c>
      <c r="F239">
        <v>1</v>
      </c>
      <c r="G239" t="s">
        <v>22</v>
      </c>
      <c r="H239" t="s">
        <v>21</v>
      </c>
      <c r="I239" t="s">
        <v>60</v>
      </c>
      <c r="J239" t="s">
        <v>61</v>
      </c>
      <c r="L239" t="s">
        <v>89</v>
      </c>
      <c r="M239" t="s">
        <v>746</v>
      </c>
    </row>
    <row r="240" spans="1:13">
      <c r="A240">
        <v>45674</v>
      </c>
      <c r="B240" t="s">
        <v>748</v>
      </c>
      <c r="D240">
        <v>500</v>
      </c>
      <c r="F240">
        <v>1</v>
      </c>
      <c r="G240" t="s">
        <v>22</v>
      </c>
      <c r="H240" t="s">
        <v>21</v>
      </c>
      <c r="I240" t="s">
        <v>60</v>
      </c>
      <c r="J240" t="s">
        <v>61</v>
      </c>
      <c r="L240" t="s">
        <v>89</v>
      </c>
      <c r="M240" t="s">
        <v>746</v>
      </c>
    </row>
    <row r="241" spans="1:13">
      <c r="A241">
        <v>45674</v>
      </c>
      <c r="B241" t="s">
        <v>749</v>
      </c>
      <c r="F241">
        <v>1</v>
      </c>
      <c r="G241" t="s">
        <v>750</v>
      </c>
      <c r="H241" t="s">
        <v>21</v>
      </c>
      <c r="L241" t="s">
        <v>89</v>
      </c>
    </row>
    <row r="242" spans="1:13">
      <c r="A242">
        <v>45674</v>
      </c>
      <c r="B242" t="s">
        <v>749</v>
      </c>
      <c r="D242">
        <v>0</v>
      </c>
      <c r="F242">
        <v>0</v>
      </c>
      <c r="G242" t="s">
        <v>22</v>
      </c>
      <c r="H242" t="s">
        <v>21</v>
      </c>
      <c r="I242" t="s">
        <v>60</v>
      </c>
      <c r="J242" t="s">
        <v>61</v>
      </c>
      <c r="L242" t="s">
        <v>89</v>
      </c>
      <c r="M242" t="s">
        <v>746</v>
      </c>
    </row>
    <row r="243" spans="1:13">
      <c r="A243">
        <v>45674</v>
      </c>
      <c r="B243" t="s">
        <v>751</v>
      </c>
      <c r="F243">
        <v>1</v>
      </c>
      <c r="G243" t="s">
        <v>377</v>
      </c>
      <c r="H243" t="s">
        <v>21</v>
      </c>
      <c r="L243" t="s">
        <v>89</v>
      </c>
    </row>
    <row r="244" spans="1:13">
      <c r="A244">
        <v>45674</v>
      </c>
      <c r="B244" t="s">
        <v>752</v>
      </c>
      <c r="D244">
        <v>500</v>
      </c>
      <c r="F244">
        <v>1</v>
      </c>
      <c r="G244" t="s">
        <v>22</v>
      </c>
      <c r="H244" t="s">
        <v>21</v>
      </c>
      <c r="I244" t="s">
        <v>60</v>
      </c>
      <c r="J244" t="s">
        <v>61</v>
      </c>
      <c r="L244" t="s">
        <v>89</v>
      </c>
      <c r="M244" t="s">
        <v>746</v>
      </c>
    </row>
    <row r="245" spans="1:13">
      <c r="A245">
        <v>45674</v>
      </c>
      <c r="B245" t="s">
        <v>63</v>
      </c>
      <c r="D245">
        <v>200</v>
      </c>
      <c r="F245">
        <v>2</v>
      </c>
      <c r="G245" t="s">
        <v>22</v>
      </c>
      <c r="H245" t="s">
        <v>93</v>
      </c>
      <c r="I245" t="s">
        <v>60</v>
      </c>
      <c r="J245" t="s">
        <v>61</v>
      </c>
      <c r="L245" t="s">
        <v>89</v>
      </c>
    </row>
    <row r="246" spans="1:13">
      <c r="A246">
        <v>45674</v>
      </c>
      <c r="B246" t="s">
        <v>753</v>
      </c>
      <c r="D246">
        <v>16000</v>
      </c>
      <c r="G246" t="s">
        <v>77</v>
      </c>
      <c r="I246" t="s">
        <v>60</v>
      </c>
      <c r="J246" t="s">
        <v>61</v>
      </c>
      <c r="L246" t="s">
        <v>62</v>
      </c>
    </row>
    <row r="247" spans="1:13">
      <c r="A247">
        <v>45674</v>
      </c>
      <c r="B247" t="s">
        <v>624</v>
      </c>
      <c r="D247">
        <v>-41600</v>
      </c>
      <c r="G247" t="s">
        <v>77</v>
      </c>
      <c r="I247" t="s">
        <v>60</v>
      </c>
      <c r="J247" t="s">
        <v>61</v>
      </c>
      <c r="L247" t="s">
        <v>62</v>
      </c>
    </row>
    <row r="248" spans="1:13">
      <c r="A248">
        <v>45674</v>
      </c>
      <c r="B248" t="s">
        <v>84</v>
      </c>
      <c r="E248">
        <v>-2200</v>
      </c>
      <c r="F248">
        <v>1</v>
      </c>
      <c r="G248" t="s">
        <v>65</v>
      </c>
      <c r="H248" t="s">
        <v>85</v>
      </c>
      <c r="I248" t="s">
        <v>60</v>
      </c>
      <c r="J248" t="s">
        <v>61</v>
      </c>
      <c r="L248" t="s">
        <v>62</v>
      </c>
    </row>
    <row r="249" spans="1:13">
      <c r="A249">
        <v>45674</v>
      </c>
      <c r="B249" t="s">
        <v>754</v>
      </c>
      <c r="F249">
        <v>1</v>
      </c>
      <c r="G249" t="s">
        <v>0</v>
      </c>
      <c r="L249" t="s">
        <v>89</v>
      </c>
    </row>
    <row r="250" spans="1:13">
      <c r="A250">
        <v>45675</v>
      </c>
      <c r="B250" t="s">
        <v>559</v>
      </c>
      <c r="E250">
        <v>10000</v>
      </c>
      <c r="F250">
        <v>1</v>
      </c>
      <c r="G250" t="s">
        <v>65</v>
      </c>
      <c r="H250" t="s">
        <v>560</v>
      </c>
      <c r="I250" t="s">
        <v>60</v>
      </c>
      <c r="J250" t="s">
        <v>61</v>
      </c>
      <c r="L250" t="s">
        <v>62</v>
      </c>
    </row>
    <row r="251" spans="1:13">
      <c r="A251">
        <v>45675</v>
      </c>
      <c r="B251" t="s">
        <v>561</v>
      </c>
      <c r="E251">
        <v>8000</v>
      </c>
      <c r="F251">
        <v>1</v>
      </c>
      <c r="G251" t="s">
        <v>65</v>
      </c>
      <c r="H251" t="s">
        <v>560</v>
      </c>
      <c r="I251" t="s">
        <v>60</v>
      </c>
      <c r="J251" t="s">
        <v>61</v>
      </c>
      <c r="L251" t="s">
        <v>62</v>
      </c>
    </row>
    <row r="252" spans="1:13">
      <c r="A252">
        <v>45675</v>
      </c>
      <c r="B252" t="s">
        <v>755</v>
      </c>
      <c r="F252">
        <v>1</v>
      </c>
      <c r="G252" t="s">
        <v>64</v>
      </c>
      <c r="L252" t="s">
        <v>86</v>
      </c>
      <c r="M252" t="s">
        <v>756</v>
      </c>
    </row>
    <row r="253" spans="1:13">
      <c r="A253">
        <v>45675</v>
      </c>
      <c r="B253" t="s">
        <v>63</v>
      </c>
      <c r="D253">
        <v>28000</v>
      </c>
      <c r="F253">
        <v>3</v>
      </c>
      <c r="G253" t="s">
        <v>70</v>
      </c>
      <c r="I253" t="s">
        <v>71</v>
      </c>
      <c r="J253" t="s">
        <v>72</v>
      </c>
      <c r="K253" t="s">
        <v>479</v>
      </c>
      <c r="L253" t="s">
        <v>62</v>
      </c>
      <c r="M253" t="s">
        <v>92</v>
      </c>
    </row>
    <row r="254" spans="1:13">
      <c r="A254">
        <v>45675</v>
      </c>
      <c r="B254" t="s">
        <v>757</v>
      </c>
      <c r="F254">
        <v>1</v>
      </c>
      <c r="G254" t="s">
        <v>377</v>
      </c>
      <c r="H254" t="s">
        <v>21</v>
      </c>
      <c r="L254" t="s">
        <v>86</v>
      </c>
    </row>
    <row r="255" spans="1:13">
      <c r="A255">
        <v>45675</v>
      </c>
      <c r="B255" t="s">
        <v>63</v>
      </c>
      <c r="D255">
        <v>41000</v>
      </c>
      <c r="G255" t="s">
        <v>70</v>
      </c>
      <c r="I255" t="s">
        <v>60</v>
      </c>
      <c r="J255" t="s">
        <v>61</v>
      </c>
      <c r="L255" t="s">
        <v>62</v>
      </c>
    </row>
    <row r="256" spans="1:13">
      <c r="A256">
        <v>45675</v>
      </c>
      <c r="B256" t="s">
        <v>76</v>
      </c>
      <c r="D256">
        <v>24000</v>
      </c>
      <c r="G256" t="s">
        <v>77</v>
      </c>
      <c r="I256" t="s">
        <v>60</v>
      </c>
      <c r="J256" t="s">
        <v>61</v>
      </c>
      <c r="L256" t="s">
        <v>62</v>
      </c>
    </row>
    <row r="257" spans="1:13">
      <c r="A257">
        <v>45675</v>
      </c>
      <c r="B257" t="s">
        <v>63</v>
      </c>
      <c r="D257">
        <v>300</v>
      </c>
      <c r="F257">
        <v>3</v>
      </c>
      <c r="G257" t="s">
        <v>22</v>
      </c>
      <c r="H257" t="s">
        <v>93</v>
      </c>
      <c r="I257" t="s">
        <v>60</v>
      </c>
      <c r="J257" t="s">
        <v>61</v>
      </c>
      <c r="L257" t="s">
        <v>62</v>
      </c>
    </row>
    <row r="258" spans="1:13">
      <c r="A258">
        <v>45675</v>
      </c>
      <c r="B258" t="s">
        <v>758</v>
      </c>
      <c r="F258">
        <v>1</v>
      </c>
      <c r="G258" t="s">
        <v>603</v>
      </c>
      <c r="H258" t="s">
        <v>21</v>
      </c>
      <c r="L258" t="s">
        <v>89</v>
      </c>
    </row>
    <row r="259" spans="1:13">
      <c r="A259">
        <v>45675</v>
      </c>
      <c r="B259" t="s">
        <v>759</v>
      </c>
      <c r="F259">
        <v>1</v>
      </c>
      <c r="G259" t="s">
        <v>377</v>
      </c>
      <c r="H259" t="s">
        <v>21</v>
      </c>
      <c r="L259" t="s">
        <v>89</v>
      </c>
    </row>
    <row r="260" spans="1:13">
      <c r="A260">
        <v>45675</v>
      </c>
      <c r="B260" t="s">
        <v>760</v>
      </c>
      <c r="F260">
        <v>1</v>
      </c>
      <c r="G260" t="s">
        <v>0</v>
      </c>
      <c r="L260" t="s">
        <v>89</v>
      </c>
    </row>
    <row r="261" spans="1:13">
      <c r="A261">
        <v>45675</v>
      </c>
      <c r="B261" t="s">
        <v>761</v>
      </c>
      <c r="F261">
        <v>1</v>
      </c>
      <c r="G261" t="s">
        <v>0</v>
      </c>
      <c r="L261" t="s">
        <v>86</v>
      </c>
    </row>
    <row r="262" spans="1:13">
      <c r="A262">
        <v>45675</v>
      </c>
      <c r="B262" t="s">
        <v>761</v>
      </c>
      <c r="F262">
        <v>1</v>
      </c>
      <c r="G262" t="s">
        <v>0</v>
      </c>
      <c r="L262" t="s">
        <v>86</v>
      </c>
    </row>
    <row r="263" spans="1:13">
      <c r="A263">
        <v>45676</v>
      </c>
      <c r="B263" t="s">
        <v>76</v>
      </c>
      <c r="D263">
        <v>6700</v>
      </c>
      <c r="G263" t="s">
        <v>77</v>
      </c>
      <c r="I263" t="s">
        <v>60</v>
      </c>
      <c r="J263" t="s">
        <v>61</v>
      </c>
      <c r="L263" t="s">
        <v>62</v>
      </c>
    </row>
    <row r="264" spans="1:13">
      <c r="A264">
        <v>45676</v>
      </c>
      <c r="B264" t="s">
        <v>63</v>
      </c>
      <c r="D264">
        <v>16000</v>
      </c>
      <c r="G264" t="s">
        <v>70</v>
      </c>
      <c r="I264" t="s">
        <v>60</v>
      </c>
      <c r="J264" t="s">
        <v>61</v>
      </c>
      <c r="L264" t="s">
        <v>62</v>
      </c>
    </row>
    <row r="265" spans="1:13">
      <c r="A265">
        <v>45677</v>
      </c>
      <c r="B265" t="s">
        <v>81</v>
      </c>
      <c r="D265">
        <v>266300</v>
      </c>
      <c r="F265">
        <v>1</v>
      </c>
      <c r="G265" t="s">
        <v>74</v>
      </c>
      <c r="H265" t="s">
        <v>75</v>
      </c>
      <c r="I265" t="s">
        <v>60</v>
      </c>
      <c r="J265" t="s">
        <v>61</v>
      </c>
      <c r="L265" t="s">
        <v>88</v>
      </c>
    </row>
    <row r="266" spans="1:13">
      <c r="A266">
        <v>45677</v>
      </c>
      <c r="B266" t="s">
        <v>63</v>
      </c>
      <c r="D266">
        <v>6000</v>
      </c>
      <c r="F266">
        <v>1</v>
      </c>
      <c r="G266" t="s">
        <v>70</v>
      </c>
      <c r="I266" t="s">
        <v>71</v>
      </c>
      <c r="J266" t="s">
        <v>72</v>
      </c>
      <c r="K266" t="s">
        <v>762</v>
      </c>
      <c r="L266" t="s">
        <v>62</v>
      </c>
      <c r="M266" t="s">
        <v>90</v>
      </c>
    </row>
    <row r="267" spans="1:13">
      <c r="A267">
        <v>45677</v>
      </c>
      <c r="B267" t="s">
        <v>63</v>
      </c>
      <c r="D267">
        <v>5000</v>
      </c>
      <c r="F267">
        <v>1</v>
      </c>
      <c r="G267" t="s">
        <v>70</v>
      </c>
      <c r="I267" t="s">
        <v>71</v>
      </c>
      <c r="J267" t="s">
        <v>72</v>
      </c>
      <c r="K267" t="s">
        <v>763</v>
      </c>
      <c r="L267" t="s">
        <v>62</v>
      </c>
      <c r="M267" t="s">
        <v>90</v>
      </c>
    </row>
    <row r="268" spans="1:13">
      <c r="A268">
        <v>45677</v>
      </c>
      <c r="B268" t="s">
        <v>63</v>
      </c>
      <c r="D268">
        <v>17000</v>
      </c>
      <c r="G268" t="s">
        <v>70</v>
      </c>
      <c r="I268" t="s">
        <v>60</v>
      </c>
      <c r="J268" t="s">
        <v>61</v>
      </c>
      <c r="L268" t="s">
        <v>62</v>
      </c>
    </row>
    <row r="269" spans="1:13">
      <c r="A269">
        <v>45677</v>
      </c>
      <c r="B269" t="s">
        <v>764</v>
      </c>
      <c r="D269">
        <v>500</v>
      </c>
      <c r="F269">
        <v>1</v>
      </c>
      <c r="G269" t="s">
        <v>22</v>
      </c>
      <c r="H269" t="s">
        <v>21</v>
      </c>
      <c r="I269" t="s">
        <v>60</v>
      </c>
      <c r="J269" t="s">
        <v>61</v>
      </c>
      <c r="L269" t="s">
        <v>82</v>
      </c>
    </row>
    <row r="270" spans="1:13">
      <c r="A270">
        <v>45677</v>
      </c>
      <c r="B270" t="s">
        <v>765</v>
      </c>
      <c r="F270">
        <v>1</v>
      </c>
      <c r="G270" t="s">
        <v>79</v>
      </c>
      <c r="H270" t="s">
        <v>21</v>
      </c>
      <c r="L270" t="s">
        <v>89</v>
      </c>
    </row>
    <row r="271" spans="1:13">
      <c r="A271">
        <v>45677</v>
      </c>
      <c r="B271" t="s">
        <v>765</v>
      </c>
      <c r="F271">
        <v>1</v>
      </c>
      <c r="G271" t="s">
        <v>64</v>
      </c>
      <c r="L271" t="s">
        <v>89</v>
      </c>
      <c r="M271" t="s">
        <v>766</v>
      </c>
    </row>
    <row r="272" spans="1:13">
      <c r="A272">
        <v>45677</v>
      </c>
      <c r="B272" t="s">
        <v>767</v>
      </c>
      <c r="F272">
        <v>3</v>
      </c>
      <c r="G272" t="s">
        <v>377</v>
      </c>
      <c r="H272" t="s">
        <v>21</v>
      </c>
      <c r="L272" t="s">
        <v>89</v>
      </c>
    </row>
    <row r="273" spans="1:13">
      <c r="A273">
        <v>45678</v>
      </c>
      <c r="B273" t="s">
        <v>661</v>
      </c>
      <c r="E273">
        <v>89033.5</v>
      </c>
      <c r="F273">
        <v>1</v>
      </c>
      <c r="G273" t="s">
        <v>74</v>
      </c>
      <c r="H273" t="s">
        <v>75</v>
      </c>
      <c r="I273" t="s">
        <v>60</v>
      </c>
      <c r="J273" t="s">
        <v>61</v>
      </c>
      <c r="L273" t="s">
        <v>768</v>
      </c>
      <c r="M273" t="s">
        <v>769</v>
      </c>
    </row>
    <row r="274" spans="1:13">
      <c r="A274">
        <v>45678</v>
      </c>
      <c r="B274" t="s">
        <v>238</v>
      </c>
      <c r="C274" t="s">
        <v>770</v>
      </c>
      <c r="F274">
        <v>22</v>
      </c>
      <c r="G274" t="s">
        <v>22</v>
      </c>
      <c r="H274" t="s">
        <v>21</v>
      </c>
      <c r="L274" t="s">
        <v>95</v>
      </c>
    </row>
    <row r="275" spans="1:13">
      <c r="A275">
        <v>45678</v>
      </c>
      <c r="B275" t="s">
        <v>624</v>
      </c>
      <c r="D275">
        <v>-20800</v>
      </c>
      <c r="G275" t="s">
        <v>77</v>
      </c>
      <c r="I275" t="s">
        <v>60</v>
      </c>
      <c r="J275" t="s">
        <v>61</v>
      </c>
      <c r="L275" t="s">
        <v>62</v>
      </c>
    </row>
    <row r="276" spans="1:13">
      <c r="A276">
        <v>45678</v>
      </c>
      <c r="B276" t="s">
        <v>624</v>
      </c>
      <c r="E276">
        <v>-1100</v>
      </c>
      <c r="F276">
        <v>1</v>
      </c>
      <c r="G276" t="s">
        <v>65</v>
      </c>
      <c r="H276" t="s">
        <v>85</v>
      </c>
      <c r="I276" t="s">
        <v>60</v>
      </c>
      <c r="J276" t="s">
        <v>61</v>
      </c>
      <c r="L276" t="s">
        <v>62</v>
      </c>
    </row>
    <row r="277" spans="1:13">
      <c r="A277">
        <v>45678</v>
      </c>
      <c r="B277" t="s">
        <v>63</v>
      </c>
      <c r="D277">
        <v>200</v>
      </c>
      <c r="F277">
        <v>2</v>
      </c>
      <c r="G277" t="s">
        <v>22</v>
      </c>
      <c r="H277" t="s">
        <v>93</v>
      </c>
      <c r="I277" t="s">
        <v>60</v>
      </c>
      <c r="J277" t="s">
        <v>61</v>
      </c>
      <c r="L277" t="s">
        <v>62</v>
      </c>
    </row>
    <row r="278" spans="1:13">
      <c r="A278">
        <v>45678</v>
      </c>
      <c r="B278" t="s">
        <v>81</v>
      </c>
      <c r="D278">
        <v>165000</v>
      </c>
      <c r="F278">
        <v>1</v>
      </c>
      <c r="G278" t="s">
        <v>74</v>
      </c>
      <c r="H278" t="s">
        <v>75</v>
      </c>
      <c r="I278" t="s">
        <v>60</v>
      </c>
      <c r="J278" t="s">
        <v>61</v>
      </c>
      <c r="L278" t="s">
        <v>88</v>
      </c>
      <c r="M278" t="s">
        <v>771</v>
      </c>
    </row>
    <row r="279" spans="1:13">
      <c r="A279">
        <v>45678</v>
      </c>
      <c r="B279" t="s">
        <v>546</v>
      </c>
      <c r="F279">
        <v>-14</v>
      </c>
      <c r="G279" t="s">
        <v>22</v>
      </c>
      <c r="H279" t="s">
        <v>93</v>
      </c>
      <c r="L279" t="s">
        <v>461</v>
      </c>
    </row>
    <row r="280" spans="1:13">
      <c r="A280">
        <v>45679</v>
      </c>
      <c r="B280" t="s">
        <v>238</v>
      </c>
      <c r="C280" t="s">
        <v>772</v>
      </c>
      <c r="F280">
        <v>1</v>
      </c>
      <c r="G280" t="s">
        <v>22</v>
      </c>
      <c r="H280" t="s">
        <v>21</v>
      </c>
      <c r="L280" t="s">
        <v>95</v>
      </c>
    </row>
    <row r="281" spans="1:13">
      <c r="A281">
        <v>45679</v>
      </c>
      <c r="B281" t="s">
        <v>773</v>
      </c>
      <c r="C281" t="s">
        <v>212</v>
      </c>
      <c r="E281">
        <v>123083.99</v>
      </c>
      <c r="F281">
        <v>1</v>
      </c>
      <c r="G281" t="s">
        <v>65</v>
      </c>
      <c r="H281" t="s">
        <v>265</v>
      </c>
      <c r="I281" t="s">
        <v>60</v>
      </c>
      <c r="J281" t="s">
        <v>61</v>
      </c>
      <c r="L281" t="s">
        <v>62</v>
      </c>
    </row>
    <row r="282" spans="1:13">
      <c r="A282">
        <v>45679</v>
      </c>
      <c r="B282" t="s">
        <v>774</v>
      </c>
      <c r="C282" t="s">
        <v>775</v>
      </c>
      <c r="E282">
        <v>38000</v>
      </c>
      <c r="F282">
        <v>1</v>
      </c>
      <c r="G282" t="s">
        <v>65</v>
      </c>
      <c r="H282" t="s">
        <v>265</v>
      </c>
      <c r="I282" t="s">
        <v>60</v>
      </c>
      <c r="J282" t="s">
        <v>61</v>
      </c>
      <c r="L282" t="s">
        <v>62</v>
      </c>
      <c r="M282" t="s">
        <v>776</v>
      </c>
    </row>
    <row r="283" spans="1:13">
      <c r="A283">
        <v>45679</v>
      </c>
      <c r="B283" t="s">
        <v>63</v>
      </c>
      <c r="D283">
        <v>24000</v>
      </c>
      <c r="G283" t="s">
        <v>70</v>
      </c>
      <c r="I283" t="s">
        <v>60</v>
      </c>
      <c r="J283" t="s">
        <v>61</v>
      </c>
      <c r="L283" t="s">
        <v>62</v>
      </c>
    </row>
    <row r="284" spans="1:13">
      <c r="A284">
        <v>45679</v>
      </c>
      <c r="B284" t="s">
        <v>777</v>
      </c>
      <c r="F284">
        <v>1</v>
      </c>
      <c r="G284" t="s">
        <v>64</v>
      </c>
      <c r="L284" t="s">
        <v>82</v>
      </c>
      <c r="M284" t="s">
        <v>679</v>
      </c>
    </row>
    <row r="285" spans="1:13">
      <c r="A285">
        <v>45679</v>
      </c>
      <c r="B285" t="s">
        <v>778</v>
      </c>
      <c r="F285">
        <v>1</v>
      </c>
      <c r="G285" t="s">
        <v>603</v>
      </c>
      <c r="H285" t="s">
        <v>21</v>
      </c>
      <c r="L285" t="s">
        <v>82</v>
      </c>
    </row>
    <row r="286" spans="1:13">
      <c r="A286">
        <v>45679</v>
      </c>
      <c r="B286" t="s">
        <v>81</v>
      </c>
      <c r="D286">
        <v>137000</v>
      </c>
      <c r="F286">
        <v>1</v>
      </c>
      <c r="G286" t="s">
        <v>74</v>
      </c>
      <c r="H286" t="s">
        <v>75</v>
      </c>
      <c r="I286" t="s">
        <v>60</v>
      </c>
      <c r="J286" t="s">
        <v>61</v>
      </c>
      <c r="L286" t="s">
        <v>88</v>
      </c>
      <c r="M286" t="s">
        <v>771</v>
      </c>
    </row>
    <row r="287" spans="1:13">
      <c r="A287">
        <v>45679</v>
      </c>
      <c r="B287" t="s">
        <v>63</v>
      </c>
      <c r="D287">
        <v>7000</v>
      </c>
      <c r="F287">
        <v>1</v>
      </c>
      <c r="G287" t="s">
        <v>70</v>
      </c>
      <c r="I287" t="s">
        <v>71</v>
      </c>
      <c r="J287" t="s">
        <v>72</v>
      </c>
      <c r="K287" t="s">
        <v>779</v>
      </c>
      <c r="L287" t="s">
        <v>62</v>
      </c>
      <c r="M287" t="s">
        <v>780</v>
      </c>
    </row>
    <row r="288" spans="1:13">
      <c r="A288">
        <v>45679</v>
      </c>
      <c r="B288" t="s">
        <v>63</v>
      </c>
      <c r="D288">
        <v>16000</v>
      </c>
      <c r="F288">
        <v>1</v>
      </c>
      <c r="G288" t="s">
        <v>70</v>
      </c>
      <c r="I288" t="s">
        <v>71</v>
      </c>
      <c r="J288" t="s">
        <v>72</v>
      </c>
      <c r="K288" t="s">
        <v>781</v>
      </c>
      <c r="L288" t="s">
        <v>62</v>
      </c>
      <c r="M288" t="s">
        <v>90</v>
      </c>
    </row>
    <row r="289" spans="1:13">
      <c r="A289">
        <v>45679</v>
      </c>
      <c r="B289" t="s">
        <v>782</v>
      </c>
      <c r="F289">
        <v>1</v>
      </c>
      <c r="G289" t="s">
        <v>64</v>
      </c>
      <c r="L289" t="s">
        <v>82</v>
      </c>
      <c r="M289" t="s">
        <v>96</v>
      </c>
    </row>
    <row r="290" spans="1:13">
      <c r="A290">
        <v>45679</v>
      </c>
      <c r="B290" t="s">
        <v>783</v>
      </c>
      <c r="F290">
        <v>1</v>
      </c>
      <c r="G290" t="s">
        <v>590</v>
      </c>
      <c r="H290" t="s">
        <v>21</v>
      </c>
      <c r="L290" t="s">
        <v>82</v>
      </c>
    </row>
    <row r="291" spans="1:13">
      <c r="A291">
        <v>45679</v>
      </c>
      <c r="B291" t="s">
        <v>784</v>
      </c>
      <c r="F291">
        <v>2</v>
      </c>
      <c r="G291" t="s">
        <v>107</v>
      </c>
      <c r="H291" t="s">
        <v>21</v>
      </c>
      <c r="L291" t="s">
        <v>82</v>
      </c>
    </row>
    <row r="292" spans="1:13">
      <c r="A292">
        <v>45679</v>
      </c>
      <c r="B292" t="s">
        <v>785</v>
      </c>
      <c r="F292">
        <v>1</v>
      </c>
      <c r="G292" t="s">
        <v>64</v>
      </c>
      <c r="L292" t="s">
        <v>82</v>
      </c>
      <c r="M292" t="s">
        <v>756</v>
      </c>
    </row>
    <row r="293" spans="1:13">
      <c r="A293">
        <v>45680</v>
      </c>
      <c r="B293" t="s">
        <v>63</v>
      </c>
      <c r="D293">
        <v>5000</v>
      </c>
      <c r="F293">
        <v>1</v>
      </c>
      <c r="G293" t="s">
        <v>70</v>
      </c>
      <c r="I293" t="s">
        <v>71</v>
      </c>
      <c r="J293" t="s">
        <v>72</v>
      </c>
      <c r="K293" t="s">
        <v>786</v>
      </c>
      <c r="L293" t="s">
        <v>62</v>
      </c>
      <c r="M293" t="s">
        <v>90</v>
      </c>
    </row>
    <row r="294" spans="1:13">
      <c r="A294">
        <v>45680</v>
      </c>
      <c r="B294" t="s">
        <v>787</v>
      </c>
      <c r="F294">
        <v>1</v>
      </c>
      <c r="G294" t="s">
        <v>377</v>
      </c>
      <c r="H294" t="s">
        <v>21</v>
      </c>
      <c r="L294" t="s">
        <v>89</v>
      </c>
    </row>
    <row r="295" spans="1:13">
      <c r="A295">
        <v>45680</v>
      </c>
      <c r="B295" t="s">
        <v>788</v>
      </c>
      <c r="F295">
        <v>1</v>
      </c>
      <c r="G295" t="s">
        <v>64</v>
      </c>
      <c r="L295" t="s">
        <v>89</v>
      </c>
      <c r="M295" t="s">
        <v>724</v>
      </c>
    </row>
    <row r="296" spans="1:13">
      <c r="A296">
        <v>45680</v>
      </c>
      <c r="B296" t="s">
        <v>789</v>
      </c>
      <c r="D296">
        <v>500</v>
      </c>
      <c r="F296">
        <v>1</v>
      </c>
      <c r="G296" t="s">
        <v>22</v>
      </c>
      <c r="H296" t="s">
        <v>21</v>
      </c>
      <c r="I296" t="s">
        <v>60</v>
      </c>
      <c r="J296" t="s">
        <v>61</v>
      </c>
      <c r="L296" t="s">
        <v>89</v>
      </c>
    </row>
    <row r="297" spans="1:13">
      <c r="A297">
        <v>45680</v>
      </c>
      <c r="B297" t="s">
        <v>81</v>
      </c>
      <c r="D297">
        <v>117000</v>
      </c>
      <c r="F297">
        <v>1</v>
      </c>
      <c r="G297" t="s">
        <v>74</v>
      </c>
      <c r="H297" t="s">
        <v>75</v>
      </c>
      <c r="I297" t="s">
        <v>60</v>
      </c>
      <c r="J297" t="s">
        <v>61</v>
      </c>
      <c r="L297" t="s">
        <v>88</v>
      </c>
    </row>
    <row r="298" spans="1:13">
      <c r="A298">
        <v>45680</v>
      </c>
      <c r="B298" t="s">
        <v>76</v>
      </c>
      <c r="D298">
        <v>5000</v>
      </c>
      <c r="G298" t="s">
        <v>77</v>
      </c>
      <c r="I298" t="s">
        <v>60</v>
      </c>
      <c r="J298" t="s">
        <v>61</v>
      </c>
      <c r="L298" t="s">
        <v>62</v>
      </c>
    </row>
    <row r="299" spans="1:13">
      <c r="A299">
        <v>45680</v>
      </c>
      <c r="B299" t="s">
        <v>63</v>
      </c>
      <c r="D299">
        <v>17000</v>
      </c>
      <c r="G299" t="s">
        <v>70</v>
      </c>
      <c r="I299" t="s">
        <v>60</v>
      </c>
      <c r="J299" t="s">
        <v>61</v>
      </c>
      <c r="L299" t="s">
        <v>62</v>
      </c>
    </row>
    <row r="300" spans="1:13">
      <c r="A300">
        <v>45680</v>
      </c>
      <c r="B300" t="s">
        <v>790</v>
      </c>
      <c r="F300">
        <v>1</v>
      </c>
      <c r="G300" t="s">
        <v>319</v>
      </c>
      <c r="H300" t="s">
        <v>21</v>
      </c>
      <c r="L300" t="s">
        <v>82</v>
      </c>
    </row>
    <row r="301" spans="1:13">
      <c r="A301">
        <v>45680</v>
      </c>
      <c r="B301" t="s">
        <v>791</v>
      </c>
      <c r="D301">
        <v>0</v>
      </c>
      <c r="F301">
        <v>1</v>
      </c>
      <c r="G301" t="s">
        <v>22</v>
      </c>
      <c r="H301" t="s">
        <v>21</v>
      </c>
      <c r="I301" t="s">
        <v>60</v>
      </c>
      <c r="J301" t="s">
        <v>61</v>
      </c>
      <c r="L301" t="s">
        <v>82</v>
      </c>
      <c r="M301" t="s">
        <v>668</v>
      </c>
    </row>
    <row r="302" spans="1:13">
      <c r="A302">
        <v>45680</v>
      </c>
      <c r="B302" t="s">
        <v>792</v>
      </c>
      <c r="D302">
        <v>500</v>
      </c>
      <c r="F302">
        <v>1</v>
      </c>
      <c r="G302" t="s">
        <v>22</v>
      </c>
      <c r="H302" t="s">
        <v>21</v>
      </c>
      <c r="I302" t="s">
        <v>60</v>
      </c>
      <c r="J302" t="s">
        <v>61</v>
      </c>
      <c r="L302" t="s">
        <v>82</v>
      </c>
    </row>
    <row r="303" spans="1:13">
      <c r="A303">
        <v>45680</v>
      </c>
      <c r="B303" t="s">
        <v>63</v>
      </c>
      <c r="D303">
        <v>100</v>
      </c>
      <c r="F303">
        <v>1</v>
      </c>
      <c r="G303" t="s">
        <v>22</v>
      </c>
      <c r="H303" t="s">
        <v>93</v>
      </c>
      <c r="I303" t="s">
        <v>60</v>
      </c>
      <c r="J303" t="s">
        <v>61</v>
      </c>
      <c r="L303" t="s">
        <v>62</v>
      </c>
    </row>
    <row r="304" spans="1:13">
      <c r="A304">
        <v>45680</v>
      </c>
      <c r="B304" t="s">
        <v>238</v>
      </c>
      <c r="C304" t="s">
        <v>772</v>
      </c>
      <c r="F304">
        <v>1</v>
      </c>
      <c r="G304" t="s">
        <v>22</v>
      </c>
      <c r="H304" t="s">
        <v>21</v>
      </c>
      <c r="L304" t="s">
        <v>95</v>
      </c>
    </row>
    <row r="305" spans="1:12">
      <c r="A305">
        <v>45681</v>
      </c>
      <c r="B305" t="s">
        <v>81</v>
      </c>
      <c r="D305">
        <v>211500</v>
      </c>
      <c r="F305">
        <v>1</v>
      </c>
      <c r="G305" t="s">
        <v>74</v>
      </c>
      <c r="H305" t="s">
        <v>75</v>
      </c>
      <c r="I305" t="s">
        <v>60</v>
      </c>
      <c r="J305" t="s">
        <v>61</v>
      </c>
      <c r="L305" t="s">
        <v>88</v>
      </c>
    </row>
    <row r="306" spans="1:12">
      <c r="A306">
        <v>45681</v>
      </c>
      <c r="B306" t="s">
        <v>238</v>
      </c>
      <c r="C306" t="s">
        <v>793</v>
      </c>
      <c r="F306">
        <v>5</v>
      </c>
      <c r="G306" t="s">
        <v>22</v>
      </c>
      <c r="H306" t="s">
        <v>21</v>
      </c>
      <c r="L306" t="s">
        <v>95</v>
      </c>
    </row>
    <row r="307" spans="1:12">
      <c r="A307">
        <v>45681</v>
      </c>
      <c r="B307" t="s">
        <v>794</v>
      </c>
      <c r="D307">
        <v>500</v>
      </c>
      <c r="F307">
        <v>1</v>
      </c>
      <c r="G307" t="s">
        <v>22</v>
      </c>
      <c r="H307" t="s">
        <v>21</v>
      </c>
      <c r="I307" t="s">
        <v>60</v>
      </c>
      <c r="J307" t="s">
        <v>61</v>
      </c>
      <c r="L307" t="s">
        <v>82</v>
      </c>
    </row>
    <row r="308" spans="1:12">
      <c r="A308">
        <v>45681</v>
      </c>
      <c r="B308" t="s">
        <v>795</v>
      </c>
      <c r="D308">
        <v>500</v>
      </c>
      <c r="F308">
        <v>1</v>
      </c>
      <c r="G308" t="s">
        <v>22</v>
      </c>
      <c r="H308" t="s">
        <v>21</v>
      </c>
      <c r="I308" t="s">
        <v>60</v>
      </c>
      <c r="J308" t="s">
        <v>61</v>
      </c>
      <c r="L308" t="s">
        <v>82</v>
      </c>
    </row>
    <row r="309" spans="1:12">
      <c r="A309">
        <v>45681</v>
      </c>
      <c r="B309" t="s">
        <v>796</v>
      </c>
      <c r="D309">
        <v>500</v>
      </c>
      <c r="F309">
        <v>1</v>
      </c>
      <c r="G309" t="s">
        <v>22</v>
      </c>
      <c r="H309" t="s">
        <v>21</v>
      </c>
      <c r="I309" t="s">
        <v>60</v>
      </c>
      <c r="J309" t="s">
        <v>61</v>
      </c>
      <c r="L309" t="s">
        <v>82</v>
      </c>
    </row>
    <row r="310" spans="1:12">
      <c r="A310">
        <v>45681</v>
      </c>
      <c r="B310" t="s">
        <v>797</v>
      </c>
      <c r="D310">
        <v>500</v>
      </c>
      <c r="F310">
        <v>1</v>
      </c>
      <c r="G310" t="s">
        <v>22</v>
      </c>
      <c r="H310" t="s">
        <v>21</v>
      </c>
      <c r="I310" t="s">
        <v>60</v>
      </c>
      <c r="J310" t="s">
        <v>61</v>
      </c>
      <c r="L310" t="s">
        <v>82</v>
      </c>
    </row>
    <row r="311" spans="1:12">
      <c r="A311">
        <v>45681</v>
      </c>
      <c r="B311" t="s">
        <v>798</v>
      </c>
      <c r="D311">
        <v>500</v>
      </c>
      <c r="F311">
        <v>1</v>
      </c>
      <c r="G311" t="s">
        <v>22</v>
      </c>
      <c r="H311" t="s">
        <v>21</v>
      </c>
      <c r="I311" t="s">
        <v>60</v>
      </c>
      <c r="J311" t="s">
        <v>61</v>
      </c>
      <c r="L311" t="s">
        <v>82</v>
      </c>
    </row>
    <row r="312" spans="1:12">
      <c r="A312">
        <v>45681</v>
      </c>
      <c r="B312" t="s">
        <v>799</v>
      </c>
      <c r="D312">
        <v>500</v>
      </c>
      <c r="F312">
        <v>1</v>
      </c>
      <c r="G312" t="s">
        <v>22</v>
      </c>
      <c r="H312" t="s">
        <v>21</v>
      </c>
      <c r="I312" t="s">
        <v>60</v>
      </c>
      <c r="J312" t="s">
        <v>61</v>
      </c>
      <c r="L312" t="s">
        <v>82</v>
      </c>
    </row>
    <row r="313" spans="1:12">
      <c r="A313">
        <v>45681</v>
      </c>
      <c r="B313" t="s">
        <v>800</v>
      </c>
      <c r="D313">
        <v>500</v>
      </c>
      <c r="F313">
        <v>1</v>
      </c>
      <c r="G313" t="s">
        <v>22</v>
      </c>
      <c r="H313" t="s">
        <v>21</v>
      </c>
      <c r="I313" t="s">
        <v>60</v>
      </c>
      <c r="J313" t="s">
        <v>61</v>
      </c>
      <c r="L313" t="s">
        <v>82</v>
      </c>
    </row>
    <row r="314" spans="1:12">
      <c r="A314">
        <v>45681</v>
      </c>
      <c r="B314" t="s">
        <v>63</v>
      </c>
      <c r="D314">
        <v>5000</v>
      </c>
      <c r="G314" t="s">
        <v>70</v>
      </c>
      <c r="I314" t="s">
        <v>60</v>
      </c>
      <c r="J314" t="s">
        <v>61</v>
      </c>
      <c r="L314" t="s">
        <v>62</v>
      </c>
    </row>
    <row r="315" spans="1:12">
      <c r="A315">
        <v>45681</v>
      </c>
      <c r="B315" t="s">
        <v>801</v>
      </c>
      <c r="F315">
        <v>1</v>
      </c>
      <c r="G315" t="s">
        <v>0</v>
      </c>
      <c r="L315" t="s">
        <v>82</v>
      </c>
    </row>
    <row r="316" spans="1:12">
      <c r="A316">
        <v>45682</v>
      </c>
      <c r="B316" t="s">
        <v>559</v>
      </c>
      <c r="E316">
        <v>10000</v>
      </c>
      <c r="F316">
        <v>1</v>
      </c>
      <c r="G316" t="s">
        <v>65</v>
      </c>
      <c r="H316" t="s">
        <v>560</v>
      </c>
      <c r="I316" t="s">
        <v>60</v>
      </c>
      <c r="J316" t="s">
        <v>61</v>
      </c>
      <c r="L316" t="s">
        <v>62</v>
      </c>
    </row>
    <row r="317" spans="1:12">
      <c r="A317">
        <v>45682</v>
      </c>
      <c r="B317" t="s">
        <v>561</v>
      </c>
      <c r="E317">
        <v>8000</v>
      </c>
      <c r="F317">
        <v>1</v>
      </c>
      <c r="G317" t="s">
        <v>65</v>
      </c>
      <c r="H317" t="s">
        <v>560</v>
      </c>
      <c r="I317" t="s">
        <v>60</v>
      </c>
      <c r="J317" t="s">
        <v>61</v>
      </c>
      <c r="L317" t="s">
        <v>62</v>
      </c>
    </row>
    <row r="318" spans="1:12">
      <c r="A318">
        <v>45682</v>
      </c>
      <c r="B318" t="s">
        <v>624</v>
      </c>
      <c r="D318">
        <v>-41600</v>
      </c>
      <c r="G318" t="s">
        <v>77</v>
      </c>
      <c r="I318" t="s">
        <v>60</v>
      </c>
      <c r="J318" t="s">
        <v>61</v>
      </c>
      <c r="L318" t="s">
        <v>62</v>
      </c>
    </row>
    <row r="319" spans="1:12">
      <c r="A319">
        <v>45682</v>
      </c>
      <c r="B319" t="s">
        <v>624</v>
      </c>
      <c r="E319">
        <v>-2200</v>
      </c>
      <c r="F319">
        <v>1</v>
      </c>
      <c r="G319" t="s">
        <v>65</v>
      </c>
      <c r="H319" t="s">
        <v>85</v>
      </c>
      <c r="I319" t="s">
        <v>60</v>
      </c>
      <c r="J319" t="s">
        <v>61</v>
      </c>
      <c r="L319" t="s">
        <v>62</v>
      </c>
    </row>
    <row r="320" spans="1:12">
      <c r="A320">
        <v>45682</v>
      </c>
      <c r="B320" t="s">
        <v>76</v>
      </c>
      <c r="D320">
        <v>30000</v>
      </c>
      <c r="G320" t="s">
        <v>77</v>
      </c>
      <c r="I320" t="s">
        <v>60</v>
      </c>
      <c r="J320" t="s">
        <v>61</v>
      </c>
      <c r="L320" t="s">
        <v>62</v>
      </c>
    </row>
    <row r="321" spans="1:13">
      <c r="A321">
        <v>45682</v>
      </c>
      <c r="B321" t="s">
        <v>63</v>
      </c>
      <c r="D321">
        <v>10000</v>
      </c>
      <c r="G321" t="s">
        <v>70</v>
      </c>
      <c r="I321" t="s">
        <v>60</v>
      </c>
      <c r="J321" t="s">
        <v>61</v>
      </c>
      <c r="L321" t="s">
        <v>62</v>
      </c>
    </row>
    <row r="322" spans="1:13">
      <c r="A322">
        <v>45682</v>
      </c>
      <c r="B322" t="s">
        <v>802</v>
      </c>
      <c r="D322">
        <v>500</v>
      </c>
      <c r="F322">
        <v>1</v>
      </c>
      <c r="G322" t="s">
        <v>22</v>
      </c>
      <c r="H322" t="s">
        <v>21</v>
      </c>
      <c r="I322" t="s">
        <v>60</v>
      </c>
      <c r="J322" t="s">
        <v>61</v>
      </c>
      <c r="L322" t="s">
        <v>82</v>
      </c>
    </row>
    <row r="323" spans="1:13">
      <c r="A323">
        <v>45682</v>
      </c>
      <c r="B323" t="s">
        <v>803</v>
      </c>
      <c r="D323">
        <v>500</v>
      </c>
      <c r="F323">
        <v>1</v>
      </c>
      <c r="G323" t="s">
        <v>22</v>
      </c>
      <c r="H323" t="s">
        <v>21</v>
      </c>
      <c r="I323" t="s">
        <v>60</v>
      </c>
      <c r="J323" t="s">
        <v>61</v>
      </c>
      <c r="L323" t="s">
        <v>82</v>
      </c>
    </row>
    <row r="324" spans="1:13">
      <c r="A324">
        <v>45682</v>
      </c>
      <c r="B324" t="s">
        <v>804</v>
      </c>
      <c r="F324">
        <v>1</v>
      </c>
      <c r="G324" t="s">
        <v>377</v>
      </c>
      <c r="H324" t="s">
        <v>21</v>
      </c>
      <c r="L324" t="s">
        <v>82</v>
      </c>
    </row>
    <row r="325" spans="1:13">
      <c r="A325">
        <v>45682</v>
      </c>
      <c r="B325" t="s">
        <v>805</v>
      </c>
      <c r="D325">
        <v>500</v>
      </c>
      <c r="F325">
        <v>1</v>
      </c>
      <c r="G325" t="s">
        <v>22</v>
      </c>
      <c r="H325" t="s">
        <v>21</v>
      </c>
      <c r="I325" t="s">
        <v>60</v>
      </c>
      <c r="J325" t="s">
        <v>61</v>
      </c>
      <c r="L325" t="s">
        <v>82</v>
      </c>
    </row>
    <row r="326" spans="1:13">
      <c r="A326">
        <v>45682</v>
      </c>
      <c r="B326" t="s">
        <v>63</v>
      </c>
      <c r="D326">
        <v>11000</v>
      </c>
      <c r="F326">
        <v>2</v>
      </c>
      <c r="G326" t="s">
        <v>70</v>
      </c>
      <c r="I326" t="s">
        <v>71</v>
      </c>
      <c r="J326" t="s">
        <v>535</v>
      </c>
      <c r="K326" t="s">
        <v>806</v>
      </c>
      <c r="L326" t="s">
        <v>62</v>
      </c>
      <c r="M326" t="s">
        <v>807</v>
      </c>
    </row>
    <row r="327" spans="1:13">
      <c r="A327">
        <v>45682</v>
      </c>
      <c r="B327" t="s">
        <v>808</v>
      </c>
      <c r="F327">
        <v>1</v>
      </c>
      <c r="G327" t="s">
        <v>377</v>
      </c>
      <c r="H327" t="s">
        <v>21</v>
      </c>
      <c r="L327" t="s">
        <v>82</v>
      </c>
    </row>
    <row r="328" spans="1:13">
      <c r="A328">
        <v>45682</v>
      </c>
      <c r="B328" t="s">
        <v>809</v>
      </c>
      <c r="D328">
        <v>500</v>
      </c>
      <c r="F328">
        <v>1</v>
      </c>
      <c r="G328" t="s">
        <v>22</v>
      </c>
      <c r="H328" t="s">
        <v>21</v>
      </c>
      <c r="I328" t="s">
        <v>60</v>
      </c>
      <c r="J328" t="s">
        <v>61</v>
      </c>
      <c r="L328" t="s">
        <v>82</v>
      </c>
    </row>
    <row r="329" spans="1:13">
      <c r="A329">
        <v>45682</v>
      </c>
      <c r="B329" t="s">
        <v>809</v>
      </c>
      <c r="D329">
        <v>0</v>
      </c>
      <c r="F329">
        <v>0</v>
      </c>
      <c r="G329" t="s">
        <v>22</v>
      </c>
      <c r="H329" t="s">
        <v>21</v>
      </c>
      <c r="I329" t="s">
        <v>60</v>
      </c>
      <c r="J329" t="s">
        <v>61</v>
      </c>
      <c r="L329" t="s">
        <v>82</v>
      </c>
      <c r="M329" t="s">
        <v>83</v>
      </c>
    </row>
    <row r="330" spans="1:13">
      <c r="A330">
        <v>45682</v>
      </c>
      <c r="B330" t="s">
        <v>810</v>
      </c>
      <c r="D330">
        <v>500</v>
      </c>
      <c r="F330">
        <v>1</v>
      </c>
      <c r="G330" t="s">
        <v>22</v>
      </c>
      <c r="H330" t="s">
        <v>21</v>
      </c>
      <c r="I330" t="s">
        <v>60</v>
      </c>
      <c r="J330" t="s">
        <v>61</v>
      </c>
      <c r="L330" t="s">
        <v>82</v>
      </c>
    </row>
    <row r="331" spans="1:13">
      <c r="A331">
        <v>45682</v>
      </c>
      <c r="B331" t="s">
        <v>811</v>
      </c>
      <c r="D331">
        <v>500</v>
      </c>
      <c r="F331">
        <v>1</v>
      </c>
      <c r="G331" t="s">
        <v>22</v>
      </c>
      <c r="H331" t="s">
        <v>21</v>
      </c>
      <c r="I331" t="s">
        <v>60</v>
      </c>
      <c r="J331" t="s">
        <v>61</v>
      </c>
      <c r="L331" t="s">
        <v>82</v>
      </c>
    </row>
    <row r="332" spans="1:13">
      <c r="A332">
        <v>45682</v>
      </c>
      <c r="B332" t="s">
        <v>63</v>
      </c>
      <c r="D332">
        <v>35000</v>
      </c>
      <c r="F332">
        <v>4</v>
      </c>
      <c r="G332" t="s">
        <v>70</v>
      </c>
      <c r="I332" t="s">
        <v>71</v>
      </c>
      <c r="J332" t="s">
        <v>535</v>
      </c>
      <c r="K332" t="s">
        <v>812</v>
      </c>
      <c r="L332" t="s">
        <v>62</v>
      </c>
      <c r="M332" t="s">
        <v>813</v>
      </c>
    </row>
    <row r="333" spans="1:13">
      <c r="A333">
        <v>45682</v>
      </c>
      <c r="B333" t="s">
        <v>814</v>
      </c>
      <c r="F333">
        <v>1</v>
      </c>
      <c r="G333" t="s">
        <v>377</v>
      </c>
      <c r="H333" t="s">
        <v>21</v>
      </c>
      <c r="L333" t="s">
        <v>82</v>
      </c>
    </row>
    <row r="334" spans="1:13">
      <c r="A334">
        <v>45682</v>
      </c>
      <c r="B334" t="s">
        <v>814</v>
      </c>
      <c r="D334">
        <v>0</v>
      </c>
      <c r="F334">
        <v>0</v>
      </c>
      <c r="G334" t="s">
        <v>22</v>
      </c>
      <c r="H334" t="s">
        <v>21</v>
      </c>
      <c r="I334" t="s">
        <v>60</v>
      </c>
      <c r="J334" t="s">
        <v>61</v>
      </c>
      <c r="L334" t="s">
        <v>82</v>
      </c>
      <c r="M334" t="s">
        <v>83</v>
      </c>
    </row>
    <row r="335" spans="1:13">
      <c r="A335">
        <v>45682</v>
      </c>
      <c r="B335" t="s">
        <v>815</v>
      </c>
      <c r="D335">
        <v>500</v>
      </c>
      <c r="F335">
        <v>0</v>
      </c>
      <c r="G335" t="s">
        <v>22</v>
      </c>
      <c r="H335" t="s">
        <v>21</v>
      </c>
      <c r="I335" t="s">
        <v>60</v>
      </c>
      <c r="J335" t="s">
        <v>61</v>
      </c>
      <c r="L335" t="s">
        <v>82</v>
      </c>
      <c r="M335" t="s">
        <v>83</v>
      </c>
    </row>
    <row r="336" spans="1:13">
      <c r="A336">
        <v>45682</v>
      </c>
      <c r="B336" t="s">
        <v>816</v>
      </c>
      <c r="D336">
        <v>500</v>
      </c>
      <c r="F336">
        <v>1</v>
      </c>
      <c r="G336" t="s">
        <v>22</v>
      </c>
      <c r="H336" t="s">
        <v>21</v>
      </c>
      <c r="I336" t="s">
        <v>60</v>
      </c>
      <c r="J336" t="s">
        <v>61</v>
      </c>
      <c r="L336" t="s">
        <v>82</v>
      </c>
    </row>
    <row r="337" spans="1:13">
      <c r="A337">
        <v>45682</v>
      </c>
      <c r="B337" t="s">
        <v>817</v>
      </c>
      <c r="D337">
        <v>500</v>
      </c>
      <c r="F337">
        <v>0</v>
      </c>
      <c r="G337" t="s">
        <v>22</v>
      </c>
      <c r="H337" t="s">
        <v>21</v>
      </c>
      <c r="I337" t="s">
        <v>60</v>
      </c>
      <c r="J337" t="s">
        <v>61</v>
      </c>
      <c r="L337" t="s">
        <v>82</v>
      </c>
      <c r="M337" t="s">
        <v>83</v>
      </c>
    </row>
    <row r="338" spans="1:13">
      <c r="A338">
        <v>45682</v>
      </c>
      <c r="B338" t="s">
        <v>818</v>
      </c>
      <c r="F338">
        <v>1</v>
      </c>
      <c r="G338" t="s">
        <v>64</v>
      </c>
      <c r="L338" t="s">
        <v>82</v>
      </c>
      <c r="M338" t="s">
        <v>819</v>
      </c>
    </row>
    <row r="339" spans="1:13">
      <c r="A339">
        <v>45682</v>
      </c>
      <c r="B339" t="s">
        <v>820</v>
      </c>
      <c r="F339">
        <v>1</v>
      </c>
      <c r="G339" t="s">
        <v>0</v>
      </c>
      <c r="L339" t="s">
        <v>89</v>
      </c>
    </row>
    <row r="340" spans="1:13">
      <c r="A340">
        <v>45683</v>
      </c>
      <c r="B340" t="s">
        <v>63</v>
      </c>
      <c r="D340">
        <v>7000</v>
      </c>
      <c r="F340">
        <v>1</v>
      </c>
      <c r="G340" t="s">
        <v>70</v>
      </c>
      <c r="I340" t="s">
        <v>71</v>
      </c>
      <c r="J340" t="s">
        <v>72</v>
      </c>
      <c r="K340" t="s">
        <v>821</v>
      </c>
      <c r="L340" t="s">
        <v>62</v>
      </c>
      <c r="M340" t="s">
        <v>90</v>
      </c>
    </row>
    <row r="341" spans="1:13">
      <c r="A341">
        <v>45683</v>
      </c>
      <c r="B341" t="s">
        <v>63</v>
      </c>
      <c r="D341">
        <v>40000</v>
      </c>
      <c r="G341" t="s">
        <v>70</v>
      </c>
      <c r="I341" t="s">
        <v>60</v>
      </c>
      <c r="J341" t="s">
        <v>61</v>
      </c>
      <c r="L341" t="s">
        <v>62</v>
      </c>
    </row>
    <row r="342" spans="1:13">
      <c r="A342">
        <v>45683</v>
      </c>
      <c r="B342" t="s">
        <v>822</v>
      </c>
      <c r="D342">
        <v>500</v>
      </c>
      <c r="F342">
        <v>1</v>
      </c>
      <c r="G342" t="s">
        <v>22</v>
      </c>
      <c r="H342" t="s">
        <v>21</v>
      </c>
      <c r="I342" t="s">
        <v>60</v>
      </c>
      <c r="J342" t="s">
        <v>61</v>
      </c>
      <c r="L342" t="s">
        <v>89</v>
      </c>
    </row>
    <row r="343" spans="1:13">
      <c r="A343">
        <v>45683</v>
      </c>
      <c r="B343" t="s">
        <v>823</v>
      </c>
      <c r="D343">
        <v>500</v>
      </c>
      <c r="F343">
        <v>1</v>
      </c>
      <c r="G343" t="s">
        <v>22</v>
      </c>
      <c r="H343" t="s">
        <v>21</v>
      </c>
      <c r="I343" t="s">
        <v>60</v>
      </c>
      <c r="J343" t="s">
        <v>61</v>
      </c>
      <c r="L343" t="s">
        <v>89</v>
      </c>
    </row>
    <row r="344" spans="1:13">
      <c r="A344">
        <v>45684</v>
      </c>
      <c r="B344" t="s">
        <v>238</v>
      </c>
      <c r="C344" t="s">
        <v>824</v>
      </c>
      <c r="F344">
        <v>10</v>
      </c>
      <c r="G344" t="s">
        <v>22</v>
      </c>
      <c r="H344" t="s">
        <v>21</v>
      </c>
      <c r="L344" t="s">
        <v>95</v>
      </c>
    </row>
    <row r="345" spans="1:13">
      <c r="A345">
        <v>45684</v>
      </c>
      <c r="B345" t="s">
        <v>81</v>
      </c>
      <c r="D345">
        <v>368000</v>
      </c>
      <c r="F345">
        <v>1</v>
      </c>
      <c r="G345" t="s">
        <v>74</v>
      </c>
      <c r="H345" t="s">
        <v>75</v>
      </c>
      <c r="I345" t="s">
        <v>60</v>
      </c>
      <c r="J345" t="s">
        <v>61</v>
      </c>
      <c r="L345" t="s">
        <v>88</v>
      </c>
    </row>
    <row r="346" spans="1:13">
      <c r="A346">
        <v>45684</v>
      </c>
      <c r="B346" t="s">
        <v>76</v>
      </c>
      <c r="D346">
        <v>16200</v>
      </c>
      <c r="G346" t="s">
        <v>77</v>
      </c>
      <c r="I346" t="s">
        <v>60</v>
      </c>
      <c r="J346" t="s">
        <v>61</v>
      </c>
      <c r="L346" t="s">
        <v>62</v>
      </c>
    </row>
    <row r="347" spans="1:13">
      <c r="A347">
        <v>45684</v>
      </c>
      <c r="B347" t="s">
        <v>546</v>
      </c>
      <c r="F347">
        <v>-6</v>
      </c>
      <c r="G347" t="s">
        <v>22</v>
      </c>
      <c r="H347" t="s">
        <v>93</v>
      </c>
      <c r="L347" t="s">
        <v>461</v>
      </c>
    </row>
    <row r="348" spans="1:13">
      <c r="A348">
        <v>45684</v>
      </c>
      <c r="B348" t="s">
        <v>63</v>
      </c>
      <c r="D348">
        <v>200</v>
      </c>
      <c r="F348">
        <v>2</v>
      </c>
      <c r="G348" t="s">
        <v>22</v>
      </c>
      <c r="H348" t="s">
        <v>93</v>
      </c>
      <c r="I348" t="s">
        <v>60</v>
      </c>
      <c r="J348" t="s">
        <v>61</v>
      </c>
      <c r="L348" t="s">
        <v>62</v>
      </c>
    </row>
    <row r="349" spans="1:13">
      <c r="A349">
        <v>45684</v>
      </c>
      <c r="B349" t="s">
        <v>825</v>
      </c>
      <c r="D349">
        <v>500</v>
      </c>
      <c r="F349">
        <v>1</v>
      </c>
      <c r="G349" t="s">
        <v>22</v>
      </c>
      <c r="H349" t="s">
        <v>21</v>
      </c>
      <c r="I349" t="s">
        <v>60</v>
      </c>
      <c r="J349" t="s">
        <v>61</v>
      </c>
      <c r="L349" t="s">
        <v>82</v>
      </c>
    </row>
    <row r="350" spans="1:13">
      <c r="A350">
        <v>45684</v>
      </c>
      <c r="B350" t="s">
        <v>826</v>
      </c>
      <c r="D350">
        <v>500</v>
      </c>
      <c r="F350">
        <v>1</v>
      </c>
      <c r="G350" t="s">
        <v>22</v>
      </c>
      <c r="H350" t="s">
        <v>21</v>
      </c>
      <c r="I350" t="s">
        <v>60</v>
      </c>
      <c r="J350" t="s">
        <v>61</v>
      </c>
      <c r="L350" t="s">
        <v>89</v>
      </c>
    </row>
    <row r="351" spans="1:13">
      <c r="A351">
        <v>45684</v>
      </c>
      <c r="B351" t="s">
        <v>827</v>
      </c>
      <c r="D351">
        <v>500</v>
      </c>
      <c r="F351">
        <v>1</v>
      </c>
      <c r="G351" t="s">
        <v>22</v>
      </c>
      <c r="H351" t="s">
        <v>21</v>
      </c>
      <c r="I351" t="s">
        <v>60</v>
      </c>
      <c r="J351" t="s">
        <v>61</v>
      </c>
      <c r="L351" t="s">
        <v>89</v>
      </c>
    </row>
    <row r="352" spans="1:13">
      <c r="A352">
        <v>45684</v>
      </c>
      <c r="B352" t="s">
        <v>63</v>
      </c>
      <c r="D352">
        <v>3500</v>
      </c>
      <c r="G352" t="s">
        <v>70</v>
      </c>
      <c r="I352" t="s">
        <v>60</v>
      </c>
      <c r="J352" t="s">
        <v>61</v>
      </c>
      <c r="L352" t="s">
        <v>62</v>
      </c>
    </row>
    <row r="353" spans="1:13">
      <c r="A353">
        <v>45684</v>
      </c>
      <c r="B353" t="s">
        <v>828</v>
      </c>
      <c r="F353">
        <v>1</v>
      </c>
      <c r="G353" t="s">
        <v>603</v>
      </c>
      <c r="H353" t="s">
        <v>21</v>
      </c>
      <c r="L353" t="s">
        <v>89</v>
      </c>
    </row>
    <row r="354" spans="1:13">
      <c r="A354">
        <v>45685</v>
      </c>
      <c r="B354" t="s">
        <v>238</v>
      </c>
      <c r="C354" t="s">
        <v>829</v>
      </c>
      <c r="F354">
        <v>3</v>
      </c>
      <c r="G354" t="s">
        <v>22</v>
      </c>
      <c r="H354" t="s">
        <v>21</v>
      </c>
      <c r="L354" t="s">
        <v>95</v>
      </c>
    </row>
    <row r="355" spans="1:13">
      <c r="A355">
        <v>45685</v>
      </c>
      <c r="B355" t="s">
        <v>830</v>
      </c>
      <c r="D355">
        <v>500</v>
      </c>
      <c r="F355">
        <v>1</v>
      </c>
      <c r="G355" t="s">
        <v>22</v>
      </c>
      <c r="H355" t="s">
        <v>21</v>
      </c>
      <c r="I355" t="s">
        <v>60</v>
      </c>
      <c r="J355" t="s">
        <v>61</v>
      </c>
      <c r="L355" t="s">
        <v>89</v>
      </c>
    </row>
    <row r="356" spans="1:13">
      <c r="A356">
        <v>45685</v>
      </c>
      <c r="B356" t="s">
        <v>831</v>
      </c>
      <c r="F356">
        <v>1</v>
      </c>
      <c r="G356" t="s">
        <v>79</v>
      </c>
      <c r="H356" t="s">
        <v>21</v>
      </c>
      <c r="L356" t="s">
        <v>89</v>
      </c>
    </row>
    <row r="357" spans="1:13">
      <c r="A357">
        <v>45685</v>
      </c>
      <c r="B357" t="s">
        <v>832</v>
      </c>
      <c r="F357">
        <v>1</v>
      </c>
      <c r="G357" t="s">
        <v>79</v>
      </c>
      <c r="H357" t="s">
        <v>21</v>
      </c>
      <c r="L357" t="s">
        <v>89</v>
      </c>
    </row>
    <row r="358" spans="1:13">
      <c r="A358">
        <v>45685</v>
      </c>
      <c r="B358" t="s">
        <v>833</v>
      </c>
      <c r="D358">
        <v>500</v>
      </c>
      <c r="F358">
        <v>0</v>
      </c>
      <c r="G358" t="s">
        <v>22</v>
      </c>
      <c r="H358" t="s">
        <v>21</v>
      </c>
      <c r="I358" t="s">
        <v>60</v>
      </c>
      <c r="J358" t="s">
        <v>61</v>
      </c>
      <c r="L358" t="s">
        <v>89</v>
      </c>
      <c r="M358" t="s">
        <v>548</v>
      </c>
    </row>
    <row r="359" spans="1:13">
      <c r="A359">
        <v>45685</v>
      </c>
      <c r="B359" t="s">
        <v>834</v>
      </c>
      <c r="D359">
        <v>500</v>
      </c>
      <c r="F359">
        <v>0</v>
      </c>
      <c r="G359" t="s">
        <v>22</v>
      </c>
      <c r="H359" t="s">
        <v>21</v>
      </c>
      <c r="I359" t="s">
        <v>60</v>
      </c>
      <c r="J359" t="s">
        <v>61</v>
      </c>
      <c r="L359" t="s">
        <v>89</v>
      </c>
      <c r="M359" t="s">
        <v>548</v>
      </c>
    </row>
    <row r="360" spans="1:13">
      <c r="A360">
        <v>45685</v>
      </c>
      <c r="B360" t="s">
        <v>63</v>
      </c>
      <c r="D360">
        <v>4000</v>
      </c>
      <c r="F360">
        <v>1</v>
      </c>
      <c r="G360" t="s">
        <v>70</v>
      </c>
      <c r="I360" t="s">
        <v>71</v>
      </c>
      <c r="J360" t="s">
        <v>72</v>
      </c>
      <c r="K360" t="s">
        <v>835</v>
      </c>
      <c r="L360" t="s">
        <v>62</v>
      </c>
      <c r="M360" t="s">
        <v>90</v>
      </c>
    </row>
    <row r="361" spans="1:13">
      <c r="A361">
        <v>45685</v>
      </c>
      <c r="B361" t="s">
        <v>63</v>
      </c>
      <c r="D361">
        <v>6393</v>
      </c>
      <c r="G361" t="s">
        <v>70</v>
      </c>
      <c r="I361" t="s">
        <v>60</v>
      </c>
      <c r="J361" t="s">
        <v>61</v>
      </c>
      <c r="L361" t="s">
        <v>62</v>
      </c>
    </row>
    <row r="362" spans="1:13">
      <c r="A362">
        <v>45685</v>
      </c>
      <c r="B362" t="s">
        <v>81</v>
      </c>
      <c r="D362">
        <v>189500</v>
      </c>
      <c r="F362">
        <v>1</v>
      </c>
      <c r="G362" t="s">
        <v>74</v>
      </c>
      <c r="H362" t="s">
        <v>75</v>
      </c>
      <c r="I362" t="s">
        <v>60</v>
      </c>
      <c r="J362" t="s">
        <v>61</v>
      </c>
      <c r="L362" t="s">
        <v>88</v>
      </c>
    </row>
    <row r="363" spans="1:13">
      <c r="A363">
        <v>45685</v>
      </c>
      <c r="B363" t="s">
        <v>836</v>
      </c>
      <c r="F363">
        <v>1</v>
      </c>
      <c r="G363" t="s">
        <v>107</v>
      </c>
      <c r="H363" t="s">
        <v>21</v>
      </c>
      <c r="L363" t="s">
        <v>89</v>
      </c>
      <c r="M363" t="s">
        <v>837</v>
      </c>
    </row>
    <row r="364" spans="1:13">
      <c r="A364">
        <v>45685</v>
      </c>
      <c r="B364" t="s">
        <v>838</v>
      </c>
      <c r="F364">
        <v>1</v>
      </c>
      <c r="G364" t="s">
        <v>0</v>
      </c>
      <c r="L364" t="s">
        <v>82</v>
      </c>
    </row>
    <row r="365" spans="1:13">
      <c r="A365">
        <v>45686</v>
      </c>
      <c r="B365" t="s">
        <v>238</v>
      </c>
      <c r="C365" t="s">
        <v>839</v>
      </c>
      <c r="F365">
        <v>5</v>
      </c>
      <c r="G365" t="s">
        <v>22</v>
      </c>
      <c r="H365" t="s">
        <v>21</v>
      </c>
      <c r="L365" t="s">
        <v>95</v>
      </c>
    </row>
    <row r="366" spans="1:13">
      <c r="A366">
        <v>45686</v>
      </c>
      <c r="B366" t="s">
        <v>290</v>
      </c>
      <c r="C366" t="s">
        <v>840</v>
      </c>
      <c r="E366">
        <v>55197.83</v>
      </c>
      <c r="F366">
        <v>1</v>
      </c>
      <c r="G366" t="s">
        <v>65</v>
      </c>
      <c r="H366" t="s">
        <v>66</v>
      </c>
      <c r="I366" t="s">
        <v>60</v>
      </c>
      <c r="J366" t="s">
        <v>61</v>
      </c>
      <c r="L366" t="s">
        <v>62</v>
      </c>
    </row>
    <row r="367" spans="1:13">
      <c r="A367">
        <v>45686</v>
      </c>
      <c r="B367" t="s">
        <v>81</v>
      </c>
      <c r="D367">
        <v>176600</v>
      </c>
      <c r="F367">
        <v>1</v>
      </c>
      <c r="G367" t="s">
        <v>74</v>
      </c>
      <c r="H367" t="s">
        <v>75</v>
      </c>
      <c r="I367" t="s">
        <v>60</v>
      </c>
      <c r="J367" t="s">
        <v>61</v>
      </c>
      <c r="L367" t="s">
        <v>88</v>
      </c>
      <c r="M367" t="s">
        <v>841</v>
      </c>
    </row>
    <row r="368" spans="1:13">
      <c r="A368">
        <v>45686</v>
      </c>
      <c r="B368" t="s">
        <v>842</v>
      </c>
      <c r="F368">
        <v>1</v>
      </c>
      <c r="G368" t="s">
        <v>601</v>
      </c>
      <c r="H368" t="s">
        <v>21</v>
      </c>
      <c r="L368" t="s">
        <v>82</v>
      </c>
      <c r="M368" t="s">
        <v>591</v>
      </c>
    </row>
    <row r="369" spans="1:13">
      <c r="A369">
        <v>45686</v>
      </c>
      <c r="B369" t="s">
        <v>63</v>
      </c>
      <c r="D369">
        <v>10500</v>
      </c>
      <c r="G369" t="s">
        <v>70</v>
      </c>
      <c r="I369" t="s">
        <v>60</v>
      </c>
      <c r="J369" t="s">
        <v>61</v>
      </c>
      <c r="L369" t="s">
        <v>62</v>
      </c>
    </row>
    <row r="370" spans="1:13">
      <c r="A370">
        <v>45686</v>
      </c>
      <c r="B370" t="s">
        <v>63</v>
      </c>
      <c r="D370">
        <v>21500</v>
      </c>
      <c r="F370">
        <v>1</v>
      </c>
      <c r="G370" t="s">
        <v>70</v>
      </c>
      <c r="I370" t="s">
        <v>71</v>
      </c>
      <c r="J370" t="s">
        <v>72</v>
      </c>
      <c r="K370" t="s">
        <v>843</v>
      </c>
      <c r="L370" t="s">
        <v>62</v>
      </c>
      <c r="M370" t="s">
        <v>844</v>
      </c>
    </row>
    <row r="371" spans="1:13">
      <c r="A371">
        <v>45686</v>
      </c>
      <c r="B371" t="s">
        <v>63</v>
      </c>
      <c r="D371">
        <v>6000</v>
      </c>
      <c r="F371">
        <v>1</v>
      </c>
      <c r="G371" t="s">
        <v>70</v>
      </c>
      <c r="I371" t="s">
        <v>71</v>
      </c>
      <c r="J371" t="s">
        <v>535</v>
      </c>
      <c r="K371" t="s">
        <v>845</v>
      </c>
      <c r="L371" t="s">
        <v>62</v>
      </c>
      <c r="M371" t="s">
        <v>846</v>
      </c>
    </row>
    <row r="372" spans="1:13">
      <c r="A372">
        <v>45686</v>
      </c>
      <c r="B372" t="s">
        <v>847</v>
      </c>
      <c r="F372">
        <v>1</v>
      </c>
      <c r="G372" t="s">
        <v>107</v>
      </c>
      <c r="H372" t="s">
        <v>21</v>
      </c>
      <c r="L372" t="s">
        <v>82</v>
      </c>
      <c r="M372" t="s">
        <v>837</v>
      </c>
    </row>
    <row r="373" spans="1:13">
      <c r="A373">
        <v>45686</v>
      </c>
      <c r="B373" t="s">
        <v>848</v>
      </c>
      <c r="F373">
        <v>1</v>
      </c>
      <c r="G373" t="s">
        <v>319</v>
      </c>
      <c r="H373" t="s">
        <v>21</v>
      </c>
      <c r="L373" t="s">
        <v>82</v>
      </c>
      <c r="M373" t="s">
        <v>837</v>
      </c>
    </row>
    <row r="374" spans="1:13">
      <c r="A374">
        <v>45687</v>
      </c>
      <c r="B374" t="s">
        <v>849</v>
      </c>
      <c r="F374">
        <v>4</v>
      </c>
      <c r="G374" t="s">
        <v>750</v>
      </c>
      <c r="H374" t="s">
        <v>21</v>
      </c>
      <c r="L374" t="s">
        <v>89</v>
      </c>
    </row>
    <row r="375" spans="1:13">
      <c r="A375">
        <v>45687</v>
      </c>
      <c r="B375" t="s">
        <v>81</v>
      </c>
      <c r="D375">
        <v>118000</v>
      </c>
      <c r="F375">
        <v>1</v>
      </c>
      <c r="G375" t="s">
        <v>74</v>
      </c>
      <c r="H375" t="s">
        <v>75</v>
      </c>
      <c r="I375" t="s">
        <v>60</v>
      </c>
      <c r="J375" t="s">
        <v>61</v>
      </c>
      <c r="L375" t="s">
        <v>88</v>
      </c>
    </row>
    <row r="376" spans="1:13">
      <c r="A376">
        <v>45687</v>
      </c>
      <c r="B376" t="s">
        <v>63</v>
      </c>
      <c r="D376">
        <v>6000</v>
      </c>
      <c r="F376">
        <v>1</v>
      </c>
      <c r="G376" t="s">
        <v>70</v>
      </c>
      <c r="I376" t="s">
        <v>71</v>
      </c>
      <c r="J376" t="s">
        <v>72</v>
      </c>
      <c r="K376" t="s">
        <v>850</v>
      </c>
      <c r="L376" t="s">
        <v>62</v>
      </c>
      <c r="M376" t="s">
        <v>90</v>
      </c>
    </row>
    <row r="377" spans="1:13">
      <c r="A377">
        <v>45687</v>
      </c>
      <c r="B377" t="s">
        <v>851</v>
      </c>
      <c r="F377">
        <v>1</v>
      </c>
      <c r="G377" t="s">
        <v>587</v>
      </c>
      <c r="H377" t="s">
        <v>21</v>
      </c>
      <c r="L377" t="s">
        <v>82</v>
      </c>
      <c r="M377" t="s">
        <v>852</v>
      </c>
    </row>
    <row r="378" spans="1:13">
      <c r="A378">
        <v>45687</v>
      </c>
      <c r="B378" t="s">
        <v>851</v>
      </c>
      <c r="D378">
        <v>0</v>
      </c>
      <c r="F378">
        <v>1</v>
      </c>
      <c r="G378" t="s">
        <v>22</v>
      </c>
      <c r="H378" t="s">
        <v>21</v>
      </c>
      <c r="I378" t="s">
        <v>60</v>
      </c>
      <c r="J378" t="s">
        <v>61</v>
      </c>
      <c r="L378" t="s">
        <v>82</v>
      </c>
      <c r="M378" t="s">
        <v>853</v>
      </c>
    </row>
    <row r="379" spans="1:13">
      <c r="A379">
        <v>45687</v>
      </c>
      <c r="B379" t="s">
        <v>851</v>
      </c>
      <c r="D379">
        <v>0</v>
      </c>
      <c r="F379">
        <v>0</v>
      </c>
      <c r="G379" t="s">
        <v>22</v>
      </c>
      <c r="H379" t="s">
        <v>21</v>
      </c>
      <c r="I379" t="s">
        <v>60</v>
      </c>
      <c r="J379" t="s">
        <v>61</v>
      </c>
      <c r="L379" t="s">
        <v>82</v>
      </c>
      <c r="M379" t="s">
        <v>852</v>
      </c>
    </row>
    <row r="380" spans="1:13">
      <c r="A380">
        <v>45687</v>
      </c>
      <c r="B380" t="s">
        <v>238</v>
      </c>
      <c r="C380" t="s">
        <v>854</v>
      </c>
      <c r="F380">
        <v>3</v>
      </c>
      <c r="G380" t="s">
        <v>22</v>
      </c>
      <c r="H380" t="s">
        <v>21</v>
      </c>
      <c r="L380" t="s">
        <v>95</v>
      </c>
    </row>
    <row r="381" spans="1:13">
      <c r="A381">
        <v>45687</v>
      </c>
      <c r="B381" t="s">
        <v>624</v>
      </c>
      <c r="D381">
        <v>-10400</v>
      </c>
      <c r="G381" t="s">
        <v>77</v>
      </c>
      <c r="I381" t="s">
        <v>60</v>
      </c>
      <c r="J381" t="s">
        <v>61</v>
      </c>
      <c r="L381" t="s">
        <v>62</v>
      </c>
    </row>
    <row r="382" spans="1:13">
      <c r="A382">
        <v>45687</v>
      </c>
      <c r="B382" t="s">
        <v>624</v>
      </c>
      <c r="E382">
        <v>-550</v>
      </c>
      <c r="F382">
        <v>1</v>
      </c>
      <c r="G382" t="s">
        <v>65</v>
      </c>
      <c r="H382" t="s">
        <v>85</v>
      </c>
      <c r="I382" t="s">
        <v>60</v>
      </c>
      <c r="J382" t="s">
        <v>61</v>
      </c>
      <c r="L382" t="s">
        <v>62</v>
      </c>
    </row>
    <row r="383" spans="1:13">
      <c r="A383">
        <v>45688</v>
      </c>
      <c r="B383" t="s">
        <v>81</v>
      </c>
      <c r="D383">
        <v>221000</v>
      </c>
      <c r="F383">
        <v>1</v>
      </c>
      <c r="G383" t="s">
        <v>74</v>
      </c>
      <c r="H383" t="s">
        <v>75</v>
      </c>
      <c r="I383" t="s">
        <v>60</v>
      </c>
      <c r="J383" t="s">
        <v>61</v>
      </c>
      <c r="L383" t="s">
        <v>88</v>
      </c>
    </row>
    <row r="384" spans="1:13">
      <c r="A384">
        <v>45688</v>
      </c>
      <c r="B384" t="s">
        <v>238</v>
      </c>
      <c r="C384" t="s">
        <v>855</v>
      </c>
      <c r="F384">
        <v>6</v>
      </c>
      <c r="G384" t="s">
        <v>22</v>
      </c>
      <c r="H384" t="s">
        <v>21</v>
      </c>
      <c r="L384" t="s">
        <v>95</v>
      </c>
    </row>
    <row r="385" spans="1:12">
      <c r="A385">
        <v>45688</v>
      </c>
      <c r="B385" t="s">
        <v>856</v>
      </c>
      <c r="D385">
        <v>500</v>
      </c>
      <c r="F385">
        <v>1</v>
      </c>
      <c r="G385" t="s">
        <v>22</v>
      </c>
      <c r="H385" t="s">
        <v>21</v>
      </c>
      <c r="I385" t="s">
        <v>60</v>
      </c>
      <c r="J385" t="s">
        <v>61</v>
      </c>
      <c r="L385" t="s">
        <v>89</v>
      </c>
    </row>
    <row r="386" spans="1:12">
      <c r="A386">
        <v>45688</v>
      </c>
      <c r="B386" t="s">
        <v>857</v>
      </c>
      <c r="F386">
        <v>1</v>
      </c>
      <c r="G386" t="s">
        <v>564</v>
      </c>
      <c r="H386" t="s">
        <v>21</v>
      </c>
      <c r="L386" t="s">
        <v>89</v>
      </c>
    </row>
    <row r="387" spans="1:12">
      <c r="A387">
        <v>45688</v>
      </c>
      <c r="B387" t="s">
        <v>63</v>
      </c>
      <c r="D387">
        <v>100</v>
      </c>
      <c r="F387">
        <v>1</v>
      </c>
      <c r="G387" t="s">
        <v>22</v>
      </c>
      <c r="H387" t="s">
        <v>93</v>
      </c>
      <c r="I387" t="s">
        <v>60</v>
      </c>
      <c r="J387" t="s">
        <v>61</v>
      </c>
      <c r="L387" t="s">
        <v>62</v>
      </c>
    </row>
    <row r="388" spans="1:12">
      <c r="A388">
        <v>45688</v>
      </c>
      <c r="B388" t="s">
        <v>76</v>
      </c>
      <c r="D388">
        <v>3000</v>
      </c>
      <c r="G388" t="s">
        <v>77</v>
      </c>
      <c r="I388" t="s">
        <v>60</v>
      </c>
      <c r="J388" t="s">
        <v>61</v>
      </c>
      <c r="L388" t="s">
        <v>62</v>
      </c>
    </row>
    <row r="389" spans="1:12">
      <c r="A389">
        <v>45688</v>
      </c>
      <c r="B389" t="s">
        <v>858</v>
      </c>
      <c r="D389">
        <v>500</v>
      </c>
      <c r="F389">
        <v>1</v>
      </c>
      <c r="G389" t="s">
        <v>22</v>
      </c>
      <c r="H389" t="s">
        <v>21</v>
      </c>
      <c r="I389" t="s">
        <v>60</v>
      </c>
      <c r="J389" t="s">
        <v>61</v>
      </c>
      <c r="L389" t="s">
        <v>89</v>
      </c>
    </row>
    <row r="390" spans="1:12">
      <c r="A390">
        <v>45688</v>
      </c>
      <c r="B390" t="s">
        <v>859</v>
      </c>
      <c r="D390">
        <v>500</v>
      </c>
      <c r="F390">
        <v>1</v>
      </c>
      <c r="G390" t="s">
        <v>22</v>
      </c>
      <c r="H390" t="s">
        <v>21</v>
      </c>
      <c r="I390" t="s">
        <v>60</v>
      </c>
      <c r="J390" t="s">
        <v>61</v>
      </c>
      <c r="L390" t="s">
        <v>89</v>
      </c>
    </row>
    <row r="391" spans="1:12">
      <c r="A391">
        <v>45688</v>
      </c>
      <c r="B391" t="s">
        <v>860</v>
      </c>
      <c r="D391">
        <v>500</v>
      </c>
      <c r="F391">
        <v>1</v>
      </c>
      <c r="G391" t="s">
        <v>22</v>
      </c>
      <c r="H391" t="s">
        <v>21</v>
      </c>
      <c r="I391" t="s">
        <v>60</v>
      </c>
      <c r="J391" t="s">
        <v>61</v>
      </c>
      <c r="L391" t="s">
        <v>82</v>
      </c>
    </row>
    <row r="392" spans="1:12">
      <c r="A392">
        <v>45689</v>
      </c>
      <c r="B392" t="s">
        <v>81</v>
      </c>
      <c r="D392">
        <v>86000</v>
      </c>
      <c r="F392">
        <v>1</v>
      </c>
      <c r="G392" t="s">
        <v>74</v>
      </c>
      <c r="H392" t="s">
        <v>75</v>
      </c>
      <c r="I392" t="s">
        <v>60</v>
      </c>
      <c r="J392" t="s">
        <v>61</v>
      </c>
      <c r="L392" t="s">
        <v>88</v>
      </c>
    </row>
    <row r="393" spans="1:12">
      <c r="A393">
        <v>45689</v>
      </c>
      <c r="B393" t="s">
        <v>559</v>
      </c>
      <c r="E393">
        <v>10000</v>
      </c>
      <c r="F393">
        <v>1</v>
      </c>
      <c r="G393" t="s">
        <v>65</v>
      </c>
      <c r="H393" t="s">
        <v>560</v>
      </c>
      <c r="I393" t="s">
        <v>60</v>
      </c>
      <c r="J393" t="s">
        <v>61</v>
      </c>
      <c r="L393" t="s">
        <v>62</v>
      </c>
    </row>
    <row r="394" spans="1:12">
      <c r="A394">
        <v>45689</v>
      </c>
      <c r="B394" t="s">
        <v>561</v>
      </c>
      <c r="E394">
        <v>8000</v>
      </c>
      <c r="F394">
        <v>1</v>
      </c>
      <c r="G394" t="s">
        <v>65</v>
      </c>
      <c r="H394" t="s">
        <v>560</v>
      </c>
      <c r="I394" t="s">
        <v>60</v>
      </c>
      <c r="J394" t="s">
        <v>61</v>
      </c>
      <c r="L394" t="s">
        <v>62</v>
      </c>
    </row>
    <row r="395" spans="1:12">
      <c r="A395">
        <v>45689</v>
      </c>
      <c r="B395" t="s">
        <v>624</v>
      </c>
      <c r="D395">
        <v>-20800</v>
      </c>
      <c r="G395" t="s">
        <v>77</v>
      </c>
      <c r="I395" t="s">
        <v>60</v>
      </c>
      <c r="J395" t="s">
        <v>61</v>
      </c>
      <c r="L395" t="s">
        <v>62</v>
      </c>
    </row>
    <row r="396" spans="1:12">
      <c r="A396">
        <v>45689</v>
      </c>
      <c r="B396" t="s">
        <v>624</v>
      </c>
      <c r="E396">
        <v>-1100</v>
      </c>
      <c r="F396">
        <v>1</v>
      </c>
      <c r="G396" t="s">
        <v>65</v>
      </c>
      <c r="H396" t="s">
        <v>85</v>
      </c>
      <c r="I396" t="s">
        <v>60</v>
      </c>
      <c r="J396" t="s">
        <v>61</v>
      </c>
      <c r="L396" t="s">
        <v>62</v>
      </c>
    </row>
    <row r="397" spans="1:12">
      <c r="A397">
        <v>45689</v>
      </c>
      <c r="B397" t="s">
        <v>861</v>
      </c>
      <c r="D397">
        <v>500</v>
      </c>
      <c r="F397">
        <v>1</v>
      </c>
      <c r="G397" t="s">
        <v>22</v>
      </c>
      <c r="H397" t="s">
        <v>21</v>
      </c>
      <c r="I397" t="s">
        <v>60</v>
      </c>
      <c r="J397" t="s">
        <v>61</v>
      </c>
      <c r="L397" t="s">
        <v>89</v>
      </c>
    </row>
    <row r="398" spans="1:12">
      <c r="A398">
        <v>45689</v>
      </c>
      <c r="B398" t="s">
        <v>862</v>
      </c>
      <c r="F398">
        <v>1</v>
      </c>
      <c r="G398" t="s">
        <v>564</v>
      </c>
      <c r="H398" t="s">
        <v>21</v>
      </c>
      <c r="L398" t="s">
        <v>89</v>
      </c>
    </row>
    <row r="399" spans="1:12">
      <c r="A399">
        <v>45689</v>
      </c>
      <c r="B399" t="s">
        <v>863</v>
      </c>
      <c r="D399">
        <v>1000</v>
      </c>
      <c r="F399">
        <v>2</v>
      </c>
      <c r="G399" t="s">
        <v>22</v>
      </c>
      <c r="H399" t="s">
        <v>21</v>
      </c>
      <c r="I399" t="s">
        <v>60</v>
      </c>
      <c r="J399" t="s">
        <v>61</v>
      </c>
      <c r="L399" t="s">
        <v>89</v>
      </c>
    </row>
    <row r="400" spans="1:12">
      <c r="A400">
        <v>45689</v>
      </c>
      <c r="B400" t="s">
        <v>864</v>
      </c>
      <c r="F400">
        <v>1</v>
      </c>
      <c r="G400" t="s">
        <v>555</v>
      </c>
      <c r="H400" t="s">
        <v>21</v>
      </c>
      <c r="L400" t="s">
        <v>89</v>
      </c>
    </row>
    <row r="401" spans="1:13">
      <c r="A401">
        <v>45689</v>
      </c>
      <c r="B401" t="s">
        <v>865</v>
      </c>
      <c r="D401">
        <v>1000</v>
      </c>
      <c r="F401">
        <v>2</v>
      </c>
      <c r="G401" t="s">
        <v>22</v>
      </c>
      <c r="H401" t="s">
        <v>21</v>
      </c>
      <c r="I401" t="s">
        <v>60</v>
      </c>
      <c r="J401" t="s">
        <v>61</v>
      </c>
      <c r="L401" t="s">
        <v>89</v>
      </c>
    </row>
    <row r="402" spans="1:13">
      <c r="A402">
        <v>45689</v>
      </c>
      <c r="B402" t="s">
        <v>866</v>
      </c>
      <c r="F402">
        <v>1</v>
      </c>
      <c r="G402" t="s">
        <v>64</v>
      </c>
      <c r="L402" t="s">
        <v>89</v>
      </c>
      <c r="M402" t="s">
        <v>867</v>
      </c>
    </row>
    <row r="403" spans="1:13">
      <c r="A403">
        <v>45689</v>
      </c>
      <c r="B403" t="s">
        <v>562</v>
      </c>
      <c r="D403">
        <v>8500</v>
      </c>
      <c r="G403" t="s">
        <v>77</v>
      </c>
      <c r="I403" t="s">
        <v>60</v>
      </c>
      <c r="J403" t="s">
        <v>61</v>
      </c>
      <c r="L403" t="s">
        <v>62</v>
      </c>
    </row>
    <row r="404" spans="1:13">
      <c r="A404">
        <v>45689</v>
      </c>
      <c r="B404" t="s">
        <v>63</v>
      </c>
      <c r="D404">
        <v>200</v>
      </c>
      <c r="F404">
        <v>2</v>
      </c>
      <c r="G404" t="s">
        <v>22</v>
      </c>
      <c r="H404" t="s">
        <v>93</v>
      </c>
      <c r="I404" t="s">
        <v>60</v>
      </c>
      <c r="J404" t="s">
        <v>61</v>
      </c>
      <c r="L404" t="s">
        <v>62</v>
      </c>
    </row>
    <row r="405" spans="1:13">
      <c r="A405">
        <v>45689</v>
      </c>
      <c r="B405" t="s">
        <v>868</v>
      </c>
      <c r="F405">
        <v>-6</v>
      </c>
      <c r="G405" t="s">
        <v>22</v>
      </c>
      <c r="H405" t="s">
        <v>93</v>
      </c>
      <c r="L405" t="s">
        <v>461</v>
      </c>
    </row>
    <row r="406" spans="1:13">
      <c r="A406">
        <v>45689</v>
      </c>
      <c r="B406" t="s">
        <v>63</v>
      </c>
      <c r="D406">
        <v>5000</v>
      </c>
      <c r="G406" t="s">
        <v>70</v>
      </c>
      <c r="I406" t="s">
        <v>60</v>
      </c>
      <c r="J406" t="s">
        <v>61</v>
      </c>
      <c r="L406" t="s">
        <v>62</v>
      </c>
    </row>
    <row r="407" spans="1:13">
      <c r="A407">
        <v>45690</v>
      </c>
      <c r="B407" t="s">
        <v>869</v>
      </c>
      <c r="F407">
        <v>1</v>
      </c>
      <c r="G407" t="s">
        <v>79</v>
      </c>
      <c r="H407" t="s">
        <v>21</v>
      </c>
      <c r="L407" t="s">
        <v>82</v>
      </c>
    </row>
    <row r="408" spans="1:13">
      <c r="A408">
        <v>45690</v>
      </c>
      <c r="B408" t="s">
        <v>869</v>
      </c>
      <c r="D408">
        <v>0</v>
      </c>
      <c r="F408">
        <v>0</v>
      </c>
      <c r="G408" t="s">
        <v>22</v>
      </c>
      <c r="H408" t="s">
        <v>21</v>
      </c>
      <c r="I408" t="s">
        <v>60</v>
      </c>
      <c r="J408" t="s">
        <v>61</v>
      </c>
      <c r="L408" t="s">
        <v>82</v>
      </c>
      <c r="M408" t="s">
        <v>83</v>
      </c>
    </row>
    <row r="409" spans="1:13">
      <c r="A409">
        <v>45690</v>
      </c>
      <c r="B409" t="s">
        <v>63</v>
      </c>
      <c r="D409">
        <v>6000</v>
      </c>
      <c r="F409">
        <v>1</v>
      </c>
      <c r="G409" t="s">
        <v>70</v>
      </c>
      <c r="I409" t="s">
        <v>71</v>
      </c>
      <c r="J409" t="s">
        <v>72</v>
      </c>
      <c r="K409">
        <v>444</v>
      </c>
      <c r="L409" t="s">
        <v>62</v>
      </c>
      <c r="M409" t="s">
        <v>870</v>
      </c>
    </row>
    <row r="410" spans="1:13">
      <c r="A410">
        <v>45690</v>
      </c>
      <c r="B410" t="s">
        <v>871</v>
      </c>
      <c r="F410">
        <v>1</v>
      </c>
      <c r="G410" t="s">
        <v>64</v>
      </c>
      <c r="L410" t="s">
        <v>82</v>
      </c>
      <c r="M410" t="s">
        <v>766</v>
      </c>
    </row>
    <row r="411" spans="1:13">
      <c r="A411">
        <v>45690</v>
      </c>
      <c r="B411" t="s">
        <v>63</v>
      </c>
      <c r="D411">
        <v>35000</v>
      </c>
      <c r="F411">
        <v>5</v>
      </c>
      <c r="G411" t="s">
        <v>70</v>
      </c>
      <c r="I411" t="s">
        <v>71</v>
      </c>
      <c r="J411" t="s">
        <v>72</v>
      </c>
      <c r="K411">
        <v>445</v>
      </c>
      <c r="L411" t="s">
        <v>62</v>
      </c>
      <c r="M411" t="s">
        <v>872</v>
      </c>
    </row>
    <row r="412" spans="1:13">
      <c r="A412">
        <v>45690</v>
      </c>
      <c r="B412" t="s">
        <v>873</v>
      </c>
      <c r="D412">
        <v>500</v>
      </c>
      <c r="F412">
        <v>1</v>
      </c>
      <c r="G412" t="s">
        <v>22</v>
      </c>
      <c r="H412" t="s">
        <v>21</v>
      </c>
      <c r="I412" t="s">
        <v>60</v>
      </c>
      <c r="J412" t="s">
        <v>61</v>
      </c>
      <c r="L412" t="s">
        <v>82</v>
      </c>
    </row>
    <row r="413" spans="1:13">
      <c r="A413">
        <v>45690</v>
      </c>
      <c r="B413" t="s">
        <v>562</v>
      </c>
      <c r="D413">
        <v>6700</v>
      </c>
      <c r="G413" t="s">
        <v>77</v>
      </c>
      <c r="I413" t="s">
        <v>60</v>
      </c>
      <c r="J413" t="s">
        <v>61</v>
      </c>
      <c r="L413" t="s">
        <v>62</v>
      </c>
    </row>
    <row r="414" spans="1:13">
      <c r="A414">
        <v>45691</v>
      </c>
      <c r="B414" t="s">
        <v>238</v>
      </c>
      <c r="C414">
        <v>320</v>
      </c>
      <c r="F414">
        <v>5</v>
      </c>
      <c r="G414" t="s">
        <v>22</v>
      </c>
      <c r="H414" t="s">
        <v>21</v>
      </c>
      <c r="L414" t="s">
        <v>95</v>
      </c>
      <c r="M414" t="s">
        <v>874</v>
      </c>
    </row>
    <row r="415" spans="1:13">
      <c r="A415">
        <v>45691</v>
      </c>
      <c r="B415" t="s">
        <v>875</v>
      </c>
      <c r="D415">
        <v>277000</v>
      </c>
      <c r="F415">
        <v>1</v>
      </c>
      <c r="G415" t="s">
        <v>74</v>
      </c>
      <c r="H415" t="s">
        <v>75</v>
      </c>
      <c r="I415" t="s">
        <v>60</v>
      </c>
      <c r="J415" t="s">
        <v>61</v>
      </c>
      <c r="L415" t="s">
        <v>88</v>
      </c>
    </row>
    <row r="416" spans="1:13">
      <c r="A416">
        <v>45691</v>
      </c>
      <c r="B416" t="s">
        <v>876</v>
      </c>
      <c r="D416">
        <v>500</v>
      </c>
      <c r="F416">
        <v>1</v>
      </c>
      <c r="G416" t="s">
        <v>22</v>
      </c>
      <c r="H416" t="s">
        <v>21</v>
      </c>
      <c r="I416" t="s">
        <v>60</v>
      </c>
      <c r="J416" t="s">
        <v>61</v>
      </c>
      <c r="L416" t="s">
        <v>82</v>
      </c>
    </row>
    <row r="417" spans="1:13">
      <c r="A417">
        <v>45691</v>
      </c>
      <c r="B417" t="s">
        <v>877</v>
      </c>
      <c r="F417">
        <v>1</v>
      </c>
      <c r="G417" t="s">
        <v>587</v>
      </c>
      <c r="H417" t="s">
        <v>21</v>
      </c>
      <c r="L417" t="s">
        <v>82</v>
      </c>
    </row>
    <row r="418" spans="1:13">
      <c r="A418">
        <v>45691</v>
      </c>
      <c r="B418" t="s">
        <v>878</v>
      </c>
      <c r="D418">
        <v>500</v>
      </c>
      <c r="F418">
        <v>1</v>
      </c>
      <c r="G418" t="s">
        <v>22</v>
      </c>
      <c r="H418" t="s">
        <v>21</v>
      </c>
      <c r="I418" t="s">
        <v>60</v>
      </c>
      <c r="J418" t="s">
        <v>61</v>
      </c>
      <c r="L418" t="s">
        <v>82</v>
      </c>
    </row>
    <row r="419" spans="1:13">
      <c r="A419">
        <v>45691</v>
      </c>
      <c r="B419" t="s">
        <v>879</v>
      </c>
      <c r="D419">
        <v>500</v>
      </c>
      <c r="F419">
        <v>1</v>
      </c>
      <c r="G419" t="s">
        <v>22</v>
      </c>
      <c r="H419" t="s">
        <v>21</v>
      </c>
      <c r="I419" t="s">
        <v>60</v>
      </c>
      <c r="J419" t="s">
        <v>61</v>
      </c>
      <c r="L419" t="s">
        <v>89</v>
      </c>
    </row>
    <row r="420" spans="1:13">
      <c r="A420">
        <v>45691</v>
      </c>
      <c r="B420" t="s">
        <v>880</v>
      </c>
      <c r="C420">
        <v>7527</v>
      </c>
      <c r="E420">
        <v>35000</v>
      </c>
      <c r="F420">
        <v>1</v>
      </c>
      <c r="G420" t="s">
        <v>65</v>
      </c>
      <c r="H420" t="s">
        <v>265</v>
      </c>
      <c r="I420" t="s">
        <v>60</v>
      </c>
      <c r="J420" t="s">
        <v>61</v>
      </c>
      <c r="L420" t="s">
        <v>62</v>
      </c>
    </row>
    <row r="421" spans="1:13">
      <c r="A421">
        <v>45691</v>
      </c>
      <c r="B421" t="s">
        <v>63</v>
      </c>
      <c r="D421">
        <v>200</v>
      </c>
      <c r="F421">
        <v>2</v>
      </c>
      <c r="G421" t="s">
        <v>22</v>
      </c>
      <c r="H421" t="s">
        <v>93</v>
      </c>
      <c r="I421" t="s">
        <v>60</v>
      </c>
      <c r="J421" t="s">
        <v>61</v>
      </c>
      <c r="L421" t="s">
        <v>62</v>
      </c>
    </row>
    <row r="422" spans="1:13">
      <c r="A422">
        <v>45691</v>
      </c>
      <c r="B422" t="s">
        <v>826</v>
      </c>
      <c r="D422">
        <v>500</v>
      </c>
      <c r="F422">
        <v>0</v>
      </c>
      <c r="G422" t="s">
        <v>22</v>
      </c>
      <c r="H422" t="s">
        <v>21</v>
      </c>
      <c r="I422" t="s">
        <v>60</v>
      </c>
      <c r="J422" t="s">
        <v>61</v>
      </c>
      <c r="L422" t="s">
        <v>89</v>
      </c>
      <c r="M422" t="s">
        <v>83</v>
      </c>
    </row>
    <row r="423" spans="1:13">
      <c r="A423">
        <v>45691</v>
      </c>
      <c r="B423" t="s">
        <v>63</v>
      </c>
      <c r="D423">
        <v>8000</v>
      </c>
      <c r="G423" t="s">
        <v>70</v>
      </c>
      <c r="I423" t="s">
        <v>60</v>
      </c>
      <c r="J423" t="s">
        <v>61</v>
      </c>
      <c r="L423" t="s">
        <v>62</v>
      </c>
    </row>
    <row r="424" spans="1:13">
      <c r="A424">
        <v>45691</v>
      </c>
      <c r="B424" t="s">
        <v>881</v>
      </c>
      <c r="D424">
        <v>500</v>
      </c>
      <c r="F424">
        <v>0</v>
      </c>
      <c r="G424" t="s">
        <v>22</v>
      </c>
      <c r="H424" t="s">
        <v>21</v>
      </c>
      <c r="I424" t="s">
        <v>60</v>
      </c>
      <c r="J424" t="s">
        <v>61</v>
      </c>
      <c r="L424" t="s">
        <v>89</v>
      </c>
      <c r="M424" t="s">
        <v>83</v>
      </c>
    </row>
    <row r="425" spans="1:13">
      <c r="A425">
        <v>45691</v>
      </c>
      <c r="B425" t="s">
        <v>562</v>
      </c>
      <c r="D425">
        <v>4000</v>
      </c>
      <c r="G425" t="s">
        <v>77</v>
      </c>
      <c r="I425" t="s">
        <v>60</v>
      </c>
      <c r="J425" t="s">
        <v>61</v>
      </c>
      <c r="L425" t="s">
        <v>62</v>
      </c>
    </row>
    <row r="426" spans="1:13">
      <c r="A426">
        <v>45691</v>
      </c>
      <c r="B426" t="s">
        <v>882</v>
      </c>
      <c r="F426">
        <v>1</v>
      </c>
      <c r="G426" t="s">
        <v>0</v>
      </c>
      <c r="L426" t="s">
        <v>82</v>
      </c>
    </row>
    <row r="427" spans="1:13">
      <c r="A427">
        <v>45692</v>
      </c>
      <c r="B427" t="s">
        <v>81</v>
      </c>
      <c r="D427">
        <v>159500</v>
      </c>
      <c r="F427">
        <v>1</v>
      </c>
      <c r="G427" t="s">
        <v>74</v>
      </c>
      <c r="H427" t="s">
        <v>75</v>
      </c>
      <c r="I427" t="s">
        <v>60</v>
      </c>
      <c r="J427" t="s">
        <v>61</v>
      </c>
      <c r="L427" t="s">
        <v>88</v>
      </c>
    </row>
    <row r="428" spans="1:13">
      <c r="A428">
        <v>45692</v>
      </c>
      <c r="B428" t="s">
        <v>883</v>
      </c>
      <c r="F428">
        <v>1</v>
      </c>
      <c r="G428" t="s">
        <v>319</v>
      </c>
      <c r="H428" t="s">
        <v>21</v>
      </c>
      <c r="L428" t="s">
        <v>89</v>
      </c>
    </row>
    <row r="429" spans="1:13">
      <c r="A429">
        <v>45692</v>
      </c>
      <c r="B429" t="s">
        <v>884</v>
      </c>
      <c r="D429">
        <v>500</v>
      </c>
      <c r="F429">
        <v>1</v>
      </c>
      <c r="G429" t="s">
        <v>22</v>
      </c>
      <c r="H429" t="s">
        <v>21</v>
      </c>
      <c r="I429" t="s">
        <v>60</v>
      </c>
      <c r="J429" t="s">
        <v>61</v>
      </c>
      <c r="L429" t="s">
        <v>89</v>
      </c>
    </row>
    <row r="430" spans="1:13">
      <c r="A430">
        <v>45692</v>
      </c>
      <c r="B430" t="s">
        <v>562</v>
      </c>
      <c r="D430">
        <v>31100</v>
      </c>
      <c r="G430" t="s">
        <v>77</v>
      </c>
      <c r="I430" t="s">
        <v>60</v>
      </c>
      <c r="J430" t="s">
        <v>61</v>
      </c>
      <c r="L430" t="s">
        <v>62</v>
      </c>
    </row>
    <row r="431" spans="1:13">
      <c r="A431">
        <v>45692</v>
      </c>
      <c r="B431" t="s">
        <v>885</v>
      </c>
      <c r="D431">
        <v>500</v>
      </c>
      <c r="F431">
        <v>1</v>
      </c>
      <c r="G431" t="s">
        <v>22</v>
      </c>
      <c r="H431" t="s">
        <v>21</v>
      </c>
      <c r="I431" t="s">
        <v>60</v>
      </c>
      <c r="J431" t="s">
        <v>61</v>
      </c>
      <c r="L431" t="s">
        <v>89</v>
      </c>
    </row>
    <row r="432" spans="1:13">
      <c r="A432">
        <v>45692</v>
      </c>
      <c r="B432" t="s">
        <v>624</v>
      </c>
      <c r="D432">
        <v>-10400</v>
      </c>
      <c r="G432" t="s">
        <v>77</v>
      </c>
      <c r="I432" t="s">
        <v>60</v>
      </c>
      <c r="J432" t="s">
        <v>61</v>
      </c>
      <c r="L432" t="s">
        <v>62</v>
      </c>
    </row>
    <row r="433" spans="1:13">
      <c r="A433">
        <v>45692</v>
      </c>
      <c r="B433" t="s">
        <v>624</v>
      </c>
      <c r="E433">
        <v>-550</v>
      </c>
      <c r="F433">
        <v>1</v>
      </c>
      <c r="G433" t="s">
        <v>65</v>
      </c>
      <c r="H433" t="s">
        <v>85</v>
      </c>
      <c r="I433" t="s">
        <v>60</v>
      </c>
      <c r="J433" t="s">
        <v>61</v>
      </c>
      <c r="L433" t="s">
        <v>62</v>
      </c>
    </row>
    <row r="434" spans="1:13">
      <c r="A434">
        <v>45692</v>
      </c>
      <c r="B434" t="s">
        <v>886</v>
      </c>
      <c r="D434">
        <v>500</v>
      </c>
      <c r="F434">
        <v>1</v>
      </c>
      <c r="G434" t="s">
        <v>22</v>
      </c>
      <c r="H434" t="s">
        <v>21</v>
      </c>
      <c r="I434" t="s">
        <v>60</v>
      </c>
      <c r="J434" t="s">
        <v>61</v>
      </c>
      <c r="L434" t="s">
        <v>86</v>
      </c>
    </row>
    <row r="435" spans="1:13">
      <c r="A435">
        <v>45692</v>
      </c>
      <c r="B435" t="s">
        <v>63</v>
      </c>
      <c r="D435">
        <v>6000</v>
      </c>
      <c r="F435">
        <v>1</v>
      </c>
      <c r="G435" t="s">
        <v>70</v>
      </c>
      <c r="I435" t="s">
        <v>71</v>
      </c>
      <c r="J435" t="s">
        <v>72</v>
      </c>
      <c r="K435">
        <v>446</v>
      </c>
      <c r="L435" t="s">
        <v>62</v>
      </c>
      <c r="M435" t="s">
        <v>90</v>
      </c>
    </row>
    <row r="436" spans="1:13">
      <c r="A436">
        <v>45693</v>
      </c>
      <c r="B436" t="s">
        <v>81</v>
      </c>
      <c r="D436">
        <v>105000</v>
      </c>
      <c r="F436">
        <v>1</v>
      </c>
      <c r="G436" t="s">
        <v>74</v>
      </c>
      <c r="H436" t="s">
        <v>75</v>
      </c>
      <c r="I436" t="s">
        <v>60</v>
      </c>
      <c r="J436" t="s">
        <v>61</v>
      </c>
      <c r="L436" t="s">
        <v>88</v>
      </c>
    </row>
    <row r="437" spans="1:13">
      <c r="A437">
        <v>45693</v>
      </c>
      <c r="B437" t="s">
        <v>887</v>
      </c>
      <c r="F437">
        <v>1</v>
      </c>
      <c r="G437" t="s">
        <v>79</v>
      </c>
      <c r="H437" t="s">
        <v>21</v>
      </c>
      <c r="L437" t="s">
        <v>86</v>
      </c>
    </row>
    <row r="438" spans="1:13">
      <c r="A438">
        <v>45693</v>
      </c>
      <c r="B438" t="s">
        <v>888</v>
      </c>
      <c r="F438">
        <v>1</v>
      </c>
      <c r="G438" t="s">
        <v>377</v>
      </c>
      <c r="H438" t="s">
        <v>21</v>
      </c>
      <c r="L438" t="s">
        <v>86</v>
      </c>
    </row>
    <row r="439" spans="1:13">
      <c r="A439">
        <v>45693</v>
      </c>
      <c r="B439" t="s">
        <v>889</v>
      </c>
      <c r="F439">
        <v>1</v>
      </c>
      <c r="G439" t="s">
        <v>64</v>
      </c>
      <c r="L439" t="s">
        <v>82</v>
      </c>
      <c r="M439" t="s">
        <v>890</v>
      </c>
    </row>
    <row r="440" spans="1:13">
      <c r="A440">
        <v>45693</v>
      </c>
      <c r="B440" t="s">
        <v>889</v>
      </c>
      <c r="D440">
        <v>500</v>
      </c>
      <c r="F440">
        <v>1</v>
      </c>
      <c r="G440" t="s">
        <v>22</v>
      </c>
      <c r="H440" t="s">
        <v>21</v>
      </c>
      <c r="I440" t="s">
        <v>60</v>
      </c>
      <c r="J440" t="s">
        <v>61</v>
      </c>
      <c r="L440" t="s">
        <v>82</v>
      </c>
    </row>
    <row r="441" spans="1:13">
      <c r="A441">
        <v>45693</v>
      </c>
      <c r="B441" t="s">
        <v>63</v>
      </c>
      <c r="D441">
        <v>17500</v>
      </c>
      <c r="G441" t="s">
        <v>70</v>
      </c>
      <c r="I441" t="s">
        <v>60</v>
      </c>
      <c r="J441" t="s">
        <v>61</v>
      </c>
      <c r="L441" t="s">
        <v>62</v>
      </c>
    </row>
    <row r="442" spans="1:13">
      <c r="A442">
        <v>45693</v>
      </c>
      <c r="B442" t="s">
        <v>891</v>
      </c>
      <c r="F442">
        <v>1</v>
      </c>
      <c r="G442" t="s">
        <v>587</v>
      </c>
      <c r="H442" t="s">
        <v>21</v>
      </c>
      <c r="L442" t="s">
        <v>82</v>
      </c>
    </row>
    <row r="443" spans="1:13">
      <c r="A443">
        <v>45693</v>
      </c>
      <c r="B443" t="s">
        <v>891</v>
      </c>
      <c r="D443">
        <v>209999.01</v>
      </c>
      <c r="F443">
        <v>1</v>
      </c>
      <c r="G443" t="s">
        <v>64</v>
      </c>
      <c r="I443" t="s">
        <v>60</v>
      </c>
      <c r="J443" t="s">
        <v>61</v>
      </c>
      <c r="L443" t="s">
        <v>82</v>
      </c>
    </row>
    <row r="444" spans="1:13">
      <c r="A444">
        <v>45693</v>
      </c>
      <c r="B444" t="s">
        <v>892</v>
      </c>
      <c r="D444">
        <v>500</v>
      </c>
      <c r="F444">
        <v>1</v>
      </c>
      <c r="G444" t="s">
        <v>22</v>
      </c>
      <c r="H444" t="s">
        <v>21</v>
      </c>
      <c r="I444" t="s">
        <v>60</v>
      </c>
      <c r="J444" t="s">
        <v>61</v>
      </c>
      <c r="L444" t="s">
        <v>82</v>
      </c>
    </row>
    <row r="445" spans="1:13">
      <c r="A445">
        <v>45693</v>
      </c>
      <c r="B445" t="s">
        <v>893</v>
      </c>
      <c r="D445">
        <v>500</v>
      </c>
      <c r="F445">
        <v>1</v>
      </c>
      <c r="G445" t="s">
        <v>22</v>
      </c>
      <c r="H445" t="s">
        <v>21</v>
      </c>
      <c r="I445" t="s">
        <v>60</v>
      </c>
      <c r="J445" t="s">
        <v>61</v>
      </c>
      <c r="L445" t="s">
        <v>82</v>
      </c>
    </row>
    <row r="446" spans="1:13">
      <c r="A446">
        <v>45693</v>
      </c>
      <c r="B446" t="s">
        <v>562</v>
      </c>
      <c r="D446">
        <v>4000</v>
      </c>
      <c r="G446" t="s">
        <v>77</v>
      </c>
      <c r="I446" t="s">
        <v>60</v>
      </c>
      <c r="J446" t="s">
        <v>61</v>
      </c>
      <c r="L446" t="s">
        <v>62</v>
      </c>
    </row>
    <row r="447" spans="1:13">
      <c r="A447">
        <v>45693</v>
      </c>
      <c r="B447" t="s">
        <v>894</v>
      </c>
      <c r="F447">
        <v>1</v>
      </c>
      <c r="G447" t="s">
        <v>0</v>
      </c>
      <c r="L447" t="s">
        <v>82</v>
      </c>
    </row>
    <row r="448" spans="1:13">
      <c r="A448">
        <v>45694</v>
      </c>
      <c r="B448" t="s">
        <v>895</v>
      </c>
      <c r="D448">
        <v>0</v>
      </c>
      <c r="F448">
        <v>1</v>
      </c>
      <c r="G448" t="s">
        <v>22</v>
      </c>
      <c r="H448" t="s">
        <v>21</v>
      </c>
      <c r="I448" t="s">
        <v>60</v>
      </c>
      <c r="J448" t="s">
        <v>61</v>
      </c>
      <c r="L448" t="s">
        <v>89</v>
      </c>
    </row>
    <row r="449" spans="1:13">
      <c r="A449">
        <v>45694</v>
      </c>
      <c r="B449" t="s">
        <v>895</v>
      </c>
      <c r="D449">
        <v>500</v>
      </c>
      <c r="F449">
        <v>0</v>
      </c>
      <c r="G449" t="s">
        <v>22</v>
      </c>
      <c r="H449" t="s">
        <v>21</v>
      </c>
      <c r="I449" t="s">
        <v>60</v>
      </c>
      <c r="J449" t="s">
        <v>61</v>
      </c>
      <c r="L449" t="s">
        <v>89</v>
      </c>
      <c r="M449" t="s">
        <v>83</v>
      </c>
    </row>
    <row r="450" spans="1:13">
      <c r="A450">
        <v>45694</v>
      </c>
      <c r="B450" t="s">
        <v>290</v>
      </c>
      <c r="C450">
        <v>763</v>
      </c>
      <c r="E450">
        <v>8320.4599999999991</v>
      </c>
      <c r="F450">
        <v>1</v>
      </c>
      <c r="G450" t="s">
        <v>65</v>
      </c>
      <c r="H450" t="s">
        <v>292</v>
      </c>
      <c r="I450" t="s">
        <v>60</v>
      </c>
      <c r="J450" t="s">
        <v>61</v>
      </c>
      <c r="L450" t="s">
        <v>62</v>
      </c>
      <c r="M450" t="s">
        <v>896</v>
      </c>
    </row>
    <row r="451" spans="1:13">
      <c r="A451">
        <v>45694</v>
      </c>
      <c r="B451" t="s">
        <v>63</v>
      </c>
      <c r="D451">
        <v>14000</v>
      </c>
      <c r="F451">
        <v>2</v>
      </c>
      <c r="G451" t="s">
        <v>70</v>
      </c>
      <c r="I451" t="s">
        <v>71</v>
      </c>
      <c r="J451" t="s">
        <v>72</v>
      </c>
      <c r="K451">
        <v>447</v>
      </c>
      <c r="L451" t="s">
        <v>62</v>
      </c>
      <c r="M451" t="s">
        <v>90</v>
      </c>
    </row>
    <row r="452" spans="1:13">
      <c r="A452">
        <v>45694</v>
      </c>
      <c r="B452" t="s">
        <v>897</v>
      </c>
      <c r="F452">
        <v>1</v>
      </c>
      <c r="G452" t="s">
        <v>98</v>
      </c>
      <c r="H452" t="s">
        <v>21</v>
      </c>
      <c r="L452" t="s">
        <v>82</v>
      </c>
    </row>
    <row r="453" spans="1:13">
      <c r="A453">
        <v>45694</v>
      </c>
      <c r="B453" t="s">
        <v>897</v>
      </c>
      <c r="F453">
        <v>1</v>
      </c>
      <c r="G453" t="s">
        <v>64</v>
      </c>
      <c r="L453" t="s">
        <v>82</v>
      </c>
      <c r="M453" t="s">
        <v>756</v>
      </c>
    </row>
    <row r="454" spans="1:13">
      <c r="A454">
        <v>45694</v>
      </c>
      <c r="B454" t="s">
        <v>898</v>
      </c>
      <c r="D454">
        <v>500</v>
      </c>
      <c r="F454">
        <v>1</v>
      </c>
      <c r="G454" t="s">
        <v>22</v>
      </c>
      <c r="H454" t="s">
        <v>21</v>
      </c>
      <c r="I454" t="s">
        <v>60</v>
      </c>
      <c r="J454" t="s">
        <v>61</v>
      </c>
      <c r="L454" t="s">
        <v>89</v>
      </c>
    </row>
    <row r="455" spans="1:13">
      <c r="A455">
        <v>45694</v>
      </c>
      <c r="B455" t="s">
        <v>562</v>
      </c>
      <c r="D455">
        <v>4000</v>
      </c>
      <c r="G455" t="s">
        <v>77</v>
      </c>
      <c r="I455" t="s">
        <v>60</v>
      </c>
      <c r="J455" t="s">
        <v>61</v>
      </c>
      <c r="L455" t="s">
        <v>62</v>
      </c>
    </row>
    <row r="456" spans="1:13">
      <c r="A456">
        <v>45694</v>
      </c>
      <c r="B456" t="s">
        <v>63</v>
      </c>
      <c r="D456">
        <v>200</v>
      </c>
      <c r="F456">
        <v>2</v>
      </c>
      <c r="G456" t="s">
        <v>22</v>
      </c>
      <c r="H456" t="s">
        <v>93</v>
      </c>
      <c r="I456" t="s">
        <v>60</v>
      </c>
      <c r="J456" t="s">
        <v>61</v>
      </c>
      <c r="L456" t="s">
        <v>62</v>
      </c>
    </row>
    <row r="457" spans="1:13">
      <c r="A457">
        <v>45695</v>
      </c>
      <c r="B457" t="s">
        <v>105</v>
      </c>
      <c r="E457">
        <v>574000</v>
      </c>
      <c r="F457">
        <v>1</v>
      </c>
      <c r="G457" t="s">
        <v>74</v>
      </c>
      <c r="H457" t="s">
        <v>75</v>
      </c>
      <c r="I457" t="s">
        <v>60</v>
      </c>
      <c r="J457" t="s">
        <v>61</v>
      </c>
      <c r="L457" t="s">
        <v>104</v>
      </c>
      <c r="M457" t="s">
        <v>642</v>
      </c>
    </row>
    <row r="458" spans="1:13">
      <c r="A458">
        <v>45695</v>
      </c>
      <c r="B458" t="s">
        <v>899</v>
      </c>
      <c r="F458">
        <v>1</v>
      </c>
      <c r="G458" t="s">
        <v>603</v>
      </c>
      <c r="H458" t="s">
        <v>21</v>
      </c>
      <c r="L458" t="s">
        <v>89</v>
      </c>
    </row>
    <row r="459" spans="1:13">
      <c r="A459">
        <v>45695</v>
      </c>
      <c r="B459" t="s">
        <v>900</v>
      </c>
      <c r="D459">
        <v>500</v>
      </c>
      <c r="F459">
        <v>1</v>
      </c>
      <c r="G459" t="s">
        <v>22</v>
      </c>
      <c r="H459" t="s">
        <v>21</v>
      </c>
      <c r="I459" t="s">
        <v>60</v>
      </c>
      <c r="J459" t="s">
        <v>61</v>
      </c>
      <c r="L459" t="s">
        <v>89</v>
      </c>
    </row>
    <row r="460" spans="1:13">
      <c r="A460">
        <v>45695</v>
      </c>
      <c r="B460" t="s">
        <v>63</v>
      </c>
      <c r="D460">
        <v>300</v>
      </c>
      <c r="F460">
        <v>3</v>
      </c>
      <c r="G460" t="s">
        <v>22</v>
      </c>
      <c r="H460" t="s">
        <v>93</v>
      </c>
      <c r="I460" t="s">
        <v>60</v>
      </c>
      <c r="J460" t="s">
        <v>61</v>
      </c>
      <c r="L460" t="s">
        <v>62</v>
      </c>
    </row>
    <row r="461" spans="1:13">
      <c r="A461">
        <v>45695</v>
      </c>
      <c r="B461" t="s">
        <v>562</v>
      </c>
      <c r="D461">
        <v>9900</v>
      </c>
      <c r="G461" t="s">
        <v>77</v>
      </c>
      <c r="I461" t="s">
        <v>60</v>
      </c>
      <c r="J461" t="s">
        <v>61</v>
      </c>
      <c r="L461" t="s">
        <v>62</v>
      </c>
    </row>
    <row r="462" spans="1:13">
      <c r="A462">
        <v>45695</v>
      </c>
      <c r="B462" t="s">
        <v>63</v>
      </c>
      <c r="D462">
        <v>54000</v>
      </c>
      <c r="G462" t="s">
        <v>70</v>
      </c>
      <c r="I462" t="s">
        <v>60</v>
      </c>
      <c r="J462" t="s">
        <v>61</v>
      </c>
      <c r="L462" t="s">
        <v>62</v>
      </c>
    </row>
    <row r="463" spans="1:13">
      <c r="A463">
        <v>45695</v>
      </c>
      <c r="B463" t="s">
        <v>624</v>
      </c>
      <c r="D463">
        <v>-20800</v>
      </c>
      <c r="G463" t="s">
        <v>77</v>
      </c>
      <c r="I463" t="s">
        <v>60</v>
      </c>
      <c r="J463" t="s">
        <v>61</v>
      </c>
      <c r="L463" t="s">
        <v>62</v>
      </c>
    </row>
    <row r="464" spans="1:13">
      <c r="A464">
        <v>45695</v>
      </c>
      <c r="B464" t="s">
        <v>624</v>
      </c>
      <c r="E464">
        <v>-1100</v>
      </c>
      <c r="F464">
        <v>1</v>
      </c>
      <c r="G464" t="s">
        <v>65</v>
      </c>
      <c r="H464" t="s">
        <v>85</v>
      </c>
      <c r="I464" t="s">
        <v>60</v>
      </c>
      <c r="J464" t="s">
        <v>61</v>
      </c>
      <c r="L464" t="s">
        <v>62</v>
      </c>
    </row>
    <row r="465" spans="1:13">
      <c r="A465">
        <v>45695</v>
      </c>
      <c r="B465" t="s">
        <v>901</v>
      </c>
      <c r="D465">
        <v>500</v>
      </c>
      <c r="F465">
        <v>1</v>
      </c>
      <c r="G465" t="s">
        <v>22</v>
      </c>
      <c r="H465" t="s">
        <v>21</v>
      </c>
      <c r="I465" t="s">
        <v>60</v>
      </c>
      <c r="J465" t="s">
        <v>61</v>
      </c>
      <c r="L465" t="s">
        <v>89</v>
      </c>
    </row>
    <row r="466" spans="1:13">
      <c r="A466">
        <v>45695</v>
      </c>
      <c r="B466" t="s">
        <v>902</v>
      </c>
      <c r="F466">
        <v>1</v>
      </c>
      <c r="G466" t="s">
        <v>64</v>
      </c>
      <c r="L466" t="s">
        <v>89</v>
      </c>
      <c r="M466" t="s">
        <v>96</v>
      </c>
    </row>
    <row r="467" spans="1:13">
      <c r="A467">
        <v>45695</v>
      </c>
      <c r="B467" t="s">
        <v>248</v>
      </c>
      <c r="E467">
        <v>114000</v>
      </c>
      <c r="F467">
        <v>1</v>
      </c>
      <c r="G467" t="s">
        <v>65</v>
      </c>
      <c r="H467" t="s">
        <v>348</v>
      </c>
      <c r="I467" t="s">
        <v>60</v>
      </c>
      <c r="J467" t="s">
        <v>61</v>
      </c>
      <c r="L467" t="s">
        <v>62</v>
      </c>
    </row>
    <row r="468" spans="1:13">
      <c r="A468">
        <v>45695</v>
      </c>
      <c r="B468" t="s">
        <v>606</v>
      </c>
      <c r="E468">
        <v>15000</v>
      </c>
      <c r="F468">
        <v>1</v>
      </c>
      <c r="G468" t="s">
        <v>65</v>
      </c>
      <c r="H468" t="s">
        <v>348</v>
      </c>
      <c r="I468" t="s">
        <v>60</v>
      </c>
      <c r="J468" t="s">
        <v>61</v>
      </c>
      <c r="L468" t="s">
        <v>62</v>
      </c>
      <c r="M468" t="s">
        <v>903</v>
      </c>
    </row>
    <row r="469" spans="1:13">
      <c r="A469">
        <v>45695</v>
      </c>
      <c r="B469" t="s">
        <v>604</v>
      </c>
      <c r="E469">
        <v>15000</v>
      </c>
      <c r="F469">
        <v>1</v>
      </c>
      <c r="G469" t="s">
        <v>65</v>
      </c>
      <c r="H469" t="s">
        <v>348</v>
      </c>
      <c r="I469" t="s">
        <v>60</v>
      </c>
      <c r="J469" t="s">
        <v>61</v>
      </c>
      <c r="L469" t="s">
        <v>62</v>
      </c>
      <c r="M469" t="s">
        <v>903</v>
      </c>
    </row>
    <row r="470" spans="1:13">
      <c r="A470">
        <v>45695</v>
      </c>
      <c r="B470" t="s">
        <v>248</v>
      </c>
      <c r="E470">
        <v>15000</v>
      </c>
      <c r="F470">
        <v>1</v>
      </c>
      <c r="G470" t="s">
        <v>65</v>
      </c>
      <c r="H470" t="s">
        <v>348</v>
      </c>
      <c r="I470" t="s">
        <v>60</v>
      </c>
      <c r="J470" t="s">
        <v>61</v>
      </c>
      <c r="L470" t="s">
        <v>62</v>
      </c>
      <c r="M470" t="s">
        <v>903</v>
      </c>
    </row>
    <row r="471" spans="1:13">
      <c r="A471">
        <v>45695</v>
      </c>
      <c r="B471" t="s">
        <v>63</v>
      </c>
      <c r="D471">
        <v>15000</v>
      </c>
      <c r="F471">
        <v>2</v>
      </c>
      <c r="G471" t="s">
        <v>70</v>
      </c>
      <c r="I471" t="s">
        <v>71</v>
      </c>
      <c r="J471" t="s">
        <v>72</v>
      </c>
      <c r="K471">
        <v>448</v>
      </c>
      <c r="L471" t="s">
        <v>62</v>
      </c>
      <c r="M471" t="s">
        <v>90</v>
      </c>
    </row>
    <row r="472" spans="1:13">
      <c r="A472">
        <v>45695</v>
      </c>
      <c r="B472" t="s">
        <v>904</v>
      </c>
      <c r="D472">
        <v>500</v>
      </c>
      <c r="F472">
        <v>1</v>
      </c>
      <c r="G472" t="s">
        <v>22</v>
      </c>
      <c r="H472" t="s">
        <v>21</v>
      </c>
      <c r="I472" t="s">
        <v>60</v>
      </c>
      <c r="J472" t="s">
        <v>61</v>
      </c>
      <c r="L472" t="s">
        <v>82</v>
      </c>
    </row>
    <row r="473" spans="1:13">
      <c r="A473">
        <v>45695</v>
      </c>
      <c r="B473" t="s">
        <v>905</v>
      </c>
      <c r="F473">
        <v>1</v>
      </c>
      <c r="G473" t="s">
        <v>64</v>
      </c>
      <c r="L473" t="s">
        <v>82</v>
      </c>
      <c r="M473" t="s">
        <v>906</v>
      </c>
    </row>
    <row r="474" spans="1:13">
      <c r="A474">
        <v>45695</v>
      </c>
      <c r="B474" t="s">
        <v>63</v>
      </c>
      <c r="D474">
        <v>45000</v>
      </c>
      <c r="F474">
        <v>7</v>
      </c>
      <c r="G474" t="s">
        <v>70</v>
      </c>
      <c r="I474" t="s">
        <v>71</v>
      </c>
      <c r="J474" t="s">
        <v>72</v>
      </c>
      <c r="K474">
        <v>449</v>
      </c>
      <c r="L474" t="s">
        <v>62</v>
      </c>
      <c r="M474" t="s">
        <v>907</v>
      </c>
    </row>
    <row r="475" spans="1:13">
      <c r="A475">
        <v>45695</v>
      </c>
      <c r="B475" t="s">
        <v>908</v>
      </c>
      <c r="D475">
        <v>500</v>
      </c>
      <c r="F475">
        <v>1</v>
      </c>
      <c r="G475" t="s">
        <v>22</v>
      </c>
      <c r="H475" t="s">
        <v>21</v>
      </c>
      <c r="I475" t="s">
        <v>60</v>
      </c>
      <c r="J475" t="s">
        <v>61</v>
      </c>
      <c r="L475" t="s">
        <v>82</v>
      </c>
    </row>
    <row r="476" spans="1:13">
      <c r="A476">
        <v>45695</v>
      </c>
      <c r="B476" t="s">
        <v>909</v>
      </c>
      <c r="F476">
        <v>1</v>
      </c>
      <c r="G476" t="s">
        <v>319</v>
      </c>
      <c r="H476" t="s">
        <v>21</v>
      </c>
      <c r="L476" t="s">
        <v>82</v>
      </c>
    </row>
    <row r="477" spans="1:13">
      <c r="A477">
        <v>45695</v>
      </c>
      <c r="B477" t="s">
        <v>910</v>
      </c>
      <c r="F477">
        <v>1</v>
      </c>
      <c r="G477" t="s">
        <v>107</v>
      </c>
      <c r="H477" t="s">
        <v>21</v>
      </c>
      <c r="L477" t="s">
        <v>82</v>
      </c>
    </row>
    <row r="478" spans="1:13">
      <c r="A478">
        <v>45695</v>
      </c>
      <c r="B478" t="s">
        <v>911</v>
      </c>
      <c r="F478">
        <v>1</v>
      </c>
      <c r="G478" t="s">
        <v>0</v>
      </c>
      <c r="L478" t="s">
        <v>89</v>
      </c>
    </row>
    <row r="479" spans="1:13">
      <c r="A479">
        <v>45696</v>
      </c>
      <c r="B479" t="s">
        <v>559</v>
      </c>
      <c r="E479">
        <v>10000</v>
      </c>
      <c r="F479">
        <v>1</v>
      </c>
      <c r="G479" t="s">
        <v>65</v>
      </c>
      <c r="H479" t="s">
        <v>560</v>
      </c>
      <c r="I479" t="s">
        <v>60</v>
      </c>
      <c r="J479" t="s">
        <v>61</v>
      </c>
      <c r="L479" t="s">
        <v>62</v>
      </c>
    </row>
    <row r="480" spans="1:13">
      <c r="A480">
        <v>45696</v>
      </c>
      <c r="B480" t="s">
        <v>561</v>
      </c>
      <c r="E480">
        <v>8000</v>
      </c>
      <c r="F480">
        <v>1</v>
      </c>
      <c r="G480" t="s">
        <v>65</v>
      </c>
      <c r="H480" t="s">
        <v>560</v>
      </c>
      <c r="I480" t="s">
        <v>60</v>
      </c>
      <c r="J480" t="s">
        <v>61</v>
      </c>
      <c r="L480" t="s">
        <v>62</v>
      </c>
    </row>
    <row r="481" spans="1:13">
      <c r="A481">
        <v>45696</v>
      </c>
      <c r="B481" t="s">
        <v>84</v>
      </c>
      <c r="D481">
        <v>-20800</v>
      </c>
      <c r="G481" t="s">
        <v>77</v>
      </c>
      <c r="I481" t="s">
        <v>60</v>
      </c>
      <c r="J481" t="s">
        <v>61</v>
      </c>
      <c r="L481" t="s">
        <v>62</v>
      </c>
    </row>
    <row r="482" spans="1:13">
      <c r="A482">
        <v>45696</v>
      </c>
      <c r="B482" t="s">
        <v>84</v>
      </c>
      <c r="E482">
        <v>-1100</v>
      </c>
      <c r="G482" t="s">
        <v>65</v>
      </c>
      <c r="H482" t="s">
        <v>85</v>
      </c>
      <c r="I482" t="s">
        <v>60</v>
      </c>
      <c r="J482" t="s">
        <v>61</v>
      </c>
      <c r="L482" t="s">
        <v>62</v>
      </c>
    </row>
    <row r="483" spans="1:13">
      <c r="A483">
        <v>45696</v>
      </c>
      <c r="B483" t="s">
        <v>562</v>
      </c>
      <c r="D483">
        <v>32300</v>
      </c>
      <c r="G483" t="s">
        <v>77</v>
      </c>
      <c r="I483" t="s">
        <v>60</v>
      </c>
      <c r="J483" t="s">
        <v>61</v>
      </c>
      <c r="L483" t="s">
        <v>62</v>
      </c>
    </row>
    <row r="484" spans="1:13">
      <c r="A484">
        <v>45696</v>
      </c>
      <c r="B484" t="s">
        <v>63</v>
      </c>
      <c r="D484">
        <v>700</v>
      </c>
      <c r="F484">
        <v>7</v>
      </c>
      <c r="G484" t="s">
        <v>22</v>
      </c>
      <c r="H484" t="s">
        <v>93</v>
      </c>
      <c r="I484" t="s">
        <v>60</v>
      </c>
      <c r="J484" t="s">
        <v>61</v>
      </c>
      <c r="L484" t="s">
        <v>62</v>
      </c>
    </row>
    <row r="485" spans="1:13">
      <c r="A485">
        <v>45696</v>
      </c>
      <c r="B485" t="s">
        <v>63</v>
      </c>
      <c r="D485">
        <v>17000</v>
      </c>
      <c r="F485">
        <v>3</v>
      </c>
      <c r="G485" t="s">
        <v>70</v>
      </c>
      <c r="I485" t="s">
        <v>71</v>
      </c>
      <c r="J485" t="s">
        <v>535</v>
      </c>
      <c r="K485">
        <v>450</v>
      </c>
      <c r="L485" t="s">
        <v>62</v>
      </c>
      <c r="M485" t="s">
        <v>90</v>
      </c>
    </row>
    <row r="486" spans="1:13">
      <c r="A486">
        <v>45696</v>
      </c>
      <c r="B486" t="s">
        <v>912</v>
      </c>
      <c r="D486">
        <v>500</v>
      </c>
      <c r="F486">
        <v>1</v>
      </c>
      <c r="G486" t="s">
        <v>22</v>
      </c>
      <c r="H486" t="s">
        <v>21</v>
      </c>
      <c r="I486" t="s">
        <v>60</v>
      </c>
      <c r="J486" t="s">
        <v>61</v>
      </c>
      <c r="L486" t="s">
        <v>86</v>
      </c>
    </row>
    <row r="487" spans="1:13">
      <c r="A487">
        <v>45696</v>
      </c>
      <c r="B487" t="s">
        <v>913</v>
      </c>
      <c r="F487">
        <v>1</v>
      </c>
      <c r="G487" t="s">
        <v>590</v>
      </c>
      <c r="H487" t="s">
        <v>21</v>
      </c>
      <c r="L487" t="s">
        <v>86</v>
      </c>
    </row>
    <row r="488" spans="1:13">
      <c r="A488">
        <v>45696</v>
      </c>
      <c r="B488" t="s">
        <v>914</v>
      </c>
      <c r="D488">
        <v>500</v>
      </c>
      <c r="F488">
        <v>1</v>
      </c>
      <c r="G488" t="s">
        <v>22</v>
      </c>
      <c r="H488" t="s">
        <v>21</v>
      </c>
      <c r="I488" t="s">
        <v>60</v>
      </c>
      <c r="J488" t="s">
        <v>61</v>
      </c>
      <c r="L488" t="s">
        <v>82</v>
      </c>
    </row>
    <row r="489" spans="1:13">
      <c r="A489">
        <v>45696</v>
      </c>
      <c r="B489" t="s">
        <v>63</v>
      </c>
      <c r="D489">
        <v>8500</v>
      </c>
      <c r="F489">
        <v>1</v>
      </c>
      <c r="G489" t="s">
        <v>70</v>
      </c>
      <c r="I489" t="s">
        <v>71</v>
      </c>
      <c r="J489" t="s">
        <v>72</v>
      </c>
      <c r="K489">
        <v>451</v>
      </c>
      <c r="L489" t="s">
        <v>62</v>
      </c>
      <c r="M489" t="s">
        <v>90</v>
      </c>
    </row>
    <row r="490" spans="1:13">
      <c r="A490">
        <v>45696</v>
      </c>
      <c r="B490" t="s">
        <v>63</v>
      </c>
      <c r="D490">
        <v>5000</v>
      </c>
      <c r="G490" t="s">
        <v>70</v>
      </c>
      <c r="I490" t="s">
        <v>60</v>
      </c>
      <c r="J490" t="s">
        <v>61</v>
      </c>
      <c r="L490" t="s">
        <v>62</v>
      </c>
    </row>
    <row r="491" spans="1:13">
      <c r="A491">
        <v>45697</v>
      </c>
      <c r="B491" t="s">
        <v>915</v>
      </c>
      <c r="F491">
        <v>1</v>
      </c>
      <c r="G491" t="s">
        <v>377</v>
      </c>
      <c r="H491" t="s">
        <v>21</v>
      </c>
      <c r="L491" t="s">
        <v>86</v>
      </c>
    </row>
    <row r="492" spans="1:13">
      <c r="A492">
        <v>45697</v>
      </c>
      <c r="B492" t="s">
        <v>916</v>
      </c>
      <c r="F492">
        <v>1</v>
      </c>
      <c r="G492" t="s">
        <v>377</v>
      </c>
      <c r="H492" t="s">
        <v>21</v>
      </c>
      <c r="L492" t="s">
        <v>86</v>
      </c>
    </row>
    <row r="493" spans="1:13">
      <c r="A493">
        <v>45697</v>
      </c>
      <c r="B493" t="s">
        <v>917</v>
      </c>
      <c r="F493">
        <v>1</v>
      </c>
      <c r="G493" t="s">
        <v>377</v>
      </c>
      <c r="H493" t="s">
        <v>21</v>
      </c>
      <c r="L493" t="s">
        <v>86</v>
      </c>
    </row>
    <row r="494" spans="1:13">
      <c r="A494">
        <v>45697</v>
      </c>
      <c r="B494" t="s">
        <v>63</v>
      </c>
      <c r="D494">
        <v>65000</v>
      </c>
      <c r="G494" t="s">
        <v>70</v>
      </c>
      <c r="I494" t="s">
        <v>60</v>
      </c>
      <c r="J494" t="s">
        <v>61</v>
      </c>
      <c r="L494" t="s">
        <v>62</v>
      </c>
    </row>
    <row r="495" spans="1:13">
      <c r="A495">
        <v>45697</v>
      </c>
      <c r="B495" t="s">
        <v>63</v>
      </c>
      <c r="D495">
        <v>16000</v>
      </c>
      <c r="F495">
        <v>3</v>
      </c>
      <c r="G495" t="s">
        <v>70</v>
      </c>
      <c r="I495" t="s">
        <v>71</v>
      </c>
      <c r="J495" t="s">
        <v>72</v>
      </c>
      <c r="K495">
        <v>452</v>
      </c>
      <c r="L495" t="s">
        <v>62</v>
      </c>
      <c r="M495" t="s">
        <v>918</v>
      </c>
    </row>
    <row r="496" spans="1:13">
      <c r="A496">
        <v>45697</v>
      </c>
      <c r="B496" t="s">
        <v>63</v>
      </c>
      <c r="D496">
        <v>13000</v>
      </c>
      <c r="F496">
        <v>2</v>
      </c>
      <c r="G496" t="s">
        <v>70</v>
      </c>
      <c r="I496" t="s">
        <v>71</v>
      </c>
      <c r="J496" t="s">
        <v>72</v>
      </c>
      <c r="K496">
        <v>453</v>
      </c>
      <c r="L496" t="s">
        <v>62</v>
      </c>
      <c r="M496" t="s">
        <v>919</v>
      </c>
    </row>
    <row r="497" spans="1:13">
      <c r="A497">
        <v>45698</v>
      </c>
      <c r="B497" t="s">
        <v>238</v>
      </c>
      <c r="C497">
        <v>321</v>
      </c>
      <c r="F497">
        <v>30</v>
      </c>
      <c r="G497" t="s">
        <v>22</v>
      </c>
      <c r="H497" t="s">
        <v>21</v>
      </c>
      <c r="L497" t="s">
        <v>95</v>
      </c>
    </row>
    <row r="498" spans="1:13">
      <c r="A498">
        <v>45698</v>
      </c>
      <c r="B498" t="s">
        <v>63</v>
      </c>
      <c r="D498">
        <v>200</v>
      </c>
      <c r="F498">
        <v>2</v>
      </c>
      <c r="G498" t="s">
        <v>22</v>
      </c>
      <c r="H498" t="s">
        <v>93</v>
      </c>
      <c r="I498" t="s">
        <v>60</v>
      </c>
      <c r="J498" t="s">
        <v>61</v>
      </c>
      <c r="L498" t="s">
        <v>62</v>
      </c>
    </row>
    <row r="499" spans="1:13">
      <c r="A499">
        <v>45698</v>
      </c>
      <c r="B499" t="s">
        <v>63</v>
      </c>
      <c r="D499">
        <v>14500</v>
      </c>
      <c r="G499" t="s">
        <v>70</v>
      </c>
      <c r="I499" t="s">
        <v>60</v>
      </c>
      <c r="J499" t="s">
        <v>61</v>
      </c>
      <c r="L499" t="s">
        <v>62</v>
      </c>
    </row>
    <row r="500" spans="1:13">
      <c r="A500">
        <v>45698</v>
      </c>
      <c r="B500" t="s">
        <v>920</v>
      </c>
      <c r="D500">
        <v>500</v>
      </c>
      <c r="F500">
        <v>1</v>
      </c>
      <c r="G500" t="s">
        <v>22</v>
      </c>
      <c r="H500" t="s">
        <v>21</v>
      </c>
      <c r="I500" t="s">
        <v>60</v>
      </c>
      <c r="J500" t="s">
        <v>61</v>
      </c>
      <c r="L500" t="s">
        <v>82</v>
      </c>
    </row>
    <row r="501" spans="1:13">
      <c r="A501">
        <v>45698</v>
      </c>
      <c r="B501" t="s">
        <v>921</v>
      </c>
      <c r="D501">
        <v>500</v>
      </c>
      <c r="F501">
        <v>0</v>
      </c>
      <c r="G501" t="s">
        <v>22</v>
      </c>
      <c r="H501" t="s">
        <v>21</v>
      </c>
      <c r="I501" t="s">
        <v>60</v>
      </c>
      <c r="J501" t="s">
        <v>61</v>
      </c>
      <c r="L501" t="s">
        <v>89</v>
      </c>
      <c r="M501" t="s">
        <v>83</v>
      </c>
    </row>
    <row r="502" spans="1:13">
      <c r="A502">
        <v>45698</v>
      </c>
      <c r="B502" t="s">
        <v>922</v>
      </c>
      <c r="D502">
        <v>500</v>
      </c>
      <c r="F502">
        <v>0</v>
      </c>
      <c r="G502" t="s">
        <v>22</v>
      </c>
      <c r="H502" t="s">
        <v>21</v>
      </c>
      <c r="I502" t="s">
        <v>60</v>
      </c>
      <c r="J502" t="s">
        <v>61</v>
      </c>
      <c r="L502" t="s">
        <v>89</v>
      </c>
      <c r="M502" t="s">
        <v>83</v>
      </c>
    </row>
    <row r="503" spans="1:13">
      <c r="A503">
        <v>45698</v>
      </c>
      <c r="B503" t="s">
        <v>923</v>
      </c>
      <c r="F503">
        <v>2</v>
      </c>
      <c r="G503" t="s">
        <v>22</v>
      </c>
      <c r="H503" t="s">
        <v>21</v>
      </c>
      <c r="L503" t="s">
        <v>461</v>
      </c>
      <c r="M503" t="s">
        <v>924</v>
      </c>
    </row>
    <row r="504" spans="1:13">
      <c r="A504">
        <v>45698</v>
      </c>
      <c r="B504" t="s">
        <v>925</v>
      </c>
      <c r="F504">
        <v>2</v>
      </c>
      <c r="G504" t="s">
        <v>377</v>
      </c>
      <c r="H504" t="s">
        <v>21</v>
      </c>
      <c r="L504" t="s">
        <v>89</v>
      </c>
    </row>
    <row r="505" spans="1:13">
      <c r="A505">
        <v>45698</v>
      </c>
      <c r="B505" t="s">
        <v>926</v>
      </c>
      <c r="F505">
        <v>1</v>
      </c>
      <c r="G505" t="s">
        <v>590</v>
      </c>
      <c r="H505" t="s">
        <v>21</v>
      </c>
      <c r="L505" t="s">
        <v>89</v>
      </c>
    </row>
    <row r="506" spans="1:13">
      <c r="A506">
        <v>45698</v>
      </c>
      <c r="B506" t="s">
        <v>927</v>
      </c>
      <c r="F506">
        <v>1</v>
      </c>
      <c r="G506" t="s">
        <v>564</v>
      </c>
      <c r="H506" t="s">
        <v>21</v>
      </c>
      <c r="L506" t="s">
        <v>89</v>
      </c>
    </row>
    <row r="507" spans="1:13">
      <c r="A507">
        <v>45698</v>
      </c>
      <c r="B507" t="s">
        <v>928</v>
      </c>
      <c r="D507">
        <v>500</v>
      </c>
      <c r="F507">
        <v>0</v>
      </c>
      <c r="G507" t="s">
        <v>22</v>
      </c>
      <c r="H507" t="s">
        <v>21</v>
      </c>
      <c r="I507" t="s">
        <v>60</v>
      </c>
      <c r="J507" t="s">
        <v>61</v>
      </c>
      <c r="L507" t="s">
        <v>89</v>
      </c>
      <c r="M507" t="s">
        <v>83</v>
      </c>
    </row>
    <row r="508" spans="1:13">
      <c r="A508">
        <v>45698</v>
      </c>
      <c r="B508" t="s">
        <v>929</v>
      </c>
      <c r="D508">
        <v>500</v>
      </c>
      <c r="F508">
        <v>1</v>
      </c>
      <c r="G508" t="s">
        <v>22</v>
      </c>
      <c r="H508" t="s">
        <v>21</v>
      </c>
      <c r="I508" t="s">
        <v>60</v>
      </c>
      <c r="J508" t="s">
        <v>61</v>
      </c>
      <c r="L508" t="s">
        <v>89</v>
      </c>
    </row>
    <row r="509" spans="1:13">
      <c r="A509">
        <v>45698</v>
      </c>
      <c r="B509" t="s">
        <v>930</v>
      </c>
      <c r="F509">
        <v>1</v>
      </c>
      <c r="G509" t="s">
        <v>64</v>
      </c>
      <c r="L509" t="s">
        <v>82</v>
      </c>
      <c r="M509" t="s">
        <v>96</v>
      </c>
    </row>
    <row r="510" spans="1:13">
      <c r="A510">
        <v>45699</v>
      </c>
      <c r="B510" t="s">
        <v>931</v>
      </c>
      <c r="F510">
        <v>2</v>
      </c>
      <c r="G510" t="s">
        <v>603</v>
      </c>
      <c r="H510" t="s">
        <v>21</v>
      </c>
      <c r="L510" t="s">
        <v>82</v>
      </c>
    </row>
    <row r="511" spans="1:13">
      <c r="A511">
        <v>45699</v>
      </c>
      <c r="B511" t="s">
        <v>932</v>
      </c>
      <c r="D511">
        <v>271999</v>
      </c>
      <c r="F511">
        <v>1</v>
      </c>
      <c r="G511" t="s">
        <v>64</v>
      </c>
      <c r="I511" t="s">
        <v>60</v>
      </c>
      <c r="J511" t="s">
        <v>61</v>
      </c>
      <c r="L511" t="s">
        <v>82</v>
      </c>
    </row>
    <row r="512" spans="1:13">
      <c r="A512">
        <v>45699</v>
      </c>
      <c r="B512" t="s">
        <v>933</v>
      </c>
      <c r="D512">
        <v>500</v>
      </c>
      <c r="F512">
        <v>1</v>
      </c>
      <c r="G512" t="s">
        <v>22</v>
      </c>
      <c r="H512" t="s">
        <v>21</v>
      </c>
      <c r="I512" t="s">
        <v>60</v>
      </c>
      <c r="J512" t="s">
        <v>61</v>
      </c>
      <c r="L512" t="s">
        <v>89</v>
      </c>
    </row>
    <row r="513" spans="1:13">
      <c r="A513">
        <v>45699</v>
      </c>
      <c r="B513" t="s">
        <v>934</v>
      </c>
      <c r="F513">
        <v>1</v>
      </c>
      <c r="G513" t="s">
        <v>377</v>
      </c>
      <c r="H513" t="s">
        <v>21</v>
      </c>
      <c r="L513" t="s">
        <v>89</v>
      </c>
    </row>
    <row r="514" spans="1:13">
      <c r="A514">
        <v>45699</v>
      </c>
      <c r="B514" t="s">
        <v>935</v>
      </c>
      <c r="D514">
        <v>500</v>
      </c>
      <c r="F514">
        <v>1</v>
      </c>
      <c r="G514" t="s">
        <v>22</v>
      </c>
      <c r="H514" t="s">
        <v>21</v>
      </c>
      <c r="I514" t="s">
        <v>60</v>
      </c>
      <c r="J514" t="s">
        <v>61</v>
      </c>
      <c r="L514" t="s">
        <v>82</v>
      </c>
    </row>
    <row r="515" spans="1:13">
      <c r="A515">
        <v>45699</v>
      </c>
      <c r="B515" t="s">
        <v>935</v>
      </c>
      <c r="D515">
        <v>0</v>
      </c>
      <c r="F515">
        <v>0</v>
      </c>
      <c r="G515" t="s">
        <v>22</v>
      </c>
      <c r="H515" t="s">
        <v>21</v>
      </c>
      <c r="I515" t="s">
        <v>60</v>
      </c>
      <c r="J515" t="s">
        <v>61</v>
      </c>
      <c r="L515" t="s">
        <v>82</v>
      </c>
      <c r="M515" t="s">
        <v>83</v>
      </c>
    </row>
    <row r="516" spans="1:13">
      <c r="A516">
        <v>45699</v>
      </c>
      <c r="B516" t="s">
        <v>63</v>
      </c>
      <c r="D516">
        <v>600</v>
      </c>
      <c r="F516">
        <v>6</v>
      </c>
      <c r="G516" t="s">
        <v>22</v>
      </c>
      <c r="H516" t="s">
        <v>93</v>
      </c>
      <c r="I516" t="s">
        <v>60</v>
      </c>
      <c r="J516" t="s">
        <v>61</v>
      </c>
      <c r="L516" t="s">
        <v>62</v>
      </c>
    </row>
    <row r="517" spans="1:13">
      <c r="A517">
        <v>45699</v>
      </c>
      <c r="B517" t="s">
        <v>63</v>
      </c>
      <c r="D517">
        <v>10000</v>
      </c>
      <c r="F517">
        <v>2</v>
      </c>
      <c r="G517" t="s">
        <v>70</v>
      </c>
      <c r="I517" t="s">
        <v>71</v>
      </c>
      <c r="J517" t="s">
        <v>72</v>
      </c>
      <c r="K517">
        <v>454</v>
      </c>
      <c r="L517" t="s">
        <v>62</v>
      </c>
      <c r="M517" t="s">
        <v>90</v>
      </c>
    </row>
    <row r="518" spans="1:13">
      <c r="A518">
        <v>45699</v>
      </c>
      <c r="B518" t="s">
        <v>63</v>
      </c>
      <c r="D518">
        <v>34044</v>
      </c>
      <c r="G518" t="s">
        <v>70</v>
      </c>
      <c r="I518" t="s">
        <v>60</v>
      </c>
      <c r="J518" t="s">
        <v>61</v>
      </c>
      <c r="L518" t="s">
        <v>62</v>
      </c>
    </row>
    <row r="519" spans="1:13">
      <c r="A519">
        <v>45699</v>
      </c>
      <c r="B519" t="s">
        <v>936</v>
      </c>
      <c r="E519">
        <v>1544</v>
      </c>
      <c r="F519">
        <v>1</v>
      </c>
      <c r="G519" t="s">
        <v>65</v>
      </c>
      <c r="H519" t="s">
        <v>66</v>
      </c>
      <c r="I519" t="s">
        <v>60</v>
      </c>
      <c r="J519" t="s">
        <v>61</v>
      </c>
      <c r="L519" t="s">
        <v>88</v>
      </c>
    </row>
    <row r="520" spans="1:13">
      <c r="A520">
        <v>45699</v>
      </c>
      <c r="B520" t="s">
        <v>233</v>
      </c>
      <c r="E520">
        <v>100000</v>
      </c>
      <c r="F520">
        <v>1</v>
      </c>
      <c r="G520" t="s">
        <v>65</v>
      </c>
      <c r="H520" t="s">
        <v>348</v>
      </c>
      <c r="I520" t="s">
        <v>60</v>
      </c>
      <c r="J520" t="s">
        <v>61</v>
      </c>
      <c r="L520" t="s">
        <v>0</v>
      </c>
      <c r="M520" t="s">
        <v>670</v>
      </c>
    </row>
    <row r="521" spans="1:13">
      <c r="A521">
        <v>45699</v>
      </c>
      <c r="B521" t="s">
        <v>643</v>
      </c>
      <c r="E521">
        <v>21000</v>
      </c>
      <c r="F521">
        <v>1</v>
      </c>
      <c r="G521" t="s">
        <v>65</v>
      </c>
      <c r="H521" t="s">
        <v>348</v>
      </c>
      <c r="I521" t="s">
        <v>60</v>
      </c>
      <c r="J521" t="s">
        <v>61</v>
      </c>
      <c r="L521" t="s">
        <v>0</v>
      </c>
      <c r="M521" t="s">
        <v>670</v>
      </c>
    </row>
    <row r="522" spans="1:13">
      <c r="A522">
        <v>45699</v>
      </c>
      <c r="B522" t="s">
        <v>661</v>
      </c>
      <c r="E522">
        <v>2395800</v>
      </c>
      <c r="F522">
        <v>1</v>
      </c>
      <c r="G522" t="s">
        <v>74</v>
      </c>
      <c r="H522" t="s">
        <v>75</v>
      </c>
      <c r="I522" t="s">
        <v>60</v>
      </c>
      <c r="J522" t="s">
        <v>61</v>
      </c>
      <c r="L522" t="s">
        <v>104</v>
      </c>
      <c r="M522" t="s">
        <v>937</v>
      </c>
    </row>
    <row r="523" spans="1:13">
      <c r="A523">
        <v>45699</v>
      </c>
      <c r="B523" t="s">
        <v>661</v>
      </c>
      <c r="E523">
        <v>726250</v>
      </c>
      <c r="F523">
        <v>1</v>
      </c>
      <c r="G523" t="s">
        <v>74</v>
      </c>
      <c r="H523" t="s">
        <v>75</v>
      </c>
      <c r="I523" t="s">
        <v>60</v>
      </c>
      <c r="J523" t="s">
        <v>61</v>
      </c>
      <c r="L523" t="s">
        <v>768</v>
      </c>
      <c r="M523" t="s">
        <v>937</v>
      </c>
    </row>
    <row r="524" spans="1:13">
      <c r="A524">
        <v>45699</v>
      </c>
      <c r="B524" t="s">
        <v>938</v>
      </c>
      <c r="D524">
        <v>500</v>
      </c>
      <c r="F524">
        <v>0</v>
      </c>
      <c r="G524" t="s">
        <v>22</v>
      </c>
      <c r="H524" t="s">
        <v>21</v>
      </c>
      <c r="I524" t="s">
        <v>60</v>
      </c>
      <c r="J524" t="s">
        <v>61</v>
      </c>
      <c r="L524" t="s">
        <v>89</v>
      </c>
      <c r="M524" t="s">
        <v>83</v>
      </c>
    </row>
    <row r="525" spans="1:13">
      <c r="A525">
        <v>45699</v>
      </c>
      <c r="B525" t="s">
        <v>939</v>
      </c>
      <c r="D525">
        <v>500</v>
      </c>
      <c r="F525">
        <v>1</v>
      </c>
      <c r="G525" t="s">
        <v>22</v>
      </c>
      <c r="H525" t="s">
        <v>21</v>
      </c>
      <c r="I525" t="s">
        <v>60</v>
      </c>
      <c r="J525" t="s">
        <v>61</v>
      </c>
      <c r="L525" t="s">
        <v>89</v>
      </c>
    </row>
    <row r="526" spans="1:13">
      <c r="A526">
        <v>45699</v>
      </c>
      <c r="B526" t="s">
        <v>940</v>
      </c>
      <c r="F526">
        <v>1</v>
      </c>
      <c r="G526" t="s">
        <v>22</v>
      </c>
      <c r="H526" t="s">
        <v>21</v>
      </c>
      <c r="L526" t="s">
        <v>461</v>
      </c>
      <c r="M526" t="s">
        <v>941</v>
      </c>
    </row>
    <row r="527" spans="1:13">
      <c r="A527">
        <v>45699</v>
      </c>
      <c r="B527" t="s">
        <v>942</v>
      </c>
      <c r="F527">
        <v>1</v>
      </c>
      <c r="G527" t="s">
        <v>79</v>
      </c>
      <c r="H527" t="s">
        <v>21</v>
      </c>
      <c r="L527" t="s">
        <v>89</v>
      </c>
    </row>
    <row r="528" spans="1:13">
      <c r="A528">
        <v>45699</v>
      </c>
      <c r="B528" t="s">
        <v>943</v>
      </c>
      <c r="F528">
        <v>1</v>
      </c>
      <c r="G528" t="s">
        <v>564</v>
      </c>
      <c r="H528" t="s">
        <v>21</v>
      </c>
      <c r="L528" t="s">
        <v>89</v>
      </c>
    </row>
    <row r="529" spans="1:13">
      <c r="A529">
        <v>45700</v>
      </c>
      <c r="B529" t="s">
        <v>84</v>
      </c>
      <c r="D529">
        <v>-20800</v>
      </c>
      <c r="G529" t="s">
        <v>77</v>
      </c>
      <c r="I529" t="s">
        <v>60</v>
      </c>
      <c r="J529" t="s">
        <v>61</v>
      </c>
      <c r="L529" t="s">
        <v>62</v>
      </c>
    </row>
    <row r="530" spans="1:13">
      <c r="A530">
        <v>45700</v>
      </c>
      <c r="B530" t="s">
        <v>84</v>
      </c>
      <c r="E530">
        <v>-1100</v>
      </c>
      <c r="G530" t="s">
        <v>65</v>
      </c>
      <c r="H530" t="s">
        <v>85</v>
      </c>
      <c r="I530" t="s">
        <v>60</v>
      </c>
      <c r="J530" t="s">
        <v>61</v>
      </c>
      <c r="L530" t="s">
        <v>62</v>
      </c>
    </row>
    <row r="531" spans="1:13">
      <c r="A531">
        <v>45700</v>
      </c>
      <c r="B531" t="s">
        <v>944</v>
      </c>
      <c r="F531">
        <v>1</v>
      </c>
      <c r="G531" t="s">
        <v>64</v>
      </c>
      <c r="L531" t="s">
        <v>89</v>
      </c>
      <c r="M531" t="s">
        <v>647</v>
      </c>
    </row>
    <row r="532" spans="1:13">
      <c r="A532">
        <v>45700</v>
      </c>
      <c r="B532" t="s">
        <v>63</v>
      </c>
      <c r="D532">
        <v>6500</v>
      </c>
      <c r="G532" t="s">
        <v>70</v>
      </c>
      <c r="I532" t="s">
        <v>60</v>
      </c>
      <c r="J532" t="s">
        <v>61</v>
      </c>
      <c r="L532" t="s">
        <v>62</v>
      </c>
    </row>
    <row r="533" spans="1:13">
      <c r="A533">
        <v>45700</v>
      </c>
      <c r="B533" t="s">
        <v>81</v>
      </c>
      <c r="D533">
        <v>179000</v>
      </c>
      <c r="F533">
        <v>1</v>
      </c>
      <c r="G533" t="s">
        <v>74</v>
      </c>
      <c r="H533" t="s">
        <v>75</v>
      </c>
      <c r="I533" t="s">
        <v>60</v>
      </c>
      <c r="J533" t="s">
        <v>61</v>
      </c>
      <c r="L533" t="s">
        <v>88</v>
      </c>
    </row>
    <row r="534" spans="1:13">
      <c r="A534">
        <v>45700</v>
      </c>
      <c r="B534" t="s">
        <v>84</v>
      </c>
      <c r="D534">
        <v>-20800</v>
      </c>
      <c r="G534" t="s">
        <v>77</v>
      </c>
      <c r="I534" t="s">
        <v>60</v>
      </c>
      <c r="J534" t="s">
        <v>61</v>
      </c>
      <c r="L534" t="s">
        <v>62</v>
      </c>
    </row>
    <row r="535" spans="1:13">
      <c r="A535">
        <v>45700</v>
      </c>
      <c r="B535" t="s">
        <v>84</v>
      </c>
      <c r="E535">
        <v>-1100</v>
      </c>
      <c r="G535" t="s">
        <v>65</v>
      </c>
      <c r="H535" t="s">
        <v>85</v>
      </c>
      <c r="I535" t="s">
        <v>60</v>
      </c>
      <c r="J535" t="s">
        <v>61</v>
      </c>
      <c r="L535" t="s">
        <v>62</v>
      </c>
    </row>
    <row r="536" spans="1:13">
      <c r="A536">
        <v>45700</v>
      </c>
      <c r="B536" t="s">
        <v>347</v>
      </c>
      <c r="E536">
        <v>4700</v>
      </c>
      <c r="F536">
        <v>1</v>
      </c>
      <c r="G536" t="s">
        <v>65</v>
      </c>
      <c r="H536" t="s">
        <v>348</v>
      </c>
      <c r="I536" t="s">
        <v>60</v>
      </c>
      <c r="J536" t="s">
        <v>61</v>
      </c>
      <c r="L536" t="s">
        <v>88</v>
      </c>
    </row>
    <row r="537" spans="1:13">
      <c r="A537">
        <v>45700</v>
      </c>
      <c r="B537" t="s">
        <v>945</v>
      </c>
      <c r="D537">
        <v>500</v>
      </c>
      <c r="F537">
        <v>1</v>
      </c>
      <c r="G537" t="s">
        <v>22</v>
      </c>
      <c r="H537" t="s">
        <v>21</v>
      </c>
      <c r="I537" t="s">
        <v>60</v>
      </c>
      <c r="J537" t="s">
        <v>61</v>
      </c>
      <c r="L537" t="s">
        <v>82</v>
      </c>
    </row>
    <row r="538" spans="1:13">
      <c r="A538">
        <v>45700</v>
      </c>
      <c r="B538" t="s">
        <v>946</v>
      </c>
      <c r="D538">
        <v>500</v>
      </c>
      <c r="F538">
        <v>1</v>
      </c>
      <c r="G538" t="s">
        <v>22</v>
      </c>
      <c r="H538" t="s">
        <v>21</v>
      </c>
      <c r="I538" t="s">
        <v>60</v>
      </c>
      <c r="J538" t="s">
        <v>61</v>
      </c>
      <c r="L538" t="s">
        <v>82</v>
      </c>
    </row>
    <row r="539" spans="1:13">
      <c r="A539">
        <v>45700</v>
      </c>
      <c r="B539" t="s">
        <v>947</v>
      </c>
      <c r="D539">
        <v>500</v>
      </c>
      <c r="F539">
        <v>1</v>
      </c>
      <c r="G539" t="s">
        <v>22</v>
      </c>
      <c r="H539" t="s">
        <v>21</v>
      </c>
      <c r="I539" t="s">
        <v>60</v>
      </c>
      <c r="J539" t="s">
        <v>61</v>
      </c>
      <c r="L539" t="s">
        <v>82</v>
      </c>
    </row>
    <row r="540" spans="1:13">
      <c r="A540">
        <v>45700</v>
      </c>
      <c r="B540" t="s">
        <v>948</v>
      </c>
      <c r="E540">
        <v>85000</v>
      </c>
      <c r="F540">
        <v>1</v>
      </c>
      <c r="G540" t="s">
        <v>65</v>
      </c>
      <c r="H540" t="s">
        <v>348</v>
      </c>
      <c r="I540" t="s">
        <v>60</v>
      </c>
      <c r="J540" t="s">
        <v>61</v>
      </c>
      <c r="L540" t="s">
        <v>62</v>
      </c>
      <c r="M540" t="s">
        <v>670</v>
      </c>
    </row>
    <row r="541" spans="1:13">
      <c r="A541">
        <v>45700</v>
      </c>
      <c r="B541" t="s">
        <v>727</v>
      </c>
      <c r="C541">
        <v>311</v>
      </c>
      <c r="E541">
        <v>30000</v>
      </c>
      <c r="F541">
        <v>1</v>
      </c>
      <c r="G541" t="s">
        <v>65</v>
      </c>
      <c r="H541" t="s">
        <v>66</v>
      </c>
      <c r="I541" t="s">
        <v>60</v>
      </c>
      <c r="J541" t="s">
        <v>61</v>
      </c>
      <c r="L541" t="s">
        <v>768</v>
      </c>
      <c r="M541" t="s">
        <v>949</v>
      </c>
    </row>
    <row r="542" spans="1:13">
      <c r="A542">
        <v>45700</v>
      </c>
      <c r="B542" t="s">
        <v>719</v>
      </c>
      <c r="E542">
        <v>56994</v>
      </c>
      <c r="F542">
        <v>1</v>
      </c>
      <c r="G542" t="s">
        <v>65</v>
      </c>
      <c r="H542" t="s">
        <v>348</v>
      </c>
      <c r="I542" t="s">
        <v>60</v>
      </c>
      <c r="J542" t="s">
        <v>61</v>
      </c>
      <c r="L542" t="s">
        <v>88</v>
      </c>
    </row>
    <row r="543" spans="1:13">
      <c r="A543">
        <v>45700</v>
      </c>
      <c r="B543" t="s">
        <v>868</v>
      </c>
      <c r="F543">
        <v>-28</v>
      </c>
      <c r="G543" t="s">
        <v>22</v>
      </c>
      <c r="H543" t="s">
        <v>93</v>
      </c>
      <c r="I543" t="s">
        <v>60</v>
      </c>
      <c r="J543" t="s">
        <v>61</v>
      </c>
      <c r="L543" t="s">
        <v>461</v>
      </c>
    </row>
    <row r="544" spans="1:13">
      <c r="A544">
        <v>45700</v>
      </c>
      <c r="B544" t="s">
        <v>562</v>
      </c>
      <c r="D544">
        <v>3500</v>
      </c>
      <c r="G544" t="s">
        <v>77</v>
      </c>
      <c r="I544" t="s">
        <v>60</v>
      </c>
      <c r="J544" t="s">
        <v>61</v>
      </c>
      <c r="L544" t="s">
        <v>62</v>
      </c>
    </row>
    <row r="545" spans="1:13">
      <c r="A545">
        <v>45700</v>
      </c>
      <c r="B545" t="s">
        <v>950</v>
      </c>
      <c r="F545">
        <v>1</v>
      </c>
      <c r="G545" t="s">
        <v>0</v>
      </c>
      <c r="L545" t="s">
        <v>89</v>
      </c>
    </row>
    <row r="546" spans="1:13">
      <c r="A546">
        <v>45701</v>
      </c>
      <c r="B546" t="s">
        <v>951</v>
      </c>
      <c r="D546">
        <v>500</v>
      </c>
      <c r="F546">
        <v>1</v>
      </c>
      <c r="G546" t="s">
        <v>22</v>
      </c>
      <c r="H546" t="s">
        <v>21</v>
      </c>
      <c r="I546" t="s">
        <v>60</v>
      </c>
      <c r="J546" t="s">
        <v>61</v>
      </c>
      <c r="L546" t="s">
        <v>89</v>
      </c>
    </row>
    <row r="547" spans="1:13">
      <c r="A547">
        <v>45701</v>
      </c>
      <c r="B547" t="s">
        <v>952</v>
      </c>
      <c r="D547">
        <v>500</v>
      </c>
      <c r="F547">
        <v>1</v>
      </c>
      <c r="G547" t="s">
        <v>22</v>
      </c>
      <c r="H547" t="s">
        <v>21</v>
      </c>
      <c r="I547" t="s">
        <v>60</v>
      </c>
      <c r="J547" t="s">
        <v>61</v>
      </c>
      <c r="L547" t="s">
        <v>89</v>
      </c>
    </row>
    <row r="548" spans="1:13">
      <c r="A548">
        <v>45701</v>
      </c>
      <c r="B548" t="s">
        <v>953</v>
      </c>
      <c r="F548">
        <v>1</v>
      </c>
      <c r="G548" t="s">
        <v>64</v>
      </c>
      <c r="L548" t="s">
        <v>89</v>
      </c>
      <c r="M548" t="s">
        <v>954</v>
      </c>
    </row>
    <row r="549" spans="1:13">
      <c r="A549">
        <v>45701</v>
      </c>
      <c r="B549" t="s">
        <v>81</v>
      </c>
      <c r="D549">
        <v>128000</v>
      </c>
      <c r="F549">
        <v>1</v>
      </c>
      <c r="G549" t="s">
        <v>74</v>
      </c>
      <c r="H549" t="s">
        <v>75</v>
      </c>
      <c r="I549" t="s">
        <v>60</v>
      </c>
      <c r="J549" t="s">
        <v>61</v>
      </c>
      <c r="L549" t="s">
        <v>88</v>
      </c>
      <c r="M549" t="s">
        <v>955</v>
      </c>
    </row>
    <row r="550" spans="1:13">
      <c r="A550">
        <v>45701</v>
      </c>
      <c r="B550" t="s">
        <v>63</v>
      </c>
      <c r="D550">
        <v>22645</v>
      </c>
      <c r="G550" t="s">
        <v>70</v>
      </c>
      <c r="I550" t="s">
        <v>60</v>
      </c>
      <c r="J550" t="s">
        <v>61</v>
      </c>
      <c r="L550" t="s">
        <v>62</v>
      </c>
    </row>
    <row r="551" spans="1:13">
      <c r="A551">
        <v>45701</v>
      </c>
      <c r="B551" t="s">
        <v>956</v>
      </c>
      <c r="D551">
        <v>500</v>
      </c>
      <c r="F551">
        <v>1</v>
      </c>
      <c r="G551" t="s">
        <v>22</v>
      </c>
      <c r="H551" t="s">
        <v>21</v>
      </c>
      <c r="I551" t="s">
        <v>60</v>
      </c>
      <c r="J551" t="s">
        <v>61</v>
      </c>
      <c r="L551" t="s">
        <v>89</v>
      </c>
    </row>
    <row r="552" spans="1:13">
      <c r="A552">
        <v>45701</v>
      </c>
      <c r="B552" t="s">
        <v>562</v>
      </c>
      <c r="D552">
        <v>9200</v>
      </c>
      <c r="G552" t="s">
        <v>77</v>
      </c>
      <c r="I552" t="s">
        <v>60</v>
      </c>
      <c r="J552" t="s">
        <v>61</v>
      </c>
      <c r="L552" t="s">
        <v>62</v>
      </c>
    </row>
    <row r="553" spans="1:13">
      <c r="A553">
        <v>45701</v>
      </c>
      <c r="B553" t="s">
        <v>63</v>
      </c>
      <c r="D553">
        <v>5000</v>
      </c>
      <c r="F553">
        <v>1</v>
      </c>
      <c r="G553" t="s">
        <v>70</v>
      </c>
      <c r="I553" t="s">
        <v>71</v>
      </c>
      <c r="J553" t="s">
        <v>72</v>
      </c>
      <c r="K553">
        <v>455</v>
      </c>
      <c r="L553" t="s">
        <v>62</v>
      </c>
      <c r="M553" t="s">
        <v>90</v>
      </c>
    </row>
    <row r="554" spans="1:13">
      <c r="A554">
        <v>45701</v>
      </c>
      <c r="B554" t="s">
        <v>63</v>
      </c>
      <c r="D554">
        <v>7500</v>
      </c>
      <c r="F554">
        <v>1</v>
      </c>
      <c r="G554" t="s">
        <v>70</v>
      </c>
      <c r="I554" t="s">
        <v>71</v>
      </c>
      <c r="J554" t="s">
        <v>72</v>
      </c>
      <c r="K554">
        <v>456</v>
      </c>
      <c r="L554" t="s">
        <v>62</v>
      </c>
      <c r="M554" t="s">
        <v>957</v>
      </c>
    </row>
    <row r="555" spans="1:13">
      <c r="A555">
        <v>45701</v>
      </c>
      <c r="B555" t="s">
        <v>63</v>
      </c>
      <c r="D555">
        <v>100</v>
      </c>
      <c r="F555">
        <v>1</v>
      </c>
      <c r="G555" t="s">
        <v>22</v>
      </c>
      <c r="H555" t="s">
        <v>93</v>
      </c>
      <c r="I555" t="s">
        <v>60</v>
      </c>
      <c r="J555" t="s">
        <v>61</v>
      </c>
      <c r="L555" t="s">
        <v>62</v>
      </c>
    </row>
    <row r="556" spans="1:13">
      <c r="A556">
        <v>45701</v>
      </c>
      <c r="B556" t="s">
        <v>958</v>
      </c>
      <c r="F556">
        <v>1</v>
      </c>
      <c r="G556" t="s">
        <v>564</v>
      </c>
      <c r="H556" t="s">
        <v>21</v>
      </c>
      <c r="L556" t="s">
        <v>89</v>
      </c>
    </row>
    <row r="557" spans="1:13">
      <c r="A557">
        <v>45702</v>
      </c>
      <c r="B557" t="s">
        <v>63</v>
      </c>
      <c r="D557">
        <v>7500</v>
      </c>
      <c r="F557">
        <v>1</v>
      </c>
      <c r="G557" t="s">
        <v>70</v>
      </c>
      <c r="I557" t="s">
        <v>71</v>
      </c>
      <c r="J557" t="s">
        <v>72</v>
      </c>
      <c r="K557">
        <v>457</v>
      </c>
      <c r="L557" t="s">
        <v>62</v>
      </c>
      <c r="M557" t="s">
        <v>90</v>
      </c>
    </row>
    <row r="558" spans="1:13">
      <c r="A558">
        <v>45702</v>
      </c>
      <c r="B558" t="s">
        <v>63</v>
      </c>
      <c r="D558">
        <v>6500</v>
      </c>
      <c r="F558">
        <v>1</v>
      </c>
      <c r="G558" t="s">
        <v>70</v>
      </c>
      <c r="I558" t="s">
        <v>71</v>
      </c>
      <c r="J558" t="s">
        <v>72</v>
      </c>
      <c r="K558">
        <v>458</v>
      </c>
      <c r="L558" t="s">
        <v>62</v>
      </c>
      <c r="M558" t="s">
        <v>90</v>
      </c>
    </row>
    <row r="559" spans="1:13">
      <c r="A559">
        <v>45702</v>
      </c>
      <c r="B559" t="s">
        <v>63</v>
      </c>
      <c r="D559">
        <v>19500</v>
      </c>
      <c r="G559" t="s">
        <v>70</v>
      </c>
      <c r="I559" t="s">
        <v>60</v>
      </c>
      <c r="J559" t="s">
        <v>61</v>
      </c>
      <c r="L559" t="s">
        <v>62</v>
      </c>
    </row>
    <row r="560" spans="1:13">
      <c r="A560">
        <v>45702</v>
      </c>
      <c r="B560" t="s">
        <v>959</v>
      </c>
      <c r="D560">
        <v>1000</v>
      </c>
      <c r="F560">
        <v>2</v>
      </c>
      <c r="G560" t="s">
        <v>22</v>
      </c>
      <c r="H560" t="s">
        <v>21</v>
      </c>
      <c r="I560" t="s">
        <v>60</v>
      </c>
      <c r="J560" t="s">
        <v>61</v>
      </c>
      <c r="L560" t="s">
        <v>89</v>
      </c>
    </row>
    <row r="561" spans="1:13">
      <c r="A561">
        <v>45702</v>
      </c>
      <c r="B561" t="s">
        <v>562</v>
      </c>
      <c r="D561">
        <v>4500</v>
      </c>
      <c r="G561" t="s">
        <v>77</v>
      </c>
      <c r="I561" t="s">
        <v>60</v>
      </c>
      <c r="J561" t="s">
        <v>61</v>
      </c>
      <c r="L561" t="s">
        <v>62</v>
      </c>
    </row>
    <row r="562" spans="1:13">
      <c r="A562">
        <v>45702</v>
      </c>
      <c r="B562" t="s">
        <v>63</v>
      </c>
      <c r="D562">
        <v>500</v>
      </c>
      <c r="F562">
        <v>5</v>
      </c>
      <c r="G562" t="s">
        <v>22</v>
      </c>
      <c r="H562" t="s">
        <v>93</v>
      </c>
      <c r="I562" t="s">
        <v>60</v>
      </c>
      <c r="J562" t="s">
        <v>61</v>
      </c>
      <c r="L562" t="s">
        <v>62</v>
      </c>
    </row>
    <row r="563" spans="1:13">
      <c r="A563">
        <v>45702</v>
      </c>
      <c r="B563" t="s">
        <v>960</v>
      </c>
      <c r="D563">
        <v>500</v>
      </c>
      <c r="F563">
        <v>1</v>
      </c>
      <c r="G563" t="s">
        <v>22</v>
      </c>
      <c r="H563" t="s">
        <v>21</v>
      </c>
      <c r="I563" t="s">
        <v>60</v>
      </c>
      <c r="J563" t="s">
        <v>61</v>
      </c>
      <c r="L563" t="s">
        <v>86</v>
      </c>
    </row>
    <row r="564" spans="1:13">
      <c r="A564">
        <v>45702</v>
      </c>
      <c r="B564" t="s">
        <v>961</v>
      </c>
      <c r="D564">
        <v>500</v>
      </c>
      <c r="F564">
        <v>1</v>
      </c>
      <c r="G564" t="s">
        <v>22</v>
      </c>
      <c r="H564" t="s">
        <v>21</v>
      </c>
      <c r="I564" t="s">
        <v>60</v>
      </c>
      <c r="J564" t="s">
        <v>61</v>
      </c>
      <c r="L564" t="s">
        <v>86</v>
      </c>
    </row>
    <row r="565" spans="1:13">
      <c r="A565">
        <v>45702</v>
      </c>
      <c r="B565" t="s">
        <v>961</v>
      </c>
      <c r="D565">
        <v>0</v>
      </c>
      <c r="F565">
        <v>0</v>
      </c>
      <c r="G565" t="s">
        <v>22</v>
      </c>
      <c r="H565" t="s">
        <v>21</v>
      </c>
      <c r="I565" t="s">
        <v>60</v>
      </c>
      <c r="J565" t="s">
        <v>61</v>
      </c>
      <c r="L565" t="s">
        <v>86</v>
      </c>
      <c r="M565" t="s">
        <v>83</v>
      </c>
    </row>
    <row r="566" spans="1:13">
      <c r="A566">
        <v>45702</v>
      </c>
      <c r="B566" t="s">
        <v>962</v>
      </c>
      <c r="D566">
        <v>500</v>
      </c>
      <c r="F566">
        <v>1</v>
      </c>
      <c r="G566" t="s">
        <v>22</v>
      </c>
      <c r="H566" t="s">
        <v>21</v>
      </c>
      <c r="I566" t="s">
        <v>60</v>
      </c>
      <c r="J566" t="s">
        <v>61</v>
      </c>
      <c r="L566" t="s">
        <v>86</v>
      </c>
    </row>
    <row r="567" spans="1:13">
      <c r="A567">
        <v>45702</v>
      </c>
      <c r="B567" t="s">
        <v>63</v>
      </c>
      <c r="D567">
        <v>25500</v>
      </c>
      <c r="F567">
        <v>2</v>
      </c>
      <c r="G567" t="s">
        <v>70</v>
      </c>
      <c r="I567" t="s">
        <v>71</v>
      </c>
      <c r="J567" t="s">
        <v>72</v>
      </c>
      <c r="K567">
        <v>459</v>
      </c>
      <c r="L567" t="s">
        <v>62</v>
      </c>
      <c r="M567" t="s">
        <v>90</v>
      </c>
    </row>
    <row r="568" spans="1:13">
      <c r="A568">
        <v>45702</v>
      </c>
      <c r="B568" t="s">
        <v>963</v>
      </c>
      <c r="F568">
        <v>1</v>
      </c>
      <c r="G568" t="s">
        <v>64</v>
      </c>
      <c r="L568" t="s">
        <v>86</v>
      </c>
      <c r="M568" t="s">
        <v>964</v>
      </c>
    </row>
    <row r="569" spans="1:13">
      <c r="A569">
        <v>45702</v>
      </c>
      <c r="B569" t="s">
        <v>965</v>
      </c>
      <c r="D569">
        <v>500</v>
      </c>
      <c r="F569">
        <v>1</v>
      </c>
      <c r="G569" t="s">
        <v>22</v>
      </c>
      <c r="H569" t="s">
        <v>21</v>
      </c>
      <c r="I569" t="s">
        <v>60</v>
      </c>
      <c r="J569" t="s">
        <v>61</v>
      </c>
      <c r="L569" t="s">
        <v>86</v>
      </c>
    </row>
    <row r="570" spans="1:13">
      <c r="A570">
        <v>45702</v>
      </c>
      <c r="B570" t="s">
        <v>966</v>
      </c>
      <c r="F570">
        <v>1</v>
      </c>
      <c r="G570" t="s">
        <v>377</v>
      </c>
      <c r="H570" t="s">
        <v>21</v>
      </c>
      <c r="L570" t="s">
        <v>86</v>
      </c>
    </row>
    <row r="571" spans="1:13">
      <c r="A571">
        <v>45702</v>
      </c>
      <c r="B571" t="s">
        <v>967</v>
      </c>
      <c r="F571">
        <v>1</v>
      </c>
      <c r="G571" t="s">
        <v>377</v>
      </c>
      <c r="H571" t="s">
        <v>21</v>
      </c>
      <c r="L571" t="s">
        <v>86</v>
      </c>
    </row>
    <row r="572" spans="1:13">
      <c r="A572">
        <v>45702</v>
      </c>
      <c r="B572" t="s">
        <v>968</v>
      </c>
      <c r="F572">
        <v>1</v>
      </c>
      <c r="G572" t="s">
        <v>0</v>
      </c>
      <c r="L572" t="s">
        <v>82</v>
      </c>
    </row>
    <row r="573" spans="1:13">
      <c r="A573">
        <v>45703</v>
      </c>
      <c r="B573" t="s">
        <v>559</v>
      </c>
      <c r="E573">
        <v>10000</v>
      </c>
      <c r="F573">
        <v>1</v>
      </c>
      <c r="G573" t="s">
        <v>65</v>
      </c>
      <c r="H573" t="s">
        <v>560</v>
      </c>
      <c r="I573" t="s">
        <v>60</v>
      </c>
      <c r="J573" t="s">
        <v>61</v>
      </c>
      <c r="L573" t="s">
        <v>62</v>
      </c>
    </row>
    <row r="574" spans="1:13">
      <c r="A574">
        <v>45703</v>
      </c>
      <c r="B574" t="s">
        <v>561</v>
      </c>
      <c r="E574">
        <v>8000</v>
      </c>
      <c r="F574">
        <v>1</v>
      </c>
      <c r="G574" t="s">
        <v>65</v>
      </c>
      <c r="H574" t="s">
        <v>560</v>
      </c>
      <c r="I574" t="s">
        <v>60</v>
      </c>
      <c r="J574" t="s">
        <v>61</v>
      </c>
      <c r="L574" t="s">
        <v>62</v>
      </c>
    </row>
    <row r="575" spans="1:13">
      <c r="A575">
        <v>45703</v>
      </c>
      <c r="B575" t="s">
        <v>63</v>
      </c>
      <c r="D575">
        <v>47500</v>
      </c>
      <c r="G575" t="s">
        <v>70</v>
      </c>
      <c r="I575" t="s">
        <v>60</v>
      </c>
      <c r="J575" t="s">
        <v>61</v>
      </c>
      <c r="L575" t="s">
        <v>62</v>
      </c>
    </row>
    <row r="576" spans="1:13">
      <c r="A576">
        <v>45703</v>
      </c>
      <c r="B576" t="s">
        <v>84</v>
      </c>
      <c r="D576">
        <v>-20800</v>
      </c>
      <c r="G576" t="s">
        <v>77</v>
      </c>
      <c r="I576" t="s">
        <v>60</v>
      </c>
      <c r="J576" t="s">
        <v>61</v>
      </c>
      <c r="L576" t="s">
        <v>62</v>
      </c>
    </row>
    <row r="577" spans="1:13">
      <c r="A577">
        <v>45703</v>
      </c>
      <c r="B577" t="s">
        <v>84</v>
      </c>
      <c r="E577">
        <v>-1100</v>
      </c>
      <c r="G577" t="s">
        <v>65</v>
      </c>
      <c r="H577" t="s">
        <v>85</v>
      </c>
      <c r="I577" t="s">
        <v>60</v>
      </c>
      <c r="J577" t="s">
        <v>61</v>
      </c>
      <c r="L577" t="s">
        <v>62</v>
      </c>
    </row>
    <row r="578" spans="1:13">
      <c r="A578">
        <v>45703</v>
      </c>
      <c r="B578" t="s">
        <v>969</v>
      </c>
      <c r="D578">
        <v>500</v>
      </c>
      <c r="F578">
        <v>1</v>
      </c>
      <c r="G578" t="s">
        <v>22</v>
      </c>
      <c r="H578" t="s">
        <v>21</v>
      </c>
      <c r="I578" t="s">
        <v>60</v>
      </c>
      <c r="J578" t="s">
        <v>61</v>
      </c>
      <c r="L578" t="s">
        <v>86</v>
      </c>
    </row>
    <row r="579" spans="1:13">
      <c r="A579">
        <v>45703</v>
      </c>
      <c r="B579" t="s">
        <v>969</v>
      </c>
      <c r="D579">
        <v>0</v>
      </c>
      <c r="F579">
        <v>0</v>
      </c>
      <c r="G579" t="s">
        <v>22</v>
      </c>
      <c r="H579" t="s">
        <v>21</v>
      </c>
      <c r="I579" t="s">
        <v>60</v>
      </c>
      <c r="J579" t="s">
        <v>61</v>
      </c>
      <c r="L579" t="s">
        <v>86</v>
      </c>
      <c r="M579" t="s">
        <v>83</v>
      </c>
    </row>
    <row r="580" spans="1:13">
      <c r="A580">
        <v>45703</v>
      </c>
      <c r="B580" t="s">
        <v>63</v>
      </c>
      <c r="D580">
        <v>5000</v>
      </c>
      <c r="F580">
        <v>1</v>
      </c>
      <c r="G580" t="s">
        <v>70</v>
      </c>
      <c r="I580" t="s">
        <v>71</v>
      </c>
      <c r="J580" t="s">
        <v>72</v>
      </c>
      <c r="K580">
        <v>460</v>
      </c>
      <c r="L580" t="s">
        <v>62</v>
      </c>
      <c r="M580" t="s">
        <v>970</v>
      </c>
    </row>
    <row r="581" spans="1:13">
      <c r="A581">
        <v>45703</v>
      </c>
      <c r="B581" t="s">
        <v>971</v>
      </c>
      <c r="D581">
        <v>500</v>
      </c>
      <c r="F581">
        <v>1</v>
      </c>
      <c r="G581" t="s">
        <v>22</v>
      </c>
      <c r="H581" t="s">
        <v>21</v>
      </c>
      <c r="I581" t="s">
        <v>60</v>
      </c>
      <c r="J581" t="s">
        <v>61</v>
      </c>
      <c r="L581" t="s">
        <v>82</v>
      </c>
    </row>
    <row r="582" spans="1:13">
      <c r="A582">
        <v>45703</v>
      </c>
      <c r="B582" t="s">
        <v>972</v>
      </c>
      <c r="D582">
        <v>500</v>
      </c>
      <c r="F582">
        <v>1</v>
      </c>
      <c r="G582" t="s">
        <v>22</v>
      </c>
      <c r="H582" t="s">
        <v>21</v>
      </c>
      <c r="I582" t="s">
        <v>60</v>
      </c>
      <c r="J582" t="s">
        <v>61</v>
      </c>
      <c r="L582" t="s">
        <v>82</v>
      </c>
    </row>
    <row r="583" spans="1:13">
      <c r="A583">
        <v>45703</v>
      </c>
      <c r="B583" t="s">
        <v>973</v>
      </c>
      <c r="F583">
        <v>1</v>
      </c>
      <c r="G583" t="s">
        <v>107</v>
      </c>
      <c r="H583" t="s">
        <v>21</v>
      </c>
      <c r="L583" t="s">
        <v>82</v>
      </c>
    </row>
    <row r="584" spans="1:13">
      <c r="A584">
        <v>45703</v>
      </c>
      <c r="B584" t="s">
        <v>974</v>
      </c>
      <c r="F584">
        <v>1</v>
      </c>
      <c r="G584" t="s">
        <v>99</v>
      </c>
      <c r="H584" t="s">
        <v>21</v>
      </c>
      <c r="L584" t="s">
        <v>82</v>
      </c>
    </row>
    <row r="585" spans="1:13">
      <c r="A585">
        <v>45704</v>
      </c>
      <c r="B585" t="s">
        <v>63</v>
      </c>
      <c r="D585">
        <v>33500</v>
      </c>
      <c r="G585" t="s">
        <v>70</v>
      </c>
      <c r="I585" t="s">
        <v>60</v>
      </c>
      <c r="J585" t="s">
        <v>61</v>
      </c>
      <c r="L585" t="s">
        <v>62</v>
      </c>
    </row>
    <row r="586" spans="1:13">
      <c r="A586">
        <v>45704</v>
      </c>
      <c r="B586" t="s">
        <v>63</v>
      </c>
      <c r="D586">
        <v>10000</v>
      </c>
      <c r="F586">
        <v>2</v>
      </c>
      <c r="G586" t="s">
        <v>70</v>
      </c>
      <c r="I586" t="s">
        <v>71</v>
      </c>
      <c r="J586" t="s">
        <v>72</v>
      </c>
      <c r="K586">
        <v>461</v>
      </c>
      <c r="L586" t="s">
        <v>62</v>
      </c>
      <c r="M586" t="s">
        <v>975</v>
      </c>
    </row>
    <row r="587" spans="1:13">
      <c r="A587">
        <v>45704</v>
      </c>
      <c r="B587" t="s">
        <v>976</v>
      </c>
      <c r="D587">
        <v>500</v>
      </c>
      <c r="F587">
        <v>1</v>
      </c>
      <c r="G587" t="s">
        <v>22</v>
      </c>
      <c r="H587" t="s">
        <v>21</v>
      </c>
      <c r="I587" t="s">
        <v>60</v>
      </c>
      <c r="J587" t="s">
        <v>61</v>
      </c>
      <c r="L587" t="s">
        <v>86</v>
      </c>
    </row>
    <row r="588" spans="1:13">
      <c r="A588">
        <v>45704</v>
      </c>
      <c r="B588" t="s">
        <v>976</v>
      </c>
      <c r="D588">
        <v>0</v>
      </c>
      <c r="F588">
        <v>0</v>
      </c>
      <c r="G588" t="s">
        <v>22</v>
      </c>
      <c r="H588" t="s">
        <v>21</v>
      </c>
      <c r="I588" t="s">
        <v>60</v>
      </c>
      <c r="J588" t="s">
        <v>61</v>
      </c>
      <c r="L588" t="s">
        <v>86</v>
      </c>
      <c r="M588" t="s">
        <v>83</v>
      </c>
    </row>
    <row r="589" spans="1:13">
      <c r="A589">
        <v>45704</v>
      </c>
      <c r="B589" t="s">
        <v>977</v>
      </c>
      <c r="D589">
        <v>500</v>
      </c>
      <c r="F589">
        <v>1</v>
      </c>
      <c r="G589" t="s">
        <v>22</v>
      </c>
      <c r="H589" t="s">
        <v>21</v>
      </c>
      <c r="I589" t="s">
        <v>60</v>
      </c>
      <c r="J589" t="s">
        <v>61</v>
      </c>
      <c r="L589" t="s">
        <v>89</v>
      </c>
    </row>
    <row r="590" spans="1:13">
      <c r="A590">
        <v>45704</v>
      </c>
      <c r="B590" t="s">
        <v>63</v>
      </c>
      <c r="D590">
        <v>300</v>
      </c>
      <c r="F590">
        <v>3</v>
      </c>
      <c r="G590" t="s">
        <v>22</v>
      </c>
      <c r="H590" t="s">
        <v>93</v>
      </c>
      <c r="I590" t="s">
        <v>60</v>
      </c>
      <c r="J590" t="s">
        <v>61</v>
      </c>
      <c r="L590" t="s">
        <v>62</v>
      </c>
    </row>
    <row r="591" spans="1:13">
      <c r="A591">
        <v>45704</v>
      </c>
      <c r="B591" t="s">
        <v>562</v>
      </c>
      <c r="D591">
        <v>6900</v>
      </c>
      <c r="G591" t="s">
        <v>77</v>
      </c>
      <c r="I591" t="s">
        <v>60</v>
      </c>
      <c r="J591" t="s">
        <v>61</v>
      </c>
      <c r="L591" t="s">
        <v>62</v>
      </c>
    </row>
    <row r="592" spans="1:13">
      <c r="A592">
        <v>45705</v>
      </c>
      <c r="B592" t="s">
        <v>978</v>
      </c>
      <c r="E592">
        <v>414000</v>
      </c>
      <c r="F592">
        <v>1</v>
      </c>
      <c r="G592" t="s">
        <v>979</v>
      </c>
      <c r="I592" t="s">
        <v>60</v>
      </c>
      <c r="J592" t="s">
        <v>61</v>
      </c>
    </row>
    <row r="593" spans="1:13">
      <c r="A593">
        <v>45705</v>
      </c>
      <c r="B593" t="s">
        <v>238</v>
      </c>
      <c r="C593">
        <v>322</v>
      </c>
      <c r="F593">
        <v>17</v>
      </c>
      <c r="G593" t="s">
        <v>22</v>
      </c>
      <c r="H593" t="s">
        <v>21</v>
      </c>
      <c r="L593" t="s">
        <v>95</v>
      </c>
    </row>
    <row r="594" spans="1:13">
      <c r="A594">
        <v>45705</v>
      </c>
      <c r="B594" t="s">
        <v>980</v>
      </c>
      <c r="D594">
        <v>500</v>
      </c>
      <c r="F594">
        <v>1</v>
      </c>
      <c r="G594" t="s">
        <v>22</v>
      </c>
      <c r="H594" t="s">
        <v>21</v>
      </c>
      <c r="I594" t="s">
        <v>60</v>
      </c>
      <c r="J594" t="s">
        <v>61</v>
      </c>
      <c r="L594" t="s">
        <v>89</v>
      </c>
    </row>
    <row r="595" spans="1:13">
      <c r="A595">
        <v>45705</v>
      </c>
      <c r="B595" t="s">
        <v>981</v>
      </c>
      <c r="D595">
        <v>500</v>
      </c>
      <c r="F595">
        <v>1</v>
      </c>
      <c r="G595" t="s">
        <v>22</v>
      </c>
      <c r="H595" t="s">
        <v>21</v>
      </c>
      <c r="I595" t="s">
        <v>60</v>
      </c>
      <c r="J595" t="s">
        <v>61</v>
      </c>
      <c r="L595" t="s">
        <v>82</v>
      </c>
    </row>
    <row r="596" spans="1:13">
      <c r="A596">
        <v>45705</v>
      </c>
      <c r="B596" t="s">
        <v>76</v>
      </c>
      <c r="D596">
        <v>2800</v>
      </c>
      <c r="G596" t="s">
        <v>77</v>
      </c>
      <c r="I596" t="s">
        <v>60</v>
      </c>
      <c r="J596" t="s">
        <v>61</v>
      </c>
      <c r="L596" t="s">
        <v>62</v>
      </c>
    </row>
    <row r="597" spans="1:13">
      <c r="A597">
        <v>45705</v>
      </c>
      <c r="B597" t="s">
        <v>982</v>
      </c>
      <c r="F597">
        <v>1</v>
      </c>
      <c r="G597" t="s">
        <v>0</v>
      </c>
      <c r="L597" t="s">
        <v>82</v>
      </c>
    </row>
    <row r="598" spans="1:13">
      <c r="A598">
        <v>45706</v>
      </c>
      <c r="B598" t="s">
        <v>63</v>
      </c>
      <c r="D598">
        <v>37500</v>
      </c>
      <c r="G598" t="s">
        <v>70</v>
      </c>
      <c r="I598" t="s">
        <v>60</v>
      </c>
      <c r="J598" t="s">
        <v>61</v>
      </c>
      <c r="L598" t="s">
        <v>62</v>
      </c>
    </row>
    <row r="599" spans="1:13">
      <c r="A599">
        <v>45706</v>
      </c>
      <c r="B599" t="s">
        <v>983</v>
      </c>
      <c r="F599">
        <v>1</v>
      </c>
      <c r="G599" t="s">
        <v>564</v>
      </c>
      <c r="H599" t="s">
        <v>21</v>
      </c>
      <c r="L599" t="s">
        <v>86</v>
      </c>
    </row>
    <row r="600" spans="1:13">
      <c r="A600">
        <v>45706</v>
      </c>
      <c r="B600" t="s">
        <v>984</v>
      </c>
      <c r="F600">
        <v>1</v>
      </c>
      <c r="G600" t="s">
        <v>64</v>
      </c>
      <c r="L600" t="s">
        <v>86</v>
      </c>
      <c r="M600" t="s">
        <v>985</v>
      </c>
    </row>
    <row r="601" spans="1:13">
      <c r="A601">
        <v>45706</v>
      </c>
      <c r="B601" t="s">
        <v>984</v>
      </c>
      <c r="F601">
        <v>1</v>
      </c>
      <c r="G601" t="s">
        <v>64</v>
      </c>
      <c r="L601" t="s">
        <v>86</v>
      </c>
      <c r="M601" t="s">
        <v>766</v>
      </c>
    </row>
    <row r="602" spans="1:13">
      <c r="A602">
        <v>45706</v>
      </c>
      <c r="B602" t="s">
        <v>76</v>
      </c>
      <c r="D602">
        <v>8200</v>
      </c>
      <c r="G602" t="s">
        <v>77</v>
      </c>
      <c r="I602" t="s">
        <v>60</v>
      </c>
      <c r="J602" t="s">
        <v>61</v>
      </c>
      <c r="L602" t="s">
        <v>62</v>
      </c>
    </row>
    <row r="603" spans="1:13">
      <c r="A603">
        <v>45706</v>
      </c>
      <c r="B603" t="s">
        <v>986</v>
      </c>
      <c r="D603">
        <v>500</v>
      </c>
      <c r="F603">
        <v>1</v>
      </c>
      <c r="G603" t="s">
        <v>22</v>
      </c>
      <c r="H603" t="s">
        <v>21</v>
      </c>
      <c r="I603" t="s">
        <v>60</v>
      </c>
      <c r="J603" t="s">
        <v>61</v>
      </c>
      <c r="L603" t="s">
        <v>86</v>
      </c>
    </row>
    <row r="604" spans="1:13">
      <c r="A604">
        <v>45706</v>
      </c>
      <c r="B604" t="s">
        <v>987</v>
      </c>
      <c r="D604">
        <v>500</v>
      </c>
      <c r="F604">
        <v>1</v>
      </c>
      <c r="G604" t="s">
        <v>22</v>
      </c>
      <c r="H604" t="s">
        <v>21</v>
      </c>
      <c r="I604" t="s">
        <v>60</v>
      </c>
      <c r="J604" t="s">
        <v>61</v>
      </c>
      <c r="L604" t="s">
        <v>89</v>
      </c>
    </row>
    <row r="605" spans="1:13">
      <c r="A605">
        <v>45706</v>
      </c>
      <c r="B605" t="s">
        <v>988</v>
      </c>
      <c r="F605">
        <v>1</v>
      </c>
      <c r="G605" t="s">
        <v>603</v>
      </c>
      <c r="H605" t="s">
        <v>21</v>
      </c>
      <c r="L605" t="s">
        <v>89</v>
      </c>
    </row>
    <row r="606" spans="1:13">
      <c r="A606">
        <v>45706</v>
      </c>
      <c r="B606" t="s">
        <v>989</v>
      </c>
      <c r="F606">
        <v>1</v>
      </c>
      <c r="G606" t="s">
        <v>319</v>
      </c>
      <c r="H606" t="s">
        <v>21</v>
      </c>
      <c r="L606" t="s">
        <v>89</v>
      </c>
    </row>
    <row r="607" spans="1:13">
      <c r="A607">
        <v>45707</v>
      </c>
      <c r="B607" t="s">
        <v>990</v>
      </c>
      <c r="F607">
        <v>1</v>
      </c>
      <c r="G607" t="s">
        <v>319</v>
      </c>
      <c r="H607" t="s">
        <v>21</v>
      </c>
      <c r="L607" t="s">
        <v>86</v>
      </c>
    </row>
    <row r="608" spans="1:13">
      <c r="A608">
        <v>45707</v>
      </c>
      <c r="B608" t="s">
        <v>63</v>
      </c>
      <c r="D608">
        <v>9500</v>
      </c>
      <c r="G608" t="s">
        <v>70</v>
      </c>
      <c r="I608" t="s">
        <v>60</v>
      </c>
      <c r="J608" t="s">
        <v>61</v>
      </c>
      <c r="L608" t="s">
        <v>62</v>
      </c>
    </row>
    <row r="609" spans="1:13">
      <c r="A609">
        <v>45707</v>
      </c>
      <c r="B609" t="s">
        <v>63</v>
      </c>
      <c r="D609">
        <v>600</v>
      </c>
      <c r="F609">
        <v>6</v>
      </c>
      <c r="G609" t="s">
        <v>22</v>
      </c>
      <c r="H609" t="s">
        <v>93</v>
      </c>
      <c r="I609" t="s">
        <v>60</v>
      </c>
      <c r="J609" t="s">
        <v>61</v>
      </c>
      <c r="L609" t="s">
        <v>62</v>
      </c>
    </row>
    <row r="610" spans="1:13">
      <c r="A610">
        <v>45707</v>
      </c>
      <c r="B610" t="s">
        <v>991</v>
      </c>
      <c r="D610">
        <v>500</v>
      </c>
      <c r="F610">
        <v>1</v>
      </c>
      <c r="G610" t="s">
        <v>22</v>
      </c>
      <c r="H610" t="s">
        <v>21</v>
      </c>
      <c r="I610" t="s">
        <v>60</v>
      </c>
      <c r="J610" t="s">
        <v>61</v>
      </c>
      <c r="L610" t="s">
        <v>86</v>
      </c>
    </row>
    <row r="611" spans="1:13">
      <c r="A611">
        <v>45707</v>
      </c>
      <c r="B611" t="s">
        <v>992</v>
      </c>
      <c r="F611">
        <v>1</v>
      </c>
      <c r="G611" t="s">
        <v>64</v>
      </c>
      <c r="L611" t="s">
        <v>86</v>
      </c>
      <c r="M611" t="s">
        <v>985</v>
      </c>
    </row>
    <row r="612" spans="1:13">
      <c r="A612">
        <v>45707</v>
      </c>
      <c r="B612" t="s">
        <v>987</v>
      </c>
      <c r="D612">
        <v>0</v>
      </c>
      <c r="F612">
        <v>1</v>
      </c>
      <c r="G612" t="s">
        <v>22</v>
      </c>
      <c r="H612" t="s">
        <v>21</v>
      </c>
      <c r="I612" t="s">
        <v>60</v>
      </c>
      <c r="J612" t="s">
        <v>61</v>
      </c>
      <c r="L612" t="s">
        <v>82</v>
      </c>
      <c r="M612" t="s">
        <v>993</v>
      </c>
    </row>
    <row r="613" spans="1:13">
      <c r="A613">
        <v>45707</v>
      </c>
      <c r="B613" t="s">
        <v>994</v>
      </c>
      <c r="F613">
        <v>1</v>
      </c>
      <c r="G613" t="s">
        <v>64</v>
      </c>
      <c r="L613" t="s">
        <v>82</v>
      </c>
      <c r="M613" t="s">
        <v>96</v>
      </c>
    </row>
    <row r="614" spans="1:13">
      <c r="A614">
        <v>45707</v>
      </c>
      <c r="B614" t="s">
        <v>773</v>
      </c>
      <c r="C614">
        <v>6134</v>
      </c>
      <c r="E614">
        <v>132756.03</v>
      </c>
      <c r="F614">
        <v>1</v>
      </c>
      <c r="G614" t="s">
        <v>65</v>
      </c>
      <c r="H614" t="s">
        <v>265</v>
      </c>
      <c r="I614" t="s">
        <v>60</v>
      </c>
      <c r="J614" t="s">
        <v>61</v>
      </c>
      <c r="L614" t="s">
        <v>62</v>
      </c>
    </row>
    <row r="615" spans="1:13">
      <c r="A615">
        <v>45708</v>
      </c>
      <c r="B615" t="s">
        <v>995</v>
      </c>
      <c r="D615">
        <v>500</v>
      </c>
      <c r="F615">
        <v>1</v>
      </c>
      <c r="G615" t="s">
        <v>22</v>
      </c>
      <c r="H615" t="s">
        <v>21</v>
      </c>
      <c r="I615" t="s">
        <v>60</v>
      </c>
      <c r="J615" t="s">
        <v>61</v>
      </c>
      <c r="L615" t="s">
        <v>89</v>
      </c>
    </row>
    <row r="616" spans="1:13">
      <c r="A616">
        <v>45708</v>
      </c>
      <c r="B616" t="s">
        <v>81</v>
      </c>
      <c r="D616">
        <v>102000</v>
      </c>
      <c r="F616">
        <v>1</v>
      </c>
      <c r="G616" t="s">
        <v>74</v>
      </c>
      <c r="H616" t="s">
        <v>75</v>
      </c>
      <c r="I616" t="s">
        <v>60</v>
      </c>
      <c r="J616" t="s">
        <v>61</v>
      </c>
      <c r="L616" t="s">
        <v>88</v>
      </c>
    </row>
    <row r="617" spans="1:13">
      <c r="A617">
        <v>45708</v>
      </c>
      <c r="B617" t="s">
        <v>996</v>
      </c>
      <c r="F617">
        <v>1</v>
      </c>
      <c r="G617" t="s">
        <v>98</v>
      </c>
      <c r="H617" t="s">
        <v>21</v>
      </c>
      <c r="L617" t="s">
        <v>89</v>
      </c>
    </row>
    <row r="618" spans="1:13">
      <c r="A618">
        <v>45708</v>
      </c>
      <c r="B618" t="s">
        <v>997</v>
      </c>
      <c r="F618">
        <v>1</v>
      </c>
      <c r="G618" t="s">
        <v>377</v>
      </c>
      <c r="H618" t="s">
        <v>21</v>
      </c>
      <c r="L618" t="s">
        <v>82</v>
      </c>
    </row>
    <row r="619" spans="1:13">
      <c r="A619">
        <v>45708</v>
      </c>
      <c r="B619" t="s">
        <v>998</v>
      </c>
      <c r="D619">
        <v>500</v>
      </c>
      <c r="F619">
        <v>1</v>
      </c>
      <c r="G619" t="s">
        <v>22</v>
      </c>
      <c r="H619" t="s">
        <v>21</v>
      </c>
      <c r="I619" t="s">
        <v>60</v>
      </c>
      <c r="J619" t="s">
        <v>61</v>
      </c>
      <c r="L619" t="s">
        <v>82</v>
      </c>
    </row>
    <row r="620" spans="1:13">
      <c r="A620">
        <v>45708</v>
      </c>
      <c r="B620" t="s">
        <v>999</v>
      </c>
      <c r="D620">
        <v>500</v>
      </c>
      <c r="F620">
        <v>1</v>
      </c>
      <c r="G620" t="s">
        <v>22</v>
      </c>
      <c r="H620" t="s">
        <v>21</v>
      </c>
      <c r="I620" t="s">
        <v>60</v>
      </c>
      <c r="J620" t="s">
        <v>61</v>
      </c>
      <c r="L620" t="s">
        <v>82</v>
      </c>
    </row>
    <row r="621" spans="1:13">
      <c r="A621">
        <v>45708</v>
      </c>
      <c r="B621" t="s">
        <v>1000</v>
      </c>
      <c r="D621">
        <v>269999</v>
      </c>
      <c r="F621">
        <v>1</v>
      </c>
      <c r="G621" t="s">
        <v>22</v>
      </c>
      <c r="H621" t="s">
        <v>1001</v>
      </c>
      <c r="I621" t="s">
        <v>60</v>
      </c>
      <c r="J621" t="s">
        <v>61</v>
      </c>
      <c r="L621" t="s">
        <v>82</v>
      </c>
    </row>
    <row r="622" spans="1:13">
      <c r="A622">
        <v>45708</v>
      </c>
      <c r="B622" t="s">
        <v>1000</v>
      </c>
      <c r="E622">
        <v>269999</v>
      </c>
      <c r="F622">
        <v>1</v>
      </c>
      <c r="G622" t="s">
        <v>65</v>
      </c>
      <c r="H622" t="s">
        <v>66</v>
      </c>
      <c r="I622" t="s">
        <v>60</v>
      </c>
      <c r="J622" t="s">
        <v>61</v>
      </c>
      <c r="L622" t="s">
        <v>768</v>
      </c>
    </row>
    <row r="623" spans="1:13">
      <c r="A623">
        <v>45708</v>
      </c>
      <c r="B623" t="s">
        <v>1002</v>
      </c>
      <c r="D623">
        <v>500</v>
      </c>
      <c r="F623">
        <v>1</v>
      </c>
      <c r="G623" t="s">
        <v>22</v>
      </c>
      <c r="H623" t="s">
        <v>21</v>
      </c>
      <c r="I623" t="s">
        <v>60</v>
      </c>
      <c r="J623" t="s">
        <v>61</v>
      </c>
      <c r="L623" t="s">
        <v>82</v>
      </c>
    </row>
    <row r="624" spans="1:13">
      <c r="A624">
        <v>45708</v>
      </c>
      <c r="B624" t="s">
        <v>63</v>
      </c>
      <c r="D624">
        <v>4000</v>
      </c>
      <c r="G624" t="s">
        <v>70</v>
      </c>
      <c r="I624" t="s">
        <v>60</v>
      </c>
      <c r="J624" t="s">
        <v>61</v>
      </c>
      <c r="L624" t="s">
        <v>62</v>
      </c>
    </row>
    <row r="625" spans="1:13">
      <c r="A625">
        <v>45709</v>
      </c>
      <c r="B625" t="s">
        <v>81</v>
      </c>
      <c r="D625">
        <v>219700</v>
      </c>
      <c r="F625">
        <v>1</v>
      </c>
      <c r="G625" t="s">
        <v>74</v>
      </c>
      <c r="H625" t="s">
        <v>75</v>
      </c>
      <c r="I625" t="s">
        <v>60</v>
      </c>
      <c r="J625" t="s">
        <v>61</v>
      </c>
      <c r="L625" t="s">
        <v>88</v>
      </c>
      <c r="M625" t="s">
        <v>955</v>
      </c>
    </row>
    <row r="626" spans="1:13">
      <c r="A626">
        <v>45709</v>
      </c>
      <c r="B626" t="s">
        <v>1003</v>
      </c>
      <c r="D626">
        <v>500</v>
      </c>
      <c r="F626">
        <v>1</v>
      </c>
      <c r="G626" t="s">
        <v>22</v>
      </c>
      <c r="H626" t="s">
        <v>21</v>
      </c>
      <c r="I626" t="s">
        <v>60</v>
      </c>
      <c r="J626" t="s">
        <v>61</v>
      </c>
      <c r="L626" t="s">
        <v>89</v>
      </c>
    </row>
    <row r="627" spans="1:13">
      <c r="A627">
        <v>45709</v>
      </c>
      <c r="B627" t="s">
        <v>76</v>
      </c>
      <c r="D627">
        <v>4500</v>
      </c>
      <c r="G627" t="s">
        <v>77</v>
      </c>
      <c r="I627" t="s">
        <v>60</v>
      </c>
      <c r="J627" t="s">
        <v>61</v>
      </c>
      <c r="L627" t="s">
        <v>62</v>
      </c>
    </row>
    <row r="628" spans="1:13">
      <c r="A628">
        <v>45709</v>
      </c>
      <c r="B628" t="s">
        <v>63</v>
      </c>
      <c r="D628">
        <v>8000</v>
      </c>
      <c r="G628" t="s">
        <v>70</v>
      </c>
      <c r="I628" t="s">
        <v>60</v>
      </c>
      <c r="J628" t="s">
        <v>61</v>
      </c>
      <c r="L628" t="s">
        <v>62</v>
      </c>
    </row>
    <row r="629" spans="1:13">
      <c r="A629">
        <v>45709</v>
      </c>
      <c r="B629" t="s">
        <v>63</v>
      </c>
      <c r="D629">
        <v>200</v>
      </c>
      <c r="F629">
        <v>2</v>
      </c>
      <c r="G629" t="s">
        <v>22</v>
      </c>
      <c r="H629" t="s">
        <v>93</v>
      </c>
      <c r="I629" t="s">
        <v>60</v>
      </c>
      <c r="J629" t="s">
        <v>61</v>
      </c>
      <c r="L629" t="s">
        <v>62</v>
      </c>
    </row>
    <row r="630" spans="1:13">
      <c r="A630">
        <v>45709</v>
      </c>
      <c r="B630" t="s">
        <v>1004</v>
      </c>
      <c r="D630">
        <v>500</v>
      </c>
      <c r="F630">
        <v>1</v>
      </c>
      <c r="G630" t="s">
        <v>22</v>
      </c>
      <c r="H630" t="s">
        <v>21</v>
      </c>
      <c r="I630" t="s">
        <v>60</v>
      </c>
      <c r="J630" t="s">
        <v>61</v>
      </c>
      <c r="L630" t="s">
        <v>82</v>
      </c>
    </row>
    <row r="631" spans="1:13">
      <c r="A631">
        <v>45710</v>
      </c>
      <c r="B631" t="s">
        <v>81</v>
      </c>
      <c r="D631">
        <v>41400</v>
      </c>
      <c r="F631">
        <v>1</v>
      </c>
      <c r="G631" t="s">
        <v>74</v>
      </c>
      <c r="H631" t="s">
        <v>75</v>
      </c>
      <c r="I631" t="s">
        <v>60</v>
      </c>
      <c r="J631" t="s">
        <v>61</v>
      </c>
      <c r="L631" t="s">
        <v>88</v>
      </c>
      <c r="M631" t="s">
        <v>955</v>
      </c>
    </row>
    <row r="632" spans="1:13">
      <c r="A632">
        <v>45710</v>
      </c>
      <c r="B632" t="s">
        <v>559</v>
      </c>
      <c r="E632">
        <v>10000</v>
      </c>
      <c r="F632">
        <v>1</v>
      </c>
      <c r="G632" t="s">
        <v>65</v>
      </c>
      <c r="H632" t="s">
        <v>560</v>
      </c>
      <c r="I632" t="s">
        <v>60</v>
      </c>
      <c r="J632" t="s">
        <v>61</v>
      </c>
      <c r="L632" t="s">
        <v>62</v>
      </c>
    </row>
    <row r="633" spans="1:13">
      <c r="A633">
        <v>45710</v>
      </c>
      <c r="B633" t="s">
        <v>561</v>
      </c>
      <c r="E633">
        <v>8000</v>
      </c>
      <c r="F633">
        <v>1</v>
      </c>
      <c r="G633" t="s">
        <v>65</v>
      </c>
      <c r="H633" t="s">
        <v>560</v>
      </c>
      <c r="I633" t="s">
        <v>60</v>
      </c>
      <c r="J633" t="s">
        <v>61</v>
      </c>
      <c r="L633" t="s">
        <v>62</v>
      </c>
    </row>
    <row r="634" spans="1:13">
      <c r="A634">
        <v>45710</v>
      </c>
      <c r="B634" t="s">
        <v>63</v>
      </c>
      <c r="D634">
        <v>19500</v>
      </c>
      <c r="F634">
        <v>1</v>
      </c>
      <c r="G634" t="s">
        <v>70</v>
      </c>
      <c r="I634" t="s">
        <v>71</v>
      </c>
      <c r="J634" t="s">
        <v>72</v>
      </c>
      <c r="K634">
        <v>462</v>
      </c>
      <c r="L634" t="s">
        <v>62</v>
      </c>
      <c r="M634" t="s">
        <v>1005</v>
      </c>
    </row>
    <row r="635" spans="1:13">
      <c r="A635">
        <v>45710</v>
      </c>
      <c r="B635" t="s">
        <v>1006</v>
      </c>
      <c r="D635">
        <v>500</v>
      </c>
      <c r="F635">
        <v>1</v>
      </c>
      <c r="G635" t="s">
        <v>22</v>
      </c>
      <c r="H635" t="s">
        <v>21</v>
      </c>
      <c r="I635" t="s">
        <v>60</v>
      </c>
      <c r="J635" t="s">
        <v>61</v>
      </c>
      <c r="L635" t="s">
        <v>86</v>
      </c>
    </row>
    <row r="636" spans="1:13">
      <c r="A636">
        <v>45710</v>
      </c>
      <c r="B636" t="s">
        <v>1007</v>
      </c>
      <c r="D636">
        <v>500</v>
      </c>
      <c r="F636">
        <v>1</v>
      </c>
      <c r="G636" t="s">
        <v>22</v>
      </c>
      <c r="H636" t="s">
        <v>21</v>
      </c>
      <c r="I636" t="s">
        <v>60</v>
      </c>
      <c r="J636" t="s">
        <v>61</v>
      </c>
      <c r="L636" t="s">
        <v>86</v>
      </c>
    </row>
    <row r="637" spans="1:13">
      <c r="A637">
        <v>45710</v>
      </c>
      <c r="B637" t="s">
        <v>63</v>
      </c>
      <c r="D637">
        <v>24500</v>
      </c>
      <c r="G637" t="s">
        <v>70</v>
      </c>
      <c r="I637" t="s">
        <v>60</v>
      </c>
      <c r="J637" t="s">
        <v>61</v>
      </c>
      <c r="L637" t="s">
        <v>62</v>
      </c>
    </row>
    <row r="638" spans="1:13">
      <c r="A638">
        <v>45710</v>
      </c>
      <c r="B638" t="s">
        <v>1008</v>
      </c>
      <c r="D638">
        <v>500</v>
      </c>
      <c r="F638">
        <v>1</v>
      </c>
      <c r="G638" t="s">
        <v>22</v>
      </c>
      <c r="H638" t="s">
        <v>21</v>
      </c>
      <c r="I638" t="s">
        <v>60</v>
      </c>
      <c r="J638" t="s">
        <v>61</v>
      </c>
      <c r="L638" t="s">
        <v>89</v>
      </c>
    </row>
    <row r="639" spans="1:13">
      <c r="A639">
        <v>45710</v>
      </c>
      <c r="B639" t="s">
        <v>1009</v>
      </c>
      <c r="F639">
        <v>1</v>
      </c>
      <c r="G639" t="s">
        <v>377</v>
      </c>
      <c r="H639" t="s">
        <v>21</v>
      </c>
      <c r="L639" t="s">
        <v>89</v>
      </c>
    </row>
    <row r="640" spans="1:13">
      <c r="A640">
        <v>45710</v>
      </c>
      <c r="B640" t="s">
        <v>1010</v>
      </c>
      <c r="D640">
        <v>500</v>
      </c>
      <c r="F640">
        <v>1</v>
      </c>
      <c r="G640" t="s">
        <v>22</v>
      </c>
      <c r="H640" t="s">
        <v>21</v>
      </c>
      <c r="I640" t="s">
        <v>60</v>
      </c>
      <c r="J640" t="s">
        <v>61</v>
      </c>
      <c r="L640" t="s">
        <v>89</v>
      </c>
    </row>
    <row r="641" spans="1:13">
      <c r="A641">
        <v>45710</v>
      </c>
      <c r="B641" t="s">
        <v>1011</v>
      </c>
      <c r="D641">
        <v>500</v>
      </c>
      <c r="F641">
        <v>1</v>
      </c>
      <c r="G641" t="s">
        <v>22</v>
      </c>
      <c r="H641" t="s">
        <v>21</v>
      </c>
      <c r="I641" t="s">
        <v>60</v>
      </c>
      <c r="J641" t="s">
        <v>61</v>
      </c>
      <c r="L641" t="s">
        <v>89</v>
      </c>
    </row>
    <row r="642" spans="1:13">
      <c r="A642">
        <v>45710</v>
      </c>
      <c r="B642" t="s">
        <v>1012</v>
      </c>
      <c r="F642">
        <v>1</v>
      </c>
      <c r="G642" t="s">
        <v>64</v>
      </c>
      <c r="L642" t="s">
        <v>89</v>
      </c>
      <c r="M642" t="s">
        <v>96</v>
      </c>
    </row>
    <row r="643" spans="1:13">
      <c r="A643">
        <v>45710</v>
      </c>
      <c r="B643" t="s">
        <v>84</v>
      </c>
      <c r="D643">
        <v>-20800</v>
      </c>
      <c r="G643" t="s">
        <v>77</v>
      </c>
      <c r="I643" t="s">
        <v>60</v>
      </c>
      <c r="J643" t="s">
        <v>61</v>
      </c>
      <c r="L643" t="s">
        <v>62</v>
      </c>
    </row>
    <row r="644" spans="1:13">
      <c r="A644">
        <v>45710</v>
      </c>
      <c r="B644" t="s">
        <v>84</v>
      </c>
      <c r="E644">
        <v>-1100</v>
      </c>
      <c r="G644" t="s">
        <v>65</v>
      </c>
      <c r="H644" t="s">
        <v>85</v>
      </c>
      <c r="I644" t="s">
        <v>60</v>
      </c>
      <c r="J644" t="s">
        <v>61</v>
      </c>
      <c r="L644" t="s">
        <v>62</v>
      </c>
    </row>
    <row r="645" spans="1:13">
      <c r="A645">
        <v>45710</v>
      </c>
      <c r="B645" t="s">
        <v>63</v>
      </c>
      <c r="D645">
        <v>200</v>
      </c>
      <c r="F645">
        <v>2</v>
      </c>
      <c r="G645" t="s">
        <v>22</v>
      </c>
      <c r="H645" t="s">
        <v>93</v>
      </c>
      <c r="I645" t="s">
        <v>60</v>
      </c>
      <c r="J645" t="s">
        <v>61</v>
      </c>
      <c r="L645" t="s">
        <v>62</v>
      </c>
    </row>
    <row r="646" spans="1:13">
      <c r="A646">
        <v>45711</v>
      </c>
      <c r="B646" t="s">
        <v>63</v>
      </c>
      <c r="D646">
        <v>50000</v>
      </c>
      <c r="G646" t="s">
        <v>70</v>
      </c>
      <c r="I646" t="s">
        <v>60</v>
      </c>
      <c r="J646" t="s">
        <v>61</v>
      </c>
      <c r="L646" t="s">
        <v>62</v>
      </c>
    </row>
    <row r="647" spans="1:13">
      <c r="A647">
        <v>45711</v>
      </c>
      <c r="B647" t="s">
        <v>1013</v>
      </c>
      <c r="F647">
        <v>1</v>
      </c>
      <c r="G647" t="s">
        <v>319</v>
      </c>
      <c r="H647" t="s">
        <v>21</v>
      </c>
      <c r="L647" t="s">
        <v>82</v>
      </c>
    </row>
    <row r="648" spans="1:13">
      <c r="A648">
        <v>45711</v>
      </c>
      <c r="B648" t="s">
        <v>63</v>
      </c>
      <c r="D648">
        <v>17500</v>
      </c>
      <c r="F648">
        <v>2</v>
      </c>
      <c r="G648" t="s">
        <v>70</v>
      </c>
      <c r="I648" t="s">
        <v>71</v>
      </c>
      <c r="J648" t="s">
        <v>72</v>
      </c>
      <c r="K648">
        <v>463</v>
      </c>
      <c r="L648" t="s">
        <v>62</v>
      </c>
      <c r="M648" t="s">
        <v>90</v>
      </c>
    </row>
    <row r="649" spans="1:13">
      <c r="A649">
        <v>45711</v>
      </c>
      <c r="B649" t="s">
        <v>1014</v>
      </c>
      <c r="D649">
        <v>500</v>
      </c>
      <c r="F649">
        <v>1</v>
      </c>
      <c r="G649" t="s">
        <v>22</v>
      </c>
      <c r="H649" t="s">
        <v>21</v>
      </c>
      <c r="I649" t="s">
        <v>60</v>
      </c>
      <c r="J649" t="s">
        <v>61</v>
      </c>
      <c r="L649" t="s">
        <v>86</v>
      </c>
    </row>
    <row r="650" spans="1:13">
      <c r="A650">
        <v>45711</v>
      </c>
      <c r="B650" t="s">
        <v>1015</v>
      </c>
      <c r="F650">
        <v>1</v>
      </c>
      <c r="G650" t="s">
        <v>64</v>
      </c>
      <c r="L650" t="s">
        <v>86</v>
      </c>
      <c r="M650" t="s">
        <v>1016</v>
      </c>
    </row>
    <row r="651" spans="1:13">
      <c r="A651">
        <v>45711</v>
      </c>
      <c r="B651" t="s">
        <v>1017</v>
      </c>
      <c r="D651">
        <v>500</v>
      </c>
      <c r="F651">
        <v>1</v>
      </c>
      <c r="G651" t="s">
        <v>22</v>
      </c>
      <c r="H651" t="s">
        <v>21</v>
      </c>
      <c r="I651" t="s">
        <v>60</v>
      </c>
      <c r="J651" t="s">
        <v>61</v>
      </c>
      <c r="L651" t="s">
        <v>86</v>
      </c>
    </row>
    <row r="652" spans="1:13">
      <c r="A652">
        <v>45711</v>
      </c>
      <c r="B652" t="s">
        <v>63</v>
      </c>
      <c r="D652">
        <v>20000</v>
      </c>
      <c r="F652">
        <v>2</v>
      </c>
      <c r="G652" t="s">
        <v>70</v>
      </c>
      <c r="I652" t="s">
        <v>71</v>
      </c>
      <c r="J652" t="s">
        <v>72</v>
      </c>
      <c r="K652">
        <v>464</v>
      </c>
      <c r="L652" t="s">
        <v>86</v>
      </c>
      <c r="M652" t="s">
        <v>90</v>
      </c>
    </row>
    <row r="653" spans="1:13">
      <c r="A653">
        <v>45711</v>
      </c>
      <c r="B653" t="s">
        <v>1018</v>
      </c>
      <c r="D653">
        <v>500</v>
      </c>
      <c r="F653">
        <v>1</v>
      </c>
      <c r="G653" t="s">
        <v>22</v>
      </c>
      <c r="H653" t="s">
        <v>21</v>
      </c>
      <c r="I653" t="s">
        <v>60</v>
      </c>
      <c r="J653" t="s">
        <v>61</v>
      </c>
      <c r="L653" t="s">
        <v>86</v>
      </c>
    </row>
    <row r="654" spans="1:13">
      <c r="A654">
        <v>45711</v>
      </c>
      <c r="B654" t="s">
        <v>1019</v>
      </c>
      <c r="D654">
        <v>500</v>
      </c>
      <c r="F654">
        <v>1</v>
      </c>
      <c r="G654" t="s">
        <v>22</v>
      </c>
      <c r="H654" t="s">
        <v>21</v>
      </c>
      <c r="I654" t="s">
        <v>60</v>
      </c>
      <c r="J654" t="s">
        <v>61</v>
      </c>
      <c r="L654" t="s">
        <v>86</v>
      </c>
    </row>
    <row r="655" spans="1:13">
      <c r="A655">
        <v>45711</v>
      </c>
      <c r="B655" t="s">
        <v>1020</v>
      </c>
      <c r="F655">
        <v>1</v>
      </c>
      <c r="G655" t="s">
        <v>319</v>
      </c>
      <c r="H655" t="s">
        <v>21</v>
      </c>
      <c r="L655" t="s">
        <v>86</v>
      </c>
    </row>
    <row r="656" spans="1:13">
      <c r="A656">
        <v>45711</v>
      </c>
      <c r="B656" t="s">
        <v>1021</v>
      </c>
      <c r="D656">
        <v>500</v>
      </c>
      <c r="F656">
        <v>1</v>
      </c>
      <c r="G656" t="s">
        <v>22</v>
      </c>
      <c r="H656" t="s">
        <v>21</v>
      </c>
      <c r="I656" t="s">
        <v>60</v>
      </c>
      <c r="J656" t="s">
        <v>61</v>
      </c>
      <c r="L656" t="s">
        <v>86</v>
      </c>
    </row>
    <row r="657" spans="1:13">
      <c r="A657">
        <v>45712</v>
      </c>
      <c r="B657" t="s">
        <v>875</v>
      </c>
      <c r="D657">
        <v>465000</v>
      </c>
      <c r="F657">
        <v>1</v>
      </c>
      <c r="G657" t="s">
        <v>74</v>
      </c>
      <c r="H657" t="s">
        <v>75</v>
      </c>
      <c r="I657" t="s">
        <v>60</v>
      </c>
      <c r="J657" t="s">
        <v>61</v>
      </c>
      <c r="L657" t="s">
        <v>88</v>
      </c>
    </row>
    <row r="658" spans="1:13">
      <c r="A658">
        <v>45712</v>
      </c>
      <c r="B658" t="s">
        <v>238</v>
      </c>
      <c r="C658">
        <v>323</v>
      </c>
      <c r="F658">
        <v>17</v>
      </c>
      <c r="G658" t="s">
        <v>22</v>
      </c>
      <c r="H658" t="s">
        <v>21</v>
      </c>
      <c r="L658" t="s">
        <v>95</v>
      </c>
    </row>
    <row r="659" spans="1:13">
      <c r="A659">
        <v>45712</v>
      </c>
      <c r="B659" t="s">
        <v>63</v>
      </c>
      <c r="D659">
        <v>12500</v>
      </c>
      <c r="G659" t="s">
        <v>70</v>
      </c>
      <c r="I659" t="s">
        <v>60</v>
      </c>
      <c r="J659" t="s">
        <v>61</v>
      </c>
      <c r="L659" t="s">
        <v>62</v>
      </c>
    </row>
    <row r="660" spans="1:13">
      <c r="A660">
        <v>45712</v>
      </c>
      <c r="B660" t="s">
        <v>1022</v>
      </c>
      <c r="F660">
        <v>1</v>
      </c>
      <c r="G660" t="s">
        <v>564</v>
      </c>
      <c r="H660" t="s">
        <v>21</v>
      </c>
      <c r="L660" t="s">
        <v>89</v>
      </c>
    </row>
    <row r="661" spans="1:13">
      <c r="A661">
        <v>45712</v>
      </c>
      <c r="B661" t="s">
        <v>1023</v>
      </c>
      <c r="D661">
        <v>500</v>
      </c>
      <c r="F661">
        <v>1</v>
      </c>
      <c r="G661" t="s">
        <v>22</v>
      </c>
      <c r="H661" t="s">
        <v>21</v>
      </c>
      <c r="I661" t="s">
        <v>60</v>
      </c>
      <c r="J661" t="s">
        <v>61</v>
      </c>
      <c r="L661" t="s">
        <v>89</v>
      </c>
    </row>
    <row r="662" spans="1:13">
      <c r="A662">
        <v>45712</v>
      </c>
      <c r="B662" t="s">
        <v>1024</v>
      </c>
      <c r="D662">
        <v>500</v>
      </c>
      <c r="F662">
        <v>0</v>
      </c>
      <c r="G662" t="s">
        <v>22</v>
      </c>
      <c r="I662" t="s">
        <v>60</v>
      </c>
      <c r="J662" t="s">
        <v>61</v>
      </c>
      <c r="L662" t="s">
        <v>89</v>
      </c>
    </row>
    <row r="663" spans="1:13">
      <c r="A663">
        <v>45712</v>
      </c>
      <c r="B663" t="s">
        <v>1025</v>
      </c>
      <c r="D663">
        <v>500</v>
      </c>
      <c r="F663">
        <v>1</v>
      </c>
      <c r="G663" t="s">
        <v>22</v>
      </c>
      <c r="H663" t="s">
        <v>21</v>
      </c>
      <c r="I663" t="s">
        <v>60</v>
      </c>
      <c r="J663" t="s">
        <v>61</v>
      </c>
      <c r="L663" t="s">
        <v>89</v>
      </c>
    </row>
    <row r="664" spans="1:13">
      <c r="A664">
        <v>45712</v>
      </c>
      <c r="B664" t="s">
        <v>76</v>
      </c>
      <c r="D664">
        <v>6900</v>
      </c>
      <c r="G664" t="s">
        <v>77</v>
      </c>
      <c r="I664" t="s">
        <v>60</v>
      </c>
      <c r="J664" t="s">
        <v>61</v>
      </c>
      <c r="L664" t="s">
        <v>62</v>
      </c>
    </row>
    <row r="665" spans="1:13">
      <c r="A665">
        <v>45713</v>
      </c>
      <c r="B665" t="s">
        <v>1026</v>
      </c>
      <c r="D665">
        <v>500</v>
      </c>
      <c r="F665">
        <v>1</v>
      </c>
      <c r="G665" t="s">
        <v>22</v>
      </c>
      <c r="H665" t="s">
        <v>21</v>
      </c>
      <c r="I665" t="s">
        <v>60</v>
      </c>
      <c r="J665" t="s">
        <v>61</v>
      </c>
      <c r="L665" t="s">
        <v>89</v>
      </c>
    </row>
    <row r="666" spans="1:13">
      <c r="A666">
        <v>45713</v>
      </c>
      <c r="B666" t="s">
        <v>1027</v>
      </c>
      <c r="D666">
        <v>500</v>
      </c>
      <c r="F666">
        <v>1</v>
      </c>
      <c r="G666" t="s">
        <v>22</v>
      </c>
      <c r="H666" t="s">
        <v>21</v>
      </c>
      <c r="I666" t="s">
        <v>60</v>
      </c>
      <c r="J666" t="s">
        <v>61</v>
      </c>
      <c r="L666" t="s">
        <v>89</v>
      </c>
    </row>
    <row r="667" spans="1:13">
      <c r="A667">
        <v>45713</v>
      </c>
      <c r="B667" t="s">
        <v>1028</v>
      </c>
      <c r="D667">
        <v>500</v>
      </c>
      <c r="F667">
        <v>1</v>
      </c>
      <c r="G667" t="s">
        <v>22</v>
      </c>
      <c r="H667" t="s">
        <v>21</v>
      </c>
      <c r="I667" t="s">
        <v>60</v>
      </c>
      <c r="J667" t="s">
        <v>61</v>
      </c>
      <c r="L667" t="s">
        <v>89</v>
      </c>
    </row>
    <row r="668" spans="1:13">
      <c r="A668">
        <v>45713</v>
      </c>
      <c r="B668" t="s">
        <v>259</v>
      </c>
      <c r="D668">
        <v>500</v>
      </c>
      <c r="F668">
        <v>1</v>
      </c>
      <c r="G668" t="s">
        <v>22</v>
      </c>
      <c r="H668" t="s">
        <v>21</v>
      </c>
      <c r="I668" t="s">
        <v>60</v>
      </c>
      <c r="J668" t="s">
        <v>61</v>
      </c>
      <c r="L668" t="s">
        <v>89</v>
      </c>
    </row>
    <row r="669" spans="1:13">
      <c r="A669">
        <v>45713</v>
      </c>
      <c r="B669" t="s">
        <v>875</v>
      </c>
      <c r="D669">
        <v>141500</v>
      </c>
      <c r="F669">
        <v>1</v>
      </c>
      <c r="G669" t="s">
        <v>74</v>
      </c>
      <c r="H669" t="s">
        <v>75</v>
      </c>
      <c r="I669" t="s">
        <v>60</v>
      </c>
      <c r="J669" t="s">
        <v>61</v>
      </c>
      <c r="L669" t="s">
        <v>88</v>
      </c>
      <c r="M669" t="s">
        <v>955</v>
      </c>
    </row>
    <row r="670" spans="1:13">
      <c r="A670">
        <v>45713</v>
      </c>
      <c r="B670" t="s">
        <v>1029</v>
      </c>
      <c r="D670">
        <v>500</v>
      </c>
      <c r="F670">
        <v>1</v>
      </c>
      <c r="G670" t="s">
        <v>22</v>
      </c>
      <c r="H670" t="s">
        <v>21</v>
      </c>
      <c r="I670" t="s">
        <v>60</v>
      </c>
      <c r="J670" t="s">
        <v>61</v>
      </c>
      <c r="L670" t="s">
        <v>86</v>
      </c>
    </row>
    <row r="671" spans="1:13">
      <c r="A671">
        <v>45713</v>
      </c>
      <c r="B671" t="s">
        <v>1029</v>
      </c>
      <c r="D671">
        <v>0</v>
      </c>
      <c r="F671">
        <v>0</v>
      </c>
      <c r="G671" t="s">
        <v>22</v>
      </c>
      <c r="H671" t="s">
        <v>21</v>
      </c>
      <c r="I671" t="s">
        <v>60</v>
      </c>
      <c r="J671" t="s">
        <v>61</v>
      </c>
      <c r="L671" t="s">
        <v>86</v>
      </c>
    </row>
    <row r="672" spans="1:13">
      <c r="A672">
        <v>45713</v>
      </c>
      <c r="B672" t="s">
        <v>1030</v>
      </c>
      <c r="F672">
        <v>1</v>
      </c>
      <c r="G672" t="s">
        <v>64</v>
      </c>
      <c r="L672" t="s">
        <v>89</v>
      </c>
      <c r="M672" t="s">
        <v>1031</v>
      </c>
    </row>
    <row r="673" spans="1:13">
      <c r="A673">
        <v>45713</v>
      </c>
      <c r="B673" t="s">
        <v>63</v>
      </c>
      <c r="D673">
        <v>10000</v>
      </c>
      <c r="F673">
        <v>2</v>
      </c>
      <c r="G673" t="s">
        <v>70</v>
      </c>
      <c r="I673" t="s">
        <v>71</v>
      </c>
      <c r="J673" t="s">
        <v>535</v>
      </c>
      <c r="K673">
        <v>465</v>
      </c>
      <c r="L673" t="s">
        <v>62</v>
      </c>
      <c r="M673" t="s">
        <v>975</v>
      </c>
    </row>
    <row r="674" spans="1:13">
      <c r="A674">
        <v>45713</v>
      </c>
      <c r="B674" t="s">
        <v>63</v>
      </c>
      <c r="D674">
        <v>20500</v>
      </c>
      <c r="F674">
        <v>1</v>
      </c>
      <c r="G674" t="s">
        <v>70</v>
      </c>
      <c r="I674" t="s">
        <v>71</v>
      </c>
      <c r="J674" t="s">
        <v>535</v>
      </c>
      <c r="K674">
        <v>466</v>
      </c>
      <c r="L674" t="s">
        <v>62</v>
      </c>
      <c r="M674" t="s">
        <v>1032</v>
      </c>
    </row>
    <row r="675" spans="1:13">
      <c r="A675">
        <v>45713</v>
      </c>
      <c r="B675" t="s">
        <v>63</v>
      </c>
      <c r="D675">
        <v>38000</v>
      </c>
      <c r="F675">
        <v>3</v>
      </c>
      <c r="G675" t="s">
        <v>70</v>
      </c>
      <c r="I675" t="s">
        <v>71</v>
      </c>
      <c r="J675" t="s">
        <v>72</v>
      </c>
      <c r="K675">
        <v>467</v>
      </c>
      <c r="L675" t="s">
        <v>62</v>
      </c>
      <c r="M675" t="s">
        <v>90</v>
      </c>
    </row>
    <row r="676" spans="1:13">
      <c r="A676">
        <v>45713</v>
      </c>
      <c r="B676" t="s">
        <v>1033</v>
      </c>
      <c r="D676">
        <v>500</v>
      </c>
      <c r="F676">
        <v>1</v>
      </c>
      <c r="G676" t="s">
        <v>22</v>
      </c>
      <c r="H676" t="s">
        <v>21</v>
      </c>
      <c r="I676" t="s">
        <v>60</v>
      </c>
      <c r="J676" t="s">
        <v>61</v>
      </c>
      <c r="L676" t="s">
        <v>86</v>
      </c>
    </row>
    <row r="677" spans="1:13">
      <c r="A677">
        <v>45713</v>
      </c>
      <c r="B677" t="s">
        <v>1034</v>
      </c>
      <c r="F677">
        <v>1</v>
      </c>
      <c r="G677" t="s">
        <v>64</v>
      </c>
      <c r="L677" t="s">
        <v>86</v>
      </c>
      <c r="M677" t="s">
        <v>1035</v>
      </c>
    </row>
    <row r="678" spans="1:13">
      <c r="A678">
        <v>45713</v>
      </c>
      <c r="B678" t="s">
        <v>76</v>
      </c>
      <c r="D678">
        <v>3520</v>
      </c>
      <c r="G678" t="s">
        <v>77</v>
      </c>
      <c r="I678" t="s">
        <v>60</v>
      </c>
      <c r="J678" t="s">
        <v>61</v>
      </c>
      <c r="L678" t="s">
        <v>62</v>
      </c>
    </row>
    <row r="679" spans="1:13">
      <c r="A679">
        <v>45714</v>
      </c>
      <c r="B679" t="s">
        <v>1036</v>
      </c>
      <c r="D679">
        <v>500</v>
      </c>
      <c r="F679">
        <v>1</v>
      </c>
      <c r="G679" t="s">
        <v>22</v>
      </c>
      <c r="H679" t="s">
        <v>21</v>
      </c>
      <c r="I679" t="s">
        <v>60</v>
      </c>
      <c r="J679" t="s">
        <v>61</v>
      </c>
      <c r="L679" t="s">
        <v>86</v>
      </c>
    </row>
    <row r="680" spans="1:13">
      <c r="A680">
        <v>45714</v>
      </c>
      <c r="B680" t="s">
        <v>1037</v>
      </c>
      <c r="D680">
        <v>500</v>
      </c>
      <c r="F680">
        <v>1</v>
      </c>
      <c r="G680" t="s">
        <v>22</v>
      </c>
      <c r="H680" t="s">
        <v>21</v>
      </c>
      <c r="I680" t="s">
        <v>60</v>
      </c>
      <c r="J680" t="s">
        <v>61</v>
      </c>
      <c r="L680" t="s">
        <v>86</v>
      </c>
    </row>
    <row r="681" spans="1:13">
      <c r="A681">
        <v>45714</v>
      </c>
      <c r="B681" t="s">
        <v>81</v>
      </c>
      <c r="D681">
        <v>112600</v>
      </c>
      <c r="F681">
        <v>1</v>
      </c>
      <c r="G681" t="s">
        <v>74</v>
      </c>
      <c r="H681" t="s">
        <v>75</v>
      </c>
      <c r="I681" t="s">
        <v>60</v>
      </c>
      <c r="J681" t="s">
        <v>61</v>
      </c>
      <c r="L681" t="s">
        <v>88</v>
      </c>
    </row>
    <row r="682" spans="1:13">
      <c r="A682">
        <v>45714</v>
      </c>
      <c r="B682" t="s">
        <v>1038</v>
      </c>
      <c r="F682">
        <v>1</v>
      </c>
      <c r="G682" t="s">
        <v>750</v>
      </c>
      <c r="H682" t="s">
        <v>21</v>
      </c>
      <c r="L682" t="s">
        <v>86</v>
      </c>
    </row>
    <row r="683" spans="1:13">
      <c r="A683">
        <v>45714</v>
      </c>
      <c r="B683" t="s">
        <v>1038</v>
      </c>
      <c r="D683">
        <v>0</v>
      </c>
      <c r="F683">
        <v>0</v>
      </c>
      <c r="G683" t="s">
        <v>22</v>
      </c>
      <c r="H683" t="s">
        <v>21</v>
      </c>
      <c r="I683" t="s">
        <v>60</v>
      </c>
      <c r="J683" t="s">
        <v>61</v>
      </c>
      <c r="L683" t="s">
        <v>86</v>
      </c>
      <c r="M683" t="s">
        <v>83</v>
      </c>
    </row>
    <row r="684" spans="1:13">
      <c r="A684">
        <v>45714</v>
      </c>
      <c r="B684" t="s">
        <v>1039</v>
      </c>
      <c r="F684">
        <v>1</v>
      </c>
      <c r="G684" t="s">
        <v>64</v>
      </c>
      <c r="L684" t="s">
        <v>86</v>
      </c>
      <c r="M684" t="s">
        <v>96</v>
      </c>
    </row>
    <row r="685" spans="1:13">
      <c r="A685">
        <v>45714</v>
      </c>
      <c r="B685" t="s">
        <v>63</v>
      </c>
      <c r="D685">
        <v>4500</v>
      </c>
      <c r="G685" t="s">
        <v>70</v>
      </c>
      <c r="I685" t="s">
        <v>60</v>
      </c>
      <c r="J685" t="s">
        <v>61</v>
      </c>
      <c r="L685" t="s">
        <v>62</v>
      </c>
    </row>
    <row r="686" spans="1:13">
      <c r="A686">
        <v>45714</v>
      </c>
      <c r="B686" t="s">
        <v>76</v>
      </c>
      <c r="D686">
        <v>17500</v>
      </c>
      <c r="G686" t="s">
        <v>77</v>
      </c>
      <c r="I686" t="s">
        <v>60</v>
      </c>
      <c r="J686" t="s">
        <v>61</v>
      </c>
      <c r="L686" t="s">
        <v>62</v>
      </c>
    </row>
    <row r="687" spans="1:13">
      <c r="A687">
        <v>45714</v>
      </c>
      <c r="B687" t="s">
        <v>1040</v>
      </c>
      <c r="D687">
        <v>249999.31</v>
      </c>
      <c r="F687">
        <v>1</v>
      </c>
      <c r="G687" t="s">
        <v>64</v>
      </c>
      <c r="I687" t="s">
        <v>60</v>
      </c>
      <c r="J687" t="s">
        <v>61</v>
      </c>
      <c r="L687" t="s">
        <v>82</v>
      </c>
    </row>
    <row r="688" spans="1:13">
      <c r="A688">
        <v>45714</v>
      </c>
      <c r="B688" t="s">
        <v>1041</v>
      </c>
      <c r="F688">
        <v>1</v>
      </c>
      <c r="G688" t="s">
        <v>64</v>
      </c>
      <c r="L688" t="s">
        <v>82</v>
      </c>
      <c r="M688" t="s">
        <v>96</v>
      </c>
    </row>
    <row r="689" spans="1:13">
      <c r="A689">
        <v>45714</v>
      </c>
      <c r="B689" t="s">
        <v>63</v>
      </c>
      <c r="D689">
        <v>17500</v>
      </c>
      <c r="F689">
        <v>3</v>
      </c>
      <c r="G689" t="s">
        <v>70</v>
      </c>
      <c r="I689" t="s">
        <v>71</v>
      </c>
      <c r="J689" t="s">
        <v>535</v>
      </c>
      <c r="K689">
        <v>468</v>
      </c>
      <c r="L689" t="s">
        <v>82</v>
      </c>
      <c r="M689" t="s">
        <v>1042</v>
      </c>
    </row>
    <row r="690" spans="1:13">
      <c r="A690">
        <v>45714</v>
      </c>
      <c r="B690" t="s">
        <v>1043</v>
      </c>
      <c r="D690">
        <v>500</v>
      </c>
      <c r="F690">
        <v>0</v>
      </c>
      <c r="G690" t="s">
        <v>22</v>
      </c>
      <c r="H690" t="s">
        <v>21</v>
      </c>
      <c r="I690" t="s">
        <v>60</v>
      </c>
      <c r="J690" t="s">
        <v>61</v>
      </c>
      <c r="L690" t="s">
        <v>82</v>
      </c>
      <c r="M690" t="s">
        <v>83</v>
      </c>
    </row>
    <row r="691" spans="1:13">
      <c r="A691">
        <v>45715</v>
      </c>
      <c r="B691" t="s">
        <v>81</v>
      </c>
      <c r="D691">
        <v>257000</v>
      </c>
      <c r="F691">
        <v>1</v>
      </c>
      <c r="G691" t="s">
        <v>74</v>
      </c>
      <c r="H691" t="s">
        <v>75</v>
      </c>
      <c r="I691" t="s">
        <v>60</v>
      </c>
      <c r="J691" t="s">
        <v>61</v>
      </c>
      <c r="L691" t="s">
        <v>88</v>
      </c>
    </row>
    <row r="692" spans="1:13">
      <c r="A692">
        <v>45715</v>
      </c>
      <c r="B692" t="s">
        <v>63</v>
      </c>
      <c r="D692">
        <v>200</v>
      </c>
      <c r="F692">
        <v>2</v>
      </c>
      <c r="G692" t="s">
        <v>22</v>
      </c>
      <c r="H692" t="s">
        <v>21</v>
      </c>
      <c r="I692" t="s">
        <v>60</v>
      </c>
      <c r="J692" t="s">
        <v>61</v>
      </c>
      <c r="L692" t="s">
        <v>62</v>
      </c>
    </row>
    <row r="693" spans="1:13">
      <c r="A693">
        <v>45715</v>
      </c>
      <c r="B693" t="s">
        <v>76</v>
      </c>
      <c r="D693">
        <v>8200</v>
      </c>
      <c r="G693" t="s">
        <v>77</v>
      </c>
      <c r="I693" t="s">
        <v>60</v>
      </c>
      <c r="J693" t="s">
        <v>61</v>
      </c>
      <c r="L693" t="s">
        <v>62</v>
      </c>
    </row>
    <row r="694" spans="1:13">
      <c r="A694">
        <v>45715</v>
      </c>
      <c r="B694" t="s">
        <v>290</v>
      </c>
      <c r="C694">
        <v>538</v>
      </c>
      <c r="E694">
        <v>42381.81</v>
      </c>
      <c r="F694">
        <v>1</v>
      </c>
      <c r="G694" t="s">
        <v>65</v>
      </c>
      <c r="H694" t="s">
        <v>66</v>
      </c>
      <c r="I694" t="s">
        <v>60</v>
      </c>
      <c r="J694" t="s">
        <v>61</v>
      </c>
      <c r="L694" t="s">
        <v>62</v>
      </c>
      <c r="M694" t="s">
        <v>1044</v>
      </c>
    </row>
    <row r="695" spans="1:13">
      <c r="A695">
        <v>45715</v>
      </c>
      <c r="B695" t="s">
        <v>290</v>
      </c>
      <c r="C695">
        <v>539</v>
      </c>
      <c r="E695">
        <v>7455.98</v>
      </c>
      <c r="F695">
        <v>1</v>
      </c>
      <c r="G695" t="s">
        <v>65</v>
      </c>
      <c r="H695" t="s">
        <v>66</v>
      </c>
      <c r="I695" t="s">
        <v>60</v>
      </c>
      <c r="J695" t="s">
        <v>61</v>
      </c>
      <c r="L695" t="s">
        <v>62</v>
      </c>
      <c r="M695" t="s">
        <v>1044</v>
      </c>
    </row>
    <row r="696" spans="1:13">
      <c r="A696">
        <v>45715</v>
      </c>
      <c r="B696" t="s">
        <v>290</v>
      </c>
      <c r="C696">
        <v>540</v>
      </c>
      <c r="E696">
        <v>5240.8100000000004</v>
      </c>
      <c r="F696">
        <v>1</v>
      </c>
      <c r="G696" t="s">
        <v>65</v>
      </c>
      <c r="H696" t="s">
        <v>66</v>
      </c>
      <c r="I696" t="s">
        <v>60</v>
      </c>
      <c r="J696" t="s">
        <v>61</v>
      </c>
      <c r="L696" t="s">
        <v>62</v>
      </c>
      <c r="M696" t="s">
        <v>1044</v>
      </c>
    </row>
    <row r="697" spans="1:13">
      <c r="A697">
        <v>45715</v>
      </c>
      <c r="B697" t="s">
        <v>63</v>
      </c>
      <c r="D697">
        <v>5000</v>
      </c>
      <c r="F697">
        <v>1</v>
      </c>
      <c r="G697" t="s">
        <v>70</v>
      </c>
      <c r="I697" t="s">
        <v>71</v>
      </c>
      <c r="J697" t="s">
        <v>72</v>
      </c>
      <c r="K697">
        <v>469</v>
      </c>
      <c r="L697" t="s">
        <v>62</v>
      </c>
      <c r="M697" t="s">
        <v>90</v>
      </c>
    </row>
    <row r="698" spans="1:13">
      <c r="A698">
        <v>45715</v>
      </c>
      <c r="B698" t="s">
        <v>1045</v>
      </c>
      <c r="F698">
        <v>1</v>
      </c>
      <c r="G698" t="s">
        <v>64</v>
      </c>
      <c r="L698" t="s">
        <v>82</v>
      </c>
      <c r="M698" t="s">
        <v>766</v>
      </c>
    </row>
    <row r="699" spans="1:13">
      <c r="A699">
        <v>45716</v>
      </c>
      <c r="B699" t="s">
        <v>81</v>
      </c>
      <c r="D699">
        <v>452100</v>
      </c>
      <c r="F699">
        <v>1</v>
      </c>
      <c r="G699" t="s">
        <v>74</v>
      </c>
      <c r="H699" t="s">
        <v>75</v>
      </c>
      <c r="I699" t="s">
        <v>60</v>
      </c>
      <c r="J699" t="s">
        <v>61</v>
      </c>
      <c r="L699" t="s">
        <v>88</v>
      </c>
    </row>
    <row r="700" spans="1:13">
      <c r="A700">
        <v>45716</v>
      </c>
      <c r="B700" t="s">
        <v>84</v>
      </c>
      <c r="D700">
        <v>-4160</v>
      </c>
      <c r="G700" t="s">
        <v>77</v>
      </c>
      <c r="I700" t="s">
        <v>60</v>
      </c>
      <c r="J700" t="s">
        <v>61</v>
      </c>
      <c r="L700" t="s">
        <v>62</v>
      </c>
    </row>
    <row r="701" spans="1:13">
      <c r="A701">
        <v>45716</v>
      </c>
      <c r="B701" t="s">
        <v>84</v>
      </c>
      <c r="E701">
        <v>-220</v>
      </c>
      <c r="G701" t="s">
        <v>65</v>
      </c>
      <c r="H701" t="s">
        <v>85</v>
      </c>
      <c r="I701" t="s">
        <v>60</v>
      </c>
      <c r="J701" t="s">
        <v>61</v>
      </c>
      <c r="L701" t="s">
        <v>62</v>
      </c>
    </row>
    <row r="702" spans="1:13">
      <c r="A702">
        <v>45716</v>
      </c>
      <c r="B702" t="s">
        <v>63</v>
      </c>
      <c r="D702">
        <v>10000</v>
      </c>
      <c r="G702" t="s">
        <v>70</v>
      </c>
      <c r="I702" t="s">
        <v>60</v>
      </c>
      <c r="J702" t="s">
        <v>61</v>
      </c>
      <c r="L702" t="s">
        <v>62</v>
      </c>
    </row>
    <row r="703" spans="1:13">
      <c r="A703">
        <v>45716</v>
      </c>
      <c r="B703" t="s">
        <v>1046</v>
      </c>
      <c r="D703">
        <v>500</v>
      </c>
      <c r="F703">
        <v>1</v>
      </c>
      <c r="G703" t="s">
        <v>22</v>
      </c>
      <c r="H703" t="s">
        <v>21</v>
      </c>
      <c r="I703" t="s">
        <v>60</v>
      </c>
      <c r="J703" t="s">
        <v>61</v>
      </c>
      <c r="L703" t="s">
        <v>89</v>
      </c>
    </row>
    <row r="704" spans="1:13">
      <c r="A704">
        <v>45716</v>
      </c>
      <c r="B704" t="s">
        <v>1047</v>
      </c>
      <c r="D704">
        <v>500</v>
      </c>
      <c r="F704">
        <v>1</v>
      </c>
      <c r="G704" t="s">
        <v>22</v>
      </c>
      <c r="H704" t="s">
        <v>21</v>
      </c>
      <c r="I704" t="s">
        <v>60</v>
      </c>
      <c r="J704" t="s">
        <v>61</v>
      </c>
      <c r="L704" t="s">
        <v>89</v>
      </c>
    </row>
    <row r="705" spans="1:13">
      <c r="A705">
        <v>45716</v>
      </c>
      <c r="B705" t="s">
        <v>1048</v>
      </c>
      <c r="D705">
        <v>500</v>
      </c>
      <c r="F705">
        <v>1</v>
      </c>
      <c r="G705" t="s">
        <v>22</v>
      </c>
      <c r="H705" t="s">
        <v>21</v>
      </c>
      <c r="I705" t="s">
        <v>60</v>
      </c>
      <c r="J705" t="s">
        <v>61</v>
      </c>
      <c r="L705" t="s">
        <v>82</v>
      </c>
    </row>
    <row r="706" spans="1:13">
      <c r="A706">
        <v>45716</v>
      </c>
      <c r="B706" t="s">
        <v>1048</v>
      </c>
      <c r="D706">
        <v>0</v>
      </c>
      <c r="F706">
        <v>0</v>
      </c>
      <c r="G706" t="s">
        <v>22</v>
      </c>
      <c r="H706" t="s">
        <v>21</v>
      </c>
      <c r="I706" t="s">
        <v>60</v>
      </c>
      <c r="J706" t="s">
        <v>61</v>
      </c>
      <c r="L706" t="s">
        <v>82</v>
      </c>
      <c r="M706" t="s">
        <v>83</v>
      </c>
    </row>
    <row r="707" spans="1:13">
      <c r="A707">
        <v>45716</v>
      </c>
      <c r="B707" t="s">
        <v>1049</v>
      </c>
      <c r="D707">
        <v>500</v>
      </c>
      <c r="F707">
        <v>1</v>
      </c>
      <c r="G707" t="s">
        <v>22</v>
      </c>
      <c r="H707" t="s">
        <v>21</v>
      </c>
      <c r="I707" t="s">
        <v>60</v>
      </c>
      <c r="J707" t="s">
        <v>61</v>
      </c>
      <c r="L707" t="s">
        <v>82</v>
      </c>
    </row>
    <row r="708" spans="1:13">
      <c r="A708">
        <v>45716</v>
      </c>
      <c r="B708" t="s">
        <v>1049</v>
      </c>
      <c r="D708">
        <v>0</v>
      </c>
      <c r="F708">
        <v>0</v>
      </c>
      <c r="G708" t="s">
        <v>22</v>
      </c>
      <c r="H708" t="s">
        <v>21</v>
      </c>
      <c r="I708" t="s">
        <v>60</v>
      </c>
      <c r="J708" t="s">
        <v>61</v>
      </c>
      <c r="L708" t="s">
        <v>82</v>
      </c>
      <c r="M708" t="s">
        <v>83</v>
      </c>
    </row>
    <row r="709" spans="1:13">
      <c r="A709">
        <v>45716</v>
      </c>
      <c r="B709" t="s">
        <v>1050</v>
      </c>
      <c r="D709">
        <v>500</v>
      </c>
      <c r="F709">
        <v>1</v>
      </c>
      <c r="G709" t="s">
        <v>22</v>
      </c>
      <c r="H709" t="s">
        <v>21</v>
      </c>
      <c r="I709" t="s">
        <v>60</v>
      </c>
      <c r="J709" t="s">
        <v>61</v>
      </c>
      <c r="L709" t="s">
        <v>82</v>
      </c>
    </row>
    <row r="710" spans="1:13">
      <c r="A710">
        <v>45716</v>
      </c>
      <c r="B710" t="s">
        <v>1051</v>
      </c>
      <c r="D710">
        <v>500</v>
      </c>
      <c r="F710">
        <v>1</v>
      </c>
      <c r="G710" t="s">
        <v>22</v>
      </c>
      <c r="H710" t="s">
        <v>21</v>
      </c>
      <c r="I710" t="s">
        <v>60</v>
      </c>
      <c r="J710" t="s">
        <v>61</v>
      </c>
      <c r="L710" t="s">
        <v>82</v>
      </c>
    </row>
    <row r="711" spans="1:13">
      <c r="A711">
        <v>45716</v>
      </c>
      <c r="B711" t="s">
        <v>1051</v>
      </c>
      <c r="D711">
        <v>0</v>
      </c>
      <c r="F711">
        <v>0</v>
      </c>
      <c r="G711" t="s">
        <v>22</v>
      </c>
      <c r="H711" t="s">
        <v>21</v>
      </c>
      <c r="I711" t="s">
        <v>60</v>
      </c>
      <c r="J711" t="s">
        <v>61</v>
      </c>
      <c r="L711" t="s">
        <v>82</v>
      </c>
      <c r="M711" t="s">
        <v>83</v>
      </c>
    </row>
    <row r="712" spans="1:13">
      <c r="A712">
        <v>45716</v>
      </c>
      <c r="B712" t="s">
        <v>76</v>
      </c>
      <c r="D712">
        <v>4500</v>
      </c>
      <c r="G712" t="s">
        <v>77</v>
      </c>
      <c r="I712" t="s">
        <v>60</v>
      </c>
      <c r="J712" t="s">
        <v>61</v>
      </c>
      <c r="L712" t="s">
        <v>62</v>
      </c>
    </row>
    <row r="713" spans="1:13">
      <c r="A713">
        <v>45716</v>
      </c>
      <c r="B713" t="s">
        <v>63</v>
      </c>
      <c r="D713">
        <v>200</v>
      </c>
      <c r="F713">
        <v>2</v>
      </c>
      <c r="G713" t="s">
        <v>22</v>
      </c>
      <c r="H713" t="s">
        <v>93</v>
      </c>
      <c r="I713" t="s">
        <v>60</v>
      </c>
      <c r="J713" t="s">
        <v>61</v>
      </c>
      <c r="L713" t="s">
        <v>62</v>
      </c>
    </row>
    <row r="714" spans="1:13">
      <c r="A714">
        <v>45717</v>
      </c>
      <c r="B714" t="s">
        <v>559</v>
      </c>
      <c r="E714">
        <v>10000</v>
      </c>
      <c r="F714">
        <v>1</v>
      </c>
      <c r="G714" t="s">
        <v>65</v>
      </c>
      <c r="H714" t="s">
        <v>560</v>
      </c>
      <c r="I714" t="s">
        <v>60</v>
      </c>
      <c r="J714" t="s">
        <v>61</v>
      </c>
      <c r="L714" t="s">
        <v>62</v>
      </c>
    </row>
    <row r="715" spans="1:13">
      <c r="A715">
        <v>45717</v>
      </c>
      <c r="B715" t="s">
        <v>561</v>
      </c>
      <c r="E715">
        <v>9000</v>
      </c>
      <c r="F715">
        <v>1</v>
      </c>
      <c r="G715" t="s">
        <v>65</v>
      </c>
      <c r="H715" t="s">
        <v>560</v>
      </c>
      <c r="I715" t="s">
        <v>60</v>
      </c>
      <c r="J715" t="s">
        <v>61</v>
      </c>
      <c r="L715" t="s">
        <v>62</v>
      </c>
    </row>
    <row r="716" spans="1:13">
      <c r="A716">
        <v>45717</v>
      </c>
      <c r="B716" t="s">
        <v>624</v>
      </c>
      <c r="D716">
        <v>-20800</v>
      </c>
      <c r="G716" t="s">
        <v>77</v>
      </c>
      <c r="I716" t="s">
        <v>60</v>
      </c>
      <c r="J716" t="s">
        <v>61</v>
      </c>
      <c r="L716" t="s">
        <v>62</v>
      </c>
    </row>
    <row r="717" spans="1:13">
      <c r="A717">
        <v>45717</v>
      </c>
      <c r="B717" t="s">
        <v>624</v>
      </c>
      <c r="E717">
        <v>-1100</v>
      </c>
      <c r="F717">
        <v>1</v>
      </c>
      <c r="G717" t="s">
        <v>65</v>
      </c>
      <c r="H717" t="s">
        <v>85</v>
      </c>
      <c r="I717" t="s">
        <v>60</v>
      </c>
      <c r="J717" t="s">
        <v>61</v>
      </c>
      <c r="L717" t="s">
        <v>62</v>
      </c>
    </row>
    <row r="718" spans="1:13">
      <c r="A718">
        <v>45717</v>
      </c>
      <c r="B718" t="s">
        <v>63</v>
      </c>
      <c r="D718">
        <v>24500</v>
      </c>
      <c r="F718">
        <v>4</v>
      </c>
      <c r="G718" t="s">
        <v>70</v>
      </c>
      <c r="I718" t="s">
        <v>71</v>
      </c>
      <c r="J718" t="s">
        <v>72</v>
      </c>
      <c r="K718" t="s">
        <v>1052</v>
      </c>
      <c r="L718" t="s">
        <v>62</v>
      </c>
      <c r="M718" t="s">
        <v>90</v>
      </c>
    </row>
    <row r="719" spans="1:13">
      <c r="A719">
        <v>45717</v>
      </c>
      <c r="B719" t="s">
        <v>63</v>
      </c>
      <c r="D719">
        <v>19000</v>
      </c>
      <c r="G719" t="s">
        <v>70</v>
      </c>
      <c r="I719" t="s">
        <v>60</v>
      </c>
      <c r="J719" t="s">
        <v>61</v>
      </c>
      <c r="L719" t="s">
        <v>62</v>
      </c>
    </row>
    <row r="720" spans="1:13">
      <c r="A720">
        <v>45717</v>
      </c>
      <c r="B720" t="s">
        <v>1053</v>
      </c>
      <c r="F720">
        <v>1</v>
      </c>
      <c r="G720" t="s">
        <v>79</v>
      </c>
      <c r="H720" t="s">
        <v>21</v>
      </c>
      <c r="L720" t="s">
        <v>82</v>
      </c>
    </row>
    <row r="721" spans="1:13">
      <c r="A721">
        <v>45717</v>
      </c>
      <c r="B721" t="s">
        <v>1053</v>
      </c>
      <c r="F721">
        <v>1</v>
      </c>
      <c r="G721" t="s">
        <v>64</v>
      </c>
      <c r="L721" t="s">
        <v>82</v>
      </c>
      <c r="M721" t="s">
        <v>1054</v>
      </c>
    </row>
    <row r="722" spans="1:13">
      <c r="A722">
        <v>45717</v>
      </c>
      <c r="B722" t="s">
        <v>1055</v>
      </c>
      <c r="F722">
        <v>1</v>
      </c>
      <c r="G722" t="s">
        <v>64</v>
      </c>
      <c r="L722" t="s">
        <v>82</v>
      </c>
      <c r="M722" t="s">
        <v>96</v>
      </c>
    </row>
    <row r="723" spans="1:13">
      <c r="A723">
        <v>45717</v>
      </c>
      <c r="B723" t="s">
        <v>1056</v>
      </c>
      <c r="D723">
        <v>500</v>
      </c>
      <c r="F723">
        <v>1</v>
      </c>
      <c r="G723" t="s">
        <v>22</v>
      </c>
      <c r="H723" t="s">
        <v>21</v>
      </c>
      <c r="I723" t="s">
        <v>60</v>
      </c>
      <c r="J723" t="s">
        <v>61</v>
      </c>
      <c r="L723" t="s">
        <v>82</v>
      </c>
    </row>
    <row r="724" spans="1:13">
      <c r="A724">
        <v>45717</v>
      </c>
      <c r="B724" t="s">
        <v>76</v>
      </c>
      <c r="D724">
        <v>20700</v>
      </c>
      <c r="G724" t="s">
        <v>77</v>
      </c>
      <c r="I724" t="s">
        <v>60</v>
      </c>
      <c r="J724" t="s">
        <v>61</v>
      </c>
      <c r="L724" t="s">
        <v>62</v>
      </c>
    </row>
    <row r="725" spans="1:13">
      <c r="A725">
        <v>45717</v>
      </c>
      <c r="B725" t="s">
        <v>1057</v>
      </c>
      <c r="D725">
        <v>500</v>
      </c>
      <c r="F725">
        <v>1</v>
      </c>
      <c r="G725" t="s">
        <v>22</v>
      </c>
      <c r="H725" t="s">
        <v>21</v>
      </c>
      <c r="I725" t="s">
        <v>60</v>
      </c>
      <c r="J725" t="s">
        <v>61</v>
      </c>
      <c r="L725" t="s">
        <v>82</v>
      </c>
    </row>
    <row r="726" spans="1:13">
      <c r="A726">
        <v>45717</v>
      </c>
      <c r="B726" t="s">
        <v>1058</v>
      </c>
      <c r="D726">
        <v>500</v>
      </c>
      <c r="F726">
        <v>1</v>
      </c>
      <c r="G726" t="s">
        <v>22</v>
      </c>
      <c r="H726" t="s">
        <v>21</v>
      </c>
      <c r="I726" t="s">
        <v>60</v>
      </c>
      <c r="J726" t="s">
        <v>61</v>
      </c>
      <c r="L726" t="s">
        <v>86</v>
      </c>
    </row>
    <row r="727" spans="1:13">
      <c r="A727">
        <v>45717</v>
      </c>
      <c r="B727" t="s">
        <v>1058</v>
      </c>
      <c r="F727">
        <v>1</v>
      </c>
      <c r="G727" t="s">
        <v>64</v>
      </c>
      <c r="L727" t="s">
        <v>86</v>
      </c>
      <c r="M727" t="s">
        <v>1059</v>
      </c>
    </row>
    <row r="728" spans="1:13">
      <c r="A728">
        <v>45717</v>
      </c>
      <c r="B728" t="s">
        <v>63</v>
      </c>
      <c r="D728">
        <v>100</v>
      </c>
      <c r="F728">
        <v>1</v>
      </c>
      <c r="G728" t="s">
        <v>22</v>
      </c>
      <c r="H728" t="s">
        <v>93</v>
      </c>
      <c r="I728" t="s">
        <v>60</v>
      </c>
      <c r="J728" t="s">
        <v>61</v>
      </c>
      <c r="L728" t="s">
        <v>62</v>
      </c>
    </row>
    <row r="729" spans="1:13">
      <c r="A729">
        <v>45717</v>
      </c>
      <c r="B729" t="s">
        <v>1060</v>
      </c>
      <c r="D729">
        <v>500</v>
      </c>
      <c r="F729">
        <v>1</v>
      </c>
      <c r="G729" t="s">
        <v>22</v>
      </c>
      <c r="H729" t="s">
        <v>21</v>
      </c>
      <c r="I729" t="s">
        <v>60</v>
      </c>
      <c r="J729" t="s">
        <v>61</v>
      </c>
      <c r="L729" t="s">
        <v>86</v>
      </c>
    </row>
    <row r="730" spans="1:13">
      <c r="A730">
        <v>45717</v>
      </c>
      <c r="B730" t="s">
        <v>1061</v>
      </c>
      <c r="F730">
        <v>1</v>
      </c>
      <c r="G730" t="s">
        <v>590</v>
      </c>
      <c r="H730" t="s">
        <v>21</v>
      </c>
      <c r="L730" t="s">
        <v>86</v>
      </c>
    </row>
    <row r="731" spans="1:13">
      <c r="A731">
        <v>45717</v>
      </c>
      <c r="B731" t="s">
        <v>1062</v>
      </c>
      <c r="F731">
        <v>1</v>
      </c>
      <c r="G731" t="s">
        <v>590</v>
      </c>
      <c r="H731" t="s">
        <v>21</v>
      </c>
      <c r="L731" t="s">
        <v>86</v>
      </c>
      <c r="M731" t="s">
        <v>1063</v>
      </c>
    </row>
    <row r="732" spans="1:13">
      <c r="A732">
        <v>45717</v>
      </c>
      <c r="B732" t="s">
        <v>1064</v>
      </c>
      <c r="D732">
        <v>500</v>
      </c>
      <c r="F732">
        <v>1</v>
      </c>
      <c r="G732" t="s">
        <v>22</v>
      </c>
      <c r="H732" t="s">
        <v>21</v>
      </c>
      <c r="I732" t="s">
        <v>60</v>
      </c>
      <c r="J732" t="s">
        <v>61</v>
      </c>
      <c r="L732" t="s">
        <v>86</v>
      </c>
    </row>
    <row r="733" spans="1:13">
      <c r="A733">
        <v>45718</v>
      </c>
      <c r="B733" t="s">
        <v>1065</v>
      </c>
      <c r="F733">
        <v>1</v>
      </c>
      <c r="G733" t="s">
        <v>107</v>
      </c>
      <c r="H733" t="s">
        <v>21</v>
      </c>
      <c r="L733" t="s">
        <v>86</v>
      </c>
    </row>
    <row r="734" spans="1:13">
      <c r="A734">
        <v>45718</v>
      </c>
      <c r="B734" t="s">
        <v>1066</v>
      </c>
      <c r="F734">
        <v>1</v>
      </c>
      <c r="G734" t="s">
        <v>590</v>
      </c>
      <c r="H734" t="s">
        <v>21</v>
      </c>
      <c r="L734" t="s">
        <v>86</v>
      </c>
    </row>
    <row r="735" spans="1:13">
      <c r="A735">
        <v>45718</v>
      </c>
      <c r="B735" t="s">
        <v>63</v>
      </c>
      <c r="D735">
        <v>40500</v>
      </c>
      <c r="G735" t="s">
        <v>70</v>
      </c>
      <c r="I735" t="s">
        <v>60</v>
      </c>
      <c r="J735" t="s">
        <v>61</v>
      </c>
      <c r="L735" t="s">
        <v>62</v>
      </c>
    </row>
    <row r="736" spans="1:13">
      <c r="A736">
        <v>45718</v>
      </c>
      <c r="B736" t="s">
        <v>1067</v>
      </c>
      <c r="D736">
        <v>500</v>
      </c>
      <c r="F736">
        <v>1</v>
      </c>
      <c r="G736" t="s">
        <v>22</v>
      </c>
      <c r="H736" t="s">
        <v>21</v>
      </c>
      <c r="I736" t="s">
        <v>60</v>
      </c>
      <c r="J736" t="s">
        <v>61</v>
      </c>
      <c r="L736" t="s">
        <v>89</v>
      </c>
    </row>
    <row r="737" spans="1:13">
      <c r="A737">
        <v>45718</v>
      </c>
      <c r="B737" t="s">
        <v>1068</v>
      </c>
      <c r="F737">
        <v>2</v>
      </c>
      <c r="G737" t="s">
        <v>79</v>
      </c>
      <c r="H737" t="s">
        <v>21</v>
      </c>
      <c r="L737" t="s">
        <v>89</v>
      </c>
    </row>
    <row r="738" spans="1:13">
      <c r="A738">
        <v>45718</v>
      </c>
      <c r="B738" t="s">
        <v>1069</v>
      </c>
      <c r="D738">
        <v>500</v>
      </c>
      <c r="F738">
        <v>1</v>
      </c>
      <c r="G738" t="s">
        <v>22</v>
      </c>
      <c r="H738" t="s">
        <v>21</v>
      </c>
      <c r="I738" t="s">
        <v>60</v>
      </c>
      <c r="J738" t="s">
        <v>61</v>
      </c>
      <c r="L738" t="s">
        <v>89</v>
      </c>
    </row>
    <row r="739" spans="1:13">
      <c r="A739">
        <v>45718</v>
      </c>
      <c r="B739" t="s">
        <v>1070</v>
      </c>
      <c r="F739">
        <v>1</v>
      </c>
      <c r="G739" t="s">
        <v>64</v>
      </c>
      <c r="L739" t="s">
        <v>89</v>
      </c>
      <c r="M739" t="s">
        <v>1071</v>
      </c>
    </row>
    <row r="740" spans="1:13">
      <c r="A740">
        <v>45718</v>
      </c>
      <c r="B740" t="s">
        <v>1072</v>
      </c>
      <c r="F740">
        <v>1</v>
      </c>
      <c r="G740" t="s">
        <v>64</v>
      </c>
      <c r="L740" t="s">
        <v>89</v>
      </c>
      <c r="M740" t="s">
        <v>1059</v>
      </c>
    </row>
    <row r="741" spans="1:13">
      <c r="A741">
        <v>45718</v>
      </c>
      <c r="B741" t="s">
        <v>1073</v>
      </c>
      <c r="D741">
        <v>500</v>
      </c>
      <c r="F741">
        <v>0</v>
      </c>
      <c r="G741" t="s">
        <v>22</v>
      </c>
      <c r="H741" t="s">
        <v>21</v>
      </c>
      <c r="I741" t="s">
        <v>60</v>
      </c>
      <c r="J741" t="s">
        <v>61</v>
      </c>
      <c r="L741" t="s">
        <v>89</v>
      </c>
      <c r="M741" t="s">
        <v>83</v>
      </c>
    </row>
    <row r="742" spans="1:13">
      <c r="A742">
        <v>45718</v>
      </c>
      <c r="B742" t="s">
        <v>76</v>
      </c>
      <c r="D742">
        <v>6900</v>
      </c>
      <c r="G742" t="s">
        <v>77</v>
      </c>
      <c r="I742" t="s">
        <v>60</v>
      </c>
      <c r="J742" t="s">
        <v>61</v>
      </c>
      <c r="L742" t="s">
        <v>62</v>
      </c>
    </row>
    <row r="743" spans="1:13">
      <c r="A743">
        <v>45719</v>
      </c>
      <c r="B743" t="s">
        <v>1074</v>
      </c>
      <c r="D743">
        <v>500</v>
      </c>
      <c r="F743">
        <v>1</v>
      </c>
      <c r="G743" t="s">
        <v>22</v>
      </c>
      <c r="H743" t="s">
        <v>21</v>
      </c>
      <c r="I743" t="s">
        <v>60</v>
      </c>
      <c r="J743" t="s">
        <v>61</v>
      </c>
      <c r="L743" t="s">
        <v>82</v>
      </c>
    </row>
    <row r="744" spans="1:13">
      <c r="A744">
        <v>45719</v>
      </c>
      <c r="B744" t="s">
        <v>1075</v>
      </c>
      <c r="F744">
        <v>1</v>
      </c>
      <c r="G744" t="s">
        <v>64</v>
      </c>
      <c r="L744" t="s">
        <v>82</v>
      </c>
      <c r="M744" t="s">
        <v>1071</v>
      </c>
    </row>
    <row r="745" spans="1:13">
      <c r="A745">
        <v>45719</v>
      </c>
      <c r="B745" t="s">
        <v>1075</v>
      </c>
      <c r="D745">
        <v>500</v>
      </c>
      <c r="F745">
        <v>1</v>
      </c>
      <c r="G745" t="s">
        <v>22</v>
      </c>
      <c r="H745" t="s">
        <v>21</v>
      </c>
      <c r="I745" t="s">
        <v>60</v>
      </c>
      <c r="J745" t="s">
        <v>61</v>
      </c>
      <c r="L745" t="s">
        <v>82</v>
      </c>
    </row>
    <row r="746" spans="1:13">
      <c r="A746">
        <v>45719</v>
      </c>
      <c r="B746" t="s">
        <v>63</v>
      </c>
      <c r="D746">
        <v>56500</v>
      </c>
      <c r="G746" t="s">
        <v>70</v>
      </c>
      <c r="I746" t="s">
        <v>60</v>
      </c>
      <c r="J746" t="s">
        <v>61</v>
      </c>
      <c r="L746" t="s">
        <v>62</v>
      </c>
    </row>
    <row r="747" spans="1:13">
      <c r="A747">
        <v>45719</v>
      </c>
      <c r="B747" t="s">
        <v>1076</v>
      </c>
      <c r="D747">
        <v>500</v>
      </c>
      <c r="F747">
        <v>1</v>
      </c>
      <c r="G747" t="s">
        <v>22</v>
      </c>
      <c r="H747" t="s">
        <v>21</v>
      </c>
      <c r="I747" t="s">
        <v>60</v>
      </c>
      <c r="J747" t="s">
        <v>61</v>
      </c>
      <c r="L747" t="s">
        <v>82</v>
      </c>
    </row>
    <row r="748" spans="1:13">
      <c r="A748">
        <v>45719</v>
      </c>
      <c r="B748" t="s">
        <v>1077</v>
      </c>
      <c r="F748">
        <v>1</v>
      </c>
      <c r="G748" t="s">
        <v>590</v>
      </c>
      <c r="H748" t="s">
        <v>21</v>
      </c>
      <c r="L748" t="s">
        <v>82</v>
      </c>
    </row>
    <row r="749" spans="1:13">
      <c r="A749">
        <v>45719</v>
      </c>
      <c r="B749" t="s">
        <v>1078</v>
      </c>
      <c r="F749">
        <v>1</v>
      </c>
      <c r="G749" t="s">
        <v>64</v>
      </c>
      <c r="L749" t="s">
        <v>82</v>
      </c>
      <c r="M749" t="s">
        <v>1079</v>
      </c>
    </row>
    <row r="750" spans="1:13">
      <c r="A750">
        <v>45719</v>
      </c>
      <c r="B750" t="s">
        <v>1080</v>
      </c>
      <c r="D750">
        <v>500</v>
      </c>
      <c r="F750">
        <v>1</v>
      </c>
      <c r="G750" t="s">
        <v>22</v>
      </c>
      <c r="H750" t="s">
        <v>21</v>
      </c>
      <c r="I750" t="s">
        <v>60</v>
      </c>
      <c r="J750" t="s">
        <v>61</v>
      </c>
      <c r="L750" t="s">
        <v>89</v>
      </c>
    </row>
    <row r="751" spans="1:13">
      <c r="A751">
        <v>45719</v>
      </c>
      <c r="B751" t="s">
        <v>1080</v>
      </c>
      <c r="D751">
        <v>0</v>
      </c>
      <c r="F751">
        <v>0</v>
      </c>
      <c r="G751" t="s">
        <v>22</v>
      </c>
      <c r="H751" t="s">
        <v>21</v>
      </c>
      <c r="I751" t="s">
        <v>60</v>
      </c>
      <c r="J751" t="s">
        <v>61</v>
      </c>
      <c r="L751" t="s">
        <v>89</v>
      </c>
      <c r="M751" t="s">
        <v>83</v>
      </c>
    </row>
    <row r="752" spans="1:13">
      <c r="A752">
        <v>45719</v>
      </c>
      <c r="B752" t="s">
        <v>76</v>
      </c>
      <c r="D752">
        <v>500</v>
      </c>
      <c r="G752" t="s">
        <v>77</v>
      </c>
      <c r="I752" t="s">
        <v>60</v>
      </c>
      <c r="J752" t="s">
        <v>61</v>
      </c>
      <c r="L752" t="s">
        <v>62</v>
      </c>
    </row>
    <row r="753" spans="1:13">
      <c r="A753">
        <v>45719</v>
      </c>
      <c r="B753" t="s">
        <v>63</v>
      </c>
      <c r="D753">
        <v>100</v>
      </c>
      <c r="F753">
        <v>1</v>
      </c>
      <c r="G753" t="s">
        <v>22</v>
      </c>
      <c r="H753" t="s">
        <v>93</v>
      </c>
      <c r="I753" t="s">
        <v>60</v>
      </c>
      <c r="J753" t="s">
        <v>61</v>
      </c>
      <c r="L753" t="s">
        <v>62</v>
      </c>
    </row>
    <row r="754" spans="1:13">
      <c r="A754">
        <v>45719</v>
      </c>
      <c r="B754" t="s">
        <v>1081</v>
      </c>
      <c r="F754">
        <v>1</v>
      </c>
      <c r="G754" t="s">
        <v>0</v>
      </c>
      <c r="L754" t="s">
        <v>89</v>
      </c>
    </row>
    <row r="755" spans="1:13">
      <c r="A755">
        <v>45720</v>
      </c>
      <c r="B755" t="s">
        <v>63</v>
      </c>
      <c r="D755">
        <v>100</v>
      </c>
      <c r="F755">
        <v>1</v>
      </c>
      <c r="G755" t="s">
        <v>22</v>
      </c>
      <c r="H755" t="s">
        <v>93</v>
      </c>
      <c r="I755" t="s">
        <v>60</v>
      </c>
      <c r="J755" t="s">
        <v>61</v>
      </c>
      <c r="L755" t="s">
        <v>62</v>
      </c>
    </row>
    <row r="756" spans="1:13">
      <c r="A756">
        <v>45720</v>
      </c>
      <c r="B756" t="s">
        <v>63</v>
      </c>
      <c r="D756">
        <v>33500</v>
      </c>
      <c r="F756">
        <v>4</v>
      </c>
      <c r="G756" t="s">
        <v>70</v>
      </c>
      <c r="I756" t="s">
        <v>71</v>
      </c>
      <c r="J756" t="s">
        <v>72</v>
      </c>
      <c r="K756" t="s">
        <v>1082</v>
      </c>
      <c r="L756" t="s">
        <v>62</v>
      </c>
      <c r="M756" t="s">
        <v>90</v>
      </c>
    </row>
    <row r="757" spans="1:13">
      <c r="A757">
        <v>45720</v>
      </c>
      <c r="B757" t="s">
        <v>1083</v>
      </c>
      <c r="F757">
        <v>1</v>
      </c>
      <c r="G757" t="s">
        <v>64</v>
      </c>
      <c r="L757" t="s">
        <v>86</v>
      </c>
      <c r="M757" t="s">
        <v>1084</v>
      </c>
    </row>
    <row r="758" spans="1:13">
      <c r="A758">
        <v>45720</v>
      </c>
      <c r="B758" t="s">
        <v>1085</v>
      </c>
      <c r="F758">
        <v>1</v>
      </c>
      <c r="G758" t="s">
        <v>377</v>
      </c>
      <c r="H758" t="s">
        <v>21</v>
      </c>
      <c r="L758" t="s">
        <v>86</v>
      </c>
    </row>
    <row r="759" spans="1:13">
      <c r="A759">
        <v>45720</v>
      </c>
      <c r="B759" t="s">
        <v>1086</v>
      </c>
      <c r="D759">
        <v>47999</v>
      </c>
      <c r="F759">
        <v>1</v>
      </c>
      <c r="G759" t="s">
        <v>22</v>
      </c>
      <c r="H759" t="s">
        <v>1087</v>
      </c>
      <c r="I759" t="s">
        <v>71</v>
      </c>
      <c r="J759" t="s">
        <v>72</v>
      </c>
      <c r="K759" t="s">
        <v>1088</v>
      </c>
      <c r="L759" t="s">
        <v>89</v>
      </c>
      <c r="M759" t="s">
        <v>1089</v>
      </c>
    </row>
    <row r="760" spans="1:13">
      <c r="A760">
        <v>45720</v>
      </c>
      <c r="B760" t="s">
        <v>1090</v>
      </c>
      <c r="D760">
        <v>500</v>
      </c>
      <c r="F760">
        <v>1</v>
      </c>
      <c r="G760" t="s">
        <v>22</v>
      </c>
      <c r="H760" t="s">
        <v>21</v>
      </c>
      <c r="I760" t="s">
        <v>60</v>
      </c>
      <c r="J760" t="s">
        <v>61</v>
      </c>
      <c r="L760" t="s">
        <v>89</v>
      </c>
    </row>
    <row r="761" spans="1:13">
      <c r="A761">
        <v>45720</v>
      </c>
      <c r="B761" t="s">
        <v>1091</v>
      </c>
      <c r="D761">
        <v>500</v>
      </c>
      <c r="F761">
        <v>1</v>
      </c>
      <c r="G761" t="s">
        <v>22</v>
      </c>
      <c r="H761" t="s">
        <v>21</v>
      </c>
      <c r="I761" t="s">
        <v>60</v>
      </c>
      <c r="J761" t="s">
        <v>61</v>
      </c>
      <c r="L761" t="s">
        <v>89</v>
      </c>
    </row>
    <row r="762" spans="1:13">
      <c r="A762">
        <v>45720</v>
      </c>
      <c r="B762" t="s">
        <v>1092</v>
      </c>
      <c r="F762">
        <v>1</v>
      </c>
      <c r="G762" t="s">
        <v>64</v>
      </c>
      <c r="L762" t="s">
        <v>89</v>
      </c>
      <c r="M762" t="s">
        <v>1054</v>
      </c>
    </row>
    <row r="763" spans="1:13">
      <c r="A763">
        <v>45720</v>
      </c>
      <c r="B763" t="s">
        <v>63</v>
      </c>
      <c r="D763">
        <v>22500</v>
      </c>
      <c r="G763" t="s">
        <v>70</v>
      </c>
      <c r="I763" t="s">
        <v>60</v>
      </c>
      <c r="J763" t="s">
        <v>61</v>
      </c>
      <c r="L763" t="s">
        <v>62</v>
      </c>
    </row>
    <row r="764" spans="1:13">
      <c r="A764">
        <v>45720</v>
      </c>
      <c r="B764" t="s">
        <v>1093</v>
      </c>
      <c r="C764" t="s">
        <v>1094</v>
      </c>
      <c r="E764">
        <v>35000</v>
      </c>
      <c r="F764">
        <v>1</v>
      </c>
      <c r="G764" t="s">
        <v>65</v>
      </c>
      <c r="H764" t="s">
        <v>265</v>
      </c>
      <c r="I764" t="s">
        <v>60</v>
      </c>
      <c r="J764" t="s">
        <v>61</v>
      </c>
      <c r="L764" t="s">
        <v>62</v>
      </c>
    </row>
    <row r="765" spans="1:13">
      <c r="A765">
        <v>45721</v>
      </c>
      <c r="B765" t="s">
        <v>81</v>
      </c>
      <c r="D765">
        <v>351100</v>
      </c>
      <c r="F765">
        <v>1</v>
      </c>
      <c r="G765" t="s">
        <v>74</v>
      </c>
      <c r="H765" t="s">
        <v>75</v>
      </c>
      <c r="I765" t="s">
        <v>60</v>
      </c>
      <c r="J765" t="s">
        <v>61</v>
      </c>
      <c r="L765" t="s">
        <v>88</v>
      </c>
      <c r="M765" t="s">
        <v>1095</v>
      </c>
    </row>
    <row r="766" spans="1:13">
      <c r="A766">
        <v>45721</v>
      </c>
      <c r="B766" t="s">
        <v>1096</v>
      </c>
      <c r="D766">
        <v>500</v>
      </c>
      <c r="F766">
        <v>1</v>
      </c>
      <c r="G766" t="s">
        <v>22</v>
      </c>
      <c r="H766" t="s">
        <v>21</v>
      </c>
      <c r="I766" t="s">
        <v>60</v>
      </c>
      <c r="J766" t="s">
        <v>61</v>
      </c>
      <c r="L766" t="s">
        <v>86</v>
      </c>
    </row>
    <row r="767" spans="1:13">
      <c r="A767">
        <v>45721</v>
      </c>
      <c r="B767" t="s">
        <v>76</v>
      </c>
      <c r="D767">
        <v>18400</v>
      </c>
      <c r="G767" t="s">
        <v>77</v>
      </c>
      <c r="I767" t="s">
        <v>60</v>
      </c>
      <c r="J767" t="s">
        <v>61</v>
      </c>
      <c r="L767" t="s">
        <v>62</v>
      </c>
    </row>
    <row r="768" spans="1:13">
      <c r="A768">
        <v>45721</v>
      </c>
      <c r="B768" t="s">
        <v>624</v>
      </c>
      <c r="D768">
        <v>-31200</v>
      </c>
      <c r="G768" t="s">
        <v>77</v>
      </c>
      <c r="I768" t="s">
        <v>60</v>
      </c>
      <c r="J768" t="s">
        <v>61</v>
      </c>
      <c r="L768" t="s">
        <v>62</v>
      </c>
    </row>
    <row r="769" spans="1:13">
      <c r="A769">
        <v>45721</v>
      </c>
      <c r="B769" t="s">
        <v>624</v>
      </c>
      <c r="E769">
        <v>-1650</v>
      </c>
      <c r="F769">
        <v>1</v>
      </c>
      <c r="G769" t="s">
        <v>65</v>
      </c>
      <c r="H769" t="s">
        <v>85</v>
      </c>
      <c r="I769" t="s">
        <v>60</v>
      </c>
      <c r="J769" t="s">
        <v>61</v>
      </c>
      <c r="L769" t="s">
        <v>62</v>
      </c>
    </row>
    <row r="770" spans="1:13">
      <c r="A770">
        <v>45721</v>
      </c>
      <c r="B770" t="s">
        <v>238</v>
      </c>
      <c r="C770" t="s">
        <v>1097</v>
      </c>
      <c r="F770">
        <v>12</v>
      </c>
      <c r="G770" t="s">
        <v>22</v>
      </c>
      <c r="H770" t="s">
        <v>21</v>
      </c>
      <c r="L770" t="s">
        <v>95</v>
      </c>
    </row>
    <row r="771" spans="1:13">
      <c r="A771">
        <v>45721</v>
      </c>
      <c r="B771" t="s">
        <v>1098</v>
      </c>
      <c r="F771">
        <v>1</v>
      </c>
      <c r="G771" t="s">
        <v>64</v>
      </c>
      <c r="L771" t="s">
        <v>86</v>
      </c>
      <c r="M771" t="s">
        <v>1099</v>
      </c>
    </row>
    <row r="772" spans="1:13">
      <c r="A772">
        <v>45721</v>
      </c>
      <c r="B772" t="s">
        <v>1100</v>
      </c>
      <c r="D772">
        <v>500</v>
      </c>
      <c r="F772">
        <v>1</v>
      </c>
      <c r="G772" t="s">
        <v>22</v>
      </c>
      <c r="H772" t="s">
        <v>21</v>
      </c>
      <c r="I772" t="s">
        <v>60</v>
      </c>
      <c r="J772" t="s">
        <v>61</v>
      </c>
      <c r="L772" t="s">
        <v>82</v>
      </c>
    </row>
    <row r="773" spans="1:13">
      <c r="A773">
        <v>45721</v>
      </c>
      <c r="B773" t="s">
        <v>1101</v>
      </c>
      <c r="F773">
        <v>2</v>
      </c>
      <c r="G773" t="s">
        <v>107</v>
      </c>
      <c r="H773" t="s">
        <v>21</v>
      </c>
      <c r="L773" t="s">
        <v>82</v>
      </c>
    </row>
    <row r="774" spans="1:13">
      <c r="A774">
        <v>45721</v>
      </c>
      <c r="B774" t="s">
        <v>1102</v>
      </c>
      <c r="F774">
        <v>1</v>
      </c>
      <c r="G774" t="s">
        <v>99</v>
      </c>
      <c r="H774" t="s">
        <v>21</v>
      </c>
      <c r="L774" t="s">
        <v>82</v>
      </c>
    </row>
    <row r="775" spans="1:13">
      <c r="A775">
        <v>45721</v>
      </c>
      <c r="B775" t="s">
        <v>1103</v>
      </c>
      <c r="D775">
        <v>500</v>
      </c>
      <c r="F775">
        <v>1</v>
      </c>
      <c r="G775" t="s">
        <v>22</v>
      </c>
      <c r="H775" t="s">
        <v>21</v>
      </c>
      <c r="I775" t="s">
        <v>60</v>
      </c>
      <c r="J775" t="s">
        <v>61</v>
      </c>
      <c r="L775" t="s">
        <v>82</v>
      </c>
    </row>
    <row r="776" spans="1:13">
      <c r="A776">
        <v>45721</v>
      </c>
      <c r="B776" t="s">
        <v>1103</v>
      </c>
      <c r="D776">
        <v>0</v>
      </c>
      <c r="F776">
        <v>0</v>
      </c>
      <c r="G776" t="s">
        <v>22</v>
      </c>
      <c r="H776" t="s">
        <v>21</v>
      </c>
      <c r="I776" t="s">
        <v>60</v>
      </c>
      <c r="J776" t="s">
        <v>61</v>
      </c>
      <c r="L776" t="s">
        <v>82</v>
      </c>
      <c r="M776" t="s">
        <v>83</v>
      </c>
    </row>
    <row r="777" spans="1:13">
      <c r="A777">
        <v>45721</v>
      </c>
      <c r="B777" t="s">
        <v>1104</v>
      </c>
      <c r="D777">
        <v>500</v>
      </c>
      <c r="F777">
        <v>1</v>
      </c>
      <c r="G777" t="s">
        <v>22</v>
      </c>
      <c r="H777" t="s">
        <v>21</v>
      </c>
      <c r="I777" t="s">
        <v>60</v>
      </c>
      <c r="J777" t="s">
        <v>61</v>
      </c>
      <c r="L777" t="s">
        <v>82</v>
      </c>
    </row>
    <row r="778" spans="1:13">
      <c r="A778">
        <v>45721</v>
      </c>
      <c r="B778" t="s">
        <v>1105</v>
      </c>
      <c r="F778">
        <v>1</v>
      </c>
      <c r="G778" t="s">
        <v>0</v>
      </c>
      <c r="L778" t="s">
        <v>82</v>
      </c>
    </row>
    <row r="779" spans="1:13">
      <c r="A779">
        <v>45721</v>
      </c>
      <c r="B779" t="s">
        <v>1106</v>
      </c>
      <c r="F779">
        <v>1</v>
      </c>
      <c r="G779" t="s">
        <v>0</v>
      </c>
      <c r="L779" t="s">
        <v>86</v>
      </c>
    </row>
    <row r="780" spans="1:13">
      <c r="A780">
        <v>45722</v>
      </c>
      <c r="B780" t="s">
        <v>661</v>
      </c>
      <c r="E780">
        <v>2004837</v>
      </c>
      <c r="F780">
        <v>1</v>
      </c>
      <c r="G780" t="s">
        <v>74</v>
      </c>
      <c r="H780" t="s">
        <v>75</v>
      </c>
      <c r="I780" t="s">
        <v>60</v>
      </c>
      <c r="J780" t="s">
        <v>61</v>
      </c>
      <c r="L780" t="s">
        <v>167</v>
      </c>
      <c r="M780" t="s">
        <v>1107</v>
      </c>
    </row>
    <row r="781" spans="1:13">
      <c r="A781">
        <v>45722</v>
      </c>
      <c r="B781" t="s">
        <v>81</v>
      </c>
      <c r="E781">
        <v>664695</v>
      </c>
      <c r="F781">
        <v>1</v>
      </c>
      <c r="G781" t="s">
        <v>74</v>
      </c>
      <c r="H781" t="s">
        <v>75</v>
      </c>
      <c r="I781" t="s">
        <v>60</v>
      </c>
      <c r="J781" t="s">
        <v>61</v>
      </c>
      <c r="L781" t="s">
        <v>768</v>
      </c>
      <c r="M781" t="s">
        <v>1107</v>
      </c>
    </row>
    <row r="782" spans="1:13">
      <c r="A782">
        <v>45722</v>
      </c>
      <c r="B782" t="s">
        <v>1108</v>
      </c>
      <c r="D782">
        <v>500</v>
      </c>
      <c r="F782">
        <v>1</v>
      </c>
      <c r="G782" t="s">
        <v>22</v>
      </c>
      <c r="H782" t="s">
        <v>21</v>
      </c>
      <c r="I782" t="s">
        <v>60</v>
      </c>
      <c r="J782" t="s">
        <v>61</v>
      </c>
      <c r="L782" t="s">
        <v>89</v>
      </c>
    </row>
    <row r="783" spans="1:13">
      <c r="A783">
        <v>45722</v>
      </c>
      <c r="B783" t="s">
        <v>1109</v>
      </c>
      <c r="D783">
        <v>500</v>
      </c>
      <c r="F783">
        <v>0</v>
      </c>
      <c r="G783" t="s">
        <v>22</v>
      </c>
      <c r="H783" t="s">
        <v>21</v>
      </c>
      <c r="I783" t="s">
        <v>60</v>
      </c>
      <c r="J783" t="s">
        <v>61</v>
      </c>
      <c r="L783" t="s">
        <v>89</v>
      </c>
      <c r="M783" t="s">
        <v>83</v>
      </c>
    </row>
    <row r="784" spans="1:13">
      <c r="A784">
        <v>45722</v>
      </c>
      <c r="B784" t="s">
        <v>1110</v>
      </c>
      <c r="D784">
        <v>500</v>
      </c>
      <c r="F784">
        <v>0</v>
      </c>
      <c r="G784" t="s">
        <v>22</v>
      </c>
      <c r="H784" t="s">
        <v>21</v>
      </c>
      <c r="I784" t="s">
        <v>60</v>
      </c>
      <c r="J784" t="s">
        <v>61</v>
      </c>
      <c r="L784" t="s">
        <v>89</v>
      </c>
      <c r="M784" t="s">
        <v>83</v>
      </c>
    </row>
    <row r="785" spans="1:13">
      <c r="A785">
        <v>45722</v>
      </c>
      <c r="B785" t="s">
        <v>1111</v>
      </c>
      <c r="D785">
        <v>500</v>
      </c>
      <c r="F785">
        <v>1</v>
      </c>
      <c r="G785" t="s">
        <v>22</v>
      </c>
      <c r="H785" t="s">
        <v>21</v>
      </c>
      <c r="I785" t="s">
        <v>60</v>
      </c>
      <c r="J785" t="s">
        <v>61</v>
      </c>
      <c r="L785" t="s">
        <v>89</v>
      </c>
    </row>
    <row r="786" spans="1:13">
      <c r="A786">
        <v>45722</v>
      </c>
      <c r="B786" t="s">
        <v>81</v>
      </c>
      <c r="D786">
        <v>43000</v>
      </c>
      <c r="F786">
        <v>1</v>
      </c>
      <c r="G786" t="s">
        <v>74</v>
      </c>
      <c r="H786" t="s">
        <v>75</v>
      </c>
      <c r="I786" t="s">
        <v>60</v>
      </c>
      <c r="J786" t="s">
        <v>61</v>
      </c>
      <c r="L786" t="s">
        <v>88</v>
      </c>
    </row>
    <row r="787" spans="1:13">
      <c r="A787">
        <v>45722</v>
      </c>
      <c r="B787" t="s">
        <v>1112</v>
      </c>
      <c r="D787">
        <v>500</v>
      </c>
      <c r="F787">
        <v>1</v>
      </c>
      <c r="G787" t="s">
        <v>22</v>
      </c>
      <c r="H787" t="s">
        <v>21</v>
      </c>
      <c r="I787" t="s">
        <v>60</v>
      </c>
      <c r="J787" t="s">
        <v>61</v>
      </c>
      <c r="L787" t="s">
        <v>89</v>
      </c>
    </row>
    <row r="788" spans="1:13">
      <c r="A788">
        <v>45722</v>
      </c>
      <c r="B788" t="s">
        <v>1113</v>
      </c>
      <c r="D788">
        <v>500</v>
      </c>
      <c r="F788">
        <v>1</v>
      </c>
      <c r="G788" t="s">
        <v>22</v>
      </c>
      <c r="H788" t="s">
        <v>21</v>
      </c>
      <c r="I788" t="s">
        <v>60</v>
      </c>
      <c r="J788" t="s">
        <v>61</v>
      </c>
      <c r="L788" t="s">
        <v>89</v>
      </c>
    </row>
    <row r="789" spans="1:13">
      <c r="A789">
        <v>45722</v>
      </c>
      <c r="B789" t="s">
        <v>1114</v>
      </c>
      <c r="D789">
        <v>500</v>
      </c>
      <c r="F789">
        <v>1</v>
      </c>
      <c r="G789" t="s">
        <v>22</v>
      </c>
      <c r="H789" t="s">
        <v>21</v>
      </c>
      <c r="I789" t="s">
        <v>60</v>
      </c>
      <c r="J789" t="s">
        <v>61</v>
      </c>
      <c r="L789" t="s">
        <v>89</v>
      </c>
    </row>
    <row r="790" spans="1:13">
      <c r="A790">
        <v>45722</v>
      </c>
      <c r="B790" t="s">
        <v>1115</v>
      </c>
      <c r="D790">
        <v>500</v>
      </c>
      <c r="F790">
        <v>1</v>
      </c>
      <c r="G790" t="s">
        <v>22</v>
      </c>
      <c r="H790" t="s">
        <v>21</v>
      </c>
      <c r="I790" t="s">
        <v>60</v>
      </c>
      <c r="J790" t="s">
        <v>61</v>
      </c>
      <c r="L790" t="s">
        <v>89</v>
      </c>
    </row>
    <row r="791" spans="1:13">
      <c r="A791">
        <v>45722</v>
      </c>
      <c r="B791" t="s">
        <v>1116</v>
      </c>
      <c r="D791">
        <v>500</v>
      </c>
      <c r="F791">
        <v>1</v>
      </c>
      <c r="G791" t="s">
        <v>22</v>
      </c>
      <c r="H791" t="s">
        <v>21</v>
      </c>
      <c r="I791" t="s">
        <v>60</v>
      </c>
      <c r="J791" t="s">
        <v>61</v>
      </c>
      <c r="L791" t="s">
        <v>89</v>
      </c>
    </row>
    <row r="792" spans="1:13">
      <c r="A792">
        <v>45722</v>
      </c>
      <c r="B792" t="s">
        <v>1117</v>
      </c>
      <c r="F792">
        <v>1</v>
      </c>
      <c r="G792" t="s">
        <v>64</v>
      </c>
      <c r="L792" t="s">
        <v>82</v>
      </c>
      <c r="M792" t="s">
        <v>96</v>
      </c>
    </row>
    <row r="793" spans="1:13">
      <c r="A793">
        <v>45722</v>
      </c>
      <c r="B793" t="s">
        <v>1118</v>
      </c>
      <c r="D793">
        <v>500</v>
      </c>
      <c r="F793">
        <v>1</v>
      </c>
      <c r="G793" t="s">
        <v>22</v>
      </c>
      <c r="H793" t="s">
        <v>21</v>
      </c>
      <c r="I793" t="s">
        <v>60</v>
      </c>
      <c r="J793" t="s">
        <v>61</v>
      </c>
      <c r="L793" t="s">
        <v>82</v>
      </c>
    </row>
    <row r="794" spans="1:13">
      <c r="A794">
        <v>45722</v>
      </c>
      <c r="B794" t="s">
        <v>1119</v>
      </c>
      <c r="D794">
        <v>500</v>
      </c>
      <c r="F794">
        <v>1</v>
      </c>
      <c r="G794" t="s">
        <v>22</v>
      </c>
      <c r="H794" t="s">
        <v>21</v>
      </c>
      <c r="I794" t="s">
        <v>60</v>
      </c>
      <c r="J794" t="s">
        <v>61</v>
      </c>
      <c r="L794" t="s">
        <v>82</v>
      </c>
    </row>
    <row r="795" spans="1:13">
      <c r="A795">
        <v>45722</v>
      </c>
      <c r="B795" t="s">
        <v>1120</v>
      </c>
      <c r="F795">
        <v>1</v>
      </c>
      <c r="G795" t="s">
        <v>79</v>
      </c>
      <c r="H795" t="s">
        <v>21</v>
      </c>
      <c r="L795" t="s">
        <v>82</v>
      </c>
    </row>
    <row r="796" spans="1:13">
      <c r="A796">
        <v>45722</v>
      </c>
      <c r="B796" t="s">
        <v>1120</v>
      </c>
      <c r="F796">
        <v>1</v>
      </c>
      <c r="G796" t="s">
        <v>64</v>
      </c>
      <c r="L796" t="s">
        <v>82</v>
      </c>
      <c r="M796" t="s">
        <v>1121</v>
      </c>
    </row>
    <row r="797" spans="1:13">
      <c r="A797">
        <v>45723</v>
      </c>
      <c r="B797" t="s">
        <v>81</v>
      </c>
      <c r="D797">
        <v>249600</v>
      </c>
      <c r="F797">
        <v>1</v>
      </c>
      <c r="G797" t="s">
        <v>74</v>
      </c>
      <c r="H797" t="s">
        <v>75</v>
      </c>
      <c r="I797" t="s">
        <v>60</v>
      </c>
      <c r="J797" t="s">
        <v>61</v>
      </c>
      <c r="L797" t="s">
        <v>88</v>
      </c>
      <c r="M797" t="s">
        <v>1122</v>
      </c>
    </row>
    <row r="798" spans="1:13">
      <c r="A798">
        <v>45723</v>
      </c>
      <c r="B798" t="s">
        <v>643</v>
      </c>
      <c r="E798">
        <v>29000</v>
      </c>
      <c r="F798">
        <v>1</v>
      </c>
      <c r="G798" t="s">
        <v>65</v>
      </c>
      <c r="H798" t="s">
        <v>348</v>
      </c>
      <c r="I798" t="s">
        <v>60</v>
      </c>
      <c r="J798" t="s">
        <v>61</v>
      </c>
      <c r="L798" t="s">
        <v>0</v>
      </c>
      <c r="M798" t="s">
        <v>1123</v>
      </c>
    </row>
    <row r="799" spans="1:13">
      <c r="A799">
        <v>45723</v>
      </c>
      <c r="B799" t="s">
        <v>76</v>
      </c>
      <c r="D799">
        <v>14500</v>
      </c>
      <c r="G799" t="s">
        <v>77</v>
      </c>
      <c r="I799" t="s">
        <v>60</v>
      </c>
      <c r="J799" t="s">
        <v>61</v>
      </c>
      <c r="L799" t="s">
        <v>62</v>
      </c>
    </row>
    <row r="800" spans="1:13">
      <c r="A800">
        <v>45723</v>
      </c>
      <c r="B800" t="s">
        <v>1124</v>
      </c>
      <c r="D800">
        <v>500</v>
      </c>
      <c r="F800">
        <v>1</v>
      </c>
      <c r="G800" t="s">
        <v>22</v>
      </c>
      <c r="H800" t="s">
        <v>21</v>
      </c>
      <c r="I800" t="s">
        <v>60</v>
      </c>
      <c r="J800" t="s">
        <v>61</v>
      </c>
      <c r="L800" t="s">
        <v>89</v>
      </c>
    </row>
    <row r="801" spans="1:13">
      <c r="A801">
        <v>45723</v>
      </c>
      <c r="B801" t="s">
        <v>1125</v>
      </c>
      <c r="D801">
        <v>500</v>
      </c>
      <c r="F801">
        <v>1</v>
      </c>
      <c r="G801" t="s">
        <v>22</v>
      </c>
      <c r="H801" t="s">
        <v>21</v>
      </c>
      <c r="I801" t="s">
        <v>60</v>
      </c>
      <c r="J801" t="s">
        <v>61</v>
      </c>
      <c r="L801" t="s">
        <v>89</v>
      </c>
    </row>
    <row r="802" spans="1:13">
      <c r="A802">
        <v>45723</v>
      </c>
      <c r="B802" t="s">
        <v>948</v>
      </c>
      <c r="E802">
        <v>77000</v>
      </c>
      <c r="F802">
        <v>1</v>
      </c>
      <c r="G802" t="s">
        <v>65</v>
      </c>
      <c r="H802" t="s">
        <v>348</v>
      </c>
      <c r="I802" t="s">
        <v>60</v>
      </c>
      <c r="J802" t="s">
        <v>61</v>
      </c>
      <c r="L802" t="s">
        <v>0</v>
      </c>
      <c r="M802" t="s">
        <v>1123</v>
      </c>
    </row>
    <row r="803" spans="1:13">
      <c r="A803">
        <v>45723</v>
      </c>
      <c r="B803" t="s">
        <v>63</v>
      </c>
      <c r="D803">
        <v>6000</v>
      </c>
      <c r="G803" t="s">
        <v>70</v>
      </c>
      <c r="I803" t="s">
        <v>60</v>
      </c>
      <c r="J803" t="s">
        <v>61</v>
      </c>
      <c r="L803" t="s">
        <v>62</v>
      </c>
    </row>
    <row r="804" spans="1:13">
      <c r="A804">
        <v>45723</v>
      </c>
      <c r="B804" t="s">
        <v>624</v>
      </c>
      <c r="D804">
        <v>-41600</v>
      </c>
      <c r="G804" t="s">
        <v>77</v>
      </c>
      <c r="I804" t="s">
        <v>60</v>
      </c>
      <c r="J804" t="s">
        <v>61</v>
      </c>
      <c r="L804" t="s">
        <v>62</v>
      </c>
    </row>
    <row r="805" spans="1:13">
      <c r="A805">
        <v>45723</v>
      </c>
      <c r="B805" t="s">
        <v>624</v>
      </c>
      <c r="E805">
        <v>-2200</v>
      </c>
      <c r="F805">
        <v>1</v>
      </c>
      <c r="G805" t="s">
        <v>65</v>
      </c>
      <c r="H805" t="s">
        <v>85</v>
      </c>
      <c r="I805" t="s">
        <v>60</v>
      </c>
      <c r="J805" t="s">
        <v>61</v>
      </c>
      <c r="L805" t="s">
        <v>62</v>
      </c>
    </row>
    <row r="806" spans="1:13">
      <c r="A806">
        <v>45723</v>
      </c>
      <c r="B806" t="s">
        <v>1126</v>
      </c>
      <c r="D806">
        <v>500</v>
      </c>
      <c r="F806">
        <v>1</v>
      </c>
      <c r="G806" t="s">
        <v>22</v>
      </c>
      <c r="H806" t="s">
        <v>21</v>
      </c>
      <c r="I806" t="s">
        <v>60</v>
      </c>
      <c r="J806" t="s">
        <v>61</v>
      </c>
      <c r="L806" t="s">
        <v>89</v>
      </c>
    </row>
    <row r="807" spans="1:13">
      <c r="A807">
        <v>45723</v>
      </c>
      <c r="B807" t="s">
        <v>1127</v>
      </c>
      <c r="D807">
        <v>500</v>
      </c>
      <c r="F807">
        <v>1</v>
      </c>
      <c r="G807" t="s">
        <v>22</v>
      </c>
      <c r="H807" t="s">
        <v>21</v>
      </c>
      <c r="I807" t="s">
        <v>60</v>
      </c>
      <c r="J807" t="s">
        <v>61</v>
      </c>
      <c r="L807" t="s">
        <v>89</v>
      </c>
    </row>
    <row r="808" spans="1:13">
      <c r="A808">
        <v>45723</v>
      </c>
      <c r="B808" t="s">
        <v>1128</v>
      </c>
      <c r="D808">
        <v>500</v>
      </c>
      <c r="F808">
        <v>1</v>
      </c>
      <c r="G808" t="s">
        <v>22</v>
      </c>
      <c r="H808" t="s">
        <v>21</v>
      </c>
      <c r="I808" t="s">
        <v>60</v>
      </c>
      <c r="J808" t="s">
        <v>61</v>
      </c>
      <c r="L808" t="s">
        <v>89</v>
      </c>
    </row>
    <row r="809" spans="1:13">
      <c r="A809">
        <v>45723</v>
      </c>
      <c r="B809" t="s">
        <v>1129</v>
      </c>
      <c r="D809">
        <v>500</v>
      </c>
      <c r="F809">
        <v>1</v>
      </c>
      <c r="G809" t="s">
        <v>22</v>
      </c>
      <c r="H809" t="s">
        <v>21</v>
      </c>
      <c r="I809" t="s">
        <v>60</v>
      </c>
      <c r="J809" t="s">
        <v>61</v>
      </c>
      <c r="L809" t="s">
        <v>89</v>
      </c>
    </row>
    <row r="810" spans="1:13">
      <c r="A810">
        <v>45723</v>
      </c>
      <c r="B810" t="s">
        <v>63</v>
      </c>
      <c r="D810">
        <v>41500</v>
      </c>
      <c r="F810">
        <v>4</v>
      </c>
      <c r="G810" t="s">
        <v>70</v>
      </c>
      <c r="I810" t="s">
        <v>71</v>
      </c>
      <c r="J810" t="s">
        <v>72</v>
      </c>
      <c r="K810" t="s">
        <v>1130</v>
      </c>
      <c r="L810" t="s">
        <v>62</v>
      </c>
    </row>
    <row r="811" spans="1:13">
      <c r="A811">
        <v>45724</v>
      </c>
      <c r="B811" t="s">
        <v>81</v>
      </c>
      <c r="D811">
        <v>49000</v>
      </c>
      <c r="F811">
        <v>1</v>
      </c>
      <c r="G811" t="s">
        <v>74</v>
      </c>
      <c r="H811" t="s">
        <v>75</v>
      </c>
      <c r="I811" t="s">
        <v>60</v>
      </c>
      <c r="J811" t="s">
        <v>61</v>
      </c>
      <c r="L811" t="s">
        <v>88</v>
      </c>
    </row>
    <row r="812" spans="1:13">
      <c r="A812">
        <v>45724</v>
      </c>
      <c r="B812" t="s">
        <v>1131</v>
      </c>
      <c r="C812" t="s">
        <v>1132</v>
      </c>
      <c r="F812">
        <v>-500</v>
      </c>
      <c r="G812" t="s">
        <v>23</v>
      </c>
      <c r="H812" t="s">
        <v>1133</v>
      </c>
      <c r="L812" t="s">
        <v>1134</v>
      </c>
    </row>
    <row r="813" spans="1:13">
      <c r="A813">
        <v>45724</v>
      </c>
      <c r="B813" t="s">
        <v>624</v>
      </c>
      <c r="D813">
        <v>-20800</v>
      </c>
      <c r="G813" t="s">
        <v>77</v>
      </c>
      <c r="I813" t="s">
        <v>60</v>
      </c>
      <c r="J813" t="s">
        <v>61</v>
      </c>
      <c r="L813" t="s">
        <v>62</v>
      </c>
    </row>
    <row r="814" spans="1:13">
      <c r="A814">
        <v>45724</v>
      </c>
      <c r="B814" t="s">
        <v>624</v>
      </c>
      <c r="E814">
        <v>-1100</v>
      </c>
      <c r="F814">
        <v>1</v>
      </c>
      <c r="G814" t="s">
        <v>65</v>
      </c>
      <c r="H814" t="s">
        <v>85</v>
      </c>
      <c r="I814" t="s">
        <v>60</v>
      </c>
      <c r="J814" t="s">
        <v>61</v>
      </c>
      <c r="L814" t="s">
        <v>62</v>
      </c>
    </row>
    <row r="815" spans="1:13">
      <c r="A815">
        <v>45724</v>
      </c>
      <c r="B815" t="s">
        <v>559</v>
      </c>
      <c r="E815">
        <v>10000</v>
      </c>
      <c r="F815">
        <v>1</v>
      </c>
      <c r="G815" t="s">
        <v>65</v>
      </c>
      <c r="H815" t="s">
        <v>560</v>
      </c>
      <c r="I815" t="s">
        <v>60</v>
      </c>
      <c r="J815" t="s">
        <v>61</v>
      </c>
      <c r="L815" t="s">
        <v>62</v>
      </c>
    </row>
    <row r="816" spans="1:13">
      <c r="A816">
        <v>45724</v>
      </c>
      <c r="B816" t="s">
        <v>561</v>
      </c>
      <c r="E816">
        <v>9000</v>
      </c>
      <c r="F816">
        <v>1</v>
      </c>
      <c r="G816" t="s">
        <v>65</v>
      </c>
      <c r="H816" t="s">
        <v>560</v>
      </c>
      <c r="I816" t="s">
        <v>60</v>
      </c>
      <c r="J816" t="s">
        <v>61</v>
      </c>
      <c r="L816" t="s">
        <v>62</v>
      </c>
    </row>
    <row r="817" spans="1:13">
      <c r="A817">
        <v>45724</v>
      </c>
      <c r="B817" t="s">
        <v>1135</v>
      </c>
      <c r="D817">
        <v>500</v>
      </c>
      <c r="F817">
        <v>0</v>
      </c>
      <c r="G817" t="s">
        <v>22</v>
      </c>
      <c r="H817" t="s">
        <v>21</v>
      </c>
      <c r="I817" t="s">
        <v>60</v>
      </c>
      <c r="J817" t="s">
        <v>61</v>
      </c>
      <c r="L817" t="s">
        <v>89</v>
      </c>
      <c r="M817" t="s">
        <v>83</v>
      </c>
    </row>
    <row r="818" spans="1:13">
      <c r="A818">
        <v>45724</v>
      </c>
      <c r="B818" t="s">
        <v>1136</v>
      </c>
      <c r="D818">
        <v>249999</v>
      </c>
      <c r="F818">
        <v>1</v>
      </c>
      <c r="G818" t="s">
        <v>64</v>
      </c>
      <c r="I818" t="s">
        <v>60</v>
      </c>
      <c r="J818" t="s">
        <v>61</v>
      </c>
      <c r="L818" t="s">
        <v>89</v>
      </c>
    </row>
    <row r="819" spans="1:13">
      <c r="A819">
        <v>45724</v>
      </c>
      <c r="B819" t="s">
        <v>1137</v>
      </c>
      <c r="D819">
        <v>500</v>
      </c>
      <c r="F819">
        <v>1</v>
      </c>
      <c r="G819" t="s">
        <v>22</v>
      </c>
      <c r="H819" t="s">
        <v>21</v>
      </c>
      <c r="I819" t="s">
        <v>60</v>
      </c>
      <c r="J819" t="s">
        <v>61</v>
      </c>
      <c r="L819" t="s">
        <v>89</v>
      </c>
    </row>
    <row r="820" spans="1:13">
      <c r="A820">
        <v>45724</v>
      </c>
      <c r="B820" t="s">
        <v>1138</v>
      </c>
      <c r="D820">
        <v>500</v>
      </c>
      <c r="F820">
        <v>0</v>
      </c>
      <c r="G820" t="s">
        <v>22</v>
      </c>
      <c r="H820" t="s">
        <v>21</v>
      </c>
      <c r="I820" t="s">
        <v>60</v>
      </c>
      <c r="J820" t="s">
        <v>61</v>
      </c>
      <c r="L820" t="s">
        <v>89</v>
      </c>
      <c r="M820" t="s">
        <v>83</v>
      </c>
    </row>
    <row r="821" spans="1:13">
      <c r="A821">
        <v>45724</v>
      </c>
      <c r="B821" t="s">
        <v>76</v>
      </c>
      <c r="D821">
        <v>40300</v>
      </c>
      <c r="G821" t="s">
        <v>77</v>
      </c>
      <c r="I821" t="s">
        <v>60</v>
      </c>
      <c r="J821" t="s">
        <v>61</v>
      </c>
      <c r="L821" t="s">
        <v>62</v>
      </c>
    </row>
    <row r="822" spans="1:13">
      <c r="A822">
        <v>45724</v>
      </c>
      <c r="B822" t="s">
        <v>63</v>
      </c>
      <c r="D822">
        <v>32000</v>
      </c>
      <c r="G822" t="s">
        <v>70</v>
      </c>
      <c r="I822" t="s">
        <v>60</v>
      </c>
      <c r="J822" t="s">
        <v>61</v>
      </c>
      <c r="L822" t="s">
        <v>62</v>
      </c>
    </row>
    <row r="823" spans="1:13">
      <c r="A823">
        <v>45724</v>
      </c>
      <c r="B823" t="s">
        <v>1139</v>
      </c>
      <c r="D823">
        <v>500</v>
      </c>
      <c r="F823">
        <v>0</v>
      </c>
      <c r="G823" t="s">
        <v>22</v>
      </c>
      <c r="H823" t="s">
        <v>21</v>
      </c>
      <c r="I823" t="s">
        <v>60</v>
      </c>
      <c r="J823" t="s">
        <v>61</v>
      </c>
      <c r="L823" t="s">
        <v>89</v>
      </c>
      <c r="M823" t="s">
        <v>83</v>
      </c>
    </row>
    <row r="824" spans="1:13">
      <c r="A824">
        <v>45724</v>
      </c>
      <c r="B824" t="s">
        <v>1140</v>
      </c>
      <c r="D824">
        <v>500</v>
      </c>
      <c r="F824">
        <v>1</v>
      </c>
      <c r="G824" t="s">
        <v>22</v>
      </c>
      <c r="H824" t="s">
        <v>21</v>
      </c>
      <c r="I824" t="s">
        <v>60</v>
      </c>
      <c r="J824" t="s">
        <v>61</v>
      </c>
      <c r="L824" t="s">
        <v>89</v>
      </c>
    </row>
    <row r="825" spans="1:13">
      <c r="A825">
        <v>45724</v>
      </c>
      <c r="B825" t="s">
        <v>1141</v>
      </c>
      <c r="D825">
        <v>500</v>
      </c>
      <c r="F825">
        <v>1</v>
      </c>
      <c r="G825" t="s">
        <v>22</v>
      </c>
      <c r="H825" t="s">
        <v>21</v>
      </c>
      <c r="I825" t="s">
        <v>60</v>
      </c>
      <c r="J825" t="s">
        <v>61</v>
      </c>
      <c r="L825" t="s">
        <v>89</v>
      </c>
    </row>
    <row r="826" spans="1:13">
      <c r="A826">
        <v>45724</v>
      </c>
      <c r="B826" t="s">
        <v>1142</v>
      </c>
      <c r="D826">
        <v>500</v>
      </c>
      <c r="F826">
        <v>1</v>
      </c>
      <c r="G826" t="s">
        <v>22</v>
      </c>
      <c r="H826" t="s">
        <v>21</v>
      </c>
      <c r="I826" t="s">
        <v>60</v>
      </c>
      <c r="J826" t="s">
        <v>61</v>
      </c>
      <c r="L826" t="s">
        <v>89</v>
      </c>
    </row>
    <row r="827" spans="1:13">
      <c r="A827">
        <v>45724</v>
      </c>
      <c r="B827" t="s">
        <v>1143</v>
      </c>
      <c r="F827">
        <v>1</v>
      </c>
      <c r="G827" t="s">
        <v>590</v>
      </c>
      <c r="H827" t="s">
        <v>21</v>
      </c>
      <c r="L827" t="s">
        <v>86</v>
      </c>
    </row>
    <row r="828" spans="1:13">
      <c r="A828">
        <v>45724</v>
      </c>
      <c r="B828" t="s">
        <v>1144</v>
      </c>
      <c r="F828">
        <v>1</v>
      </c>
      <c r="G828" t="s">
        <v>564</v>
      </c>
      <c r="H828" t="s">
        <v>21</v>
      </c>
      <c r="L828" t="s">
        <v>86</v>
      </c>
    </row>
    <row r="829" spans="1:13">
      <c r="A829">
        <v>45724</v>
      </c>
      <c r="B829" t="s">
        <v>1145</v>
      </c>
      <c r="D829">
        <v>500</v>
      </c>
      <c r="F829">
        <v>0</v>
      </c>
      <c r="G829" t="s">
        <v>22</v>
      </c>
      <c r="H829" t="s">
        <v>21</v>
      </c>
      <c r="I829" t="s">
        <v>60</v>
      </c>
      <c r="J829" t="s">
        <v>61</v>
      </c>
      <c r="L829" t="s">
        <v>86</v>
      </c>
      <c r="M829" t="s">
        <v>83</v>
      </c>
    </row>
    <row r="830" spans="1:13">
      <c r="A830">
        <v>45724</v>
      </c>
      <c r="B830" t="s">
        <v>1146</v>
      </c>
      <c r="D830">
        <v>500</v>
      </c>
      <c r="F830">
        <v>1</v>
      </c>
      <c r="G830" t="s">
        <v>22</v>
      </c>
      <c r="H830" t="s">
        <v>21</v>
      </c>
      <c r="I830" t="s">
        <v>60</v>
      </c>
      <c r="J830" t="s">
        <v>61</v>
      </c>
      <c r="L830" t="s">
        <v>86</v>
      </c>
    </row>
    <row r="831" spans="1:13">
      <c r="A831">
        <v>45724</v>
      </c>
      <c r="B831" t="s">
        <v>63</v>
      </c>
      <c r="D831">
        <v>6500</v>
      </c>
      <c r="F831">
        <v>1</v>
      </c>
      <c r="G831" t="s">
        <v>70</v>
      </c>
      <c r="I831" t="s">
        <v>71</v>
      </c>
      <c r="J831" t="s">
        <v>72</v>
      </c>
      <c r="K831" t="s">
        <v>1147</v>
      </c>
      <c r="L831" t="s">
        <v>62</v>
      </c>
      <c r="M831" t="s">
        <v>90</v>
      </c>
    </row>
    <row r="832" spans="1:13">
      <c r="A832">
        <v>45724</v>
      </c>
      <c r="B832" t="s">
        <v>63</v>
      </c>
      <c r="D832">
        <v>50500</v>
      </c>
      <c r="F832">
        <v>4</v>
      </c>
      <c r="G832" t="s">
        <v>70</v>
      </c>
      <c r="I832" t="s">
        <v>71</v>
      </c>
      <c r="J832" t="s">
        <v>72</v>
      </c>
      <c r="K832" t="s">
        <v>1148</v>
      </c>
      <c r="L832" t="s">
        <v>62</v>
      </c>
      <c r="M832" t="s">
        <v>1149</v>
      </c>
    </row>
    <row r="833" spans="1:13">
      <c r="A833">
        <v>45724</v>
      </c>
      <c r="B833" t="s">
        <v>63</v>
      </c>
      <c r="D833">
        <v>200</v>
      </c>
      <c r="F833">
        <v>2</v>
      </c>
      <c r="G833" t="s">
        <v>22</v>
      </c>
      <c r="H833" t="s">
        <v>93</v>
      </c>
      <c r="I833" t="s">
        <v>60</v>
      </c>
      <c r="J833" t="s">
        <v>61</v>
      </c>
      <c r="L833" t="s">
        <v>62</v>
      </c>
    </row>
    <row r="834" spans="1:13">
      <c r="A834">
        <v>45724</v>
      </c>
      <c r="B834" t="s">
        <v>1150</v>
      </c>
      <c r="D834">
        <v>500</v>
      </c>
      <c r="F834">
        <v>1</v>
      </c>
      <c r="G834" t="s">
        <v>22</v>
      </c>
      <c r="H834" t="s">
        <v>21</v>
      </c>
      <c r="I834" t="s">
        <v>60</v>
      </c>
      <c r="J834" t="s">
        <v>61</v>
      </c>
      <c r="L834" t="s">
        <v>86</v>
      </c>
    </row>
    <row r="835" spans="1:13">
      <c r="A835">
        <v>45724</v>
      </c>
      <c r="B835" t="s">
        <v>1151</v>
      </c>
      <c r="F835">
        <v>1</v>
      </c>
      <c r="G835" t="s">
        <v>564</v>
      </c>
      <c r="H835" t="s">
        <v>21</v>
      </c>
      <c r="L835" t="s">
        <v>86</v>
      </c>
    </row>
    <row r="836" spans="1:13">
      <c r="A836">
        <v>45724</v>
      </c>
      <c r="B836" t="s">
        <v>1152</v>
      </c>
      <c r="D836">
        <v>500</v>
      </c>
      <c r="F836">
        <v>1</v>
      </c>
      <c r="G836" t="s">
        <v>22</v>
      </c>
      <c r="H836" t="s">
        <v>21</v>
      </c>
      <c r="I836" t="s">
        <v>60</v>
      </c>
      <c r="J836" t="s">
        <v>61</v>
      </c>
      <c r="L836" t="s">
        <v>86</v>
      </c>
    </row>
    <row r="837" spans="1:13">
      <c r="A837">
        <v>45724</v>
      </c>
      <c r="B837" t="s">
        <v>1153</v>
      </c>
      <c r="D837">
        <v>500</v>
      </c>
      <c r="F837">
        <v>0</v>
      </c>
      <c r="G837" t="s">
        <v>22</v>
      </c>
      <c r="H837" t="s">
        <v>21</v>
      </c>
      <c r="I837" t="s">
        <v>60</v>
      </c>
      <c r="J837" t="s">
        <v>61</v>
      </c>
      <c r="L837" t="s">
        <v>86</v>
      </c>
      <c r="M837" t="s">
        <v>83</v>
      </c>
    </row>
    <row r="838" spans="1:13">
      <c r="A838">
        <v>45724</v>
      </c>
      <c r="B838" t="s">
        <v>1154</v>
      </c>
      <c r="F838">
        <v>1</v>
      </c>
      <c r="G838" t="s">
        <v>79</v>
      </c>
      <c r="H838" t="s">
        <v>21</v>
      </c>
      <c r="L838" t="s">
        <v>86</v>
      </c>
    </row>
    <row r="839" spans="1:13">
      <c r="A839">
        <v>45725</v>
      </c>
      <c r="B839" t="s">
        <v>1155</v>
      </c>
      <c r="F839">
        <v>1</v>
      </c>
      <c r="G839" t="s">
        <v>750</v>
      </c>
      <c r="H839" t="s">
        <v>21</v>
      </c>
      <c r="L839" t="s">
        <v>82</v>
      </c>
    </row>
    <row r="840" spans="1:13">
      <c r="A840">
        <v>45725</v>
      </c>
      <c r="B840" t="s">
        <v>63</v>
      </c>
      <c r="D840">
        <v>12500</v>
      </c>
      <c r="F840">
        <v>1</v>
      </c>
      <c r="G840" t="s">
        <v>70</v>
      </c>
      <c r="I840" t="s">
        <v>71</v>
      </c>
      <c r="J840" t="s">
        <v>72</v>
      </c>
      <c r="K840" t="s">
        <v>1156</v>
      </c>
      <c r="L840" t="s">
        <v>62</v>
      </c>
      <c r="M840" t="s">
        <v>90</v>
      </c>
    </row>
    <row r="841" spans="1:13">
      <c r="A841">
        <v>45725</v>
      </c>
      <c r="B841" t="s">
        <v>1157</v>
      </c>
      <c r="D841">
        <v>500</v>
      </c>
      <c r="F841">
        <v>1</v>
      </c>
      <c r="G841" t="s">
        <v>22</v>
      </c>
      <c r="H841" t="s">
        <v>21</v>
      </c>
      <c r="I841" t="s">
        <v>60</v>
      </c>
      <c r="J841" t="s">
        <v>61</v>
      </c>
      <c r="L841" t="s">
        <v>82</v>
      </c>
    </row>
    <row r="842" spans="1:13">
      <c r="A842">
        <v>45725</v>
      </c>
      <c r="B842" t="s">
        <v>76</v>
      </c>
      <c r="D842">
        <v>9500</v>
      </c>
      <c r="G842" t="s">
        <v>77</v>
      </c>
      <c r="I842" t="s">
        <v>60</v>
      </c>
      <c r="J842" t="s">
        <v>61</v>
      </c>
      <c r="L842" t="s">
        <v>62</v>
      </c>
    </row>
    <row r="843" spans="1:13">
      <c r="A843">
        <v>45725</v>
      </c>
      <c r="B843" t="s">
        <v>1158</v>
      </c>
      <c r="F843">
        <v>1</v>
      </c>
      <c r="G843" t="s">
        <v>64</v>
      </c>
      <c r="L843" t="s">
        <v>86</v>
      </c>
      <c r="M843" t="s">
        <v>1159</v>
      </c>
    </row>
    <row r="844" spans="1:13">
      <c r="A844">
        <v>45725</v>
      </c>
      <c r="B844" t="s">
        <v>63</v>
      </c>
      <c r="D844">
        <v>44500</v>
      </c>
      <c r="F844">
        <v>4</v>
      </c>
      <c r="G844" t="s">
        <v>70</v>
      </c>
      <c r="I844" t="s">
        <v>71</v>
      </c>
      <c r="J844" t="s">
        <v>72</v>
      </c>
      <c r="K844" t="s">
        <v>1160</v>
      </c>
      <c r="L844" t="s">
        <v>62</v>
      </c>
      <c r="M844" t="s">
        <v>1161</v>
      </c>
    </row>
    <row r="845" spans="1:13">
      <c r="A845">
        <v>45725</v>
      </c>
      <c r="B845" t="s">
        <v>1162</v>
      </c>
      <c r="D845">
        <v>500</v>
      </c>
      <c r="F845">
        <v>0</v>
      </c>
      <c r="G845" t="s">
        <v>22</v>
      </c>
      <c r="H845" t="s">
        <v>21</v>
      </c>
      <c r="I845" t="s">
        <v>60</v>
      </c>
      <c r="J845" t="s">
        <v>61</v>
      </c>
      <c r="L845" t="s">
        <v>86</v>
      </c>
      <c r="M845" t="s">
        <v>83</v>
      </c>
    </row>
    <row r="846" spans="1:13">
      <c r="A846">
        <v>45725</v>
      </c>
      <c r="B846" t="s">
        <v>1163</v>
      </c>
      <c r="D846">
        <v>500</v>
      </c>
      <c r="F846">
        <v>1</v>
      </c>
      <c r="G846" t="s">
        <v>22</v>
      </c>
      <c r="H846" t="s">
        <v>21</v>
      </c>
      <c r="I846" t="s">
        <v>60</v>
      </c>
      <c r="J846" t="s">
        <v>61</v>
      </c>
      <c r="L846" t="s">
        <v>86</v>
      </c>
    </row>
    <row r="847" spans="1:13">
      <c r="A847">
        <v>45725</v>
      </c>
      <c r="B847" t="s">
        <v>1164</v>
      </c>
      <c r="D847">
        <v>500</v>
      </c>
      <c r="F847">
        <v>1</v>
      </c>
      <c r="G847" t="s">
        <v>22</v>
      </c>
      <c r="H847" t="s">
        <v>21</v>
      </c>
      <c r="I847" t="s">
        <v>60</v>
      </c>
      <c r="J847" t="s">
        <v>61</v>
      </c>
      <c r="L847" t="s">
        <v>86</v>
      </c>
    </row>
    <row r="848" spans="1:13">
      <c r="A848">
        <v>45725</v>
      </c>
      <c r="B848" t="s">
        <v>63</v>
      </c>
      <c r="D848">
        <v>32000</v>
      </c>
      <c r="G848" t="s">
        <v>70</v>
      </c>
      <c r="I848" t="s">
        <v>60</v>
      </c>
      <c r="J848" t="s">
        <v>61</v>
      </c>
      <c r="L848" t="s">
        <v>86</v>
      </c>
    </row>
    <row r="849" spans="1:13">
      <c r="A849">
        <v>45726</v>
      </c>
      <c r="B849" t="s">
        <v>238</v>
      </c>
      <c r="C849" t="s">
        <v>1165</v>
      </c>
      <c r="F849">
        <v>14</v>
      </c>
      <c r="G849" t="s">
        <v>22</v>
      </c>
      <c r="H849" t="s">
        <v>21</v>
      </c>
      <c r="L849" t="s">
        <v>95</v>
      </c>
    </row>
    <row r="850" spans="1:13">
      <c r="A850">
        <v>45726</v>
      </c>
      <c r="B850" t="s">
        <v>1166</v>
      </c>
      <c r="D850">
        <v>500</v>
      </c>
      <c r="F850">
        <v>1</v>
      </c>
      <c r="G850" t="s">
        <v>22</v>
      </c>
      <c r="H850" t="s">
        <v>21</v>
      </c>
      <c r="I850" t="s">
        <v>60</v>
      </c>
      <c r="J850" t="s">
        <v>61</v>
      </c>
      <c r="L850" t="s">
        <v>89</v>
      </c>
    </row>
    <row r="851" spans="1:13">
      <c r="A851">
        <v>45726</v>
      </c>
      <c r="B851" t="s">
        <v>1167</v>
      </c>
      <c r="F851">
        <v>1</v>
      </c>
      <c r="G851" t="s">
        <v>79</v>
      </c>
      <c r="H851" t="s">
        <v>21</v>
      </c>
      <c r="L851" t="s">
        <v>82</v>
      </c>
    </row>
    <row r="852" spans="1:13">
      <c r="A852">
        <v>45726</v>
      </c>
      <c r="B852" t="s">
        <v>1168</v>
      </c>
      <c r="D852">
        <v>500</v>
      </c>
      <c r="F852">
        <v>1</v>
      </c>
      <c r="G852" t="s">
        <v>22</v>
      </c>
      <c r="H852" t="s">
        <v>21</v>
      </c>
      <c r="I852" t="s">
        <v>60</v>
      </c>
      <c r="J852" t="s">
        <v>61</v>
      </c>
      <c r="L852" t="s">
        <v>82</v>
      </c>
    </row>
    <row r="853" spans="1:13">
      <c r="A853">
        <v>45726</v>
      </c>
      <c r="B853" t="s">
        <v>624</v>
      </c>
      <c r="D853">
        <v>-52000</v>
      </c>
      <c r="G853" t="s">
        <v>77</v>
      </c>
      <c r="I853" t="s">
        <v>60</v>
      </c>
      <c r="J853" t="s">
        <v>61</v>
      </c>
      <c r="L853" t="s">
        <v>62</v>
      </c>
    </row>
    <row r="854" spans="1:13">
      <c r="A854">
        <v>45726</v>
      </c>
      <c r="B854" t="s">
        <v>624</v>
      </c>
      <c r="E854">
        <v>-2750</v>
      </c>
      <c r="F854">
        <v>1</v>
      </c>
      <c r="G854" t="s">
        <v>65</v>
      </c>
      <c r="H854" t="s">
        <v>85</v>
      </c>
      <c r="I854" t="s">
        <v>60</v>
      </c>
      <c r="J854" t="s">
        <v>61</v>
      </c>
      <c r="L854" t="s">
        <v>62</v>
      </c>
    </row>
    <row r="855" spans="1:13">
      <c r="A855">
        <v>45726</v>
      </c>
      <c r="B855" t="s">
        <v>81</v>
      </c>
      <c r="D855">
        <v>329000</v>
      </c>
      <c r="F855">
        <v>1</v>
      </c>
      <c r="G855" t="s">
        <v>74</v>
      </c>
      <c r="H855" t="s">
        <v>75</v>
      </c>
      <c r="I855" t="s">
        <v>60</v>
      </c>
      <c r="J855" t="s">
        <v>61</v>
      </c>
      <c r="L855" t="s">
        <v>88</v>
      </c>
    </row>
    <row r="856" spans="1:13">
      <c r="A856">
        <v>45726</v>
      </c>
      <c r="B856" t="s">
        <v>233</v>
      </c>
      <c r="E856">
        <v>100000</v>
      </c>
      <c r="F856">
        <v>1</v>
      </c>
      <c r="G856" t="s">
        <v>65</v>
      </c>
      <c r="H856" t="s">
        <v>348</v>
      </c>
      <c r="I856" t="s">
        <v>60</v>
      </c>
      <c r="J856" t="s">
        <v>61</v>
      </c>
      <c r="L856" t="s">
        <v>0</v>
      </c>
    </row>
    <row r="857" spans="1:13">
      <c r="A857">
        <v>45726</v>
      </c>
      <c r="B857" t="s">
        <v>1169</v>
      </c>
      <c r="F857">
        <v>1</v>
      </c>
      <c r="G857" t="s">
        <v>319</v>
      </c>
      <c r="H857" t="s">
        <v>21</v>
      </c>
      <c r="L857" t="s">
        <v>89</v>
      </c>
    </row>
    <row r="858" spans="1:13">
      <c r="A858">
        <v>45726</v>
      </c>
      <c r="B858" t="s">
        <v>1170</v>
      </c>
      <c r="F858">
        <v>1</v>
      </c>
      <c r="G858" t="s">
        <v>377</v>
      </c>
      <c r="H858" t="s">
        <v>21</v>
      </c>
      <c r="L858" t="s">
        <v>82</v>
      </c>
    </row>
    <row r="859" spans="1:13">
      <c r="A859">
        <v>45726</v>
      </c>
      <c r="B859" t="s">
        <v>1171</v>
      </c>
      <c r="D859">
        <v>500</v>
      </c>
      <c r="F859">
        <v>1</v>
      </c>
      <c r="G859" t="s">
        <v>22</v>
      </c>
      <c r="H859" t="s">
        <v>21</v>
      </c>
      <c r="I859" t="s">
        <v>60</v>
      </c>
      <c r="J859" t="s">
        <v>61</v>
      </c>
      <c r="L859" t="s">
        <v>89</v>
      </c>
    </row>
    <row r="860" spans="1:13">
      <c r="A860">
        <v>45726</v>
      </c>
      <c r="B860" t="s">
        <v>1171</v>
      </c>
      <c r="D860">
        <v>0</v>
      </c>
      <c r="F860">
        <v>0</v>
      </c>
      <c r="G860" t="s">
        <v>22</v>
      </c>
      <c r="H860" t="s">
        <v>21</v>
      </c>
      <c r="I860" t="s">
        <v>60</v>
      </c>
      <c r="J860" t="s">
        <v>61</v>
      </c>
      <c r="L860" t="s">
        <v>89</v>
      </c>
      <c r="M860" t="s">
        <v>83</v>
      </c>
    </row>
    <row r="861" spans="1:13">
      <c r="A861">
        <v>45726</v>
      </c>
      <c r="B861" t="s">
        <v>63</v>
      </c>
      <c r="D861">
        <v>12500</v>
      </c>
      <c r="G861" t="s">
        <v>70</v>
      </c>
      <c r="I861" t="s">
        <v>60</v>
      </c>
      <c r="J861" t="s">
        <v>61</v>
      </c>
      <c r="L861" t="s">
        <v>62</v>
      </c>
    </row>
    <row r="862" spans="1:13">
      <c r="A862">
        <v>45726</v>
      </c>
      <c r="B862" t="s">
        <v>1172</v>
      </c>
      <c r="D862">
        <v>500</v>
      </c>
      <c r="F862">
        <v>1</v>
      </c>
      <c r="G862" t="s">
        <v>22</v>
      </c>
      <c r="H862" t="s">
        <v>21</v>
      </c>
      <c r="I862" t="s">
        <v>60</v>
      </c>
      <c r="J862" t="s">
        <v>61</v>
      </c>
      <c r="L862" t="s">
        <v>82</v>
      </c>
    </row>
    <row r="863" spans="1:13">
      <c r="A863">
        <v>45726</v>
      </c>
      <c r="B863" t="s">
        <v>1173</v>
      </c>
      <c r="D863">
        <v>500</v>
      </c>
      <c r="F863">
        <v>1</v>
      </c>
      <c r="G863" t="s">
        <v>22</v>
      </c>
      <c r="H863" t="s">
        <v>21</v>
      </c>
      <c r="I863" t="s">
        <v>60</v>
      </c>
      <c r="J863" t="s">
        <v>61</v>
      </c>
      <c r="L863" t="s">
        <v>82</v>
      </c>
    </row>
    <row r="864" spans="1:13">
      <c r="A864">
        <v>45726</v>
      </c>
      <c r="B864" t="s">
        <v>1174</v>
      </c>
      <c r="D864">
        <v>500</v>
      </c>
      <c r="F864">
        <v>1</v>
      </c>
      <c r="G864" t="s">
        <v>22</v>
      </c>
      <c r="H864" t="s">
        <v>21</v>
      </c>
      <c r="I864" t="s">
        <v>60</v>
      </c>
      <c r="J864" t="s">
        <v>61</v>
      </c>
      <c r="L864" t="s">
        <v>82</v>
      </c>
    </row>
    <row r="865" spans="1:13">
      <c r="A865">
        <v>45726</v>
      </c>
      <c r="B865" t="s">
        <v>1175</v>
      </c>
      <c r="F865">
        <v>1</v>
      </c>
      <c r="G865" t="s">
        <v>79</v>
      </c>
      <c r="H865" t="s">
        <v>21</v>
      </c>
      <c r="L865" t="s">
        <v>82</v>
      </c>
    </row>
    <row r="866" spans="1:13">
      <c r="A866">
        <v>45726</v>
      </c>
      <c r="B866" t="s">
        <v>1175</v>
      </c>
      <c r="F866">
        <v>1</v>
      </c>
      <c r="G866" t="s">
        <v>64</v>
      </c>
      <c r="L866" t="s">
        <v>82</v>
      </c>
      <c r="M866" t="s">
        <v>964</v>
      </c>
    </row>
    <row r="867" spans="1:13">
      <c r="A867">
        <v>45726</v>
      </c>
      <c r="B867" t="s">
        <v>1176</v>
      </c>
      <c r="D867">
        <v>500</v>
      </c>
      <c r="F867">
        <v>1</v>
      </c>
      <c r="G867" t="s">
        <v>22</v>
      </c>
      <c r="H867" t="s">
        <v>21</v>
      </c>
      <c r="I867" t="s">
        <v>60</v>
      </c>
      <c r="J867" t="s">
        <v>61</v>
      </c>
      <c r="L867" t="s">
        <v>82</v>
      </c>
    </row>
    <row r="868" spans="1:13">
      <c r="A868">
        <v>45727</v>
      </c>
      <c r="B868" t="s">
        <v>81</v>
      </c>
      <c r="D868">
        <v>156000</v>
      </c>
      <c r="F868">
        <v>1</v>
      </c>
      <c r="G868" t="s">
        <v>74</v>
      </c>
      <c r="H868" t="s">
        <v>75</v>
      </c>
      <c r="I868" t="s">
        <v>60</v>
      </c>
      <c r="J868" t="s">
        <v>61</v>
      </c>
      <c r="L868" t="s">
        <v>88</v>
      </c>
    </row>
    <row r="869" spans="1:13">
      <c r="A869">
        <v>45727</v>
      </c>
      <c r="B869" t="s">
        <v>105</v>
      </c>
      <c r="E869">
        <v>535475</v>
      </c>
      <c r="F869">
        <v>1</v>
      </c>
      <c r="G869" t="s">
        <v>74</v>
      </c>
      <c r="H869" t="s">
        <v>75</v>
      </c>
      <c r="I869" t="s">
        <v>60</v>
      </c>
      <c r="J869" t="s">
        <v>61</v>
      </c>
      <c r="L869" t="s">
        <v>167</v>
      </c>
      <c r="M869" t="s">
        <v>1177</v>
      </c>
    </row>
    <row r="870" spans="1:13">
      <c r="A870">
        <v>45727</v>
      </c>
      <c r="B870" t="s">
        <v>1178</v>
      </c>
      <c r="C870" t="s">
        <v>1179</v>
      </c>
      <c r="E870">
        <v>131470</v>
      </c>
      <c r="F870">
        <v>1</v>
      </c>
      <c r="G870" t="s">
        <v>65</v>
      </c>
      <c r="H870" t="s">
        <v>265</v>
      </c>
      <c r="I870" t="s">
        <v>60</v>
      </c>
      <c r="J870" t="s">
        <v>61</v>
      </c>
      <c r="L870" t="s">
        <v>62</v>
      </c>
    </row>
    <row r="871" spans="1:13">
      <c r="A871">
        <v>45727</v>
      </c>
      <c r="B871" t="s">
        <v>1180</v>
      </c>
      <c r="F871">
        <v>1</v>
      </c>
      <c r="G871" t="s">
        <v>98</v>
      </c>
      <c r="H871" t="s">
        <v>21</v>
      </c>
      <c r="L871" t="s">
        <v>89</v>
      </c>
    </row>
    <row r="872" spans="1:13">
      <c r="A872">
        <v>45727</v>
      </c>
      <c r="B872" t="s">
        <v>1181</v>
      </c>
      <c r="F872">
        <v>1</v>
      </c>
      <c r="G872" t="s">
        <v>64</v>
      </c>
      <c r="L872" t="s">
        <v>89</v>
      </c>
      <c r="M872" t="s">
        <v>96</v>
      </c>
    </row>
    <row r="873" spans="1:13">
      <c r="A873">
        <v>45727</v>
      </c>
      <c r="B873" t="s">
        <v>1182</v>
      </c>
      <c r="F873">
        <v>1</v>
      </c>
      <c r="G873" t="s">
        <v>377</v>
      </c>
      <c r="H873" t="s">
        <v>21</v>
      </c>
      <c r="L873" t="s">
        <v>89</v>
      </c>
    </row>
    <row r="874" spans="1:13">
      <c r="A874">
        <v>45727</v>
      </c>
      <c r="B874" t="s">
        <v>63</v>
      </c>
      <c r="D874">
        <v>11500</v>
      </c>
      <c r="G874" t="s">
        <v>70</v>
      </c>
      <c r="I874" t="s">
        <v>60</v>
      </c>
      <c r="J874" t="s">
        <v>61</v>
      </c>
      <c r="L874" t="s">
        <v>62</v>
      </c>
    </row>
    <row r="875" spans="1:13">
      <c r="A875">
        <v>45728</v>
      </c>
      <c r="B875" t="s">
        <v>81</v>
      </c>
      <c r="D875">
        <v>133100</v>
      </c>
      <c r="F875">
        <v>1</v>
      </c>
      <c r="G875" t="s">
        <v>74</v>
      </c>
      <c r="H875" t="s">
        <v>75</v>
      </c>
      <c r="I875" t="s">
        <v>60</v>
      </c>
      <c r="J875" t="s">
        <v>61</v>
      </c>
      <c r="L875" t="s">
        <v>88</v>
      </c>
    </row>
    <row r="876" spans="1:13">
      <c r="A876">
        <v>45728</v>
      </c>
      <c r="B876" t="s">
        <v>1183</v>
      </c>
      <c r="F876">
        <v>1</v>
      </c>
      <c r="G876" t="s">
        <v>564</v>
      </c>
      <c r="H876" t="s">
        <v>21</v>
      </c>
      <c r="L876" t="s">
        <v>86</v>
      </c>
    </row>
    <row r="877" spans="1:13">
      <c r="A877">
        <v>45728</v>
      </c>
      <c r="B877" t="s">
        <v>1184</v>
      </c>
      <c r="D877">
        <v>500</v>
      </c>
      <c r="F877">
        <v>1</v>
      </c>
      <c r="G877" t="s">
        <v>22</v>
      </c>
      <c r="H877" t="s">
        <v>21</v>
      </c>
      <c r="I877" t="s">
        <v>60</v>
      </c>
      <c r="J877" t="s">
        <v>61</v>
      </c>
      <c r="L877" t="s">
        <v>86</v>
      </c>
    </row>
    <row r="878" spans="1:13">
      <c r="A878">
        <v>45728</v>
      </c>
      <c r="B878" t="s">
        <v>1184</v>
      </c>
      <c r="D878">
        <v>0</v>
      </c>
      <c r="F878">
        <v>0</v>
      </c>
      <c r="G878" t="s">
        <v>22</v>
      </c>
      <c r="H878" t="s">
        <v>21</v>
      </c>
      <c r="I878" t="s">
        <v>60</v>
      </c>
      <c r="J878" t="s">
        <v>61</v>
      </c>
      <c r="L878" t="s">
        <v>86</v>
      </c>
      <c r="M878" t="s">
        <v>83</v>
      </c>
    </row>
    <row r="879" spans="1:13">
      <c r="A879">
        <v>45728</v>
      </c>
      <c r="B879" t="s">
        <v>1185</v>
      </c>
      <c r="F879">
        <v>1</v>
      </c>
      <c r="G879" t="s">
        <v>79</v>
      </c>
      <c r="H879" t="s">
        <v>21</v>
      </c>
      <c r="L879" t="s">
        <v>82</v>
      </c>
    </row>
    <row r="880" spans="1:13">
      <c r="A880">
        <v>45728</v>
      </c>
      <c r="B880" t="s">
        <v>1186</v>
      </c>
      <c r="D880">
        <v>500</v>
      </c>
      <c r="F880">
        <v>1</v>
      </c>
      <c r="G880" t="s">
        <v>22</v>
      </c>
      <c r="H880" t="s">
        <v>21</v>
      </c>
      <c r="I880" t="s">
        <v>60</v>
      </c>
      <c r="J880" t="s">
        <v>61</v>
      </c>
      <c r="L880" t="s">
        <v>82</v>
      </c>
    </row>
    <row r="881" spans="1:13">
      <c r="A881">
        <v>45728</v>
      </c>
      <c r="B881" t="s">
        <v>76</v>
      </c>
      <c r="D881">
        <v>4500</v>
      </c>
      <c r="G881" t="s">
        <v>77</v>
      </c>
      <c r="I881" t="s">
        <v>60</v>
      </c>
      <c r="J881" t="s">
        <v>61</v>
      </c>
      <c r="L881" t="s">
        <v>62</v>
      </c>
    </row>
    <row r="882" spans="1:13">
      <c r="A882">
        <v>45728</v>
      </c>
      <c r="B882" t="s">
        <v>1187</v>
      </c>
      <c r="F882">
        <v>1</v>
      </c>
      <c r="G882" t="s">
        <v>377</v>
      </c>
      <c r="H882" t="s">
        <v>21</v>
      </c>
      <c r="L882" t="s">
        <v>82</v>
      </c>
    </row>
    <row r="883" spans="1:13">
      <c r="A883">
        <v>45728</v>
      </c>
      <c r="B883" t="s">
        <v>63</v>
      </c>
      <c r="D883">
        <v>4000</v>
      </c>
      <c r="G883" t="s">
        <v>70</v>
      </c>
      <c r="I883" t="s">
        <v>60</v>
      </c>
      <c r="J883" t="s">
        <v>61</v>
      </c>
      <c r="L883" t="s">
        <v>62</v>
      </c>
    </row>
    <row r="884" spans="1:13">
      <c r="A884">
        <v>45729</v>
      </c>
      <c r="B884" t="s">
        <v>81</v>
      </c>
      <c r="D884">
        <v>197000</v>
      </c>
      <c r="F884">
        <v>1</v>
      </c>
      <c r="G884" t="s">
        <v>74</v>
      </c>
      <c r="H884" t="s">
        <v>75</v>
      </c>
      <c r="I884" t="s">
        <v>60</v>
      </c>
      <c r="J884" t="s">
        <v>61</v>
      </c>
      <c r="L884" t="s">
        <v>88</v>
      </c>
      <c r="M884" t="s">
        <v>1188</v>
      </c>
    </row>
    <row r="885" spans="1:13">
      <c r="A885">
        <v>45729</v>
      </c>
      <c r="B885" t="s">
        <v>1189</v>
      </c>
      <c r="C885" t="s">
        <v>1190</v>
      </c>
      <c r="F885">
        <v>-5</v>
      </c>
      <c r="G885" t="s">
        <v>23</v>
      </c>
      <c r="H885" t="s">
        <v>1191</v>
      </c>
      <c r="L885" t="s">
        <v>1192</v>
      </c>
      <c r="M885" t="s">
        <v>1193</v>
      </c>
    </row>
    <row r="886" spans="1:13">
      <c r="A886">
        <v>45729</v>
      </c>
      <c r="B886" t="s">
        <v>76</v>
      </c>
      <c r="D886">
        <v>56000</v>
      </c>
      <c r="G886" t="s">
        <v>77</v>
      </c>
      <c r="I886" t="s">
        <v>60</v>
      </c>
      <c r="J886" t="s">
        <v>61</v>
      </c>
      <c r="L886" t="s">
        <v>62</v>
      </c>
    </row>
    <row r="887" spans="1:13">
      <c r="A887">
        <v>45729</v>
      </c>
      <c r="B887" t="s">
        <v>1194</v>
      </c>
      <c r="C887" t="s">
        <v>1195</v>
      </c>
      <c r="E887">
        <v>30000</v>
      </c>
      <c r="F887">
        <v>1</v>
      </c>
      <c r="G887" t="s">
        <v>65</v>
      </c>
      <c r="H887" t="s">
        <v>265</v>
      </c>
      <c r="I887" t="s">
        <v>60</v>
      </c>
      <c r="J887" t="s">
        <v>61</v>
      </c>
      <c r="L887" t="s">
        <v>62</v>
      </c>
    </row>
    <row r="888" spans="1:13">
      <c r="A888">
        <v>45729</v>
      </c>
      <c r="B888" t="s">
        <v>1196</v>
      </c>
      <c r="F888">
        <v>1</v>
      </c>
      <c r="G888" t="s">
        <v>377</v>
      </c>
      <c r="H888" t="s">
        <v>21</v>
      </c>
      <c r="L888" t="s">
        <v>86</v>
      </c>
    </row>
    <row r="889" spans="1:13">
      <c r="A889">
        <v>45729</v>
      </c>
      <c r="B889" t="s">
        <v>1197</v>
      </c>
      <c r="D889">
        <v>500</v>
      </c>
      <c r="F889">
        <v>1</v>
      </c>
      <c r="G889" t="s">
        <v>22</v>
      </c>
      <c r="H889" t="s">
        <v>21</v>
      </c>
      <c r="I889" t="s">
        <v>60</v>
      </c>
      <c r="J889" t="s">
        <v>61</v>
      </c>
      <c r="L889" t="s">
        <v>89</v>
      </c>
    </row>
    <row r="890" spans="1:13">
      <c r="A890">
        <v>45729</v>
      </c>
      <c r="B890" t="s">
        <v>624</v>
      </c>
      <c r="D890">
        <v>-41600</v>
      </c>
      <c r="G890" t="s">
        <v>77</v>
      </c>
      <c r="I890" t="s">
        <v>60</v>
      </c>
      <c r="J890" t="s">
        <v>61</v>
      </c>
      <c r="L890" t="s">
        <v>62</v>
      </c>
    </row>
    <row r="891" spans="1:13">
      <c r="A891">
        <v>45729</v>
      </c>
      <c r="B891" t="s">
        <v>624</v>
      </c>
      <c r="E891">
        <v>-2200</v>
      </c>
      <c r="F891">
        <v>1</v>
      </c>
      <c r="G891" t="s">
        <v>65</v>
      </c>
      <c r="H891" t="s">
        <v>85</v>
      </c>
      <c r="I891" t="s">
        <v>60</v>
      </c>
      <c r="J891" t="s">
        <v>61</v>
      </c>
      <c r="L891" t="s">
        <v>62</v>
      </c>
    </row>
    <row r="892" spans="1:13">
      <c r="A892">
        <v>45729</v>
      </c>
      <c r="B892" t="s">
        <v>1198</v>
      </c>
      <c r="D892">
        <v>500</v>
      </c>
      <c r="F892">
        <v>1</v>
      </c>
      <c r="G892" t="s">
        <v>22</v>
      </c>
      <c r="H892" t="s">
        <v>21</v>
      </c>
      <c r="I892" t="s">
        <v>60</v>
      </c>
      <c r="J892" t="s">
        <v>61</v>
      </c>
      <c r="L892" t="s">
        <v>86</v>
      </c>
    </row>
    <row r="893" spans="1:13">
      <c r="A893">
        <v>45729</v>
      </c>
      <c r="B893" t="s">
        <v>1199</v>
      </c>
      <c r="D893">
        <v>500</v>
      </c>
      <c r="F893">
        <v>0</v>
      </c>
      <c r="G893" t="s">
        <v>22</v>
      </c>
      <c r="H893" t="s">
        <v>21</v>
      </c>
      <c r="I893" t="s">
        <v>60</v>
      </c>
      <c r="J893" t="s">
        <v>61</v>
      </c>
      <c r="L893" t="s">
        <v>86</v>
      </c>
      <c r="M893" t="s">
        <v>83</v>
      </c>
    </row>
    <row r="894" spans="1:13">
      <c r="A894">
        <v>45729</v>
      </c>
      <c r="B894" t="s">
        <v>1200</v>
      </c>
      <c r="F894">
        <v>1</v>
      </c>
      <c r="G894" t="s">
        <v>64</v>
      </c>
      <c r="L894" t="s">
        <v>86</v>
      </c>
      <c r="M894" t="s">
        <v>1121</v>
      </c>
    </row>
    <row r="895" spans="1:13">
      <c r="A895">
        <v>45729</v>
      </c>
      <c r="B895" t="s">
        <v>1201</v>
      </c>
      <c r="D895">
        <v>500</v>
      </c>
      <c r="F895">
        <v>1</v>
      </c>
      <c r="G895" t="s">
        <v>22</v>
      </c>
      <c r="H895" t="s">
        <v>21</v>
      </c>
      <c r="I895" t="s">
        <v>60</v>
      </c>
      <c r="J895" t="s">
        <v>61</v>
      </c>
      <c r="L895" t="s">
        <v>86</v>
      </c>
    </row>
    <row r="896" spans="1:13">
      <c r="A896">
        <v>45729</v>
      </c>
      <c r="B896" t="s">
        <v>1201</v>
      </c>
      <c r="F896">
        <v>1</v>
      </c>
      <c r="G896" t="s">
        <v>64</v>
      </c>
      <c r="L896" t="s">
        <v>86</v>
      </c>
      <c r="M896" t="s">
        <v>1016</v>
      </c>
    </row>
    <row r="897" spans="1:13">
      <c r="A897">
        <v>45729</v>
      </c>
      <c r="B897" t="s">
        <v>63</v>
      </c>
      <c r="D897">
        <v>25500</v>
      </c>
      <c r="G897" t="s">
        <v>70</v>
      </c>
      <c r="I897" t="s">
        <v>60</v>
      </c>
      <c r="J897" t="s">
        <v>61</v>
      </c>
      <c r="L897" t="s">
        <v>62</v>
      </c>
    </row>
    <row r="898" spans="1:13">
      <c r="A898">
        <v>45729</v>
      </c>
      <c r="B898" t="s">
        <v>63</v>
      </c>
      <c r="D898">
        <v>300</v>
      </c>
      <c r="F898">
        <v>3</v>
      </c>
      <c r="G898" t="s">
        <v>22</v>
      </c>
      <c r="H898" t="s">
        <v>93</v>
      </c>
      <c r="I898" t="s">
        <v>60</v>
      </c>
      <c r="J898" t="s">
        <v>61</v>
      </c>
      <c r="L898" t="s">
        <v>62</v>
      </c>
    </row>
    <row r="899" spans="1:13">
      <c r="A899">
        <v>45730</v>
      </c>
      <c r="B899" t="s">
        <v>63</v>
      </c>
      <c r="D899">
        <v>100</v>
      </c>
      <c r="F899">
        <v>1</v>
      </c>
      <c r="G899" t="s">
        <v>22</v>
      </c>
      <c r="H899" t="s">
        <v>93</v>
      </c>
      <c r="I899" t="s">
        <v>60</v>
      </c>
      <c r="J899" t="s">
        <v>61</v>
      </c>
      <c r="L899" t="s">
        <v>62</v>
      </c>
    </row>
    <row r="900" spans="1:13">
      <c r="A900">
        <v>45730</v>
      </c>
      <c r="B900" t="s">
        <v>76</v>
      </c>
      <c r="D900">
        <v>4500</v>
      </c>
      <c r="G900" t="s">
        <v>77</v>
      </c>
      <c r="I900" t="s">
        <v>60</v>
      </c>
      <c r="J900" t="s">
        <v>61</v>
      </c>
      <c r="L900" t="s">
        <v>62</v>
      </c>
    </row>
    <row r="901" spans="1:13">
      <c r="A901">
        <v>45730</v>
      </c>
      <c r="B901" t="s">
        <v>1202</v>
      </c>
      <c r="D901">
        <v>500</v>
      </c>
      <c r="F901">
        <v>1</v>
      </c>
      <c r="G901" t="s">
        <v>22</v>
      </c>
      <c r="H901" t="s">
        <v>21</v>
      </c>
      <c r="I901" t="s">
        <v>60</v>
      </c>
      <c r="J901" t="s">
        <v>61</v>
      </c>
      <c r="L901" t="s">
        <v>82</v>
      </c>
    </row>
    <row r="902" spans="1:13">
      <c r="A902">
        <v>45730</v>
      </c>
      <c r="B902" t="s">
        <v>1203</v>
      </c>
      <c r="D902">
        <v>500</v>
      </c>
      <c r="F902">
        <v>1</v>
      </c>
      <c r="G902" t="s">
        <v>22</v>
      </c>
      <c r="H902" t="s">
        <v>21</v>
      </c>
      <c r="I902" t="s">
        <v>60</v>
      </c>
      <c r="J902" t="s">
        <v>61</v>
      </c>
      <c r="L902" t="s">
        <v>82</v>
      </c>
    </row>
    <row r="903" spans="1:13">
      <c r="A903">
        <v>45730</v>
      </c>
      <c r="B903" t="s">
        <v>1204</v>
      </c>
      <c r="D903">
        <v>500</v>
      </c>
      <c r="F903">
        <v>1</v>
      </c>
      <c r="G903" t="s">
        <v>22</v>
      </c>
      <c r="H903" t="s">
        <v>21</v>
      </c>
      <c r="I903" t="s">
        <v>60</v>
      </c>
      <c r="J903" t="s">
        <v>61</v>
      </c>
      <c r="L903" t="s">
        <v>82</v>
      </c>
    </row>
    <row r="904" spans="1:13">
      <c r="A904">
        <v>45730</v>
      </c>
      <c r="B904" t="s">
        <v>1205</v>
      </c>
      <c r="D904">
        <v>500</v>
      </c>
      <c r="F904">
        <v>1</v>
      </c>
      <c r="G904" t="s">
        <v>22</v>
      </c>
      <c r="H904" t="s">
        <v>21</v>
      </c>
      <c r="I904" t="s">
        <v>60</v>
      </c>
      <c r="J904" t="s">
        <v>61</v>
      </c>
      <c r="L904" t="s">
        <v>82</v>
      </c>
    </row>
    <row r="905" spans="1:13">
      <c r="A905">
        <v>45730</v>
      </c>
      <c r="B905" t="s">
        <v>1205</v>
      </c>
      <c r="D905">
        <v>0</v>
      </c>
      <c r="F905">
        <v>0</v>
      </c>
      <c r="G905" t="s">
        <v>22</v>
      </c>
      <c r="H905" t="s">
        <v>21</v>
      </c>
      <c r="I905" t="s">
        <v>60</v>
      </c>
      <c r="J905" t="s">
        <v>61</v>
      </c>
      <c r="L905" t="s">
        <v>82</v>
      </c>
      <c r="M905" t="s">
        <v>548</v>
      </c>
    </row>
    <row r="906" spans="1:13">
      <c r="A906">
        <v>45730</v>
      </c>
      <c r="B906" t="s">
        <v>1206</v>
      </c>
      <c r="F906">
        <v>1</v>
      </c>
      <c r="G906" t="s">
        <v>64</v>
      </c>
      <c r="L906" t="s">
        <v>82</v>
      </c>
      <c r="M906" t="s">
        <v>96</v>
      </c>
    </row>
    <row r="907" spans="1:13">
      <c r="A907">
        <v>45730</v>
      </c>
      <c r="B907" t="s">
        <v>63</v>
      </c>
      <c r="D907">
        <v>8500</v>
      </c>
      <c r="G907" t="s">
        <v>70</v>
      </c>
      <c r="I907" t="s">
        <v>60</v>
      </c>
      <c r="J907" t="s">
        <v>61</v>
      </c>
      <c r="L907" t="s">
        <v>62</v>
      </c>
    </row>
    <row r="908" spans="1:13">
      <c r="A908">
        <v>45730</v>
      </c>
      <c r="B908" t="s">
        <v>1207</v>
      </c>
      <c r="F908">
        <v>1</v>
      </c>
      <c r="G908" t="s">
        <v>0</v>
      </c>
      <c r="L908" t="s">
        <v>82</v>
      </c>
    </row>
    <row r="909" spans="1:13">
      <c r="A909">
        <v>45731</v>
      </c>
      <c r="B909" t="s">
        <v>624</v>
      </c>
      <c r="D909">
        <v>-20800</v>
      </c>
      <c r="G909" t="s">
        <v>77</v>
      </c>
      <c r="I909" t="s">
        <v>60</v>
      </c>
      <c r="J909" t="s">
        <v>61</v>
      </c>
      <c r="L909" t="s">
        <v>62</v>
      </c>
    </row>
    <row r="910" spans="1:13">
      <c r="A910">
        <v>45731</v>
      </c>
      <c r="B910" t="s">
        <v>624</v>
      </c>
      <c r="E910">
        <v>-1100</v>
      </c>
      <c r="F910">
        <v>1</v>
      </c>
      <c r="G910" t="s">
        <v>65</v>
      </c>
      <c r="H910" t="s">
        <v>85</v>
      </c>
      <c r="I910" t="s">
        <v>60</v>
      </c>
      <c r="J910" t="s">
        <v>61</v>
      </c>
      <c r="L910" t="s">
        <v>62</v>
      </c>
    </row>
    <row r="911" spans="1:13">
      <c r="A911">
        <v>45731</v>
      </c>
      <c r="B911" t="s">
        <v>868</v>
      </c>
      <c r="F911">
        <v>-22</v>
      </c>
      <c r="G911" t="s">
        <v>22</v>
      </c>
      <c r="H911" t="s">
        <v>93</v>
      </c>
      <c r="L911" t="s">
        <v>461</v>
      </c>
    </row>
    <row r="912" spans="1:13">
      <c r="A912">
        <v>45731</v>
      </c>
      <c r="B912" t="s">
        <v>559</v>
      </c>
      <c r="E912">
        <v>10000</v>
      </c>
      <c r="F912">
        <v>1</v>
      </c>
      <c r="G912" t="s">
        <v>65</v>
      </c>
      <c r="H912" t="s">
        <v>560</v>
      </c>
      <c r="I912" t="s">
        <v>60</v>
      </c>
      <c r="J912" t="s">
        <v>61</v>
      </c>
      <c r="L912" t="s">
        <v>62</v>
      </c>
    </row>
    <row r="913" spans="1:13">
      <c r="A913">
        <v>45731</v>
      </c>
      <c r="B913" t="s">
        <v>561</v>
      </c>
      <c r="E913">
        <v>9000</v>
      </c>
      <c r="F913">
        <v>1</v>
      </c>
      <c r="G913" t="s">
        <v>65</v>
      </c>
      <c r="H913" t="s">
        <v>560</v>
      </c>
      <c r="I913" t="s">
        <v>60</v>
      </c>
      <c r="J913" t="s">
        <v>61</v>
      </c>
      <c r="L913" t="s">
        <v>62</v>
      </c>
    </row>
    <row r="914" spans="1:13">
      <c r="A914">
        <v>45731</v>
      </c>
      <c r="B914" t="s">
        <v>63</v>
      </c>
      <c r="D914">
        <v>24500</v>
      </c>
      <c r="F914">
        <v>2</v>
      </c>
      <c r="G914" t="s">
        <v>70</v>
      </c>
      <c r="I914" t="s">
        <v>71</v>
      </c>
      <c r="J914" t="s">
        <v>535</v>
      </c>
      <c r="K914" t="s">
        <v>1208</v>
      </c>
      <c r="L914" t="s">
        <v>62</v>
      </c>
      <c r="M914" t="s">
        <v>90</v>
      </c>
    </row>
    <row r="915" spans="1:13">
      <c r="A915">
        <v>45731</v>
      </c>
      <c r="B915" t="s">
        <v>63</v>
      </c>
      <c r="D915">
        <v>28000</v>
      </c>
      <c r="G915" t="s">
        <v>70</v>
      </c>
      <c r="I915" t="s">
        <v>60</v>
      </c>
      <c r="J915" t="s">
        <v>61</v>
      </c>
      <c r="L915" t="s">
        <v>62</v>
      </c>
    </row>
    <row r="916" spans="1:13">
      <c r="A916">
        <v>45731</v>
      </c>
      <c r="B916" t="s">
        <v>719</v>
      </c>
      <c r="E916">
        <v>69000</v>
      </c>
      <c r="F916">
        <v>1</v>
      </c>
      <c r="G916" t="s">
        <v>65</v>
      </c>
      <c r="H916" t="s">
        <v>348</v>
      </c>
      <c r="I916" t="s">
        <v>60</v>
      </c>
      <c r="J916" t="s">
        <v>61</v>
      </c>
      <c r="L916" t="s">
        <v>88</v>
      </c>
    </row>
    <row r="917" spans="1:13">
      <c r="A917">
        <v>45731</v>
      </c>
      <c r="B917" t="s">
        <v>1209</v>
      </c>
      <c r="D917">
        <v>500</v>
      </c>
      <c r="F917">
        <v>1</v>
      </c>
      <c r="G917" t="s">
        <v>22</v>
      </c>
      <c r="H917" t="s">
        <v>21</v>
      </c>
      <c r="I917" t="s">
        <v>60</v>
      </c>
      <c r="J917" t="s">
        <v>61</v>
      </c>
      <c r="L917" t="s">
        <v>82</v>
      </c>
    </row>
    <row r="918" spans="1:13">
      <c r="A918">
        <v>45731</v>
      </c>
      <c r="B918" t="s">
        <v>1210</v>
      </c>
      <c r="D918">
        <v>500</v>
      </c>
      <c r="F918">
        <v>1</v>
      </c>
      <c r="G918" t="s">
        <v>22</v>
      </c>
      <c r="H918" t="s">
        <v>21</v>
      </c>
      <c r="I918" t="s">
        <v>60</v>
      </c>
      <c r="J918" t="s">
        <v>61</v>
      </c>
      <c r="L918" t="s">
        <v>82</v>
      </c>
    </row>
    <row r="919" spans="1:13">
      <c r="A919">
        <v>45731</v>
      </c>
      <c r="B919" t="s">
        <v>1211</v>
      </c>
      <c r="D919">
        <v>500</v>
      </c>
      <c r="F919">
        <v>1</v>
      </c>
      <c r="G919" t="s">
        <v>22</v>
      </c>
      <c r="H919" t="s">
        <v>21</v>
      </c>
      <c r="I919" t="s">
        <v>60</v>
      </c>
      <c r="J919" t="s">
        <v>61</v>
      </c>
      <c r="L919" t="s">
        <v>82</v>
      </c>
    </row>
    <row r="920" spans="1:13">
      <c r="A920">
        <v>45731</v>
      </c>
      <c r="B920" t="s">
        <v>63</v>
      </c>
      <c r="D920">
        <v>24500</v>
      </c>
      <c r="F920">
        <v>2</v>
      </c>
      <c r="G920" t="s">
        <v>70</v>
      </c>
      <c r="I920" t="s">
        <v>71</v>
      </c>
      <c r="J920" t="s">
        <v>72</v>
      </c>
      <c r="K920" t="s">
        <v>1212</v>
      </c>
      <c r="L920" t="s">
        <v>62</v>
      </c>
      <c r="M920" t="s">
        <v>90</v>
      </c>
    </row>
    <row r="921" spans="1:13">
      <c r="A921">
        <v>45731</v>
      </c>
      <c r="B921" t="s">
        <v>63</v>
      </c>
      <c r="D921">
        <v>7500</v>
      </c>
      <c r="F921">
        <v>1</v>
      </c>
      <c r="G921" t="s">
        <v>70</v>
      </c>
      <c r="I921" t="s">
        <v>71</v>
      </c>
      <c r="J921" t="s">
        <v>72</v>
      </c>
      <c r="K921" t="s">
        <v>1213</v>
      </c>
      <c r="L921" t="s">
        <v>62</v>
      </c>
      <c r="M921" t="s">
        <v>90</v>
      </c>
    </row>
    <row r="922" spans="1:13">
      <c r="A922">
        <v>45731</v>
      </c>
      <c r="B922" t="s">
        <v>1214</v>
      </c>
      <c r="F922">
        <v>1</v>
      </c>
      <c r="G922" t="s">
        <v>0</v>
      </c>
      <c r="L922" t="s">
        <v>89</v>
      </c>
    </row>
    <row r="923" spans="1:13">
      <c r="A923">
        <v>45731</v>
      </c>
      <c r="B923" t="s">
        <v>1215</v>
      </c>
      <c r="F923">
        <v>1</v>
      </c>
      <c r="G923" t="s">
        <v>0</v>
      </c>
      <c r="L923" t="s">
        <v>82</v>
      </c>
    </row>
    <row r="924" spans="1:13">
      <c r="A924">
        <v>45732</v>
      </c>
      <c r="B924" t="s">
        <v>1216</v>
      </c>
      <c r="F924">
        <v>1</v>
      </c>
      <c r="G924" t="s">
        <v>64</v>
      </c>
      <c r="L924" t="s">
        <v>86</v>
      </c>
      <c r="M924" t="s">
        <v>1121</v>
      </c>
    </row>
    <row r="925" spans="1:13">
      <c r="A925">
        <v>45732</v>
      </c>
      <c r="B925" t="s">
        <v>63</v>
      </c>
      <c r="D925">
        <v>32500</v>
      </c>
      <c r="F925">
        <v>4</v>
      </c>
      <c r="G925" t="s">
        <v>70</v>
      </c>
      <c r="I925" t="s">
        <v>71</v>
      </c>
      <c r="J925" t="s">
        <v>72</v>
      </c>
      <c r="K925" t="s">
        <v>1217</v>
      </c>
      <c r="L925" t="s">
        <v>62</v>
      </c>
      <c r="M925" t="s">
        <v>1218</v>
      </c>
    </row>
    <row r="926" spans="1:13">
      <c r="A926">
        <v>45732</v>
      </c>
      <c r="B926" t="s">
        <v>1219</v>
      </c>
      <c r="F926">
        <v>2</v>
      </c>
      <c r="G926" t="s">
        <v>590</v>
      </c>
      <c r="H926" t="s">
        <v>21</v>
      </c>
      <c r="L926" t="s">
        <v>89</v>
      </c>
    </row>
    <row r="927" spans="1:13">
      <c r="A927">
        <v>45732</v>
      </c>
      <c r="B927" t="s">
        <v>1220</v>
      </c>
      <c r="F927">
        <v>1</v>
      </c>
      <c r="G927" t="s">
        <v>98</v>
      </c>
      <c r="H927" t="s">
        <v>21</v>
      </c>
      <c r="L927" t="s">
        <v>89</v>
      </c>
    </row>
    <row r="928" spans="1:13">
      <c r="A928">
        <v>45732</v>
      </c>
      <c r="B928" t="s">
        <v>1220</v>
      </c>
      <c r="D928">
        <v>0</v>
      </c>
      <c r="F928">
        <v>0</v>
      </c>
      <c r="G928" t="s">
        <v>22</v>
      </c>
      <c r="H928" t="s">
        <v>21</v>
      </c>
      <c r="I928" t="s">
        <v>60</v>
      </c>
      <c r="J928" t="s">
        <v>61</v>
      </c>
      <c r="L928" t="s">
        <v>89</v>
      </c>
      <c r="M928" t="s">
        <v>83</v>
      </c>
    </row>
    <row r="929" spans="1:13">
      <c r="A929">
        <v>45732</v>
      </c>
      <c r="B929" t="s">
        <v>1221</v>
      </c>
      <c r="F929">
        <v>1</v>
      </c>
      <c r="G929" t="s">
        <v>64</v>
      </c>
      <c r="L929" t="s">
        <v>89</v>
      </c>
      <c r="M929" t="s">
        <v>964</v>
      </c>
    </row>
    <row r="930" spans="1:13">
      <c r="A930">
        <v>45732</v>
      </c>
      <c r="B930" t="s">
        <v>1222</v>
      </c>
      <c r="D930">
        <v>500</v>
      </c>
      <c r="F930">
        <v>1</v>
      </c>
      <c r="G930" t="s">
        <v>22</v>
      </c>
      <c r="H930" t="s">
        <v>21</v>
      </c>
      <c r="I930" t="s">
        <v>60</v>
      </c>
      <c r="J930" t="s">
        <v>61</v>
      </c>
      <c r="L930" t="s">
        <v>89</v>
      </c>
    </row>
    <row r="931" spans="1:13">
      <c r="A931">
        <v>45732</v>
      </c>
      <c r="B931" t="s">
        <v>1118</v>
      </c>
      <c r="D931">
        <v>500</v>
      </c>
      <c r="F931">
        <v>1</v>
      </c>
      <c r="G931" t="s">
        <v>22</v>
      </c>
      <c r="H931" t="s">
        <v>21</v>
      </c>
      <c r="I931" t="s">
        <v>60</v>
      </c>
      <c r="J931" t="s">
        <v>61</v>
      </c>
      <c r="L931" t="s">
        <v>89</v>
      </c>
    </row>
    <row r="932" spans="1:13">
      <c r="A932">
        <v>45732</v>
      </c>
      <c r="B932" t="s">
        <v>76</v>
      </c>
      <c r="D932">
        <v>11500</v>
      </c>
      <c r="G932" t="s">
        <v>77</v>
      </c>
      <c r="I932" t="s">
        <v>60</v>
      </c>
      <c r="J932" t="s">
        <v>61</v>
      </c>
      <c r="L932" t="s">
        <v>62</v>
      </c>
    </row>
    <row r="933" spans="1:13">
      <c r="A933">
        <v>45732</v>
      </c>
      <c r="B933" t="s">
        <v>63</v>
      </c>
      <c r="D933">
        <v>300</v>
      </c>
      <c r="F933">
        <v>3</v>
      </c>
      <c r="G933" t="s">
        <v>22</v>
      </c>
      <c r="H933" t="s">
        <v>93</v>
      </c>
      <c r="I933" t="s">
        <v>60</v>
      </c>
      <c r="J933" t="s">
        <v>61</v>
      </c>
      <c r="L933" t="s">
        <v>62</v>
      </c>
    </row>
    <row r="934" spans="1:13">
      <c r="A934">
        <v>45732</v>
      </c>
      <c r="B934" t="s">
        <v>63</v>
      </c>
      <c r="D934">
        <v>10000</v>
      </c>
      <c r="F934">
        <v>2</v>
      </c>
      <c r="G934" t="s">
        <v>70</v>
      </c>
      <c r="I934" t="s">
        <v>71</v>
      </c>
      <c r="J934" t="s">
        <v>72</v>
      </c>
      <c r="K934" t="s">
        <v>1223</v>
      </c>
      <c r="L934" t="s">
        <v>62</v>
      </c>
      <c r="M934" t="s">
        <v>975</v>
      </c>
    </row>
    <row r="935" spans="1:13">
      <c r="A935">
        <v>45732</v>
      </c>
      <c r="B935" t="s">
        <v>63</v>
      </c>
      <c r="D935">
        <v>15500</v>
      </c>
      <c r="G935" t="s">
        <v>70</v>
      </c>
      <c r="I935" t="s">
        <v>60</v>
      </c>
      <c r="J935" t="s">
        <v>61</v>
      </c>
      <c r="L935" t="s">
        <v>62</v>
      </c>
    </row>
    <row r="936" spans="1:13">
      <c r="A936">
        <v>45732</v>
      </c>
      <c r="B936" t="s">
        <v>1224</v>
      </c>
      <c r="F936">
        <v>1</v>
      </c>
      <c r="G936" t="s">
        <v>64</v>
      </c>
      <c r="L936" t="s">
        <v>89</v>
      </c>
      <c r="M936" t="s">
        <v>1121</v>
      </c>
    </row>
    <row r="937" spans="1:13">
      <c r="A937">
        <v>45732</v>
      </c>
      <c r="B937" t="s">
        <v>1225</v>
      </c>
      <c r="F937">
        <v>1</v>
      </c>
      <c r="G937" t="s">
        <v>99</v>
      </c>
      <c r="H937" t="s">
        <v>21</v>
      </c>
      <c r="L937" t="s">
        <v>89</v>
      </c>
    </row>
    <row r="938" spans="1:13">
      <c r="A938">
        <v>45732</v>
      </c>
      <c r="B938" t="s">
        <v>1226</v>
      </c>
      <c r="F938">
        <v>1</v>
      </c>
      <c r="G938" t="s">
        <v>79</v>
      </c>
      <c r="H938" t="s">
        <v>21</v>
      </c>
      <c r="L938" t="s">
        <v>89</v>
      </c>
    </row>
    <row r="939" spans="1:13">
      <c r="A939">
        <v>45732</v>
      </c>
      <c r="B939" t="s">
        <v>1226</v>
      </c>
      <c r="D939">
        <v>0</v>
      </c>
      <c r="F939">
        <v>0</v>
      </c>
      <c r="G939" t="s">
        <v>22</v>
      </c>
      <c r="H939" t="s">
        <v>21</v>
      </c>
      <c r="I939" t="s">
        <v>60</v>
      </c>
      <c r="J939" t="s">
        <v>61</v>
      </c>
      <c r="L939" t="s">
        <v>89</v>
      </c>
      <c r="M939" t="s">
        <v>83</v>
      </c>
    </row>
    <row r="940" spans="1:13">
      <c r="A940">
        <v>45733</v>
      </c>
      <c r="B940" t="s">
        <v>1227</v>
      </c>
      <c r="F940">
        <v>1</v>
      </c>
      <c r="G940" t="s">
        <v>99</v>
      </c>
      <c r="H940" t="s">
        <v>21</v>
      </c>
      <c r="L940" t="s">
        <v>89</v>
      </c>
    </row>
    <row r="941" spans="1:13">
      <c r="A941">
        <v>45733</v>
      </c>
      <c r="B941" t="s">
        <v>1228</v>
      </c>
      <c r="F941">
        <v>1</v>
      </c>
      <c r="G941" t="s">
        <v>79</v>
      </c>
      <c r="H941" t="s">
        <v>21</v>
      </c>
      <c r="L941" t="s">
        <v>89</v>
      </c>
    </row>
    <row r="942" spans="1:13">
      <c r="A942">
        <v>45733</v>
      </c>
      <c r="B942" t="s">
        <v>1229</v>
      </c>
      <c r="D942">
        <v>500</v>
      </c>
      <c r="F942">
        <v>1</v>
      </c>
      <c r="G942" t="s">
        <v>22</v>
      </c>
      <c r="H942" t="s">
        <v>21</v>
      </c>
      <c r="I942" t="s">
        <v>60</v>
      </c>
      <c r="J942" t="s">
        <v>61</v>
      </c>
      <c r="L942" t="s">
        <v>89</v>
      </c>
    </row>
    <row r="943" spans="1:13">
      <c r="A943">
        <v>45733</v>
      </c>
      <c r="B943" t="s">
        <v>238</v>
      </c>
      <c r="C943" t="s">
        <v>1230</v>
      </c>
      <c r="F943">
        <v>24</v>
      </c>
      <c r="G943" t="s">
        <v>22</v>
      </c>
      <c r="H943" t="s">
        <v>21</v>
      </c>
      <c r="L943" t="s">
        <v>95</v>
      </c>
    </row>
    <row r="944" spans="1:13">
      <c r="A944">
        <v>45733</v>
      </c>
      <c r="B944" t="s">
        <v>1231</v>
      </c>
      <c r="D944">
        <v>500</v>
      </c>
      <c r="F944">
        <v>1</v>
      </c>
      <c r="G944" t="s">
        <v>22</v>
      </c>
      <c r="H944" t="s">
        <v>21</v>
      </c>
      <c r="I944" t="s">
        <v>60</v>
      </c>
      <c r="J944" t="s">
        <v>61</v>
      </c>
      <c r="L944" t="s">
        <v>82</v>
      </c>
    </row>
    <row r="945" spans="1:13">
      <c r="A945">
        <v>45733</v>
      </c>
      <c r="B945" t="s">
        <v>1232</v>
      </c>
      <c r="D945">
        <v>500</v>
      </c>
      <c r="F945">
        <v>1</v>
      </c>
      <c r="G945" t="s">
        <v>22</v>
      </c>
      <c r="H945" t="s">
        <v>21</v>
      </c>
      <c r="I945" t="s">
        <v>60</v>
      </c>
      <c r="J945" t="s">
        <v>61</v>
      </c>
      <c r="L945" t="s">
        <v>82</v>
      </c>
    </row>
    <row r="946" spans="1:13">
      <c r="A946">
        <v>45733</v>
      </c>
      <c r="B946" t="s">
        <v>1233</v>
      </c>
      <c r="D946">
        <v>500</v>
      </c>
      <c r="F946">
        <v>1</v>
      </c>
      <c r="G946" t="s">
        <v>22</v>
      </c>
      <c r="H946" t="s">
        <v>21</v>
      </c>
      <c r="I946" t="s">
        <v>60</v>
      </c>
      <c r="J946" t="s">
        <v>61</v>
      </c>
      <c r="L946" t="s">
        <v>82</v>
      </c>
    </row>
    <row r="947" spans="1:13">
      <c r="A947">
        <v>45733</v>
      </c>
      <c r="B947" t="s">
        <v>1234</v>
      </c>
      <c r="D947">
        <v>500</v>
      </c>
      <c r="F947">
        <v>1</v>
      </c>
      <c r="G947" t="s">
        <v>22</v>
      </c>
      <c r="H947" t="s">
        <v>21</v>
      </c>
      <c r="I947" t="s">
        <v>60</v>
      </c>
      <c r="J947" t="s">
        <v>61</v>
      </c>
      <c r="L947" t="s">
        <v>82</v>
      </c>
    </row>
    <row r="948" spans="1:13">
      <c r="A948">
        <v>45733</v>
      </c>
      <c r="B948" t="s">
        <v>1232</v>
      </c>
      <c r="F948">
        <v>1</v>
      </c>
      <c r="G948" t="s">
        <v>590</v>
      </c>
      <c r="H948" t="s">
        <v>21</v>
      </c>
      <c r="L948" t="s">
        <v>82</v>
      </c>
    </row>
    <row r="949" spans="1:13">
      <c r="A949">
        <v>45734</v>
      </c>
      <c r="B949" t="s">
        <v>1235</v>
      </c>
      <c r="D949">
        <v>500</v>
      </c>
      <c r="F949">
        <v>1</v>
      </c>
      <c r="G949" t="s">
        <v>22</v>
      </c>
      <c r="H949" t="s">
        <v>21</v>
      </c>
      <c r="I949" t="s">
        <v>60</v>
      </c>
      <c r="J949" t="s">
        <v>61</v>
      </c>
      <c r="L949" t="s">
        <v>89</v>
      </c>
    </row>
    <row r="950" spans="1:13">
      <c r="A950">
        <v>45734</v>
      </c>
      <c r="B950" t="s">
        <v>1236</v>
      </c>
      <c r="D950">
        <v>500</v>
      </c>
      <c r="F950">
        <v>1</v>
      </c>
      <c r="G950" t="s">
        <v>22</v>
      </c>
      <c r="H950" t="s">
        <v>21</v>
      </c>
      <c r="I950" t="s">
        <v>60</v>
      </c>
      <c r="J950" t="s">
        <v>61</v>
      </c>
      <c r="L950" t="s">
        <v>89</v>
      </c>
    </row>
    <row r="951" spans="1:13">
      <c r="A951">
        <v>45734</v>
      </c>
      <c r="B951" t="s">
        <v>63</v>
      </c>
      <c r="D951">
        <v>15500</v>
      </c>
      <c r="G951" t="s">
        <v>70</v>
      </c>
      <c r="I951" t="s">
        <v>60</v>
      </c>
      <c r="J951" t="s">
        <v>61</v>
      </c>
      <c r="L951" t="s">
        <v>62</v>
      </c>
    </row>
    <row r="952" spans="1:13">
      <c r="A952">
        <v>45734</v>
      </c>
      <c r="B952" t="s">
        <v>1237</v>
      </c>
      <c r="D952">
        <v>500</v>
      </c>
      <c r="F952">
        <v>0</v>
      </c>
      <c r="G952" t="s">
        <v>22</v>
      </c>
      <c r="H952" t="s">
        <v>21</v>
      </c>
      <c r="I952" t="s">
        <v>60</v>
      </c>
      <c r="J952" t="s">
        <v>61</v>
      </c>
      <c r="L952" t="s">
        <v>89</v>
      </c>
    </row>
    <row r="953" spans="1:13">
      <c r="A953">
        <v>45734</v>
      </c>
      <c r="B953" t="s">
        <v>1238</v>
      </c>
      <c r="D953">
        <v>500</v>
      </c>
      <c r="F953">
        <v>0</v>
      </c>
      <c r="G953" t="s">
        <v>22</v>
      </c>
      <c r="H953" t="s">
        <v>21</v>
      </c>
      <c r="I953" t="s">
        <v>60</v>
      </c>
      <c r="J953" t="s">
        <v>61</v>
      </c>
      <c r="L953" t="s">
        <v>89</v>
      </c>
    </row>
    <row r="954" spans="1:13">
      <c r="A954">
        <v>45734</v>
      </c>
      <c r="B954" t="s">
        <v>930</v>
      </c>
      <c r="F954">
        <v>1</v>
      </c>
      <c r="G954" t="s">
        <v>64</v>
      </c>
      <c r="L954" t="s">
        <v>82</v>
      </c>
      <c r="M954" t="s">
        <v>96</v>
      </c>
    </row>
    <row r="955" spans="1:13">
      <c r="A955">
        <v>45734</v>
      </c>
      <c r="B955" t="s">
        <v>1239</v>
      </c>
      <c r="F955">
        <v>1</v>
      </c>
      <c r="G955" t="s">
        <v>319</v>
      </c>
      <c r="H955" t="s">
        <v>21</v>
      </c>
      <c r="L955" t="s">
        <v>89</v>
      </c>
    </row>
    <row r="956" spans="1:13">
      <c r="A956">
        <v>45734</v>
      </c>
      <c r="B956" t="s">
        <v>1240</v>
      </c>
      <c r="F956">
        <v>1</v>
      </c>
      <c r="G956" t="s">
        <v>0</v>
      </c>
      <c r="L956" t="s">
        <v>86</v>
      </c>
    </row>
    <row r="957" spans="1:13">
      <c r="A957">
        <v>45735</v>
      </c>
      <c r="B957" t="s">
        <v>63</v>
      </c>
      <c r="D957">
        <v>11000</v>
      </c>
      <c r="G957" t="s">
        <v>70</v>
      </c>
      <c r="I957" t="s">
        <v>60</v>
      </c>
      <c r="J957" t="s">
        <v>61</v>
      </c>
      <c r="L957" t="s">
        <v>62</v>
      </c>
    </row>
    <row r="958" spans="1:13">
      <c r="A958">
        <v>45735</v>
      </c>
      <c r="B958" t="s">
        <v>1241</v>
      </c>
      <c r="F958">
        <v>1</v>
      </c>
      <c r="G958" t="s">
        <v>377</v>
      </c>
      <c r="H958" t="s">
        <v>21</v>
      </c>
      <c r="L958" t="s">
        <v>82</v>
      </c>
    </row>
    <row r="959" spans="1:13">
      <c r="A959">
        <v>45735</v>
      </c>
      <c r="B959" t="s">
        <v>1242</v>
      </c>
      <c r="F959">
        <v>1</v>
      </c>
      <c r="G959" t="s">
        <v>377</v>
      </c>
      <c r="H959" t="s">
        <v>21</v>
      </c>
      <c r="L959" t="s">
        <v>82</v>
      </c>
    </row>
    <row r="960" spans="1:13">
      <c r="A960">
        <v>45735</v>
      </c>
      <c r="B960" t="s">
        <v>1242</v>
      </c>
      <c r="D960">
        <v>0</v>
      </c>
      <c r="F960">
        <v>0</v>
      </c>
      <c r="G960" t="s">
        <v>22</v>
      </c>
      <c r="H960" t="s">
        <v>21</v>
      </c>
      <c r="I960" t="s">
        <v>60</v>
      </c>
      <c r="J960" t="s">
        <v>61</v>
      </c>
      <c r="L960" t="s">
        <v>82</v>
      </c>
      <c r="M960" t="s">
        <v>83</v>
      </c>
    </row>
    <row r="961" spans="1:13">
      <c r="A961">
        <v>45735</v>
      </c>
      <c r="B961" t="s">
        <v>1243</v>
      </c>
      <c r="D961">
        <v>500</v>
      </c>
      <c r="F961">
        <v>1</v>
      </c>
      <c r="G961" t="s">
        <v>22</v>
      </c>
      <c r="H961" t="s">
        <v>21</v>
      </c>
      <c r="I961" t="s">
        <v>60</v>
      </c>
      <c r="J961" t="s">
        <v>61</v>
      </c>
      <c r="L961" t="s">
        <v>82</v>
      </c>
    </row>
    <row r="962" spans="1:13">
      <c r="A962">
        <v>45735</v>
      </c>
      <c r="B962" t="s">
        <v>1244</v>
      </c>
      <c r="F962">
        <v>1</v>
      </c>
      <c r="G962" t="s">
        <v>319</v>
      </c>
      <c r="H962" t="s">
        <v>21</v>
      </c>
      <c r="L962" t="s">
        <v>82</v>
      </c>
    </row>
    <row r="963" spans="1:13">
      <c r="A963">
        <v>45736</v>
      </c>
      <c r="B963" t="s">
        <v>1245</v>
      </c>
      <c r="D963">
        <v>500</v>
      </c>
      <c r="F963">
        <v>1</v>
      </c>
      <c r="G963" t="s">
        <v>22</v>
      </c>
      <c r="H963" t="s">
        <v>21</v>
      </c>
      <c r="I963" t="s">
        <v>60</v>
      </c>
      <c r="J963" t="s">
        <v>61</v>
      </c>
      <c r="L963" t="s">
        <v>82</v>
      </c>
    </row>
    <row r="964" spans="1:13">
      <c r="A964">
        <v>45736</v>
      </c>
      <c r="B964" t="s">
        <v>1246</v>
      </c>
      <c r="D964">
        <v>500</v>
      </c>
      <c r="F964">
        <v>1</v>
      </c>
      <c r="G964" t="s">
        <v>22</v>
      </c>
      <c r="H964" t="s">
        <v>21</v>
      </c>
      <c r="I964" t="s">
        <v>60</v>
      </c>
      <c r="J964" t="s">
        <v>61</v>
      </c>
      <c r="L964" t="s">
        <v>82</v>
      </c>
    </row>
    <row r="965" spans="1:13">
      <c r="A965">
        <v>45736</v>
      </c>
      <c r="B965" t="s">
        <v>1247</v>
      </c>
      <c r="F965">
        <v>1</v>
      </c>
      <c r="G965" t="s">
        <v>377</v>
      </c>
      <c r="H965" t="s">
        <v>21</v>
      </c>
      <c r="L965" t="s">
        <v>89</v>
      </c>
    </row>
    <row r="966" spans="1:13">
      <c r="A966">
        <v>45736</v>
      </c>
      <c r="B966" t="s">
        <v>1248</v>
      </c>
      <c r="F966">
        <v>1</v>
      </c>
      <c r="G966" t="s">
        <v>377</v>
      </c>
      <c r="H966" t="s">
        <v>21</v>
      </c>
      <c r="L966" t="s">
        <v>89</v>
      </c>
    </row>
    <row r="967" spans="1:13">
      <c r="A967">
        <v>45736</v>
      </c>
      <c r="B967" t="s">
        <v>63</v>
      </c>
      <c r="D967">
        <v>2000</v>
      </c>
      <c r="G967" t="s">
        <v>70</v>
      </c>
      <c r="I967" t="s">
        <v>60</v>
      </c>
      <c r="J967" t="s">
        <v>61</v>
      </c>
      <c r="L967" t="s">
        <v>62</v>
      </c>
    </row>
    <row r="968" spans="1:13">
      <c r="A968">
        <v>45736</v>
      </c>
      <c r="B968" t="s">
        <v>76</v>
      </c>
      <c r="D968">
        <v>3000</v>
      </c>
      <c r="G968" t="s">
        <v>77</v>
      </c>
      <c r="I968" t="s">
        <v>60</v>
      </c>
      <c r="J968" t="s">
        <v>61</v>
      </c>
      <c r="L968" t="s">
        <v>62</v>
      </c>
    </row>
    <row r="969" spans="1:13">
      <c r="A969">
        <v>45736</v>
      </c>
      <c r="B969" t="s">
        <v>1249</v>
      </c>
      <c r="D969">
        <v>500</v>
      </c>
      <c r="F969">
        <v>1</v>
      </c>
      <c r="G969" t="s">
        <v>22</v>
      </c>
      <c r="H969" t="s">
        <v>21</v>
      </c>
      <c r="I969" t="s">
        <v>60</v>
      </c>
      <c r="J969" t="s">
        <v>61</v>
      </c>
      <c r="L969" t="s">
        <v>86</v>
      </c>
    </row>
    <row r="970" spans="1:13">
      <c r="A970">
        <v>45736</v>
      </c>
      <c r="B970" t="s">
        <v>63</v>
      </c>
      <c r="D970">
        <v>25000</v>
      </c>
      <c r="F970">
        <v>4</v>
      </c>
      <c r="G970" t="s">
        <v>70</v>
      </c>
      <c r="I970" t="s">
        <v>71</v>
      </c>
      <c r="J970" t="s">
        <v>535</v>
      </c>
      <c r="K970" t="s">
        <v>1250</v>
      </c>
      <c r="L970" t="s">
        <v>62</v>
      </c>
      <c r="M970" t="s">
        <v>1251</v>
      </c>
    </row>
    <row r="971" spans="1:13">
      <c r="A971">
        <v>45736</v>
      </c>
      <c r="B971" t="s">
        <v>1252</v>
      </c>
      <c r="F971">
        <v>1</v>
      </c>
      <c r="G971" t="s">
        <v>564</v>
      </c>
      <c r="H971" t="s">
        <v>21</v>
      </c>
      <c r="L971" t="s">
        <v>86</v>
      </c>
    </row>
    <row r="972" spans="1:13">
      <c r="A972">
        <v>45736</v>
      </c>
      <c r="B972" t="s">
        <v>1253</v>
      </c>
      <c r="D972">
        <v>500</v>
      </c>
      <c r="F972">
        <v>0</v>
      </c>
      <c r="G972" t="s">
        <v>22</v>
      </c>
      <c r="H972" t="s">
        <v>21</v>
      </c>
      <c r="I972" t="s">
        <v>60</v>
      </c>
      <c r="J972" t="s">
        <v>61</v>
      </c>
      <c r="L972" t="s">
        <v>86</v>
      </c>
      <c r="M972" t="s">
        <v>83</v>
      </c>
    </row>
    <row r="973" spans="1:13">
      <c r="A973">
        <v>45737</v>
      </c>
      <c r="B973" t="s">
        <v>738</v>
      </c>
      <c r="D973">
        <v>500</v>
      </c>
      <c r="F973">
        <v>1</v>
      </c>
      <c r="G973" t="s">
        <v>22</v>
      </c>
      <c r="H973" t="s">
        <v>21</v>
      </c>
      <c r="I973" t="s">
        <v>60</v>
      </c>
      <c r="J973" t="s">
        <v>61</v>
      </c>
      <c r="L973" t="s">
        <v>89</v>
      </c>
    </row>
    <row r="974" spans="1:13">
      <c r="A974">
        <v>45737</v>
      </c>
      <c r="B974" t="s">
        <v>1254</v>
      </c>
      <c r="D974">
        <v>0</v>
      </c>
      <c r="F974">
        <v>0</v>
      </c>
      <c r="G974" t="s">
        <v>22</v>
      </c>
      <c r="H974" t="s">
        <v>21</v>
      </c>
      <c r="I974" t="s">
        <v>60</v>
      </c>
      <c r="J974" t="s">
        <v>61</v>
      </c>
      <c r="L974" t="s">
        <v>89</v>
      </c>
      <c r="M974" t="s">
        <v>1255</v>
      </c>
    </row>
    <row r="975" spans="1:13">
      <c r="A975">
        <v>45737</v>
      </c>
      <c r="B975" t="s">
        <v>1256</v>
      </c>
      <c r="D975">
        <v>0</v>
      </c>
      <c r="F975">
        <v>0</v>
      </c>
      <c r="G975" t="s">
        <v>22</v>
      </c>
      <c r="H975" t="s">
        <v>21</v>
      </c>
      <c r="I975" t="s">
        <v>60</v>
      </c>
      <c r="J975" t="s">
        <v>61</v>
      </c>
      <c r="L975" t="s">
        <v>89</v>
      </c>
      <c r="M975" t="s">
        <v>1255</v>
      </c>
    </row>
    <row r="976" spans="1:13">
      <c r="A976">
        <v>45737</v>
      </c>
      <c r="B976" t="s">
        <v>63</v>
      </c>
      <c r="D976">
        <v>7500</v>
      </c>
      <c r="F976">
        <v>1</v>
      </c>
      <c r="G976" t="s">
        <v>70</v>
      </c>
      <c r="I976" t="s">
        <v>71</v>
      </c>
      <c r="J976" t="s">
        <v>72</v>
      </c>
      <c r="K976" t="s">
        <v>1257</v>
      </c>
      <c r="L976" t="s">
        <v>62</v>
      </c>
      <c r="M976" t="s">
        <v>1258</v>
      </c>
    </row>
    <row r="977" spans="1:13">
      <c r="A977">
        <v>45737</v>
      </c>
      <c r="B977" t="s">
        <v>1259</v>
      </c>
      <c r="F977">
        <v>1</v>
      </c>
      <c r="G977" t="s">
        <v>0</v>
      </c>
      <c r="L977" t="s">
        <v>82</v>
      </c>
    </row>
    <row r="978" spans="1:13">
      <c r="A978">
        <v>45738</v>
      </c>
      <c r="B978" t="s">
        <v>559</v>
      </c>
      <c r="E978">
        <v>10000</v>
      </c>
      <c r="F978">
        <v>1</v>
      </c>
      <c r="G978" t="s">
        <v>65</v>
      </c>
      <c r="H978" t="s">
        <v>560</v>
      </c>
      <c r="I978" t="s">
        <v>60</v>
      </c>
      <c r="J978" t="s">
        <v>61</v>
      </c>
      <c r="L978" t="s">
        <v>62</v>
      </c>
    </row>
    <row r="979" spans="1:13">
      <c r="A979">
        <v>45738</v>
      </c>
      <c r="B979" t="s">
        <v>561</v>
      </c>
      <c r="E979">
        <v>9000</v>
      </c>
      <c r="F979">
        <v>1</v>
      </c>
      <c r="G979" t="s">
        <v>65</v>
      </c>
      <c r="H979" t="s">
        <v>560</v>
      </c>
      <c r="I979" t="s">
        <v>60</v>
      </c>
      <c r="J979" t="s">
        <v>61</v>
      </c>
      <c r="L979" t="s">
        <v>62</v>
      </c>
    </row>
    <row r="980" spans="1:13">
      <c r="A980">
        <v>45738</v>
      </c>
      <c r="B980" t="s">
        <v>1260</v>
      </c>
      <c r="D980">
        <v>500</v>
      </c>
      <c r="F980">
        <v>1</v>
      </c>
      <c r="G980" t="s">
        <v>22</v>
      </c>
      <c r="H980" t="s">
        <v>21</v>
      </c>
      <c r="I980" t="s">
        <v>60</v>
      </c>
      <c r="J980" t="s">
        <v>61</v>
      </c>
      <c r="L980" t="s">
        <v>89</v>
      </c>
    </row>
    <row r="981" spans="1:13">
      <c r="A981">
        <v>45738</v>
      </c>
      <c r="B981" t="s">
        <v>1261</v>
      </c>
      <c r="F981">
        <v>1</v>
      </c>
      <c r="G981" t="s">
        <v>79</v>
      </c>
      <c r="H981" t="s">
        <v>21</v>
      </c>
      <c r="L981" t="s">
        <v>89</v>
      </c>
    </row>
    <row r="982" spans="1:13">
      <c r="A982">
        <v>45738</v>
      </c>
      <c r="B982" t="s">
        <v>1262</v>
      </c>
      <c r="F982">
        <v>1</v>
      </c>
      <c r="G982" t="s">
        <v>79</v>
      </c>
      <c r="H982" t="s">
        <v>21</v>
      </c>
      <c r="L982" t="s">
        <v>89</v>
      </c>
    </row>
    <row r="983" spans="1:13">
      <c r="A983">
        <v>45738</v>
      </c>
      <c r="B983" t="s">
        <v>1263</v>
      </c>
      <c r="F983">
        <v>1</v>
      </c>
      <c r="G983" t="s">
        <v>22</v>
      </c>
      <c r="H983" t="s">
        <v>21</v>
      </c>
      <c r="L983" t="s">
        <v>461</v>
      </c>
      <c r="M983" t="s">
        <v>1264</v>
      </c>
    </row>
    <row r="984" spans="1:13">
      <c r="A984">
        <v>45738</v>
      </c>
      <c r="B984" t="s">
        <v>1265</v>
      </c>
      <c r="F984">
        <v>1</v>
      </c>
      <c r="G984" t="s">
        <v>377</v>
      </c>
      <c r="H984" t="s">
        <v>21</v>
      </c>
      <c r="L984" t="s">
        <v>86</v>
      </c>
    </row>
    <row r="985" spans="1:13">
      <c r="A985">
        <v>45738</v>
      </c>
      <c r="B985" t="s">
        <v>1266</v>
      </c>
      <c r="D985">
        <v>500</v>
      </c>
      <c r="F985">
        <v>1</v>
      </c>
      <c r="G985" t="s">
        <v>22</v>
      </c>
      <c r="H985" t="s">
        <v>21</v>
      </c>
      <c r="I985" t="s">
        <v>60</v>
      </c>
      <c r="J985" t="s">
        <v>61</v>
      </c>
      <c r="L985" t="s">
        <v>86</v>
      </c>
    </row>
    <row r="986" spans="1:13">
      <c r="A986">
        <v>45738</v>
      </c>
      <c r="B986" t="s">
        <v>63</v>
      </c>
      <c r="D986">
        <v>10000</v>
      </c>
      <c r="F986">
        <v>2</v>
      </c>
      <c r="G986" t="s">
        <v>70</v>
      </c>
      <c r="I986" t="s">
        <v>71</v>
      </c>
      <c r="J986" t="s">
        <v>72</v>
      </c>
      <c r="K986" t="s">
        <v>1267</v>
      </c>
      <c r="L986" t="s">
        <v>62</v>
      </c>
      <c r="M986" t="s">
        <v>90</v>
      </c>
    </row>
    <row r="987" spans="1:13">
      <c r="A987">
        <v>45738</v>
      </c>
      <c r="B987" t="s">
        <v>63</v>
      </c>
      <c r="D987">
        <v>18500</v>
      </c>
      <c r="F987">
        <v>2</v>
      </c>
      <c r="G987" t="s">
        <v>70</v>
      </c>
      <c r="I987" t="s">
        <v>71</v>
      </c>
      <c r="J987" t="s">
        <v>72</v>
      </c>
      <c r="K987">
        <v>489</v>
      </c>
      <c r="L987" t="s">
        <v>62</v>
      </c>
      <c r="M987" t="s">
        <v>90</v>
      </c>
    </row>
    <row r="988" spans="1:13">
      <c r="A988">
        <v>45738</v>
      </c>
      <c r="B988" t="s">
        <v>63</v>
      </c>
      <c r="D988">
        <v>12000</v>
      </c>
      <c r="G988" t="s">
        <v>70</v>
      </c>
      <c r="I988" t="s">
        <v>60</v>
      </c>
      <c r="J988" t="s">
        <v>61</v>
      </c>
      <c r="L988" t="s">
        <v>62</v>
      </c>
    </row>
    <row r="989" spans="1:13">
      <c r="A989">
        <v>45738</v>
      </c>
      <c r="B989" t="s">
        <v>1268</v>
      </c>
      <c r="D989">
        <v>500</v>
      </c>
      <c r="F989">
        <v>0</v>
      </c>
      <c r="G989" t="s">
        <v>22</v>
      </c>
      <c r="H989" t="s">
        <v>21</v>
      </c>
      <c r="I989" t="s">
        <v>60</v>
      </c>
      <c r="J989" t="s">
        <v>61</v>
      </c>
      <c r="L989" t="s">
        <v>86</v>
      </c>
      <c r="M989" t="s">
        <v>83</v>
      </c>
    </row>
    <row r="990" spans="1:13">
      <c r="A990">
        <v>45738</v>
      </c>
      <c r="B990" t="s">
        <v>1269</v>
      </c>
      <c r="D990">
        <v>500</v>
      </c>
      <c r="F990">
        <v>1</v>
      </c>
      <c r="G990" t="s">
        <v>22</v>
      </c>
      <c r="H990" t="s">
        <v>21</v>
      </c>
      <c r="I990" t="s">
        <v>60</v>
      </c>
      <c r="J990" t="s">
        <v>61</v>
      </c>
      <c r="L990" t="s">
        <v>86</v>
      </c>
    </row>
    <row r="991" spans="1:13">
      <c r="A991">
        <v>45738</v>
      </c>
      <c r="B991" t="s">
        <v>1270</v>
      </c>
      <c r="F991">
        <v>1</v>
      </c>
      <c r="G991" t="s">
        <v>79</v>
      </c>
      <c r="H991" t="s">
        <v>21</v>
      </c>
      <c r="L991" t="s">
        <v>86</v>
      </c>
    </row>
    <row r="992" spans="1:13">
      <c r="A992">
        <v>45739</v>
      </c>
      <c r="B992" t="s">
        <v>1271</v>
      </c>
      <c r="F992">
        <v>1</v>
      </c>
      <c r="G992" t="s">
        <v>79</v>
      </c>
      <c r="H992" t="s">
        <v>21</v>
      </c>
      <c r="L992" t="s">
        <v>82</v>
      </c>
    </row>
    <row r="993" spans="1:13">
      <c r="A993">
        <v>45739</v>
      </c>
      <c r="B993" t="s">
        <v>63</v>
      </c>
      <c r="D993">
        <v>17000</v>
      </c>
      <c r="G993" t="s">
        <v>70</v>
      </c>
      <c r="I993" t="s">
        <v>60</v>
      </c>
      <c r="J993" t="s">
        <v>61</v>
      </c>
      <c r="L993" t="s">
        <v>62</v>
      </c>
    </row>
    <row r="994" spans="1:13">
      <c r="A994">
        <v>45739</v>
      </c>
      <c r="B994" t="s">
        <v>1272</v>
      </c>
      <c r="D994">
        <v>500</v>
      </c>
      <c r="F994">
        <v>1</v>
      </c>
      <c r="G994" t="s">
        <v>22</v>
      </c>
      <c r="H994" t="s">
        <v>21</v>
      </c>
      <c r="I994" t="s">
        <v>60</v>
      </c>
      <c r="J994" t="s">
        <v>61</v>
      </c>
      <c r="L994" t="s">
        <v>86</v>
      </c>
    </row>
    <row r="995" spans="1:13">
      <c r="A995">
        <v>45739</v>
      </c>
      <c r="B995" t="s">
        <v>1273</v>
      </c>
      <c r="F995">
        <v>1</v>
      </c>
      <c r="G995" t="s">
        <v>377</v>
      </c>
      <c r="H995" t="s">
        <v>21</v>
      </c>
      <c r="L995" t="s">
        <v>82</v>
      </c>
    </row>
    <row r="996" spans="1:13">
      <c r="A996">
        <v>45739</v>
      </c>
      <c r="B996" t="s">
        <v>1274</v>
      </c>
      <c r="F996">
        <v>1</v>
      </c>
      <c r="G996" t="s">
        <v>64</v>
      </c>
      <c r="L996" t="s">
        <v>86</v>
      </c>
      <c r="M996" t="s">
        <v>1275</v>
      </c>
    </row>
    <row r="997" spans="1:13">
      <c r="A997">
        <v>45739</v>
      </c>
      <c r="B997" t="s">
        <v>1276</v>
      </c>
      <c r="D997">
        <v>500</v>
      </c>
      <c r="F997">
        <v>1</v>
      </c>
      <c r="G997" t="s">
        <v>22</v>
      </c>
      <c r="H997" t="s">
        <v>21</v>
      </c>
      <c r="I997" t="s">
        <v>60</v>
      </c>
      <c r="J997" t="s">
        <v>61</v>
      </c>
      <c r="L997" t="s">
        <v>86</v>
      </c>
    </row>
    <row r="998" spans="1:13">
      <c r="A998">
        <v>45739</v>
      </c>
      <c r="B998" t="s">
        <v>1277</v>
      </c>
      <c r="F998">
        <v>1</v>
      </c>
      <c r="G998" t="s">
        <v>319</v>
      </c>
      <c r="H998" t="s">
        <v>21</v>
      </c>
      <c r="L998" t="s">
        <v>86</v>
      </c>
    </row>
    <row r="999" spans="1:13">
      <c r="A999">
        <v>45740</v>
      </c>
      <c r="B999" t="s">
        <v>1278</v>
      </c>
      <c r="D999">
        <v>500</v>
      </c>
      <c r="F999">
        <v>1</v>
      </c>
      <c r="G999" t="s">
        <v>22</v>
      </c>
      <c r="H999" t="s">
        <v>21</v>
      </c>
      <c r="I999" t="s">
        <v>60</v>
      </c>
      <c r="J999" t="s">
        <v>61</v>
      </c>
      <c r="L999" t="s">
        <v>86</v>
      </c>
    </row>
    <row r="1000" spans="1:13">
      <c r="A1000">
        <v>45740</v>
      </c>
      <c r="B1000" t="s">
        <v>1279</v>
      </c>
      <c r="D1000">
        <v>100000</v>
      </c>
      <c r="F1000">
        <v>1</v>
      </c>
      <c r="G1000" t="s">
        <v>64</v>
      </c>
      <c r="I1000" t="s">
        <v>60</v>
      </c>
      <c r="J1000" t="s">
        <v>61</v>
      </c>
      <c r="L1000" t="s">
        <v>86</v>
      </c>
      <c r="M1000" t="s">
        <v>1016</v>
      </c>
    </row>
    <row r="1001" spans="1:13">
      <c r="A1001">
        <v>45740</v>
      </c>
      <c r="B1001" t="s">
        <v>63</v>
      </c>
      <c r="D1001">
        <v>37500</v>
      </c>
      <c r="G1001" t="s">
        <v>70</v>
      </c>
      <c r="I1001" t="s">
        <v>60</v>
      </c>
      <c r="J1001" t="s">
        <v>61</v>
      </c>
      <c r="L1001" t="s">
        <v>62</v>
      </c>
    </row>
    <row r="1002" spans="1:13">
      <c r="A1002">
        <v>45740</v>
      </c>
      <c r="B1002" t="s">
        <v>76</v>
      </c>
      <c r="D1002">
        <v>21000</v>
      </c>
      <c r="G1002" t="s">
        <v>77</v>
      </c>
      <c r="I1002" t="s">
        <v>60</v>
      </c>
      <c r="J1002" t="s">
        <v>61</v>
      </c>
      <c r="L1002" t="s">
        <v>62</v>
      </c>
    </row>
    <row r="1003" spans="1:13">
      <c r="A1003">
        <v>45740</v>
      </c>
      <c r="B1003" t="s">
        <v>1280</v>
      </c>
      <c r="D1003">
        <v>500</v>
      </c>
      <c r="F1003">
        <v>0</v>
      </c>
      <c r="G1003" t="s">
        <v>22</v>
      </c>
      <c r="H1003" t="s">
        <v>21</v>
      </c>
      <c r="I1003" t="s">
        <v>60</v>
      </c>
      <c r="J1003" t="s">
        <v>61</v>
      </c>
      <c r="L1003" t="s">
        <v>86</v>
      </c>
      <c r="M1003" t="s">
        <v>548</v>
      </c>
    </row>
    <row r="1004" spans="1:13">
      <c r="A1004">
        <v>45740</v>
      </c>
      <c r="B1004" t="s">
        <v>1281</v>
      </c>
      <c r="F1004">
        <v>1</v>
      </c>
      <c r="G1004" t="s">
        <v>64</v>
      </c>
      <c r="L1004" t="s">
        <v>82</v>
      </c>
      <c r="M1004" t="s">
        <v>1282</v>
      </c>
    </row>
    <row r="1005" spans="1:13">
      <c r="A1005">
        <v>45740</v>
      </c>
      <c r="B1005" t="s">
        <v>1283</v>
      </c>
      <c r="D1005">
        <v>500</v>
      </c>
      <c r="F1005">
        <v>1</v>
      </c>
      <c r="G1005" t="s">
        <v>22</v>
      </c>
      <c r="H1005" t="s">
        <v>21</v>
      </c>
      <c r="I1005" t="s">
        <v>60</v>
      </c>
      <c r="J1005" t="s">
        <v>61</v>
      </c>
      <c r="L1005" t="s">
        <v>82</v>
      </c>
    </row>
    <row r="1006" spans="1:13">
      <c r="A1006">
        <v>45740</v>
      </c>
      <c r="B1006" t="s">
        <v>1284</v>
      </c>
      <c r="D1006">
        <v>500</v>
      </c>
      <c r="F1006">
        <v>1</v>
      </c>
      <c r="G1006" t="s">
        <v>22</v>
      </c>
      <c r="H1006" t="s">
        <v>21</v>
      </c>
      <c r="I1006" t="s">
        <v>60</v>
      </c>
      <c r="J1006" t="s">
        <v>61</v>
      </c>
      <c r="L1006" t="s">
        <v>82</v>
      </c>
    </row>
    <row r="1007" spans="1:13">
      <c r="A1007">
        <v>45740</v>
      </c>
      <c r="B1007" t="s">
        <v>1285</v>
      </c>
      <c r="F1007">
        <v>1</v>
      </c>
      <c r="G1007" t="s">
        <v>64</v>
      </c>
      <c r="L1007" t="s">
        <v>86</v>
      </c>
      <c r="M1007" t="s">
        <v>96</v>
      </c>
    </row>
    <row r="1008" spans="1:13">
      <c r="A1008">
        <v>45740</v>
      </c>
      <c r="B1008" t="s">
        <v>1286</v>
      </c>
      <c r="D1008">
        <v>500</v>
      </c>
      <c r="F1008">
        <v>1</v>
      </c>
      <c r="G1008" t="s">
        <v>22</v>
      </c>
      <c r="H1008" t="s">
        <v>21</v>
      </c>
      <c r="I1008" t="s">
        <v>60</v>
      </c>
      <c r="J1008" t="s">
        <v>61</v>
      </c>
      <c r="L1008" t="s">
        <v>82</v>
      </c>
    </row>
    <row r="1009" spans="1:13">
      <c r="A1009">
        <v>45740</v>
      </c>
      <c r="B1009" t="s">
        <v>1287</v>
      </c>
      <c r="D1009">
        <v>500</v>
      </c>
      <c r="F1009">
        <v>1</v>
      </c>
      <c r="G1009" t="s">
        <v>22</v>
      </c>
      <c r="H1009" t="s">
        <v>21</v>
      </c>
      <c r="I1009" t="s">
        <v>60</v>
      </c>
      <c r="J1009" t="s">
        <v>61</v>
      </c>
      <c r="L1009" t="s">
        <v>82</v>
      </c>
    </row>
    <row r="1010" spans="1:13">
      <c r="A1010">
        <v>45741</v>
      </c>
      <c r="B1010" t="s">
        <v>238</v>
      </c>
      <c r="C1010" t="s">
        <v>1288</v>
      </c>
      <c r="F1010">
        <v>29</v>
      </c>
      <c r="G1010" t="s">
        <v>22</v>
      </c>
      <c r="H1010" t="s">
        <v>21</v>
      </c>
      <c r="L1010" t="s">
        <v>95</v>
      </c>
    </row>
    <row r="1011" spans="1:13">
      <c r="A1011">
        <v>45741</v>
      </c>
      <c r="B1011" t="s">
        <v>1289</v>
      </c>
      <c r="D1011">
        <v>500</v>
      </c>
      <c r="F1011">
        <v>1</v>
      </c>
      <c r="G1011" t="s">
        <v>22</v>
      </c>
      <c r="H1011" t="s">
        <v>21</v>
      </c>
      <c r="I1011" t="s">
        <v>60</v>
      </c>
      <c r="J1011" t="s">
        <v>61</v>
      </c>
      <c r="L1011" t="s">
        <v>86</v>
      </c>
    </row>
    <row r="1012" spans="1:13">
      <c r="A1012">
        <v>45741</v>
      </c>
      <c r="B1012" t="s">
        <v>63</v>
      </c>
      <c r="D1012">
        <v>33500</v>
      </c>
      <c r="G1012" t="s">
        <v>70</v>
      </c>
      <c r="I1012" t="s">
        <v>60</v>
      </c>
      <c r="J1012" t="s">
        <v>61</v>
      </c>
      <c r="L1012" t="s">
        <v>62</v>
      </c>
    </row>
    <row r="1013" spans="1:13">
      <c r="A1013">
        <v>45741</v>
      </c>
      <c r="B1013" t="s">
        <v>1290</v>
      </c>
      <c r="D1013">
        <v>500</v>
      </c>
      <c r="F1013">
        <v>1</v>
      </c>
      <c r="G1013" t="s">
        <v>22</v>
      </c>
      <c r="H1013" t="s">
        <v>21</v>
      </c>
      <c r="I1013" t="s">
        <v>60</v>
      </c>
      <c r="J1013" t="s">
        <v>61</v>
      </c>
      <c r="L1013" t="s">
        <v>86</v>
      </c>
    </row>
    <row r="1014" spans="1:13">
      <c r="A1014">
        <v>45741</v>
      </c>
      <c r="B1014" t="s">
        <v>1291</v>
      </c>
      <c r="D1014">
        <v>500</v>
      </c>
      <c r="F1014">
        <v>1</v>
      </c>
      <c r="G1014" t="s">
        <v>22</v>
      </c>
      <c r="H1014" t="s">
        <v>21</v>
      </c>
      <c r="I1014" t="s">
        <v>60</v>
      </c>
      <c r="J1014" t="s">
        <v>61</v>
      </c>
      <c r="L1014" t="s">
        <v>86</v>
      </c>
    </row>
    <row r="1015" spans="1:13">
      <c r="A1015">
        <v>45741</v>
      </c>
      <c r="B1015" t="s">
        <v>1292</v>
      </c>
      <c r="D1015">
        <v>500</v>
      </c>
      <c r="F1015">
        <v>0</v>
      </c>
      <c r="G1015" t="s">
        <v>22</v>
      </c>
      <c r="H1015" t="s">
        <v>21</v>
      </c>
      <c r="I1015" t="s">
        <v>60</v>
      </c>
      <c r="J1015" t="s">
        <v>61</v>
      </c>
      <c r="L1015" t="s">
        <v>86</v>
      </c>
      <c r="M1015" t="s">
        <v>83</v>
      </c>
    </row>
    <row r="1016" spans="1:13">
      <c r="A1016">
        <v>45741</v>
      </c>
      <c r="B1016" t="s">
        <v>1293</v>
      </c>
      <c r="D1016">
        <v>500</v>
      </c>
      <c r="F1016">
        <v>1</v>
      </c>
      <c r="G1016" t="s">
        <v>22</v>
      </c>
      <c r="H1016" t="s">
        <v>21</v>
      </c>
      <c r="I1016" t="s">
        <v>60</v>
      </c>
      <c r="J1016" t="s">
        <v>61</v>
      </c>
      <c r="L1016" t="s">
        <v>86</v>
      </c>
    </row>
    <row r="1017" spans="1:13">
      <c r="A1017">
        <v>45741</v>
      </c>
      <c r="B1017" t="s">
        <v>1294</v>
      </c>
      <c r="D1017">
        <v>500</v>
      </c>
      <c r="F1017">
        <v>1</v>
      </c>
      <c r="G1017" t="s">
        <v>22</v>
      </c>
      <c r="H1017" t="s">
        <v>21</v>
      </c>
      <c r="I1017" t="s">
        <v>60</v>
      </c>
      <c r="J1017" t="s">
        <v>61</v>
      </c>
      <c r="L1017" t="s">
        <v>86</v>
      </c>
    </row>
    <row r="1018" spans="1:13">
      <c r="A1018">
        <v>45741</v>
      </c>
      <c r="B1018" t="s">
        <v>1295</v>
      </c>
      <c r="D1018">
        <v>500</v>
      </c>
      <c r="F1018">
        <v>1</v>
      </c>
      <c r="G1018" t="s">
        <v>22</v>
      </c>
      <c r="H1018" t="s">
        <v>21</v>
      </c>
      <c r="I1018" t="s">
        <v>60</v>
      </c>
      <c r="J1018" t="s">
        <v>61</v>
      </c>
      <c r="L1018" t="s">
        <v>86</v>
      </c>
    </row>
    <row r="1019" spans="1:13">
      <c r="A1019">
        <v>45741</v>
      </c>
      <c r="B1019" t="s">
        <v>76</v>
      </c>
      <c r="D1019">
        <v>9400</v>
      </c>
      <c r="G1019" t="s">
        <v>77</v>
      </c>
      <c r="I1019" t="s">
        <v>60</v>
      </c>
      <c r="J1019" t="s">
        <v>61</v>
      </c>
      <c r="L1019" t="s">
        <v>62</v>
      </c>
    </row>
    <row r="1020" spans="1:13">
      <c r="A1020">
        <v>45741</v>
      </c>
      <c r="B1020" t="s">
        <v>1296</v>
      </c>
      <c r="F1020">
        <v>1</v>
      </c>
      <c r="G1020" t="s">
        <v>0</v>
      </c>
      <c r="L1020" t="s">
        <v>89</v>
      </c>
    </row>
    <row r="1021" spans="1:13">
      <c r="A1021">
        <v>45742</v>
      </c>
      <c r="B1021" t="s">
        <v>1297</v>
      </c>
      <c r="D1021">
        <v>500</v>
      </c>
      <c r="F1021">
        <v>1</v>
      </c>
      <c r="G1021" t="s">
        <v>22</v>
      </c>
      <c r="H1021" t="s">
        <v>21</v>
      </c>
      <c r="I1021" t="s">
        <v>60</v>
      </c>
      <c r="J1021" t="s">
        <v>61</v>
      </c>
      <c r="L1021" t="s">
        <v>86</v>
      </c>
    </row>
    <row r="1022" spans="1:13">
      <c r="A1022">
        <v>45742</v>
      </c>
      <c r="B1022" t="s">
        <v>1298</v>
      </c>
      <c r="F1022">
        <v>1</v>
      </c>
      <c r="G1022" t="s">
        <v>587</v>
      </c>
      <c r="H1022" t="s">
        <v>21</v>
      </c>
      <c r="L1022" t="s">
        <v>86</v>
      </c>
    </row>
    <row r="1023" spans="1:13">
      <c r="A1023">
        <v>45742</v>
      </c>
      <c r="B1023" t="s">
        <v>76</v>
      </c>
      <c r="D1023">
        <v>3000</v>
      </c>
      <c r="G1023" t="s">
        <v>77</v>
      </c>
      <c r="I1023" t="s">
        <v>60</v>
      </c>
      <c r="J1023" t="s">
        <v>61</v>
      </c>
      <c r="L1023" t="s">
        <v>62</v>
      </c>
    </row>
    <row r="1024" spans="1:13">
      <c r="A1024">
        <v>45742</v>
      </c>
      <c r="B1024" t="s">
        <v>63</v>
      </c>
      <c r="D1024">
        <v>100</v>
      </c>
      <c r="F1024">
        <v>1</v>
      </c>
      <c r="G1024" t="s">
        <v>22</v>
      </c>
      <c r="H1024" t="s">
        <v>93</v>
      </c>
      <c r="I1024" t="s">
        <v>60</v>
      </c>
      <c r="J1024" t="s">
        <v>61</v>
      </c>
      <c r="L1024" t="s">
        <v>62</v>
      </c>
    </row>
    <row r="1025" spans="1:13">
      <c r="A1025">
        <v>45742</v>
      </c>
      <c r="B1025" t="s">
        <v>290</v>
      </c>
      <c r="C1025" t="s">
        <v>1299</v>
      </c>
      <c r="E1025">
        <v>48005.45</v>
      </c>
      <c r="F1025">
        <v>1</v>
      </c>
      <c r="G1025" t="s">
        <v>65</v>
      </c>
      <c r="H1025" t="s">
        <v>66</v>
      </c>
      <c r="I1025" t="s">
        <v>60</v>
      </c>
      <c r="J1025" t="s">
        <v>61</v>
      </c>
      <c r="L1025" t="s">
        <v>62</v>
      </c>
      <c r="M1025" t="s">
        <v>1044</v>
      </c>
    </row>
    <row r="1026" spans="1:13">
      <c r="A1026">
        <v>45742</v>
      </c>
      <c r="B1026" t="s">
        <v>1300</v>
      </c>
      <c r="F1026">
        <v>1</v>
      </c>
      <c r="G1026" t="s">
        <v>64</v>
      </c>
      <c r="L1026" t="s">
        <v>82</v>
      </c>
      <c r="M1026" t="s">
        <v>1301</v>
      </c>
    </row>
    <row r="1027" spans="1:13">
      <c r="A1027">
        <v>45742</v>
      </c>
      <c r="B1027" t="s">
        <v>63</v>
      </c>
      <c r="D1027">
        <v>14500</v>
      </c>
      <c r="F1027">
        <v>2</v>
      </c>
      <c r="G1027" t="s">
        <v>70</v>
      </c>
      <c r="I1027" t="s">
        <v>71</v>
      </c>
      <c r="J1027" t="s">
        <v>72</v>
      </c>
      <c r="K1027" t="s">
        <v>1302</v>
      </c>
      <c r="L1027" t="s">
        <v>62</v>
      </c>
      <c r="M1027" t="s">
        <v>1303</v>
      </c>
    </row>
    <row r="1028" spans="1:13">
      <c r="A1028">
        <v>45742</v>
      </c>
      <c r="B1028" t="s">
        <v>63</v>
      </c>
      <c r="D1028">
        <v>24000</v>
      </c>
      <c r="F1028">
        <v>4</v>
      </c>
      <c r="G1028" t="s">
        <v>70</v>
      </c>
      <c r="I1028" t="s">
        <v>71</v>
      </c>
      <c r="J1028" t="s">
        <v>72</v>
      </c>
      <c r="K1028" t="s">
        <v>1304</v>
      </c>
      <c r="L1028" t="s">
        <v>62</v>
      </c>
      <c r="M1028" t="s">
        <v>1305</v>
      </c>
    </row>
    <row r="1029" spans="1:13">
      <c r="A1029">
        <v>45743</v>
      </c>
      <c r="B1029" t="s">
        <v>1306</v>
      </c>
      <c r="F1029">
        <v>1</v>
      </c>
      <c r="G1029" t="s">
        <v>564</v>
      </c>
      <c r="H1029" t="s">
        <v>21</v>
      </c>
      <c r="L1029" t="s">
        <v>86</v>
      </c>
    </row>
    <row r="1030" spans="1:13">
      <c r="A1030">
        <v>45743</v>
      </c>
      <c r="B1030" t="s">
        <v>1306</v>
      </c>
      <c r="D1030">
        <v>0</v>
      </c>
      <c r="F1030">
        <v>0</v>
      </c>
      <c r="G1030" t="s">
        <v>22</v>
      </c>
      <c r="H1030" t="s">
        <v>21</v>
      </c>
      <c r="I1030" t="s">
        <v>60</v>
      </c>
      <c r="J1030" t="s">
        <v>61</v>
      </c>
      <c r="L1030" t="s">
        <v>86</v>
      </c>
      <c r="M1030" t="s">
        <v>83</v>
      </c>
    </row>
    <row r="1031" spans="1:13">
      <c r="A1031">
        <v>45743</v>
      </c>
      <c r="B1031" t="s">
        <v>76</v>
      </c>
      <c r="D1031">
        <v>7000</v>
      </c>
      <c r="G1031" t="s">
        <v>77</v>
      </c>
      <c r="I1031" t="s">
        <v>60</v>
      </c>
      <c r="J1031" t="s">
        <v>61</v>
      </c>
      <c r="L1031" t="s">
        <v>62</v>
      </c>
    </row>
    <row r="1032" spans="1:13">
      <c r="A1032">
        <v>45743</v>
      </c>
      <c r="B1032" t="s">
        <v>219</v>
      </c>
      <c r="F1032">
        <v>1</v>
      </c>
      <c r="G1032" t="s">
        <v>64</v>
      </c>
      <c r="L1032" t="s">
        <v>82</v>
      </c>
      <c r="M1032" t="s">
        <v>1307</v>
      </c>
    </row>
    <row r="1033" spans="1:13">
      <c r="A1033">
        <v>45744</v>
      </c>
      <c r="B1033" t="s">
        <v>1308</v>
      </c>
      <c r="C1033" t="s">
        <v>1309</v>
      </c>
      <c r="F1033">
        <v>-5</v>
      </c>
      <c r="G1033" t="s">
        <v>23</v>
      </c>
      <c r="H1033" t="s">
        <v>1310</v>
      </c>
      <c r="L1033" t="s">
        <v>1192</v>
      </c>
      <c r="M1033" t="s">
        <v>1311</v>
      </c>
    </row>
    <row r="1034" spans="1:13">
      <c r="A1034">
        <v>45744</v>
      </c>
      <c r="B1034" t="s">
        <v>1312</v>
      </c>
      <c r="F1034">
        <v>4</v>
      </c>
      <c r="G1034" t="s">
        <v>79</v>
      </c>
      <c r="H1034" t="s">
        <v>21</v>
      </c>
      <c r="L1034" t="s">
        <v>86</v>
      </c>
    </row>
    <row r="1035" spans="1:13">
      <c r="A1035">
        <v>45744</v>
      </c>
      <c r="B1035" t="s">
        <v>1312</v>
      </c>
      <c r="D1035">
        <v>0</v>
      </c>
      <c r="F1035">
        <v>0</v>
      </c>
      <c r="G1035" t="s">
        <v>22</v>
      </c>
      <c r="H1035" t="s">
        <v>21</v>
      </c>
      <c r="I1035" t="s">
        <v>60</v>
      </c>
      <c r="J1035" t="s">
        <v>61</v>
      </c>
      <c r="L1035" t="s">
        <v>86</v>
      </c>
    </row>
    <row r="1036" spans="1:13">
      <c r="A1036">
        <v>45744</v>
      </c>
      <c r="B1036" t="s">
        <v>1313</v>
      </c>
      <c r="D1036">
        <v>500</v>
      </c>
      <c r="F1036">
        <v>1</v>
      </c>
      <c r="G1036" t="s">
        <v>22</v>
      </c>
      <c r="H1036" t="s">
        <v>21</v>
      </c>
      <c r="I1036" t="s">
        <v>60</v>
      </c>
      <c r="J1036" t="s">
        <v>61</v>
      </c>
      <c r="L1036" t="s">
        <v>86</v>
      </c>
    </row>
    <row r="1037" spans="1:13">
      <c r="A1037">
        <v>45744</v>
      </c>
      <c r="B1037" t="s">
        <v>63</v>
      </c>
      <c r="D1037">
        <v>20500</v>
      </c>
      <c r="G1037" t="s">
        <v>70</v>
      </c>
      <c r="I1037" t="s">
        <v>60</v>
      </c>
      <c r="J1037" t="s">
        <v>61</v>
      </c>
      <c r="L1037" t="s">
        <v>62</v>
      </c>
    </row>
    <row r="1038" spans="1:13">
      <c r="A1038">
        <v>45744</v>
      </c>
      <c r="B1038" t="s">
        <v>63</v>
      </c>
      <c r="D1038">
        <v>8500</v>
      </c>
      <c r="F1038">
        <v>1</v>
      </c>
      <c r="G1038" t="s">
        <v>70</v>
      </c>
      <c r="I1038" t="s">
        <v>71</v>
      </c>
      <c r="J1038" t="s">
        <v>72</v>
      </c>
      <c r="K1038" t="s">
        <v>1314</v>
      </c>
      <c r="L1038" t="s">
        <v>62</v>
      </c>
      <c r="M1038" t="s">
        <v>1315</v>
      </c>
    </row>
    <row r="1039" spans="1:13">
      <c r="A1039">
        <v>45744</v>
      </c>
      <c r="B1039" t="s">
        <v>1316</v>
      </c>
      <c r="F1039">
        <v>1</v>
      </c>
      <c r="G1039" t="s">
        <v>0</v>
      </c>
      <c r="L1039" t="s">
        <v>86</v>
      </c>
    </row>
    <row r="1040" spans="1:13">
      <c r="A1040">
        <v>45745</v>
      </c>
      <c r="B1040" t="s">
        <v>559</v>
      </c>
      <c r="E1040">
        <v>10000</v>
      </c>
      <c r="F1040">
        <v>1</v>
      </c>
      <c r="G1040" t="s">
        <v>65</v>
      </c>
      <c r="H1040" t="s">
        <v>560</v>
      </c>
      <c r="I1040" t="s">
        <v>60</v>
      </c>
      <c r="J1040" t="s">
        <v>61</v>
      </c>
      <c r="L1040" t="s">
        <v>62</v>
      </c>
    </row>
    <row r="1041" spans="1:13">
      <c r="A1041">
        <v>45745</v>
      </c>
      <c r="B1041" t="s">
        <v>561</v>
      </c>
      <c r="E1041">
        <v>9000</v>
      </c>
      <c r="F1041">
        <v>1</v>
      </c>
      <c r="G1041" t="s">
        <v>65</v>
      </c>
      <c r="H1041" t="s">
        <v>560</v>
      </c>
      <c r="I1041" t="s">
        <v>60</v>
      </c>
      <c r="J1041" t="s">
        <v>61</v>
      </c>
      <c r="L1041" t="s">
        <v>62</v>
      </c>
    </row>
    <row r="1042" spans="1:13">
      <c r="A1042">
        <v>45745</v>
      </c>
      <c r="B1042" t="s">
        <v>1317</v>
      </c>
      <c r="F1042">
        <v>-28</v>
      </c>
      <c r="G1042" t="s">
        <v>22</v>
      </c>
      <c r="H1042" t="s">
        <v>93</v>
      </c>
      <c r="L1042" t="s">
        <v>101</v>
      </c>
    </row>
    <row r="1043" spans="1:13">
      <c r="A1043">
        <v>45745</v>
      </c>
      <c r="B1043" t="s">
        <v>624</v>
      </c>
      <c r="D1043">
        <v>-62400</v>
      </c>
      <c r="G1043" t="s">
        <v>77</v>
      </c>
      <c r="I1043" t="s">
        <v>60</v>
      </c>
      <c r="J1043" t="s">
        <v>61</v>
      </c>
      <c r="L1043" t="s">
        <v>62</v>
      </c>
    </row>
    <row r="1044" spans="1:13">
      <c r="A1044">
        <v>45745</v>
      </c>
      <c r="B1044" t="s">
        <v>624</v>
      </c>
      <c r="E1044">
        <v>-3300</v>
      </c>
      <c r="G1044" t="s">
        <v>65</v>
      </c>
      <c r="H1044" t="s">
        <v>85</v>
      </c>
      <c r="I1044" t="s">
        <v>60</v>
      </c>
      <c r="J1044" t="s">
        <v>61</v>
      </c>
      <c r="L1044" t="s">
        <v>62</v>
      </c>
    </row>
    <row r="1045" spans="1:13">
      <c r="A1045">
        <v>45745</v>
      </c>
      <c r="B1045" t="s">
        <v>76</v>
      </c>
      <c r="D1045">
        <v>3500</v>
      </c>
      <c r="G1045" t="s">
        <v>77</v>
      </c>
      <c r="I1045" t="s">
        <v>60</v>
      </c>
      <c r="J1045" t="s">
        <v>61</v>
      </c>
      <c r="L1045" t="s">
        <v>62</v>
      </c>
    </row>
    <row r="1046" spans="1:13">
      <c r="A1046">
        <v>45745</v>
      </c>
      <c r="B1046" t="s">
        <v>63</v>
      </c>
      <c r="D1046">
        <v>4500</v>
      </c>
      <c r="G1046" t="s">
        <v>70</v>
      </c>
      <c r="I1046" t="s">
        <v>60</v>
      </c>
      <c r="J1046" t="s">
        <v>61</v>
      </c>
      <c r="L1046" t="s">
        <v>62</v>
      </c>
    </row>
    <row r="1047" spans="1:13">
      <c r="A1047">
        <v>45745</v>
      </c>
      <c r="B1047" t="s">
        <v>1318</v>
      </c>
      <c r="D1047">
        <v>500</v>
      </c>
      <c r="F1047">
        <v>1</v>
      </c>
      <c r="G1047" t="s">
        <v>22</v>
      </c>
      <c r="H1047" t="s">
        <v>21</v>
      </c>
      <c r="I1047" t="s">
        <v>60</v>
      </c>
      <c r="J1047" t="s">
        <v>61</v>
      </c>
      <c r="L1047" t="s">
        <v>86</v>
      </c>
    </row>
    <row r="1048" spans="1:13">
      <c r="A1048">
        <v>45745</v>
      </c>
      <c r="B1048" t="s">
        <v>259</v>
      </c>
      <c r="D1048">
        <v>500</v>
      </c>
      <c r="F1048">
        <v>0</v>
      </c>
      <c r="G1048" t="s">
        <v>22</v>
      </c>
      <c r="H1048" t="s">
        <v>21</v>
      </c>
      <c r="I1048" t="s">
        <v>60</v>
      </c>
      <c r="J1048" t="s">
        <v>61</v>
      </c>
      <c r="L1048" t="s">
        <v>86</v>
      </c>
      <c r="M1048" t="s">
        <v>83</v>
      </c>
    </row>
    <row r="1049" spans="1:13">
      <c r="A1049">
        <v>45745</v>
      </c>
      <c r="B1049" t="s">
        <v>1319</v>
      </c>
      <c r="D1049">
        <v>500</v>
      </c>
      <c r="F1049">
        <v>1</v>
      </c>
      <c r="G1049" t="s">
        <v>22</v>
      </c>
      <c r="H1049" t="s">
        <v>21</v>
      </c>
      <c r="I1049" t="s">
        <v>60</v>
      </c>
      <c r="J1049" t="s">
        <v>61</v>
      </c>
      <c r="L1049" t="s">
        <v>86</v>
      </c>
    </row>
    <row r="1050" spans="1:13">
      <c r="A1050">
        <v>45745</v>
      </c>
      <c r="B1050" t="s">
        <v>1320</v>
      </c>
      <c r="D1050">
        <v>500</v>
      </c>
      <c r="F1050">
        <v>1</v>
      </c>
      <c r="G1050" t="s">
        <v>22</v>
      </c>
      <c r="H1050" t="s">
        <v>21</v>
      </c>
      <c r="I1050" t="s">
        <v>60</v>
      </c>
      <c r="J1050" t="s">
        <v>61</v>
      </c>
      <c r="L1050" t="s">
        <v>86</v>
      </c>
    </row>
    <row r="1051" spans="1:13">
      <c r="A1051">
        <v>45745</v>
      </c>
      <c r="B1051" t="s">
        <v>1321</v>
      </c>
      <c r="D1051">
        <v>500</v>
      </c>
      <c r="F1051">
        <v>1</v>
      </c>
      <c r="G1051" t="s">
        <v>22</v>
      </c>
      <c r="H1051" t="s">
        <v>21</v>
      </c>
      <c r="I1051" t="s">
        <v>60</v>
      </c>
      <c r="J1051" t="s">
        <v>61</v>
      </c>
      <c r="L1051" t="s">
        <v>86</v>
      </c>
    </row>
    <row r="1052" spans="1:13">
      <c r="A1052">
        <v>45745</v>
      </c>
      <c r="B1052" t="s">
        <v>1322</v>
      </c>
      <c r="F1052">
        <v>1</v>
      </c>
      <c r="G1052" t="s">
        <v>79</v>
      </c>
      <c r="H1052" t="s">
        <v>21</v>
      </c>
      <c r="L1052" t="s">
        <v>86</v>
      </c>
    </row>
    <row r="1053" spans="1:13">
      <c r="A1053">
        <v>45745</v>
      </c>
      <c r="B1053" t="s">
        <v>1323</v>
      </c>
      <c r="F1053">
        <v>1</v>
      </c>
      <c r="G1053" t="s">
        <v>79</v>
      </c>
      <c r="H1053" t="s">
        <v>21</v>
      </c>
      <c r="L1053" t="s">
        <v>86</v>
      </c>
    </row>
    <row r="1054" spans="1:13">
      <c r="A1054">
        <v>45745</v>
      </c>
      <c r="B1054" t="s">
        <v>1323</v>
      </c>
      <c r="D1054">
        <v>0</v>
      </c>
      <c r="F1054">
        <v>0</v>
      </c>
      <c r="G1054" t="s">
        <v>22</v>
      </c>
      <c r="H1054" t="s">
        <v>21</v>
      </c>
      <c r="I1054" t="s">
        <v>60</v>
      </c>
      <c r="J1054" t="s">
        <v>61</v>
      </c>
      <c r="L1054" t="s">
        <v>86</v>
      </c>
      <c r="M1054" t="s">
        <v>83</v>
      </c>
    </row>
    <row r="1055" spans="1:13">
      <c r="A1055">
        <v>45745</v>
      </c>
      <c r="B1055" t="s">
        <v>63</v>
      </c>
      <c r="D1055">
        <v>300</v>
      </c>
      <c r="F1055">
        <v>3</v>
      </c>
      <c r="G1055" t="s">
        <v>22</v>
      </c>
      <c r="H1055" t="s">
        <v>93</v>
      </c>
      <c r="I1055" t="s">
        <v>60</v>
      </c>
      <c r="J1055" t="s">
        <v>61</v>
      </c>
      <c r="L1055" t="s">
        <v>62</v>
      </c>
    </row>
    <row r="1056" spans="1:13">
      <c r="A1056">
        <v>45745</v>
      </c>
      <c r="B1056" t="s">
        <v>1324</v>
      </c>
      <c r="F1056">
        <v>1</v>
      </c>
      <c r="G1056" t="s">
        <v>0</v>
      </c>
      <c r="L1056" t="s">
        <v>82</v>
      </c>
    </row>
    <row r="1057" spans="1:13">
      <c r="A1057">
        <v>45746</v>
      </c>
      <c r="B1057" t="s">
        <v>1325</v>
      </c>
      <c r="F1057">
        <v>1</v>
      </c>
      <c r="G1057" t="s">
        <v>319</v>
      </c>
      <c r="H1057" t="s">
        <v>21</v>
      </c>
      <c r="L1057" t="s">
        <v>82</v>
      </c>
      <c r="M1057" t="s">
        <v>1326</v>
      </c>
    </row>
    <row r="1058" spans="1:13">
      <c r="A1058">
        <v>45746</v>
      </c>
      <c r="B1058" t="s">
        <v>1327</v>
      </c>
      <c r="F1058">
        <v>1</v>
      </c>
      <c r="G1058" t="s">
        <v>107</v>
      </c>
      <c r="H1058" t="s">
        <v>21</v>
      </c>
      <c r="L1058" t="s">
        <v>82</v>
      </c>
      <c r="M1058" t="s">
        <v>1326</v>
      </c>
    </row>
    <row r="1059" spans="1:13">
      <c r="A1059">
        <v>45746</v>
      </c>
      <c r="B1059" t="s">
        <v>1328</v>
      </c>
      <c r="D1059">
        <v>500</v>
      </c>
      <c r="F1059">
        <v>1</v>
      </c>
      <c r="G1059" t="s">
        <v>22</v>
      </c>
      <c r="H1059" t="s">
        <v>21</v>
      </c>
      <c r="I1059" t="s">
        <v>60</v>
      </c>
      <c r="J1059" t="s">
        <v>61</v>
      </c>
      <c r="L1059" t="s">
        <v>82</v>
      </c>
    </row>
    <row r="1060" spans="1:13">
      <c r="A1060">
        <v>45746</v>
      </c>
      <c r="B1060" t="s">
        <v>63</v>
      </c>
      <c r="D1060">
        <v>600</v>
      </c>
      <c r="F1060">
        <v>6</v>
      </c>
      <c r="G1060" t="s">
        <v>22</v>
      </c>
      <c r="H1060" t="s">
        <v>93</v>
      </c>
      <c r="I1060" t="s">
        <v>60</v>
      </c>
      <c r="J1060" t="s">
        <v>61</v>
      </c>
      <c r="L1060" t="s">
        <v>62</v>
      </c>
    </row>
    <row r="1061" spans="1:13">
      <c r="A1061">
        <v>45746</v>
      </c>
      <c r="B1061" t="s">
        <v>76</v>
      </c>
      <c r="D1061">
        <v>6000</v>
      </c>
      <c r="G1061" t="s">
        <v>77</v>
      </c>
      <c r="I1061" t="s">
        <v>60</v>
      </c>
      <c r="J1061" t="s">
        <v>61</v>
      </c>
      <c r="L1061" t="s">
        <v>62</v>
      </c>
    </row>
    <row r="1062" spans="1:13">
      <c r="A1062">
        <v>45746</v>
      </c>
      <c r="B1062" t="s">
        <v>1329</v>
      </c>
      <c r="F1062">
        <v>1</v>
      </c>
      <c r="G1062" t="s">
        <v>99</v>
      </c>
      <c r="H1062" t="s">
        <v>21</v>
      </c>
      <c r="L1062" t="s">
        <v>82</v>
      </c>
      <c r="M1062" t="s">
        <v>1326</v>
      </c>
    </row>
    <row r="1063" spans="1:13">
      <c r="A1063">
        <v>45746</v>
      </c>
      <c r="B1063" t="s">
        <v>63</v>
      </c>
      <c r="D1063">
        <v>21000</v>
      </c>
      <c r="G1063" t="s">
        <v>70</v>
      </c>
      <c r="I1063" t="s">
        <v>60</v>
      </c>
      <c r="J1063" t="s">
        <v>61</v>
      </c>
      <c r="L1063" t="s">
        <v>62</v>
      </c>
    </row>
    <row r="1064" spans="1:13">
      <c r="A1064">
        <v>45746</v>
      </c>
      <c r="B1064" t="s">
        <v>1330</v>
      </c>
      <c r="D1064">
        <v>500</v>
      </c>
      <c r="F1064">
        <v>1</v>
      </c>
      <c r="G1064" t="s">
        <v>22</v>
      </c>
      <c r="H1064" t="s">
        <v>21</v>
      </c>
      <c r="I1064" t="s">
        <v>60</v>
      </c>
      <c r="J1064" t="s">
        <v>61</v>
      </c>
      <c r="L1064" t="s">
        <v>82</v>
      </c>
    </row>
    <row r="1065" spans="1:13">
      <c r="A1065">
        <v>45746</v>
      </c>
      <c r="B1065" t="s">
        <v>1331</v>
      </c>
      <c r="F1065">
        <v>1</v>
      </c>
      <c r="G1065" t="s">
        <v>64</v>
      </c>
      <c r="L1065" t="s">
        <v>82</v>
      </c>
      <c r="M1065" t="s">
        <v>96</v>
      </c>
    </row>
    <row r="1066" spans="1:13">
      <c r="A1066">
        <v>45746</v>
      </c>
      <c r="B1066" t="s">
        <v>1332</v>
      </c>
      <c r="F1066">
        <v>1</v>
      </c>
      <c r="G1066" t="s">
        <v>590</v>
      </c>
      <c r="H1066" t="s">
        <v>21</v>
      </c>
      <c r="L1066" t="s">
        <v>82</v>
      </c>
      <c r="M1066" t="s">
        <v>1326</v>
      </c>
    </row>
    <row r="1067" spans="1:13">
      <c r="A1067">
        <v>45747</v>
      </c>
      <c r="B1067" t="s">
        <v>238</v>
      </c>
      <c r="C1067" t="s">
        <v>1333</v>
      </c>
      <c r="F1067">
        <v>14</v>
      </c>
      <c r="G1067" t="s">
        <v>22</v>
      </c>
      <c r="H1067" t="s">
        <v>21</v>
      </c>
      <c r="L1067" t="s">
        <v>95</v>
      </c>
    </row>
    <row r="1068" spans="1:13">
      <c r="A1068">
        <v>45747</v>
      </c>
      <c r="B1068" t="s">
        <v>1040</v>
      </c>
      <c r="D1068">
        <v>500</v>
      </c>
      <c r="F1068">
        <v>1</v>
      </c>
      <c r="G1068" t="s">
        <v>22</v>
      </c>
      <c r="H1068" t="s">
        <v>21</v>
      </c>
      <c r="I1068" t="s">
        <v>60</v>
      </c>
      <c r="J1068" t="s">
        <v>61</v>
      </c>
      <c r="L1068" t="s">
        <v>86</v>
      </c>
    </row>
    <row r="1069" spans="1:13">
      <c r="A1069">
        <v>45747</v>
      </c>
      <c r="B1069" t="s">
        <v>1334</v>
      </c>
      <c r="D1069">
        <v>500</v>
      </c>
      <c r="F1069">
        <v>1</v>
      </c>
      <c r="G1069" t="s">
        <v>22</v>
      </c>
      <c r="H1069" t="s">
        <v>21</v>
      </c>
      <c r="I1069" t="s">
        <v>60</v>
      </c>
      <c r="J1069" t="s">
        <v>61</v>
      </c>
      <c r="L1069" t="s">
        <v>82</v>
      </c>
    </row>
    <row r="1070" spans="1:13">
      <c r="A1070">
        <v>45747</v>
      </c>
      <c r="B1070" t="s">
        <v>1335</v>
      </c>
      <c r="D1070">
        <v>500</v>
      </c>
      <c r="F1070">
        <v>1</v>
      </c>
      <c r="G1070" t="s">
        <v>22</v>
      </c>
      <c r="H1070" t="s">
        <v>21</v>
      </c>
      <c r="I1070" t="s">
        <v>60</v>
      </c>
      <c r="J1070" t="s">
        <v>61</v>
      </c>
      <c r="L1070" t="s">
        <v>82</v>
      </c>
    </row>
    <row r="1071" spans="1:13">
      <c r="A1071">
        <v>45747</v>
      </c>
      <c r="B1071" t="s">
        <v>1336</v>
      </c>
      <c r="D1071">
        <v>500</v>
      </c>
      <c r="F1071">
        <v>1</v>
      </c>
      <c r="G1071" t="s">
        <v>22</v>
      </c>
      <c r="H1071" t="s">
        <v>21</v>
      </c>
      <c r="I1071" t="s">
        <v>60</v>
      </c>
      <c r="J1071" t="s">
        <v>61</v>
      </c>
      <c r="L1071" t="s">
        <v>82</v>
      </c>
    </row>
    <row r="1072" spans="1:13">
      <c r="A1072">
        <v>45747</v>
      </c>
      <c r="B1072" t="s">
        <v>63</v>
      </c>
      <c r="D1072">
        <v>13500</v>
      </c>
      <c r="F1072">
        <v>2</v>
      </c>
      <c r="G1072" t="s">
        <v>70</v>
      </c>
      <c r="I1072" t="s">
        <v>71</v>
      </c>
      <c r="J1072" t="s">
        <v>72</v>
      </c>
      <c r="K1072" t="s">
        <v>211</v>
      </c>
      <c r="L1072" t="s">
        <v>62</v>
      </c>
      <c r="M1072" t="s">
        <v>92</v>
      </c>
    </row>
    <row r="1073" spans="1:13">
      <c r="A1073">
        <v>45747</v>
      </c>
      <c r="B1073" t="s">
        <v>63</v>
      </c>
      <c r="D1073">
        <v>13000</v>
      </c>
      <c r="G1073" t="s">
        <v>70</v>
      </c>
      <c r="I1073" t="s">
        <v>60</v>
      </c>
      <c r="J1073" t="s">
        <v>61</v>
      </c>
      <c r="L1073" t="s">
        <v>62</v>
      </c>
    </row>
    <row r="1074" spans="1:13">
      <c r="A1074">
        <v>45747</v>
      </c>
      <c r="B1074" t="s">
        <v>1337</v>
      </c>
      <c r="D1074">
        <v>500</v>
      </c>
      <c r="F1074">
        <v>1</v>
      </c>
      <c r="G1074" t="s">
        <v>22</v>
      </c>
      <c r="H1074" t="s">
        <v>21</v>
      </c>
      <c r="I1074" t="s">
        <v>60</v>
      </c>
      <c r="J1074" t="s">
        <v>61</v>
      </c>
      <c r="L1074" t="s">
        <v>82</v>
      </c>
    </row>
    <row r="1075" spans="1:13">
      <c r="A1075">
        <v>45747</v>
      </c>
      <c r="B1075" t="s">
        <v>1338</v>
      </c>
      <c r="D1075">
        <v>639999.01</v>
      </c>
      <c r="F1075">
        <v>1</v>
      </c>
      <c r="G1075" t="s">
        <v>1339</v>
      </c>
      <c r="I1075" t="s">
        <v>1340</v>
      </c>
      <c r="L1075" t="s">
        <v>82</v>
      </c>
    </row>
    <row r="1076" spans="1:13">
      <c r="A1076">
        <v>45747</v>
      </c>
      <c r="B1076" t="s">
        <v>76</v>
      </c>
      <c r="D1076">
        <v>8400</v>
      </c>
      <c r="G1076" t="s">
        <v>77</v>
      </c>
      <c r="I1076" t="s">
        <v>60</v>
      </c>
      <c r="J1076" t="s">
        <v>61</v>
      </c>
      <c r="L1076" t="s">
        <v>62</v>
      </c>
    </row>
    <row r="1077" spans="1:13">
      <c r="A1077">
        <v>45748</v>
      </c>
      <c r="B1077" t="s">
        <v>81</v>
      </c>
      <c r="D1077">
        <v>158600</v>
      </c>
      <c r="F1077">
        <v>1</v>
      </c>
      <c r="G1077" t="s">
        <v>74</v>
      </c>
      <c r="H1077" t="s">
        <v>75</v>
      </c>
      <c r="I1077" t="s">
        <v>60</v>
      </c>
      <c r="J1077" t="s">
        <v>61</v>
      </c>
      <c r="L1077" t="s">
        <v>88</v>
      </c>
      <c r="M1077" t="s">
        <v>955</v>
      </c>
    </row>
    <row r="1078" spans="1:13">
      <c r="A1078">
        <v>45748</v>
      </c>
      <c r="B1078" t="s">
        <v>1341</v>
      </c>
      <c r="D1078">
        <v>500</v>
      </c>
      <c r="F1078">
        <v>1</v>
      </c>
      <c r="G1078" t="s">
        <v>22</v>
      </c>
      <c r="H1078" t="s">
        <v>21</v>
      </c>
      <c r="I1078" t="s">
        <v>60</v>
      </c>
      <c r="J1078" t="s">
        <v>61</v>
      </c>
      <c r="L1078" t="s">
        <v>86</v>
      </c>
    </row>
    <row r="1079" spans="1:13">
      <c r="A1079">
        <v>45748</v>
      </c>
      <c r="B1079" t="s">
        <v>1342</v>
      </c>
      <c r="F1079">
        <v>1</v>
      </c>
      <c r="G1079" t="s">
        <v>377</v>
      </c>
      <c r="H1079" t="s">
        <v>21</v>
      </c>
      <c r="L1079" t="s">
        <v>86</v>
      </c>
    </row>
    <row r="1080" spans="1:13">
      <c r="A1080">
        <v>45748</v>
      </c>
      <c r="B1080" t="s">
        <v>63</v>
      </c>
      <c r="D1080">
        <v>100</v>
      </c>
      <c r="F1080">
        <v>1</v>
      </c>
      <c r="G1080" t="s">
        <v>22</v>
      </c>
      <c r="H1080" t="s">
        <v>93</v>
      </c>
      <c r="I1080" t="s">
        <v>60</v>
      </c>
      <c r="J1080" t="s">
        <v>61</v>
      </c>
      <c r="L1080" t="s">
        <v>1343</v>
      </c>
    </row>
    <row r="1081" spans="1:13">
      <c r="A1081">
        <v>45748</v>
      </c>
      <c r="B1081" t="s">
        <v>76</v>
      </c>
      <c r="D1081">
        <v>11600</v>
      </c>
      <c r="G1081" t="s">
        <v>77</v>
      </c>
      <c r="I1081" t="s">
        <v>60</v>
      </c>
      <c r="J1081" t="s">
        <v>61</v>
      </c>
      <c r="L1081" t="s">
        <v>1343</v>
      </c>
    </row>
    <row r="1082" spans="1:13">
      <c r="A1082">
        <v>45748</v>
      </c>
      <c r="B1082" t="s">
        <v>1344</v>
      </c>
      <c r="D1082">
        <v>500</v>
      </c>
      <c r="F1082">
        <v>1</v>
      </c>
      <c r="G1082" t="s">
        <v>22</v>
      </c>
      <c r="H1082" t="s">
        <v>21</v>
      </c>
      <c r="I1082" t="s">
        <v>60</v>
      </c>
      <c r="J1082" t="s">
        <v>61</v>
      </c>
      <c r="L1082" t="s">
        <v>82</v>
      </c>
    </row>
    <row r="1083" spans="1:13">
      <c r="A1083">
        <v>45748</v>
      </c>
      <c r="B1083" t="s">
        <v>1344</v>
      </c>
      <c r="F1083">
        <v>1</v>
      </c>
      <c r="G1083" t="s">
        <v>64</v>
      </c>
      <c r="L1083" t="s">
        <v>82</v>
      </c>
      <c r="M1083" t="s">
        <v>1345</v>
      </c>
    </row>
    <row r="1084" spans="1:13">
      <c r="A1084">
        <v>45748</v>
      </c>
      <c r="B1084" t="s">
        <v>63</v>
      </c>
      <c r="D1084">
        <v>7500</v>
      </c>
      <c r="F1084">
        <v>1</v>
      </c>
      <c r="G1084" t="s">
        <v>70</v>
      </c>
      <c r="I1084" t="s">
        <v>71</v>
      </c>
      <c r="J1084" t="s">
        <v>72</v>
      </c>
      <c r="K1084" t="s">
        <v>1346</v>
      </c>
      <c r="L1084" t="s">
        <v>1343</v>
      </c>
      <c r="M1084" t="s">
        <v>90</v>
      </c>
    </row>
    <row r="1085" spans="1:13">
      <c r="A1085">
        <v>45749</v>
      </c>
      <c r="B1085" t="s">
        <v>1347</v>
      </c>
      <c r="D1085">
        <v>500</v>
      </c>
      <c r="F1085">
        <v>1</v>
      </c>
      <c r="G1085" t="s">
        <v>22</v>
      </c>
      <c r="H1085" t="s">
        <v>21</v>
      </c>
      <c r="I1085" t="s">
        <v>60</v>
      </c>
      <c r="J1085" t="s">
        <v>61</v>
      </c>
      <c r="L1085" t="s">
        <v>82</v>
      </c>
    </row>
    <row r="1086" spans="1:13">
      <c r="A1086">
        <v>45749</v>
      </c>
      <c r="B1086" t="s">
        <v>1348</v>
      </c>
      <c r="D1086">
        <v>500</v>
      </c>
      <c r="F1086">
        <v>1</v>
      </c>
      <c r="G1086" t="s">
        <v>22</v>
      </c>
      <c r="H1086" t="s">
        <v>21</v>
      </c>
      <c r="I1086" t="s">
        <v>60</v>
      </c>
      <c r="J1086" t="s">
        <v>61</v>
      </c>
      <c r="L1086" t="s">
        <v>82</v>
      </c>
    </row>
    <row r="1087" spans="1:13">
      <c r="A1087">
        <v>45749</v>
      </c>
      <c r="B1087" t="s">
        <v>1349</v>
      </c>
      <c r="D1087">
        <v>500</v>
      </c>
      <c r="F1087">
        <v>1</v>
      </c>
      <c r="G1087" t="s">
        <v>22</v>
      </c>
      <c r="H1087" t="s">
        <v>21</v>
      </c>
      <c r="I1087" t="s">
        <v>60</v>
      </c>
      <c r="J1087" t="s">
        <v>61</v>
      </c>
      <c r="L1087" t="s">
        <v>82</v>
      </c>
    </row>
    <row r="1088" spans="1:13">
      <c r="A1088">
        <v>45749</v>
      </c>
      <c r="B1088" t="s">
        <v>1350</v>
      </c>
      <c r="E1088">
        <v>2600</v>
      </c>
      <c r="F1088">
        <v>1</v>
      </c>
      <c r="G1088" t="s">
        <v>65</v>
      </c>
      <c r="H1088" t="s">
        <v>292</v>
      </c>
      <c r="I1088" t="s">
        <v>60</v>
      </c>
      <c r="J1088" t="s">
        <v>61</v>
      </c>
      <c r="L1088" t="s">
        <v>1343</v>
      </c>
      <c r="M1088" t="s">
        <v>1351</v>
      </c>
    </row>
    <row r="1089" spans="1:13">
      <c r="A1089">
        <v>45749</v>
      </c>
      <c r="B1089" t="s">
        <v>63</v>
      </c>
      <c r="D1089">
        <v>25500</v>
      </c>
      <c r="F1089">
        <v>4</v>
      </c>
      <c r="G1089" t="s">
        <v>70</v>
      </c>
      <c r="I1089" t="s">
        <v>71</v>
      </c>
      <c r="J1089" t="s">
        <v>72</v>
      </c>
      <c r="K1089" t="s">
        <v>1352</v>
      </c>
      <c r="L1089" t="s">
        <v>1343</v>
      </c>
      <c r="M1089" t="s">
        <v>90</v>
      </c>
    </row>
    <row r="1090" spans="1:13">
      <c r="A1090">
        <v>45749</v>
      </c>
      <c r="B1090" t="s">
        <v>1353</v>
      </c>
      <c r="F1090">
        <v>1</v>
      </c>
      <c r="G1090" t="s">
        <v>64</v>
      </c>
      <c r="L1090" t="s">
        <v>86</v>
      </c>
      <c r="M1090" t="s">
        <v>1354</v>
      </c>
    </row>
    <row r="1091" spans="1:13">
      <c r="A1091">
        <v>45749</v>
      </c>
      <c r="B1091" t="s">
        <v>63</v>
      </c>
      <c r="D1091">
        <v>100</v>
      </c>
      <c r="F1091">
        <v>1</v>
      </c>
      <c r="G1091" t="s">
        <v>22</v>
      </c>
      <c r="H1091" t="s">
        <v>93</v>
      </c>
      <c r="I1091" t="s">
        <v>60</v>
      </c>
      <c r="J1091" t="s">
        <v>61</v>
      </c>
      <c r="L1091" t="s">
        <v>1343</v>
      </c>
    </row>
    <row r="1092" spans="1:13">
      <c r="A1092">
        <v>45749</v>
      </c>
      <c r="B1092" t="s">
        <v>1355</v>
      </c>
      <c r="F1092">
        <v>1</v>
      </c>
      <c r="G1092" t="s">
        <v>64</v>
      </c>
      <c r="L1092" t="s">
        <v>86</v>
      </c>
      <c r="M1092" t="s">
        <v>1356</v>
      </c>
    </row>
    <row r="1093" spans="1:13">
      <c r="A1093">
        <v>45749</v>
      </c>
      <c r="B1093" t="s">
        <v>1357</v>
      </c>
      <c r="D1093">
        <v>135000</v>
      </c>
      <c r="F1093">
        <v>1</v>
      </c>
      <c r="G1093" t="s">
        <v>64</v>
      </c>
      <c r="I1093" t="s">
        <v>60</v>
      </c>
      <c r="J1093" t="s">
        <v>61</v>
      </c>
      <c r="L1093" t="s">
        <v>82</v>
      </c>
    </row>
    <row r="1094" spans="1:13">
      <c r="A1094">
        <v>45749</v>
      </c>
      <c r="B1094" t="s">
        <v>1358</v>
      </c>
      <c r="F1094">
        <v>1</v>
      </c>
      <c r="G1094" t="s">
        <v>64</v>
      </c>
      <c r="L1094" t="s">
        <v>86</v>
      </c>
      <c r="M1094" t="s">
        <v>1359</v>
      </c>
    </row>
    <row r="1095" spans="1:13">
      <c r="A1095">
        <v>45749</v>
      </c>
      <c r="B1095" t="s">
        <v>1360</v>
      </c>
      <c r="D1095">
        <v>500</v>
      </c>
      <c r="F1095">
        <v>0</v>
      </c>
      <c r="G1095" t="s">
        <v>22</v>
      </c>
      <c r="H1095" t="s">
        <v>21</v>
      </c>
      <c r="I1095" t="s">
        <v>60</v>
      </c>
      <c r="J1095" t="s">
        <v>61</v>
      </c>
      <c r="L1095" t="s">
        <v>86</v>
      </c>
      <c r="M1095" t="s">
        <v>83</v>
      </c>
    </row>
    <row r="1096" spans="1:13">
      <c r="A1096">
        <v>45749</v>
      </c>
      <c r="B1096" t="s">
        <v>63</v>
      </c>
      <c r="D1096">
        <v>7500</v>
      </c>
      <c r="F1096">
        <v>1</v>
      </c>
      <c r="G1096" t="s">
        <v>70</v>
      </c>
      <c r="I1096" t="s">
        <v>71</v>
      </c>
      <c r="J1096" t="s">
        <v>72</v>
      </c>
      <c r="K1096" t="s">
        <v>1361</v>
      </c>
      <c r="L1096" t="s">
        <v>1343</v>
      </c>
      <c r="M1096" t="s">
        <v>1258</v>
      </c>
    </row>
    <row r="1097" spans="1:13">
      <c r="A1097">
        <v>45749</v>
      </c>
      <c r="B1097" t="s">
        <v>63</v>
      </c>
      <c r="D1097">
        <v>10000</v>
      </c>
      <c r="F1097">
        <v>2</v>
      </c>
      <c r="G1097" t="s">
        <v>70</v>
      </c>
      <c r="I1097" t="s">
        <v>71</v>
      </c>
      <c r="J1097" t="s">
        <v>72</v>
      </c>
      <c r="K1097" t="s">
        <v>1362</v>
      </c>
      <c r="L1097" t="s">
        <v>1343</v>
      </c>
      <c r="M1097" t="s">
        <v>975</v>
      </c>
    </row>
    <row r="1098" spans="1:13">
      <c r="A1098">
        <v>45749</v>
      </c>
      <c r="B1098" t="s">
        <v>63</v>
      </c>
      <c r="D1098">
        <v>8500</v>
      </c>
      <c r="G1098" t="s">
        <v>70</v>
      </c>
      <c r="I1098" t="s">
        <v>60</v>
      </c>
      <c r="J1098" t="s">
        <v>61</v>
      </c>
      <c r="L1098" t="s">
        <v>1343</v>
      </c>
    </row>
    <row r="1099" spans="1:13">
      <c r="A1099">
        <v>45749</v>
      </c>
      <c r="B1099" t="s">
        <v>1363</v>
      </c>
      <c r="D1099">
        <v>500</v>
      </c>
      <c r="F1099">
        <v>1</v>
      </c>
      <c r="G1099" t="s">
        <v>22</v>
      </c>
      <c r="H1099" t="s">
        <v>21</v>
      </c>
      <c r="I1099" t="s">
        <v>60</v>
      </c>
      <c r="J1099" t="s">
        <v>61</v>
      </c>
      <c r="L1099" t="s">
        <v>86</v>
      </c>
    </row>
    <row r="1100" spans="1:13">
      <c r="A1100">
        <v>45749</v>
      </c>
      <c r="B1100" t="s">
        <v>1364</v>
      </c>
      <c r="D1100">
        <v>500</v>
      </c>
      <c r="F1100">
        <v>1</v>
      </c>
      <c r="G1100" t="s">
        <v>22</v>
      </c>
      <c r="H1100" t="s">
        <v>21</v>
      </c>
      <c r="I1100" t="s">
        <v>60</v>
      </c>
      <c r="J1100" t="s">
        <v>61</v>
      </c>
      <c r="L1100" t="s">
        <v>86</v>
      </c>
    </row>
    <row r="1101" spans="1:13">
      <c r="A1101">
        <v>45749</v>
      </c>
      <c r="B1101" t="s">
        <v>1365</v>
      </c>
      <c r="F1101">
        <v>1</v>
      </c>
      <c r="G1101" t="s">
        <v>64</v>
      </c>
      <c r="L1101" t="s">
        <v>86</v>
      </c>
      <c r="M1101" t="s">
        <v>1366</v>
      </c>
    </row>
    <row r="1102" spans="1:13">
      <c r="A1102">
        <v>45749</v>
      </c>
      <c r="B1102" t="s">
        <v>1367</v>
      </c>
      <c r="F1102">
        <v>1</v>
      </c>
      <c r="G1102" t="s">
        <v>79</v>
      </c>
      <c r="H1102" t="s">
        <v>21</v>
      </c>
      <c r="L1102" t="s">
        <v>86</v>
      </c>
    </row>
    <row r="1103" spans="1:13">
      <c r="A1103">
        <v>45749</v>
      </c>
      <c r="B1103" t="s">
        <v>1368</v>
      </c>
      <c r="D1103">
        <v>500</v>
      </c>
      <c r="F1103">
        <v>0</v>
      </c>
      <c r="G1103" t="s">
        <v>22</v>
      </c>
      <c r="H1103" t="s">
        <v>21</v>
      </c>
      <c r="I1103" t="s">
        <v>60</v>
      </c>
      <c r="J1103" t="s">
        <v>61</v>
      </c>
      <c r="L1103" t="s">
        <v>86</v>
      </c>
      <c r="M1103" t="s">
        <v>83</v>
      </c>
    </row>
    <row r="1104" spans="1:13">
      <c r="A1104">
        <v>45749</v>
      </c>
      <c r="B1104" t="s">
        <v>63</v>
      </c>
      <c r="D1104">
        <v>7500</v>
      </c>
      <c r="F1104">
        <v>1</v>
      </c>
      <c r="G1104" t="s">
        <v>70</v>
      </c>
      <c r="I1104" t="s">
        <v>71</v>
      </c>
      <c r="J1104" t="s">
        <v>72</v>
      </c>
      <c r="K1104" t="s">
        <v>1369</v>
      </c>
      <c r="L1104" t="s">
        <v>1343</v>
      </c>
      <c r="M1104" t="s">
        <v>90</v>
      </c>
    </row>
    <row r="1105" spans="1:13">
      <c r="A1105">
        <v>45749</v>
      </c>
      <c r="B1105" t="s">
        <v>1370</v>
      </c>
      <c r="F1105">
        <v>1</v>
      </c>
      <c r="G1105" t="s">
        <v>0</v>
      </c>
      <c r="L1105" t="s">
        <v>86</v>
      </c>
    </row>
    <row r="1106" spans="1:13">
      <c r="A1106">
        <v>45749</v>
      </c>
      <c r="B1106" t="s">
        <v>1371</v>
      </c>
      <c r="F1106">
        <v>1</v>
      </c>
      <c r="G1106" t="s">
        <v>0</v>
      </c>
      <c r="L1106" t="s">
        <v>86</v>
      </c>
    </row>
    <row r="1107" spans="1:13">
      <c r="A1107">
        <v>45750</v>
      </c>
      <c r="B1107" t="s">
        <v>81</v>
      </c>
      <c r="D1107">
        <v>384500</v>
      </c>
      <c r="F1107">
        <v>1</v>
      </c>
      <c r="G1107" t="s">
        <v>74</v>
      </c>
      <c r="H1107" t="s">
        <v>75</v>
      </c>
      <c r="I1107" t="s">
        <v>60</v>
      </c>
      <c r="J1107" t="s">
        <v>61</v>
      </c>
      <c r="L1107" t="s">
        <v>88</v>
      </c>
      <c r="M1107" t="s">
        <v>955</v>
      </c>
    </row>
    <row r="1108" spans="1:13">
      <c r="A1108">
        <v>45750</v>
      </c>
      <c r="B1108" t="s">
        <v>1372</v>
      </c>
      <c r="F1108">
        <v>1</v>
      </c>
      <c r="G1108" t="s">
        <v>64</v>
      </c>
      <c r="L1108" t="s">
        <v>86</v>
      </c>
      <c r="M1108" t="s">
        <v>1099</v>
      </c>
    </row>
    <row r="1109" spans="1:13">
      <c r="A1109">
        <v>45750</v>
      </c>
      <c r="B1109" t="s">
        <v>63</v>
      </c>
      <c r="D1109">
        <v>10000</v>
      </c>
      <c r="F1109">
        <v>2</v>
      </c>
      <c r="G1109" t="s">
        <v>70</v>
      </c>
      <c r="I1109" t="s">
        <v>71</v>
      </c>
      <c r="J1109" t="s">
        <v>72</v>
      </c>
      <c r="K1109" t="s">
        <v>1373</v>
      </c>
      <c r="L1109" t="s">
        <v>1343</v>
      </c>
      <c r="M1109" t="s">
        <v>90</v>
      </c>
    </row>
    <row r="1110" spans="1:13">
      <c r="A1110">
        <v>45750</v>
      </c>
      <c r="B1110" t="s">
        <v>76</v>
      </c>
      <c r="D1110">
        <v>1000</v>
      </c>
      <c r="G1110" t="s">
        <v>77</v>
      </c>
      <c r="I1110" t="s">
        <v>60</v>
      </c>
      <c r="J1110" t="s">
        <v>61</v>
      </c>
      <c r="L1110" t="s">
        <v>1343</v>
      </c>
    </row>
    <row r="1111" spans="1:13">
      <c r="A1111">
        <v>45750</v>
      </c>
      <c r="B1111" t="s">
        <v>63</v>
      </c>
      <c r="D1111">
        <v>9500</v>
      </c>
      <c r="G1111" t="s">
        <v>70</v>
      </c>
      <c r="I1111" t="s">
        <v>60</v>
      </c>
      <c r="J1111" t="s">
        <v>61</v>
      </c>
      <c r="L1111" t="s">
        <v>1343</v>
      </c>
    </row>
    <row r="1112" spans="1:13">
      <c r="A1112">
        <v>45750</v>
      </c>
      <c r="B1112" t="s">
        <v>542</v>
      </c>
      <c r="C1112" t="s">
        <v>1374</v>
      </c>
      <c r="E1112">
        <v>38000</v>
      </c>
      <c r="F1112">
        <v>1</v>
      </c>
      <c r="G1112" t="s">
        <v>65</v>
      </c>
      <c r="H1112" t="s">
        <v>66</v>
      </c>
      <c r="I1112" t="s">
        <v>60</v>
      </c>
      <c r="J1112" t="s">
        <v>61</v>
      </c>
      <c r="L1112" t="s">
        <v>1343</v>
      </c>
      <c r="M1112" t="s">
        <v>1375</v>
      </c>
    </row>
    <row r="1113" spans="1:13">
      <c r="A1113">
        <v>45750</v>
      </c>
      <c r="B1113" t="s">
        <v>63</v>
      </c>
      <c r="D1113">
        <v>200</v>
      </c>
      <c r="F1113">
        <v>2</v>
      </c>
      <c r="G1113" t="s">
        <v>22</v>
      </c>
      <c r="H1113" t="s">
        <v>93</v>
      </c>
      <c r="I1113" t="s">
        <v>60</v>
      </c>
      <c r="J1113" t="s">
        <v>61</v>
      </c>
      <c r="L1113" t="s">
        <v>1343</v>
      </c>
    </row>
    <row r="1114" spans="1:13">
      <c r="A1114">
        <v>45750</v>
      </c>
      <c r="B1114" t="s">
        <v>1376</v>
      </c>
      <c r="D1114">
        <v>500</v>
      </c>
      <c r="F1114">
        <v>1</v>
      </c>
      <c r="G1114" t="s">
        <v>22</v>
      </c>
      <c r="H1114" t="s">
        <v>21</v>
      </c>
      <c r="I1114" t="s">
        <v>60</v>
      </c>
      <c r="J1114" t="s">
        <v>61</v>
      </c>
      <c r="L1114" t="s">
        <v>82</v>
      </c>
    </row>
    <row r="1115" spans="1:13">
      <c r="A1115">
        <v>45750</v>
      </c>
      <c r="B1115" t="s">
        <v>1377</v>
      </c>
      <c r="F1115">
        <v>1</v>
      </c>
      <c r="G1115" t="s">
        <v>98</v>
      </c>
      <c r="H1115" t="s">
        <v>21</v>
      </c>
      <c r="L1115" t="s">
        <v>82</v>
      </c>
    </row>
    <row r="1116" spans="1:13">
      <c r="A1116">
        <v>45750</v>
      </c>
      <c r="B1116" t="s">
        <v>1377</v>
      </c>
      <c r="D1116">
        <v>0</v>
      </c>
      <c r="F1116">
        <v>0</v>
      </c>
      <c r="G1116" t="s">
        <v>22</v>
      </c>
      <c r="H1116" t="s">
        <v>21</v>
      </c>
      <c r="I1116" t="s">
        <v>60</v>
      </c>
      <c r="J1116" t="s">
        <v>61</v>
      </c>
      <c r="L1116" t="s">
        <v>82</v>
      </c>
      <c r="M1116" t="s">
        <v>83</v>
      </c>
    </row>
    <row r="1117" spans="1:13">
      <c r="A1117">
        <v>45750</v>
      </c>
      <c r="B1117" t="s">
        <v>1378</v>
      </c>
      <c r="F1117">
        <v>1</v>
      </c>
      <c r="G1117" t="s">
        <v>64</v>
      </c>
      <c r="L1117" t="s">
        <v>82</v>
      </c>
      <c r="M1117" t="s">
        <v>96</v>
      </c>
    </row>
    <row r="1118" spans="1:13">
      <c r="A1118">
        <v>45750</v>
      </c>
      <c r="B1118" t="s">
        <v>1379</v>
      </c>
      <c r="F1118">
        <v>1</v>
      </c>
      <c r="G1118" t="s">
        <v>0</v>
      </c>
      <c r="L1118" t="s">
        <v>82</v>
      </c>
    </row>
    <row r="1119" spans="1:13">
      <c r="A1119">
        <v>45751</v>
      </c>
      <c r="B1119" t="s">
        <v>63</v>
      </c>
      <c r="D1119">
        <v>4000</v>
      </c>
      <c r="G1119" t="s">
        <v>70</v>
      </c>
      <c r="I1119" t="s">
        <v>60</v>
      </c>
      <c r="J1119" t="s">
        <v>61</v>
      </c>
      <c r="L1119" t="s">
        <v>1343</v>
      </c>
    </row>
    <row r="1120" spans="1:13">
      <c r="A1120">
        <v>45751</v>
      </c>
      <c r="B1120" t="s">
        <v>1380</v>
      </c>
      <c r="D1120">
        <v>500</v>
      </c>
      <c r="F1120">
        <v>1</v>
      </c>
      <c r="G1120" t="s">
        <v>22</v>
      </c>
      <c r="H1120" t="s">
        <v>21</v>
      </c>
      <c r="I1120" t="s">
        <v>60</v>
      </c>
      <c r="J1120" t="s">
        <v>61</v>
      </c>
      <c r="L1120" t="s">
        <v>86</v>
      </c>
    </row>
    <row r="1121" spans="1:13">
      <c r="A1121">
        <v>45751</v>
      </c>
      <c r="B1121" t="s">
        <v>81</v>
      </c>
      <c r="D1121">
        <v>116000</v>
      </c>
      <c r="F1121">
        <v>1</v>
      </c>
      <c r="G1121" t="s">
        <v>74</v>
      </c>
      <c r="H1121" t="s">
        <v>75</v>
      </c>
      <c r="I1121" t="s">
        <v>60</v>
      </c>
      <c r="J1121" t="s">
        <v>61</v>
      </c>
      <c r="L1121" t="s">
        <v>88</v>
      </c>
      <c r="M1121" t="s">
        <v>955</v>
      </c>
    </row>
    <row r="1122" spans="1:13">
      <c r="A1122">
        <v>45751</v>
      </c>
      <c r="B1122" t="s">
        <v>1381</v>
      </c>
      <c r="D1122">
        <v>500</v>
      </c>
      <c r="F1122">
        <v>1</v>
      </c>
      <c r="G1122" t="s">
        <v>22</v>
      </c>
      <c r="H1122" t="s">
        <v>21</v>
      </c>
      <c r="I1122" t="s">
        <v>60</v>
      </c>
      <c r="J1122" t="s">
        <v>61</v>
      </c>
      <c r="L1122" t="s">
        <v>86</v>
      </c>
    </row>
    <row r="1123" spans="1:13">
      <c r="A1123">
        <v>45751</v>
      </c>
      <c r="B1123" t="s">
        <v>1381</v>
      </c>
      <c r="F1123">
        <v>1</v>
      </c>
      <c r="G1123" t="s">
        <v>64</v>
      </c>
      <c r="L1123" t="s">
        <v>82</v>
      </c>
      <c r="M1123" t="s">
        <v>1099</v>
      </c>
    </row>
    <row r="1124" spans="1:13">
      <c r="A1124">
        <v>45751</v>
      </c>
      <c r="B1124" t="s">
        <v>1382</v>
      </c>
      <c r="D1124">
        <v>500</v>
      </c>
      <c r="F1124">
        <v>0</v>
      </c>
      <c r="G1124" t="s">
        <v>22</v>
      </c>
      <c r="H1124" t="s">
        <v>21</v>
      </c>
      <c r="I1124" t="s">
        <v>60</v>
      </c>
      <c r="J1124" t="s">
        <v>61</v>
      </c>
      <c r="L1124" t="s">
        <v>82</v>
      </c>
      <c r="M1124" t="s">
        <v>83</v>
      </c>
    </row>
    <row r="1125" spans="1:13">
      <c r="A1125">
        <v>45751</v>
      </c>
      <c r="B1125" t="s">
        <v>63</v>
      </c>
      <c r="D1125">
        <v>100</v>
      </c>
      <c r="F1125">
        <v>1</v>
      </c>
      <c r="G1125" t="s">
        <v>22</v>
      </c>
      <c r="H1125" t="s">
        <v>93</v>
      </c>
      <c r="I1125" t="s">
        <v>60</v>
      </c>
      <c r="J1125" t="s">
        <v>61</v>
      </c>
      <c r="L1125" t="s">
        <v>1343</v>
      </c>
    </row>
    <row r="1126" spans="1:13">
      <c r="A1126">
        <v>45751</v>
      </c>
      <c r="B1126" t="s">
        <v>1383</v>
      </c>
      <c r="F1126">
        <v>1</v>
      </c>
      <c r="G1126" t="s">
        <v>0</v>
      </c>
      <c r="L1126" t="s">
        <v>86</v>
      </c>
    </row>
    <row r="1127" spans="1:13">
      <c r="A1127">
        <v>45752</v>
      </c>
      <c r="B1127" t="s">
        <v>559</v>
      </c>
      <c r="E1127">
        <v>10000</v>
      </c>
      <c r="F1127">
        <v>1</v>
      </c>
      <c r="G1127" t="s">
        <v>65</v>
      </c>
      <c r="H1127" t="s">
        <v>560</v>
      </c>
      <c r="I1127" t="s">
        <v>60</v>
      </c>
      <c r="J1127" t="s">
        <v>61</v>
      </c>
      <c r="L1127" t="s">
        <v>62</v>
      </c>
    </row>
    <row r="1128" spans="1:13">
      <c r="A1128">
        <v>45752</v>
      </c>
      <c r="B1128" t="s">
        <v>561</v>
      </c>
      <c r="E1128">
        <v>9000</v>
      </c>
      <c r="F1128">
        <v>1</v>
      </c>
      <c r="G1128" t="s">
        <v>65</v>
      </c>
      <c r="H1128" t="s">
        <v>560</v>
      </c>
      <c r="I1128" t="s">
        <v>60</v>
      </c>
      <c r="J1128" t="s">
        <v>61</v>
      </c>
      <c r="L1128" t="s">
        <v>62</v>
      </c>
    </row>
    <row r="1129" spans="1:13">
      <c r="A1129">
        <v>45752</v>
      </c>
      <c r="B1129" t="s">
        <v>624</v>
      </c>
      <c r="D1129">
        <v>-20800</v>
      </c>
      <c r="G1129" t="s">
        <v>77</v>
      </c>
      <c r="I1129" t="s">
        <v>60</v>
      </c>
      <c r="J1129" t="s">
        <v>61</v>
      </c>
      <c r="L1129" t="s">
        <v>62</v>
      </c>
    </row>
    <row r="1130" spans="1:13">
      <c r="A1130">
        <v>45752</v>
      </c>
      <c r="B1130" t="s">
        <v>624</v>
      </c>
      <c r="E1130">
        <v>-1100</v>
      </c>
      <c r="G1130" t="s">
        <v>65</v>
      </c>
      <c r="H1130" t="s">
        <v>85</v>
      </c>
      <c r="I1130" t="s">
        <v>60</v>
      </c>
      <c r="J1130" t="s">
        <v>61</v>
      </c>
      <c r="L1130" t="s">
        <v>62</v>
      </c>
    </row>
    <row r="1131" spans="1:13">
      <c r="A1131">
        <v>45752</v>
      </c>
      <c r="B1131" t="s">
        <v>1384</v>
      </c>
      <c r="F1131">
        <v>-14</v>
      </c>
      <c r="G1131" t="s">
        <v>22</v>
      </c>
      <c r="H1131" t="s">
        <v>93</v>
      </c>
      <c r="L1131" t="s">
        <v>101</v>
      </c>
    </row>
    <row r="1132" spans="1:13">
      <c r="A1132">
        <v>45752</v>
      </c>
      <c r="B1132" t="s">
        <v>1385</v>
      </c>
      <c r="D1132">
        <v>500</v>
      </c>
      <c r="F1132">
        <v>1</v>
      </c>
      <c r="G1132" t="s">
        <v>22</v>
      </c>
      <c r="H1132" t="s">
        <v>21</v>
      </c>
      <c r="I1132" t="s">
        <v>60</v>
      </c>
      <c r="J1132" t="s">
        <v>61</v>
      </c>
      <c r="L1132" t="s">
        <v>82</v>
      </c>
    </row>
    <row r="1133" spans="1:13">
      <c r="A1133">
        <v>45752</v>
      </c>
      <c r="B1133" t="s">
        <v>1386</v>
      </c>
      <c r="D1133">
        <v>500</v>
      </c>
      <c r="F1133">
        <v>1</v>
      </c>
      <c r="G1133" t="s">
        <v>22</v>
      </c>
      <c r="H1133" t="s">
        <v>21</v>
      </c>
      <c r="I1133" t="s">
        <v>60</v>
      </c>
      <c r="J1133" t="s">
        <v>61</v>
      </c>
      <c r="L1133" t="s">
        <v>82</v>
      </c>
    </row>
    <row r="1134" spans="1:13">
      <c r="A1134">
        <v>45752</v>
      </c>
      <c r="B1134" t="s">
        <v>1387</v>
      </c>
      <c r="D1134">
        <v>500</v>
      </c>
      <c r="F1134">
        <v>1</v>
      </c>
      <c r="G1134" t="s">
        <v>22</v>
      </c>
      <c r="H1134" t="s">
        <v>21</v>
      </c>
      <c r="I1134" t="s">
        <v>60</v>
      </c>
      <c r="J1134" t="s">
        <v>61</v>
      </c>
      <c r="L1134" t="s">
        <v>82</v>
      </c>
    </row>
    <row r="1135" spans="1:13">
      <c r="A1135">
        <v>45752</v>
      </c>
      <c r="B1135" t="s">
        <v>76</v>
      </c>
      <c r="D1135">
        <v>2000</v>
      </c>
      <c r="G1135" t="s">
        <v>77</v>
      </c>
      <c r="I1135" t="s">
        <v>60</v>
      </c>
      <c r="J1135" t="s">
        <v>61</v>
      </c>
      <c r="L1135" t="s">
        <v>82</v>
      </c>
    </row>
    <row r="1136" spans="1:13">
      <c r="A1136">
        <v>45752</v>
      </c>
      <c r="B1136" t="s">
        <v>1388</v>
      </c>
      <c r="D1136">
        <v>500</v>
      </c>
      <c r="F1136">
        <v>1</v>
      </c>
      <c r="G1136" t="s">
        <v>22</v>
      </c>
      <c r="H1136" t="s">
        <v>21</v>
      </c>
      <c r="I1136" t="s">
        <v>60</v>
      </c>
      <c r="J1136" t="s">
        <v>61</v>
      </c>
      <c r="L1136" t="s">
        <v>82</v>
      </c>
    </row>
    <row r="1137" spans="1:13">
      <c r="A1137">
        <v>45752</v>
      </c>
      <c r="B1137" t="s">
        <v>1389</v>
      </c>
      <c r="F1137">
        <v>1</v>
      </c>
      <c r="G1137" t="s">
        <v>64</v>
      </c>
      <c r="L1137" t="s">
        <v>82</v>
      </c>
      <c r="M1137" t="s">
        <v>1345</v>
      </c>
    </row>
    <row r="1138" spans="1:13">
      <c r="A1138">
        <v>45752</v>
      </c>
      <c r="B1138" t="s">
        <v>63</v>
      </c>
      <c r="D1138">
        <v>12500</v>
      </c>
      <c r="F1138">
        <v>2</v>
      </c>
      <c r="G1138" t="s">
        <v>70</v>
      </c>
      <c r="I1138" t="s">
        <v>71</v>
      </c>
      <c r="J1138" t="s">
        <v>535</v>
      </c>
      <c r="K1138" t="s">
        <v>1390</v>
      </c>
      <c r="L1138" t="s">
        <v>1343</v>
      </c>
      <c r="M1138" t="s">
        <v>90</v>
      </c>
    </row>
    <row r="1139" spans="1:13">
      <c r="A1139">
        <v>45752</v>
      </c>
      <c r="B1139" t="s">
        <v>1391</v>
      </c>
      <c r="D1139">
        <v>500</v>
      </c>
      <c r="F1139">
        <v>1</v>
      </c>
      <c r="G1139" t="s">
        <v>22</v>
      </c>
      <c r="H1139" t="s">
        <v>21</v>
      </c>
      <c r="I1139" t="s">
        <v>60</v>
      </c>
      <c r="J1139" t="s">
        <v>61</v>
      </c>
      <c r="L1139" t="s">
        <v>82</v>
      </c>
    </row>
    <row r="1140" spans="1:13">
      <c r="A1140">
        <v>45752</v>
      </c>
      <c r="B1140" t="s">
        <v>1392</v>
      </c>
      <c r="D1140">
        <v>500</v>
      </c>
      <c r="F1140">
        <v>1</v>
      </c>
      <c r="G1140" t="s">
        <v>22</v>
      </c>
      <c r="H1140" t="s">
        <v>21</v>
      </c>
      <c r="I1140" t="s">
        <v>60</v>
      </c>
      <c r="J1140" t="s">
        <v>61</v>
      </c>
      <c r="L1140" t="s">
        <v>82</v>
      </c>
    </row>
    <row r="1141" spans="1:13">
      <c r="A1141">
        <v>45752</v>
      </c>
      <c r="B1141" t="s">
        <v>606</v>
      </c>
      <c r="E1141">
        <v>20000</v>
      </c>
      <c r="F1141">
        <v>1</v>
      </c>
      <c r="G1141" t="s">
        <v>65</v>
      </c>
      <c r="H1141" t="s">
        <v>348</v>
      </c>
      <c r="I1141" t="s">
        <v>60</v>
      </c>
      <c r="J1141" t="s">
        <v>61</v>
      </c>
      <c r="L1141" t="s">
        <v>1343</v>
      </c>
      <c r="M1141" t="s">
        <v>903</v>
      </c>
    </row>
    <row r="1142" spans="1:13">
      <c r="A1142">
        <v>45752</v>
      </c>
      <c r="B1142" t="s">
        <v>604</v>
      </c>
      <c r="E1142">
        <v>20000</v>
      </c>
      <c r="F1142">
        <v>1</v>
      </c>
      <c r="G1142" t="s">
        <v>65</v>
      </c>
      <c r="H1142" t="s">
        <v>348</v>
      </c>
      <c r="I1142" t="s">
        <v>60</v>
      </c>
      <c r="J1142" t="s">
        <v>61</v>
      </c>
      <c r="L1142" t="s">
        <v>1343</v>
      </c>
      <c r="M1142" t="s">
        <v>903</v>
      </c>
    </row>
    <row r="1143" spans="1:13">
      <c r="A1143">
        <v>45752</v>
      </c>
      <c r="B1143" t="s">
        <v>248</v>
      </c>
      <c r="E1143">
        <v>20000</v>
      </c>
      <c r="F1143">
        <v>1</v>
      </c>
      <c r="G1143" t="s">
        <v>65</v>
      </c>
      <c r="H1143" t="s">
        <v>348</v>
      </c>
      <c r="I1143" t="s">
        <v>60</v>
      </c>
      <c r="J1143" t="s">
        <v>61</v>
      </c>
      <c r="L1143" t="s">
        <v>1343</v>
      </c>
      <c r="M1143" t="s">
        <v>903</v>
      </c>
    </row>
    <row r="1144" spans="1:13">
      <c r="A1144">
        <v>45752</v>
      </c>
      <c r="B1144" t="s">
        <v>63</v>
      </c>
      <c r="D1144">
        <v>100</v>
      </c>
      <c r="F1144">
        <v>1</v>
      </c>
      <c r="G1144" t="s">
        <v>22</v>
      </c>
      <c r="H1144" t="s">
        <v>93</v>
      </c>
      <c r="I1144" t="s">
        <v>60</v>
      </c>
      <c r="J1144" t="s">
        <v>61</v>
      </c>
      <c r="L1144" t="s">
        <v>1343</v>
      </c>
    </row>
    <row r="1145" spans="1:13">
      <c r="A1145">
        <v>45752</v>
      </c>
      <c r="B1145" t="s">
        <v>63</v>
      </c>
      <c r="D1145">
        <v>14000</v>
      </c>
      <c r="G1145" t="s">
        <v>70</v>
      </c>
      <c r="I1145" t="s">
        <v>60</v>
      </c>
      <c r="J1145" t="s">
        <v>61</v>
      </c>
      <c r="L1145" t="s">
        <v>1343</v>
      </c>
    </row>
    <row r="1146" spans="1:13">
      <c r="A1146">
        <v>45752</v>
      </c>
      <c r="B1146" t="s">
        <v>1393</v>
      </c>
      <c r="F1146">
        <v>1</v>
      </c>
      <c r="G1146" t="s">
        <v>64</v>
      </c>
      <c r="L1146" t="s">
        <v>82</v>
      </c>
      <c r="M1146" t="s">
        <v>1394</v>
      </c>
    </row>
    <row r="1147" spans="1:13">
      <c r="A1147">
        <v>45752</v>
      </c>
      <c r="B1147" t="s">
        <v>1395</v>
      </c>
      <c r="D1147">
        <v>500</v>
      </c>
      <c r="F1147">
        <v>1</v>
      </c>
      <c r="G1147" t="s">
        <v>22</v>
      </c>
      <c r="H1147" t="s">
        <v>21</v>
      </c>
      <c r="I1147" t="s">
        <v>60</v>
      </c>
      <c r="J1147" t="s">
        <v>61</v>
      </c>
      <c r="L1147" t="s">
        <v>82</v>
      </c>
    </row>
    <row r="1148" spans="1:13">
      <c r="A1148">
        <v>45752</v>
      </c>
      <c r="B1148" t="s">
        <v>1396</v>
      </c>
      <c r="D1148">
        <v>500</v>
      </c>
      <c r="F1148">
        <v>1</v>
      </c>
      <c r="G1148" t="s">
        <v>22</v>
      </c>
      <c r="H1148" t="s">
        <v>21</v>
      </c>
      <c r="I1148" t="s">
        <v>60</v>
      </c>
      <c r="J1148" t="s">
        <v>61</v>
      </c>
      <c r="L1148" t="s">
        <v>82</v>
      </c>
    </row>
    <row r="1149" spans="1:13">
      <c r="A1149">
        <v>45753</v>
      </c>
      <c r="B1149" t="s">
        <v>1397</v>
      </c>
      <c r="D1149">
        <v>500</v>
      </c>
      <c r="F1149">
        <v>1</v>
      </c>
      <c r="G1149" t="s">
        <v>22</v>
      </c>
      <c r="H1149" t="s">
        <v>21</v>
      </c>
      <c r="I1149" t="s">
        <v>60</v>
      </c>
      <c r="J1149" t="s">
        <v>61</v>
      </c>
      <c r="L1149" t="s">
        <v>86</v>
      </c>
    </row>
    <row r="1150" spans="1:13">
      <c r="A1150">
        <v>45753</v>
      </c>
      <c r="B1150" t="s">
        <v>1398</v>
      </c>
      <c r="F1150">
        <v>1</v>
      </c>
      <c r="G1150" t="s">
        <v>64</v>
      </c>
      <c r="L1150" t="s">
        <v>86</v>
      </c>
      <c r="M1150" t="s">
        <v>96</v>
      </c>
    </row>
    <row r="1151" spans="1:13">
      <c r="A1151">
        <v>45753</v>
      </c>
      <c r="B1151" t="s">
        <v>1399</v>
      </c>
      <c r="D1151">
        <v>500</v>
      </c>
      <c r="F1151">
        <v>0</v>
      </c>
      <c r="G1151" t="s">
        <v>22</v>
      </c>
      <c r="H1151" t="s">
        <v>21</v>
      </c>
      <c r="I1151" t="s">
        <v>60</v>
      </c>
      <c r="J1151" t="s">
        <v>61</v>
      </c>
      <c r="L1151" t="s">
        <v>86</v>
      </c>
      <c r="M1151" t="s">
        <v>83</v>
      </c>
    </row>
    <row r="1152" spans="1:13">
      <c r="A1152">
        <v>45753</v>
      </c>
      <c r="B1152" t="s">
        <v>1400</v>
      </c>
      <c r="F1152">
        <v>1</v>
      </c>
      <c r="G1152" t="s">
        <v>64</v>
      </c>
      <c r="L1152" t="s">
        <v>86</v>
      </c>
      <c r="M1152" t="s">
        <v>96</v>
      </c>
    </row>
    <row r="1153" spans="1:13">
      <c r="A1153">
        <v>45753</v>
      </c>
      <c r="B1153" t="s">
        <v>63</v>
      </c>
      <c r="D1153">
        <v>47000</v>
      </c>
      <c r="G1153" t="s">
        <v>70</v>
      </c>
      <c r="I1153" t="s">
        <v>60</v>
      </c>
      <c r="J1153" t="s">
        <v>61</v>
      </c>
      <c r="L1153" t="s">
        <v>86</v>
      </c>
    </row>
    <row r="1154" spans="1:13">
      <c r="A1154">
        <v>45753</v>
      </c>
      <c r="B1154" t="s">
        <v>1401</v>
      </c>
      <c r="F1154">
        <v>1</v>
      </c>
      <c r="G1154" t="s">
        <v>64</v>
      </c>
      <c r="L1154" t="s">
        <v>86</v>
      </c>
      <c r="M1154" t="s">
        <v>96</v>
      </c>
    </row>
    <row r="1155" spans="1:13">
      <c r="A1155">
        <v>45753</v>
      </c>
      <c r="B1155" t="s">
        <v>1402</v>
      </c>
      <c r="D1155">
        <v>500</v>
      </c>
      <c r="F1155">
        <v>1</v>
      </c>
      <c r="G1155" t="s">
        <v>22</v>
      </c>
      <c r="H1155" t="s">
        <v>21</v>
      </c>
      <c r="I1155" t="s">
        <v>60</v>
      </c>
      <c r="J1155" t="s">
        <v>61</v>
      </c>
      <c r="L1155" t="s">
        <v>86</v>
      </c>
    </row>
    <row r="1156" spans="1:13">
      <c r="A1156">
        <v>45753</v>
      </c>
      <c r="B1156" t="s">
        <v>1403</v>
      </c>
      <c r="F1156">
        <v>1</v>
      </c>
      <c r="G1156" t="s">
        <v>590</v>
      </c>
      <c r="H1156" t="s">
        <v>21</v>
      </c>
      <c r="L1156" t="s">
        <v>86</v>
      </c>
    </row>
    <row r="1157" spans="1:13">
      <c r="A1157">
        <v>45753</v>
      </c>
      <c r="B1157" t="s">
        <v>1404</v>
      </c>
      <c r="F1157">
        <v>1</v>
      </c>
      <c r="G1157" t="s">
        <v>64</v>
      </c>
      <c r="L1157" t="s">
        <v>86</v>
      </c>
      <c r="M1157" t="s">
        <v>96</v>
      </c>
    </row>
    <row r="1158" spans="1:13">
      <c r="A1158">
        <v>45753</v>
      </c>
      <c r="B1158" t="s">
        <v>1405</v>
      </c>
      <c r="D1158">
        <v>500</v>
      </c>
      <c r="F1158">
        <v>1</v>
      </c>
      <c r="G1158" t="s">
        <v>22</v>
      </c>
      <c r="H1158" t="s">
        <v>21</v>
      </c>
      <c r="I1158" t="s">
        <v>60</v>
      </c>
      <c r="J1158" t="s">
        <v>61</v>
      </c>
      <c r="L1158" t="s">
        <v>86</v>
      </c>
    </row>
    <row r="1159" spans="1:13">
      <c r="A1159">
        <v>45753</v>
      </c>
      <c r="B1159" t="s">
        <v>1406</v>
      </c>
      <c r="F1159">
        <v>1</v>
      </c>
      <c r="G1159" t="s">
        <v>64</v>
      </c>
      <c r="L1159" t="s">
        <v>86</v>
      </c>
      <c r="M1159" t="s">
        <v>96</v>
      </c>
    </row>
    <row r="1160" spans="1:13">
      <c r="A1160">
        <v>45753</v>
      </c>
      <c r="B1160" t="s">
        <v>1407</v>
      </c>
      <c r="F1160">
        <v>1</v>
      </c>
      <c r="G1160" t="s">
        <v>79</v>
      </c>
      <c r="H1160" t="s">
        <v>21</v>
      </c>
      <c r="L1160" t="s">
        <v>86</v>
      </c>
    </row>
    <row r="1161" spans="1:13">
      <c r="A1161">
        <v>45753</v>
      </c>
      <c r="B1161" t="s">
        <v>1408</v>
      </c>
      <c r="D1161">
        <v>500</v>
      </c>
      <c r="F1161">
        <v>0</v>
      </c>
      <c r="G1161" t="s">
        <v>22</v>
      </c>
      <c r="H1161" t="s">
        <v>21</v>
      </c>
      <c r="I1161" t="s">
        <v>60</v>
      </c>
      <c r="J1161" t="s">
        <v>61</v>
      </c>
      <c r="L1161" t="s">
        <v>86</v>
      </c>
      <c r="M1161" t="s">
        <v>83</v>
      </c>
    </row>
    <row r="1162" spans="1:13">
      <c r="A1162">
        <v>45753</v>
      </c>
      <c r="B1162" t="s">
        <v>1409</v>
      </c>
      <c r="D1162">
        <v>500</v>
      </c>
      <c r="F1162">
        <v>1</v>
      </c>
      <c r="G1162" t="s">
        <v>22</v>
      </c>
      <c r="H1162" t="s">
        <v>21</v>
      </c>
      <c r="I1162" t="s">
        <v>60</v>
      </c>
      <c r="J1162" t="s">
        <v>61</v>
      </c>
      <c r="L1162" t="s">
        <v>86</v>
      </c>
    </row>
    <row r="1163" spans="1:13">
      <c r="A1163">
        <v>45754</v>
      </c>
      <c r="B1163" t="s">
        <v>238</v>
      </c>
      <c r="C1163" t="s">
        <v>1195</v>
      </c>
      <c r="F1163">
        <v>20</v>
      </c>
      <c r="G1163" t="s">
        <v>22</v>
      </c>
      <c r="H1163" t="s">
        <v>21</v>
      </c>
      <c r="L1163" t="s">
        <v>95</v>
      </c>
    </row>
    <row r="1164" spans="1:13">
      <c r="A1164">
        <v>45754</v>
      </c>
      <c r="B1164" t="s">
        <v>63</v>
      </c>
      <c r="D1164">
        <v>58500</v>
      </c>
      <c r="G1164" t="s">
        <v>70</v>
      </c>
      <c r="I1164" t="s">
        <v>60</v>
      </c>
      <c r="J1164" t="s">
        <v>61</v>
      </c>
      <c r="L1164" t="s">
        <v>1343</v>
      </c>
    </row>
    <row r="1165" spans="1:13">
      <c r="A1165">
        <v>45754</v>
      </c>
      <c r="B1165" t="s">
        <v>81</v>
      </c>
      <c r="D1165">
        <v>301000</v>
      </c>
      <c r="F1165">
        <v>1</v>
      </c>
      <c r="G1165" t="s">
        <v>74</v>
      </c>
      <c r="H1165" t="s">
        <v>75</v>
      </c>
      <c r="I1165" t="s">
        <v>60</v>
      </c>
      <c r="J1165" t="s">
        <v>61</v>
      </c>
      <c r="L1165" t="s">
        <v>88</v>
      </c>
      <c r="M1165" t="s">
        <v>955</v>
      </c>
    </row>
    <row r="1166" spans="1:13">
      <c r="A1166">
        <v>45754</v>
      </c>
      <c r="B1166" t="s">
        <v>1410</v>
      </c>
      <c r="D1166">
        <v>500</v>
      </c>
      <c r="F1166">
        <v>1</v>
      </c>
      <c r="G1166" t="s">
        <v>22</v>
      </c>
      <c r="H1166" t="s">
        <v>21</v>
      </c>
      <c r="I1166" t="s">
        <v>60</v>
      </c>
      <c r="J1166" t="s">
        <v>61</v>
      </c>
      <c r="L1166" t="s">
        <v>89</v>
      </c>
    </row>
    <row r="1167" spans="1:13">
      <c r="A1167">
        <v>45754</v>
      </c>
      <c r="B1167" t="s">
        <v>76</v>
      </c>
      <c r="D1167">
        <v>38500</v>
      </c>
      <c r="G1167" t="s">
        <v>77</v>
      </c>
      <c r="I1167" t="s">
        <v>60</v>
      </c>
      <c r="J1167" t="s">
        <v>61</v>
      </c>
      <c r="L1167" t="s">
        <v>1343</v>
      </c>
    </row>
    <row r="1168" spans="1:13">
      <c r="A1168">
        <v>45754</v>
      </c>
      <c r="B1168" t="s">
        <v>63</v>
      </c>
      <c r="D1168">
        <v>6000</v>
      </c>
      <c r="F1168">
        <v>1</v>
      </c>
      <c r="G1168" t="s">
        <v>70</v>
      </c>
      <c r="I1168" t="s">
        <v>71</v>
      </c>
      <c r="J1168" t="s">
        <v>535</v>
      </c>
      <c r="K1168" t="s">
        <v>1411</v>
      </c>
      <c r="L1168" t="s">
        <v>1343</v>
      </c>
      <c r="M1168" t="s">
        <v>90</v>
      </c>
    </row>
    <row r="1169" spans="1:13">
      <c r="A1169">
        <v>45754</v>
      </c>
      <c r="B1169" t="s">
        <v>63</v>
      </c>
      <c r="D1169">
        <v>500</v>
      </c>
      <c r="F1169">
        <v>5</v>
      </c>
      <c r="G1169" t="s">
        <v>22</v>
      </c>
      <c r="H1169" t="s">
        <v>93</v>
      </c>
      <c r="I1169" t="s">
        <v>60</v>
      </c>
      <c r="J1169" t="s">
        <v>61</v>
      </c>
      <c r="L1169" t="s">
        <v>1343</v>
      </c>
    </row>
    <row r="1170" spans="1:13">
      <c r="A1170">
        <v>45754</v>
      </c>
      <c r="B1170" t="s">
        <v>1412</v>
      </c>
      <c r="D1170">
        <v>500</v>
      </c>
      <c r="F1170">
        <v>1</v>
      </c>
      <c r="G1170" t="s">
        <v>22</v>
      </c>
      <c r="H1170" t="s">
        <v>21</v>
      </c>
      <c r="I1170" t="s">
        <v>60</v>
      </c>
      <c r="J1170" t="s">
        <v>61</v>
      </c>
      <c r="L1170" t="s">
        <v>82</v>
      </c>
    </row>
    <row r="1171" spans="1:13">
      <c r="A1171">
        <v>45754</v>
      </c>
      <c r="B1171" t="s">
        <v>1413</v>
      </c>
      <c r="D1171">
        <v>500</v>
      </c>
      <c r="F1171">
        <v>1</v>
      </c>
      <c r="G1171" t="s">
        <v>22</v>
      </c>
      <c r="H1171" t="s">
        <v>21</v>
      </c>
      <c r="I1171" t="s">
        <v>60</v>
      </c>
      <c r="J1171" t="s">
        <v>61</v>
      </c>
      <c r="L1171" t="s">
        <v>82</v>
      </c>
    </row>
    <row r="1172" spans="1:13">
      <c r="A1172">
        <v>45754</v>
      </c>
      <c r="B1172" t="s">
        <v>1414</v>
      </c>
      <c r="D1172">
        <v>500</v>
      </c>
      <c r="F1172">
        <v>1</v>
      </c>
      <c r="G1172" t="s">
        <v>22</v>
      </c>
      <c r="H1172" t="s">
        <v>21</v>
      </c>
      <c r="I1172" t="s">
        <v>60</v>
      </c>
      <c r="J1172" t="s">
        <v>61</v>
      </c>
      <c r="L1172" t="s">
        <v>82</v>
      </c>
    </row>
    <row r="1173" spans="1:13">
      <c r="A1173">
        <v>45754</v>
      </c>
      <c r="B1173" t="s">
        <v>1415</v>
      </c>
      <c r="D1173">
        <v>500</v>
      </c>
      <c r="F1173">
        <v>1</v>
      </c>
      <c r="G1173" t="s">
        <v>22</v>
      </c>
      <c r="H1173" t="s">
        <v>21</v>
      </c>
      <c r="I1173" t="s">
        <v>60</v>
      </c>
      <c r="J1173" t="s">
        <v>61</v>
      </c>
      <c r="L1173" t="s">
        <v>82</v>
      </c>
    </row>
    <row r="1174" spans="1:13">
      <c r="A1174">
        <v>45754</v>
      </c>
      <c r="B1174" t="s">
        <v>1416</v>
      </c>
      <c r="D1174">
        <v>500</v>
      </c>
      <c r="F1174">
        <v>1</v>
      </c>
      <c r="G1174" t="s">
        <v>22</v>
      </c>
      <c r="H1174" t="s">
        <v>21</v>
      </c>
      <c r="I1174" t="s">
        <v>60</v>
      </c>
      <c r="J1174" t="s">
        <v>61</v>
      </c>
      <c r="L1174" t="s">
        <v>82</v>
      </c>
    </row>
    <row r="1175" spans="1:13">
      <c r="A1175">
        <v>45754</v>
      </c>
      <c r="B1175" t="s">
        <v>233</v>
      </c>
      <c r="E1175">
        <v>200000</v>
      </c>
      <c r="F1175">
        <v>1</v>
      </c>
      <c r="G1175" t="s">
        <v>65</v>
      </c>
      <c r="H1175" t="s">
        <v>348</v>
      </c>
      <c r="I1175" t="s">
        <v>60</v>
      </c>
      <c r="J1175" t="s">
        <v>61</v>
      </c>
      <c r="L1175" t="s">
        <v>0</v>
      </c>
      <c r="M1175" t="s">
        <v>1417</v>
      </c>
    </row>
    <row r="1176" spans="1:13">
      <c r="A1176">
        <v>45754</v>
      </c>
      <c r="B1176" t="s">
        <v>643</v>
      </c>
      <c r="E1176">
        <v>28000</v>
      </c>
      <c r="F1176">
        <v>1</v>
      </c>
      <c r="G1176" t="s">
        <v>65</v>
      </c>
      <c r="H1176" t="s">
        <v>348</v>
      </c>
      <c r="I1176" t="s">
        <v>60</v>
      </c>
      <c r="J1176" t="s">
        <v>61</v>
      </c>
      <c r="L1176" t="s">
        <v>0</v>
      </c>
      <c r="M1176" t="s">
        <v>1418</v>
      </c>
    </row>
    <row r="1177" spans="1:13">
      <c r="A1177">
        <v>45754</v>
      </c>
      <c r="B1177" t="s">
        <v>1419</v>
      </c>
      <c r="E1177">
        <v>90000</v>
      </c>
      <c r="F1177">
        <v>1</v>
      </c>
      <c r="G1177" t="s">
        <v>65</v>
      </c>
      <c r="H1177" t="s">
        <v>348</v>
      </c>
      <c r="I1177" t="s">
        <v>60</v>
      </c>
      <c r="J1177" t="s">
        <v>61</v>
      </c>
      <c r="L1177" t="s">
        <v>0</v>
      </c>
      <c r="M1177" t="s">
        <v>1418</v>
      </c>
    </row>
    <row r="1178" spans="1:13">
      <c r="A1178">
        <v>45755</v>
      </c>
      <c r="B1178" t="s">
        <v>105</v>
      </c>
      <c r="E1178">
        <v>577650</v>
      </c>
      <c r="F1178">
        <v>1</v>
      </c>
      <c r="G1178" t="s">
        <v>74</v>
      </c>
      <c r="H1178" t="s">
        <v>75</v>
      </c>
      <c r="I1178" t="s">
        <v>60</v>
      </c>
      <c r="J1178" t="s">
        <v>61</v>
      </c>
      <c r="L1178" t="s">
        <v>104</v>
      </c>
    </row>
    <row r="1179" spans="1:13">
      <c r="A1179">
        <v>45755</v>
      </c>
      <c r="B1179" t="s">
        <v>1420</v>
      </c>
      <c r="F1179">
        <v>1</v>
      </c>
      <c r="G1179" t="s">
        <v>64</v>
      </c>
      <c r="L1179" t="s">
        <v>89</v>
      </c>
      <c r="M1179" t="s">
        <v>1356</v>
      </c>
    </row>
    <row r="1180" spans="1:13">
      <c r="A1180">
        <v>45755</v>
      </c>
      <c r="B1180" t="s">
        <v>1421</v>
      </c>
      <c r="F1180">
        <v>1</v>
      </c>
      <c r="G1180" t="s">
        <v>79</v>
      </c>
      <c r="H1180" t="s">
        <v>21</v>
      </c>
      <c r="L1180" t="s">
        <v>89</v>
      </c>
    </row>
    <row r="1181" spans="1:13">
      <c r="A1181">
        <v>45755</v>
      </c>
      <c r="B1181" t="s">
        <v>1421</v>
      </c>
      <c r="D1181">
        <v>0</v>
      </c>
      <c r="F1181">
        <v>0</v>
      </c>
      <c r="G1181" t="s">
        <v>22</v>
      </c>
      <c r="H1181" t="s">
        <v>21</v>
      </c>
      <c r="I1181" t="s">
        <v>60</v>
      </c>
      <c r="J1181" t="s">
        <v>61</v>
      </c>
      <c r="L1181" t="s">
        <v>89</v>
      </c>
      <c r="M1181" t="s">
        <v>83</v>
      </c>
    </row>
    <row r="1182" spans="1:13">
      <c r="A1182">
        <v>45755</v>
      </c>
      <c r="B1182" t="s">
        <v>63</v>
      </c>
      <c r="D1182">
        <v>7500</v>
      </c>
      <c r="G1182" t="s">
        <v>70</v>
      </c>
      <c r="I1182" t="s">
        <v>60</v>
      </c>
      <c r="J1182" t="s">
        <v>61</v>
      </c>
      <c r="L1182" t="s">
        <v>1343</v>
      </c>
    </row>
    <row r="1183" spans="1:13">
      <c r="A1183">
        <v>45755</v>
      </c>
      <c r="B1183" t="s">
        <v>81</v>
      </c>
      <c r="D1183">
        <v>214000</v>
      </c>
      <c r="F1183">
        <v>1</v>
      </c>
      <c r="G1183" t="s">
        <v>74</v>
      </c>
      <c r="H1183" t="s">
        <v>75</v>
      </c>
      <c r="I1183" t="s">
        <v>60</v>
      </c>
      <c r="J1183" t="s">
        <v>61</v>
      </c>
      <c r="L1183" t="s">
        <v>88</v>
      </c>
      <c r="M1183" t="s">
        <v>955</v>
      </c>
    </row>
    <row r="1184" spans="1:13">
      <c r="A1184">
        <v>45755</v>
      </c>
      <c r="B1184" t="s">
        <v>76</v>
      </c>
      <c r="D1184">
        <v>4500</v>
      </c>
      <c r="F1184">
        <v>1</v>
      </c>
      <c r="G1184" t="s">
        <v>77</v>
      </c>
      <c r="I1184" t="s">
        <v>60</v>
      </c>
      <c r="J1184" t="s">
        <v>61</v>
      </c>
      <c r="L1184" t="s">
        <v>1343</v>
      </c>
    </row>
    <row r="1185" spans="1:13">
      <c r="A1185">
        <v>45755</v>
      </c>
      <c r="B1185" t="s">
        <v>1422</v>
      </c>
      <c r="D1185">
        <v>500</v>
      </c>
      <c r="F1185">
        <v>1</v>
      </c>
      <c r="G1185" t="s">
        <v>22</v>
      </c>
      <c r="H1185" t="s">
        <v>21</v>
      </c>
      <c r="I1185" t="s">
        <v>60</v>
      </c>
      <c r="J1185" t="s">
        <v>61</v>
      </c>
      <c r="L1185" t="s">
        <v>82</v>
      </c>
    </row>
    <row r="1186" spans="1:13">
      <c r="A1186">
        <v>45755</v>
      </c>
      <c r="B1186" t="s">
        <v>1423</v>
      </c>
      <c r="D1186">
        <v>500</v>
      </c>
      <c r="F1186">
        <v>1</v>
      </c>
      <c r="G1186" t="s">
        <v>22</v>
      </c>
      <c r="H1186" t="s">
        <v>21</v>
      </c>
      <c r="I1186" t="s">
        <v>60</v>
      </c>
      <c r="J1186" t="s">
        <v>61</v>
      </c>
      <c r="L1186" t="s">
        <v>82</v>
      </c>
    </row>
    <row r="1187" spans="1:13">
      <c r="A1187">
        <v>45755</v>
      </c>
      <c r="B1187" t="s">
        <v>1423</v>
      </c>
      <c r="F1187">
        <v>1</v>
      </c>
      <c r="G1187" t="s">
        <v>64</v>
      </c>
      <c r="L1187" t="s">
        <v>82</v>
      </c>
    </row>
    <row r="1188" spans="1:13">
      <c r="A1188">
        <v>45756</v>
      </c>
      <c r="B1188" t="s">
        <v>1424</v>
      </c>
      <c r="E1188">
        <v>919901</v>
      </c>
      <c r="F1188">
        <v>1</v>
      </c>
      <c r="G1188" t="s">
        <v>74</v>
      </c>
      <c r="H1188" t="s">
        <v>75</v>
      </c>
      <c r="I1188" t="s">
        <v>60</v>
      </c>
      <c r="J1188" t="s">
        <v>61</v>
      </c>
      <c r="L1188" t="s">
        <v>768</v>
      </c>
      <c r="M1188" t="s">
        <v>1425</v>
      </c>
    </row>
    <row r="1189" spans="1:13">
      <c r="A1189">
        <v>45756</v>
      </c>
      <c r="B1189" t="s">
        <v>81</v>
      </c>
      <c r="D1189">
        <v>108000</v>
      </c>
      <c r="F1189">
        <v>1</v>
      </c>
      <c r="G1189" t="s">
        <v>74</v>
      </c>
      <c r="H1189" t="s">
        <v>75</v>
      </c>
      <c r="I1189" t="s">
        <v>60</v>
      </c>
      <c r="J1189" t="s">
        <v>61</v>
      </c>
      <c r="L1189" t="s">
        <v>88</v>
      </c>
      <c r="M1189" t="s">
        <v>955</v>
      </c>
    </row>
    <row r="1190" spans="1:13">
      <c r="A1190">
        <v>45756</v>
      </c>
      <c r="B1190" t="s">
        <v>63</v>
      </c>
      <c r="D1190">
        <v>7500</v>
      </c>
      <c r="G1190" t="s">
        <v>70</v>
      </c>
      <c r="I1190" t="s">
        <v>60</v>
      </c>
      <c r="J1190" t="s">
        <v>61</v>
      </c>
      <c r="L1190" t="s">
        <v>1343</v>
      </c>
    </row>
    <row r="1191" spans="1:13">
      <c r="A1191">
        <v>45756</v>
      </c>
      <c r="B1191" t="s">
        <v>1426</v>
      </c>
      <c r="D1191">
        <v>500</v>
      </c>
      <c r="F1191">
        <v>1</v>
      </c>
      <c r="G1191" t="s">
        <v>22</v>
      </c>
      <c r="H1191" t="s">
        <v>21</v>
      </c>
      <c r="I1191" t="s">
        <v>60</v>
      </c>
      <c r="J1191" t="s">
        <v>61</v>
      </c>
      <c r="L1191" t="s">
        <v>86</v>
      </c>
    </row>
    <row r="1192" spans="1:13">
      <c r="A1192">
        <v>45756</v>
      </c>
      <c r="B1192" t="s">
        <v>1427</v>
      </c>
      <c r="D1192">
        <v>500</v>
      </c>
      <c r="F1192">
        <v>1</v>
      </c>
      <c r="G1192" t="s">
        <v>22</v>
      </c>
      <c r="H1192" t="s">
        <v>21</v>
      </c>
      <c r="I1192" t="s">
        <v>60</v>
      </c>
      <c r="J1192" t="s">
        <v>61</v>
      </c>
      <c r="L1192" t="s">
        <v>86</v>
      </c>
    </row>
    <row r="1193" spans="1:13">
      <c r="A1193">
        <v>45756</v>
      </c>
      <c r="B1193" t="s">
        <v>248</v>
      </c>
      <c r="E1193">
        <v>216784.65</v>
      </c>
      <c r="F1193">
        <v>1</v>
      </c>
      <c r="G1193" t="s">
        <v>65</v>
      </c>
      <c r="H1193" t="s">
        <v>348</v>
      </c>
      <c r="I1193" t="s">
        <v>60</v>
      </c>
      <c r="J1193" t="s">
        <v>61</v>
      </c>
      <c r="L1193" t="s">
        <v>86</v>
      </c>
    </row>
    <row r="1194" spans="1:13">
      <c r="A1194">
        <v>45756</v>
      </c>
      <c r="B1194" t="s">
        <v>1428</v>
      </c>
      <c r="D1194">
        <v>500</v>
      </c>
      <c r="F1194">
        <v>1</v>
      </c>
      <c r="G1194" t="s">
        <v>22</v>
      </c>
      <c r="H1194" t="s">
        <v>21</v>
      </c>
      <c r="I1194" t="s">
        <v>60</v>
      </c>
      <c r="J1194" t="s">
        <v>61</v>
      </c>
      <c r="L1194" t="s">
        <v>82</v>
      </c>
    </row>
    <row r="1195" spans="1:13">
      <c r="A1195">
        <v>45756</v>
      </c>
      <c r="B1195" t="s">
        <v>1429</v>
      </c>
      <c r="D1195">
        <v>500</v>
      </c>
      <c r="F1195">
        <v>1</v>
      </c>
      <c r="G1195" t="s">
        <v>22</v>
      </c>
      <c r="H1195" t="s">
        <v>21</v>
      </c>
      <c r="I1195" t="s">
        <v>60</v>
      </c>
      <c r="J1195" t="s">
        <v>61</v>
      </c>
      <c r="L1195" t="s">
        <v>82</v>
      </c>
    </row>
    <row r="1196" spans="1:13">
      <c r="A1196">
        <v>45756</v>
      </c>
      <c r="B1196" t="s">
        <v>1430</v>
      </c>
      <c r="D1196">
        <v>500</v>
      </c>
      <c r="F1196">
        <v>1</v>
      </c>
      <c r="G1196" t="s">
        <v>22</v>
      </c>
      <c r="H1196" t="s">
        <v>21</v>
      </c>
      <c r="I1196" t="s">
        <v>60</v>
      </c>
      <c r="J1196" t="s">
        <v>61</v>
      </c>
      <c r="L1196" t="s">
        <v>82</v>
      </c>
    </row>
    <row r="1197" spans="1:13">
      <c r="A1197">
        <v>45756</v>
      </c>
      <c r="B1197" t="s">
        <v>1431</v>
      </c>
      <c r="D1197">
        <v>500</v>
      </c>
      <c r="F1197">
        <v>1</v>
      </c>
      <c r="G1197" t="s">
        <v>22</v>
      </c>
      <c r="H1197" t="s">
        <v>21</v>
      </c>
      <c r="I1197" t="s">
        <v>60</v>
      </c>
      <c r="J1197" t="s">
        <v>61</v>
      </c>
      <c r="L1197" t="s">
        <v>82</v>
      </c>
    </row>
    <row r="1198" spans="1:13">
      <c r="A1198">
        <v>45757</v>
      </c>
      <c r="B1198" t="s">
        <v>81</v>
      </c>
      <c r="D1198">
        <v>112800</v>
      </c>
      <c r="F1198">
        <v>1</v>
      </c>
      <c r="G1198" t="s">
        <v>74</v>
      </c>
      <c r="H1198" t="s">
        <v>75</v>
      </c>
      <c r="I1198" t="s">
        <v>60</v>
      </c>
      <c r="J1198" t="s">
        <v>61</v>
      </c>
      <c r="L1198" t="s">
        <v>88</v>
      </c>
      <c r="M1198" t="s">
        <v>955</v>
      </c>
    </row>
    <row r="1199" spans="1:13">
      <c r="A1199">
        <v>45757</v>
      </c>
      <c r="B1199" t="s">
        <v>1432</v>
      </c>
      <c r="F1199">
        <v>1</v>
      </c>
      <c r="G1199" t="s">
        <v>590</v>
      </c>
      <c r="H1199" t="s">
        <v>21</v>
      </c>
      <c r="L1199" t="s">
        <v>89</v>
      </c>
      <c r="M1199" t="s">
        <v>1433</v>
      </c>
    </row>
    <row r="1200" spans="1:13">
      <c r="A1200">
        <v>45757</v>
      </c>
      <c r="B1200" t="s">
        <v>1434</v>
      </c>
      <c r="F1200">
        <v>1</v>
      </c>
      <c r="G1200" t="s">
        <v>64</v>
      </c>
      <c r="L1200" t="s">
        <v>89</v>
      </c>
      <c r="M1200" t="s">
        <v>1282</v>
      </c>
    </row>
    <row r="1201" spans="1:13">
      <c r="A1201">
        <v>45757</v>
      </c>
      <c r="B1201" t="s">
        <v>1435</v>
      </c>
      <c r="F1201">
        <v>1</v>
      </c>
      <c r="G1201" t="s">
        <v>98</v>
      </c>
      <c r="H1201" t="s">
        <v>21</v>
      </c>
      <c r="L1201" t="s">
        <v>89</v>
      </c>
    </row>
    <row r="1202" spans="1:13">
      <c r="A1202">
        <v>45757</v>
      </c>
      <c r="B1202" t="s">
        <v>1436</v>
      </c>
      <c r="D1202">
        <v>500</v>
      </c>
      <c r="F1202">
        <v>1</v>
      </c>
      <c r="G1202" t="s">
        <v>22</v>
      </c>
      <c r="H1202" t="s">
        <v>21</v>
      </c>
      <c r="I1202" t="s">
        <v>60</v>
      </c>
      <c r="J1202" t="s">
        <v>61</v>
      </c>
      <c r="L1202" t="s">
        <v>86</v>
      </c>
    </row>
    <row r="1203" spans="1:13">
      <c r="A1203">
        <v>45757</v>
      </c>
      <c r="B1203" t="s">
        <v>1437</v>
      </c>
      <c r="D1203">
        <v>500</v>
      </c>
      <c r="F1203">
        <v>1</v>
      </c>
      <c r="G1203" t="s">
        <v>22</v>
      </c>
      <c r="H1203" t="s">
        <v>21</v>
      </c>
      <c r="I1203" t="s">
        <v>60</v>
      </c>
      <c r="J1203" t="s">
        <v>61</v>
      </c>
      <c r="L1203" t="s">
        <v>86</v>
      </c>
    </row>
    <row r="1204" spans="1:13">
      <c r="A1204">
        <v>45757</v>
      </c>
      <c r="B1204" t="s">
        <v>1438</v>
      </c>
      <c r="D1204">
        <v>500</v>
      </c>
      <c r="F1204">
        <v>0</v>
      </c>
      <c r="G1204" t="s">
        <v>22</v>
      </c>
      <c r="H1204" t="s">
        <v>21</v>
      </c>
      <c r="I1204" t="s">
        <v>60</v>
      </c>
      <c r="J1204" t="s">
        <v>61</v>
      </c>
      <c r="L1204" t="s">
        <v>86</v>
      </c>
      <c r="M1204" t="s">
        <v>83</v>
      </c>
    </row>
    <row r="1205" spans="1:13">
      <c r="A1205">
        <v>45757</v>
      </c>
      <c r="B1205" t="s">
        <v>1439</v>
      </c>
      <c r="D1205">
        <v>500</v>
      </c>
      <c r="F1205">
        <v>0</v>
      </c>
      <c r="G1205" t="s">
        <v>22</v>
      </c>
      <c r="H1205" t="s">
        <v>21</v>
      </c>
      <c r="I1205" t="s">
        <v>60</v>
      </c>
      <c r="J1205" t="s">
        <v>61</v>
      </c>
      <c r="L1205" t="s">
        <v>86</v>
      </c>
      <c r="M1205" t="s">
        <v>83</v>
      </c>
    </row>
    <row r="1206" spans="1:13">
      <c r="A1206">
        <v>45757</v>
      </c>
      <c r="B1206" t="s">
        <v>1440</v>
      </c>
      <c r="F1206">
        <v>1</v>
      </c>
      <c r="G1206" t="s">
        <v>0</v>
      </c>
      <c r="L1206" t="s">
        <v>82</v>
      </c>
    </row>
    <row r="1207" spans="1:13">
      <c r="A1207">
        <v>45758</v>
      </c>
      <c r="B1207" t="s">
        <v>63</v>
      </c>
      <c r="D1207">
        <v>8262</v>
      </c>
      <c r="G1207" t="s">
        <v>70</v>
      </c>
      <c r="I1207" t="s">
        <v>60</v>
      </c>
      <c r="J1207" t="s">
        <v>61</v>
      </c>
      <c r="L1207" t="s">
        <v>1343</v>
      </c>
    </row>
    <row r="1208" spans="1:13">
      <c r="A1208">
        <v>45758</v>
      </c>
      <c r="B1208" t="s">
        <v>719</v>
      </c>
      <c r="E1208">
        <v>59423</v>
      </c>
      <c r="F1208">
        <v>1</v>
      </c>
      <c r="G1208" t="s">
        <v>65</v>
      </c>
      <c r="H1208" t="s">
        <v>348</v>
      </c>
      <c r="I1208" t="s">
        <v>60</v>
      </c>
      <c r="J1208" t="s">
        <v>61</v>
      </c>
      <c r="L1208" t="s">
        <v>88</v>
      </c>
      <c r="M1208" t="s">
        <v>1441</v>
      </c>
    </row>
    <row r="1209" spans="1:13">
      <c r="A1209">
        <v>45758</v>
      </c>
      <c r="B1209" t="s">
        <v>81</v>
      </c>
      <c r="D1209">
        <v>93700</v>
      </c>
      <c r="F1209">
        <v>1</v>
      </c>
      <c r="G1209" t="s">
        <v>74</v>
      </c>
      <c r="H1209" t="s">
        <v>75</v>
      </c>
      <c r="I1209" t="s">
        <v>60</v>
      </c>
      <c r="J1209" t="s">
        <v>61</v>
      </c>
      <c r="L1209" t="s">
        <v>88</v>
      </c>
      <c r="M1209" t="s">
        <v>955</v>
      </c>
    </row>
    <row r="1210" spans="1:13">
      <c r="A1210">
        <v>45758</v>
      </c>
      <c r="B1210" t="s">
        <v>1442</v>
      </c>
      <c r="D1210">
        <v>500</v>
      </c>
      <c r="F1210">
        <v>1</v>
      </c>
      <c r="G1210" t="s">
        <v>22</v>
      </c>
      <c r="H1210" t="s">
        <v>21</v>
      </c>
      <c r="I1210" t="s">
        <v>60</v>
      </c>
      <c r="J1210" t="s">
        <v>61</v>
      </c>
      <c r="L1210" t="s">
        <v>89</v>
      </c>
    </row>
    <row r="1211" spans="1:13">
      <c r="A1211">
        <v>45758</v>
      </c>
      <c r="B1211" t="s">
        <v>1443</v>
      </c>
      <c r="D1211">
        <v>500</v>
      </c>
      <c r="F1211">
        <v>1</v>
      </c>
      <c r="G1211" t="s">
        <v>22</v>
      </c>
      <c r="H1211" t="s">
        <v>21</v>
      </c>
      <c r="I1211" t="s">
        <v>60</v>
      </c>
      <c r="J1211" t="s">
        <v>61</v>
      </c>
      <c r="L1211" t="s">
        <v>82</v>
      </c>
    </row>
    <row r="1212" spans="1:13">
      <c r="A1212">
        <v>45758</v>
      </c>
      <c r="B1212" t="s">
        <v>1444</v>
      </c>
      <c r="D1212">
        <v>500</v>
      </c>
      <c r="F1212">
        <v>1</v>
      </c>
      <c r="G1212" t="s">
        <v>22</v>
      </c>
      <c r="H1212" t="s">
        <v>21</v>
      </c>
      <c r="I1212" t="s">
        <v>60</v>
      </c>
      <c r="J1212" t="s">
        <v>61</v>
      </c>
      <c r="L1212" t="s">
        <v>82</v>
      </c>
    </row>
    <row r="1213" spans="1:13">
      <c r="A1213">
        <v>45758</v>
      </c>
      <c r="B1213" t="s">
        <v>1445</v>
      </c>
      <c r="D1213">
        <v>500</v>
      </c>
      <c r="F1213">
        <v>1</v>
      </c>
      <c r="G1213" t="s">
        <v>22</v>
      </c>
      <c r="H1213" t="s">
        <v>21</v>
      </c>
      <c r="I1213" t="s">
        <v>60</v>
      </c>
      <c r="J1213" t="s">
        <v>61</v>
      </c>
      <c r="L1213" t="s">
        <v>82</v>
      </c>
    </row>
    <row r="1214" spans="1:13">
      <c r="A1214">
        <v>45758</v>
      </c>
      <c r="B1214" t="s">
        <v>76</v>
      </c>
      <c r="D1214">
        <v>500</v>
      </c>
      <c r="G1214" t="s">
        <v>77</v>
      </c>
      <c r="I1214" t="s">
        <v>60</v>
      </c>
      <c r="J1214" t="s">
        <v>61</v>
      </c>
      <c r="L1214" t="s">
        <v>1343</v>
      </c>
    </row>
    <row r="1215" spans="1:13">
      <c r="A1215">
        <v>45758</v>
      </c>
      <c r="B1215" t="s">
        <v>63</v>
      </c>
      <c r="D1215">
        <v>200</v>
      </c>
      <c r="F1215">
        <v>2</v>
      </c>
      <c r="G1215" t="s">
        <v>22</v>
      </c>
      <c r="H1215" t="s">
        <v>93</v>
      </c>
      <c r="I1215" t="s">
        <v>60</v>
      </c>
      <c r="J1215" t="s">
        <v>61</v>
      </c>
      <c r="L1215" t="s">
        <v>1343</v>
      </c>
    </row>
    <row r="1216" spans="1:13">
      <c r="A1216">
        <v>45758</v>
      </c>
      <c r="B1216" t="s">
        <v>1446</v>
      </c>
      <c r="F1216">
        <v>1</v>
      </c>
      <c r="G1216" t="s">
        <v>377</v>
      </c>
      <c r="H1216" t="s">
        <v>21</v>
      </c>
      <c r="L1216" t="s">
        <v>82</v>
      </c>
    </row>
    <row r="1217" spans="1:13">
      <c r="A1217">
        <v>45758</v>
      </c>
      <c r="B1217" t="s">
        <v>63</v>
      </c>
      <c r="D1217">
        <v>15000</v>
      </c>
      <c r="F1217">
        <v>3</v>
      </c>
      <c r="G1217" t="s">
        <v>70</v>
      </c>
      <c r="I1217" t="s">
        <v>71</v>
      </c>
      <c r="J1217" t="s">
        <v>72</v>
      </c>
      <c r="K1217" t="s">
        <v>1447</v>
      </c>
      <c r="L1217" t="s">
        <v>1343</v>
      </c>
      <c r="M1217" t="s">
        <v>90</v>
      </c>
    </row>
    <row r="1218" spans="1:13">
      <c r="A1218">
        <v>45759</v>
      </c>
      <c r="B1218" t="s">
        <v>81</v>
      </c>
      <c r="D1218">
        <v>92000</v>
      </c>
      <c r="F1218">
        <v>1</v>
      </c>
      <c r="G1218" t="s">
        <v>74</v>
      </c>
      <c r="H1218" t="s">
        <v>75</v>
      </c>
      <c r="I1218" t="s">
        <v>60</v>
      </c>
      <c r="J1218" t="s">
        <v>61</v>
      </c>
      <c r="L1218" t="s">
        <v>88</v>
      </c>
      <c r="M1218" t="s">
        <v>955</v>
      </c>
    </row>
    <row r="1219" spans="1:13">
      <c r="A1219">
        <v>45759</v>
      </c>
      <c r="B1219" t="s">
        <v>1448</v>
      </c>
      <c r="D1219">
        <v>500</v>
      </c>
      <c r="F1219">
        <v>1</v>
      </c>
      <c r="G1219" t="s">
        <v>22</v>
      </c>
      <c r="H1219" t="s">
        <v>21</v>
      </c>
      <c r="I1219" t="s">
        <v>60</v>
      </c>
      <c r="J1219" t="s">
        <v>61</v>
      </c>
      <c r="L1219" t="s">
        <v>82</v>
      </c>
    </row>
    <row r="1220" spans="1:13">
      <c r="A1220">
        <v>45759</v>
      </c>
      <c r="B1220" t="s">
        <v>1449</v>
      </c>
      <c r="D1220">
        <v>500</v>
      </c>
      <c r="F1220">
        <v>0</v>
      </c>
      <c r="G1220" t="s">
        <v>22</v>
      </c>
      <c r="H1220" t="s">
        <v>21</v>
      </c>
      <c r="I1220" t="s">
        <v>60</v>
      </c>
      <c r="J1220" t="s">
        <v>61</v>
      </c>
      <c r="L1220" t="s">
        <v>82</v>
      </c>
      <c r="M1220" t="s">
        <v>83</v>
      </c>
    </row>
    <row r="1221" spans="1:13">
      <c r="A1221">
        <v>45759</v>
      </c>
      <c r="B1221" t="s">
        <v>1450</v>
      </c>
      <c r="D1221">
        <v>500</v>
      </c>
      <c r="F1221">
        <v>1</v>
      </c>
      <c r="G1221" t="s">
        <v>22</v>
      </c>
      <c r="H1221" t="s">
        <v>21</v>
      </c>
      <c r="I1221" t="s">
        <v>60</v>
      </c>
      <c r="J1221" t="s">
        <v>61</v>
      </c>
      <c r="L1221" t="s">
        <v>82</v>
      </c>
    </row>
    <row r="1222" spans="1:13">
      <c r="A1222">
        <v>45759</v>
      </c>
      <c r="B1222" t="s">
        <v>559</v>
      </c>
      <c r="E1222">
        <v>10000</v>
      </c>
      <c r="F1222">
        <v>1</v>
      </c>
      <c r="G1222" t="s">
        <v>65</v>
      </c>
      <c r="H1222" t="s">
        <v>560</v>
      </c>
      <c r="I1222" t="s">
        <v>60</v>
      </c>
      <c r="J1222" t="s">
        <v>61</v>
      </c>
      <c r="L1222" t="s">
        <v>1343</v>
      </c>
    </row>
    <row r="1223" spans="1:13">
      <c r="A1223">
        <v>45759</v>
      </c>
      <c r="B1223" t="s">
        <v>561</v>
      </c>
      <c r="E1223">
        <v>9000</v>
      </c>
      <c r="F1223">
        <v>1</v>
      </c>
      <c r="G1223" t="s">
        <v>65</v>
      </c>
      <c r="H1223" t="s">
        <v>560</v>
      </c>
      <c r="I1223" t="s">
        <v>60</v>
      </c>
      <c r="J1223" t="s">
        <v>61</v>
      </c>
      <c r="L1223" t="s">
        <v>1343</v>
      </c>
    </row>
    <row r="1224" spans="1:13">
      <c r="A1224">
        <v>45759</v>
      </c>
      <c r="B1224" t="s">
        <v>63</v>
      </c>
      <c r="D1224">
        <v>100</v>
      </c>
      <c r="F1224">
        <v>1</v>
      </c>
      <c r="G1224" t="s">
        <v>22</v>
      </c>
      <c r="H1224" t="s">
        <v>93</v>
      </c>
      <c r="I1224" t="s">
        <v>60</v>
      </c>
      <c r="J1224" t="s">
        <v>61</v>
      </c>
      <c r="L1224" t="s">
        <v>1343</v>
      </c>
    </row>
    <row r="1225" spans="1:13">
      <c r="A1225">
        <v>45759</v>
      </c>
      <c r="B1225" t="s">
        <v>76</v>
      </c>
      <c r="D1225">
        <v>500</v>
      </c>
      <c r="G1225" t="s">
        <v>77</v>
      </c>
      <c r="I1225" t="s">
        <v>60</v>
      </c>
      <c r="J1225" t="s">
        <v>61</v>
      </c>
      <c r="L1225" t="s">
        <v>1343</v>
      </c>
    </row>
    <row r="1226" spans="1:13">
      <c r="A1226">
        <v>45759</v>
      </c>
      <c r="B1226" t="s">
        <v>63</v>
      </c>
      <c r="D1226">
        <v>23500</v>
      </c>
      <c r="G1226" t="s">
        <v>70</v>
      </c>
      <c r="I1226" t="s">
        <v>60</v>
      </c>
      <c r="J1226" t="s">
        <v>61</v>
      </c>
      <c r="L1226" t="s">
        <v>1343</v>
      </c>
    </row>
    <row r="1227" spans="1:13">
      <c r="A1227">
        <v>45759</v>
      </c>
      <c r="B1227" t="s">
        <v>63</v>
      </c>
      <c r="D1227">
        <v>82000</v>
      </c>
      <c r="F1227">
        <v>3</v>
      </c>
      <c r="G1227" t="s">
        <v>70</v>
      </c>
      <c r="I1227" t="s">
        <v>71</v>
      </c>
      <c r="J1227" t="s">
        <v>535</v>
      </c>
      <c r="K1227" t="s">
        <v>111</v>
      </c>
      <c r="L1227" t="s">
        <v>62</v>
      </c>
      <c r="M1227" t="s">
        <v>92</v>
      </c>
    </row>
    <row r="1228" spans="1:13">
      <c r="A1228">
        <v>45759</v>
      </c>
      <c r="B1228" t="s">
        <v>1451</v>
      </c>
      <c r="D1228">
        <v>500</v>
      </c>
      <c r="F1228">
        <v>1</v>
      </c>
      <c r="G1228" t="s">
        <v>22</v>
      </c>
      <c r="H1228" t="s">
        <v>21</v>
      </c>
      <c r="I1228" t="s">
        <v>60</v>
      </c>
      <c r="J1228" t="s">
        <v>61</v>
      </c>
      <c r="L1228" t="s">
        <v>82</v>
      </c>
    </row>
    <row r="1229" spans="1:13">
      <c r="A1229">
        <v>45759</v>
      </c>
      <c r="B1229" t="s">
        <v>1452</v>
      </c>
      <c r="D1229">
        <v>500</v>
      </c>
      <c r="F1229">
        <v>0</v>
      </c>
      <c r="G1229" t="s">
        <v>22</v>
      </c>
      <c r="H1229" t="s">
        <v>21</v>
      </c>
      <c r="I1229" t="s">
        <v>60</v>
      </c>
      <c r="J1229" t="s">
        <v>61</v>
      </c>
      <c r="L1229" t="s">
        <v>86</v>
      </c>
      <c r="M1229" t="s">
        <v>83</v>
      </c>
    </row>
    <row r="1230" spans="1:13">
      <c r="A1230">
        <v>45759</v>
      </c>
      <c r="B1230" t="s">
        <v>1453</v>
      </c>
      <c r="D1230">
        <v>500</v>
      </c>
      <c r="F1230">
        <v>1</v>
      </c>
      <c r="G1230" t="s">
        <v>22</v>
      </c>
      <c r="H1230" t="s">
        <v>21</v>
      </c>
      <c r="I1230" t="s">
        <v>60</v>
      </c>
      <c r="J1230" t="s">
        <v>61</v>
      </c>
      <c r="L1230" t="s">
        <v>86</v>
      </c>
    </row>
    <row r="1231" spans="1:13">
      <c r="A1231">
        <v>45759</v>
      </c>
      <c r="B1231" t="s">
        <v>1454</v>
      </c>
      <c r="D1231">
        <v>500</v>
      </c>
      <c r="F1231">
        <v>1</v>
      </c>
      <c r="G1231" t="s">
        <v>22</v>
      </c>
      <c r="H1231" t="s">
        <v>21</v>
      </c>
      <c r="I1231" t="s">
        <v>60</v>
      </c>
      <c r="J1231" t="s">
        <v>61</v>
      </c>
      <c r="L1231" t="s">
        <v>86</v>
      </c>
    </row>
    <row r="1232" spans="1:13">
      <c r="A1232">
        <v>45759</v>
      </c>
      <c r="B1232" t="s">
        <v>1455</v>
      </c>
      <c r="D1232">
        <v>500</v>
      </c>
      <c r="F1232">
        <v>1</v>
      </c>
      <c r="G1232" t="s">
        <v>22</v>
      </c>
      <c r="H1232" t="s">
        <v>21</v>
      </c>
      <c r="I1232" t="s">
        <v>60</v>
      </c>
      <c r="J1232" t="s">
        <v>61</v>
      </c>
      <c r="L1232" t="s">
        <v>86</v>
      </c>
    </row>
    <row r="1233" spans="1:13">
      <c r="A1233">
        <v>45759</v>
      </c>
      <c r="B1233" t="s">
        <v>1456</v>
      </c>
      <c r="D1233">
        <v>500</v>
      </c>
      <c r="F1233">
        <v>0</v>
      </c>
      <c r="G1233" t="s">
        <v>22</v>
      </c>
      <c r="H1233" t="s">
        <v>21</v>
      </c>
      <c r="I1233" t="s">
        <v>60</v>
      </c>
      <c r="J1233" t="s">
        <v>61</v>
      </c>
      <c r="L1233" t="s">
        <v>86</v>
      </c>
      <c r="M1233" t="s">
        <v>83</v>
      </c>
    </row>
    <row r="1234" spans="1:13">
      <c r="A1234">
        <v>45759</v>
      </c>
      <c r="B1234" t="s">
        <v>1457</v>
      </c>
      <c r="D1234">
        <v>500</v>
      </c>
      <c r="F1234">
        <v>0</v>
      </c>
      <c r="G1234" t="s">
        <v>22</v>
      </c>
      <c r="H1234" t="s">
        <v>21</v>
      </c>
      <c r="I1234" t="s">
        <v>60</v>
      </c>
      <c r="J1234" t="s">
        <v>61</v>
      </c>
      <c r="L1234" t="s">
        <v>86</v>
      </c>
      <c r="M1234" t="s">
        <v>83</v>
      </c>
    </row>
    <row r="1235" spans="1:13">
      <c r="A1235">
        <v>45760</v>
      </c>
      <c r="B1235" t="s">
        <v>1458</v>
      </c>
      <c r="D1235">
        <v>500</v>
      </c>
      <c r="F1235">
        <v>1</v>
      </c>
      <c r="G1235" t="s">
        <v>22</v>
      </c>
      <c r="H1235" t="s">
        <v>21</v>
      </c>
      <c r="I1235" t="s">
        <v>60</v>
      </c>
      <c r="J1235" t="s">
        <v>61</v>
      </c>
      <c r="L1235" t="s">
        <v>86</v>
      </c>
    </row>
    <row r="1236" spans="1:13">
      <c r="A1236">
        <v>45760</v>
      </c>
      <c r="B1236" t="s">
        <v>1459</v>
      </c>
      <c r="F1236">
        <v>1</v>
      </c>
      <c r="G1236" t="s">
        <v>99</v>
      </c>
      <c r="H1236" t="s">
        <v>21</v>
      </c>
      <c r="L1236" t="s">
        <v>86</v>
      </c>
    </row>
    <row r="1237" spans="1:13">
      <c r="A1237">
        <v>45760</v>
      </c>
      <c r="B1237" t="s">
        <v>1460</v>
      </c>
      <c r="D1237">
        <v>500</v>
      </c>
      <c r="F1237">
        <v>0</v>
      </c>
      <c r="G1237" t="s">
        <v>22</v>
      </c>
      <c r="H1237" t="s">
        <v>21</v>
      </c>
      <c r="I1237" t="s">
        <v>60</v>
      </c>
      <c r="J1237" t="s">
        <v>61</v>
      </c>
      <c r="L1237" t="s">
        <v>86</v>
      </c>
      <c r="M1237" t="s">
        <v>83</v>
      </c>
    </row>
    <row r="1238" spans="1:13">
      <c r="A1238">
        <v>45760</v>
      </c>
      <c r="B1238" t="s">
        <v>76</v>
      </c>
      <c r="D1238">
        <v>12000</v>
      </c>
      <c r="G1238" t="s">
        <v>77</v>
      </c>
      <c r="I1238" t="s">
        <v>60</v>
      </c>
      <c r="J1238" t="s">
        <v>61</v>
      </c>
      <c r="L1238" t="s">
        <v>1343</v>
      </c>
    </row>
    <row r="1239" spans="1:13">
      <c r="A1239">
        <v>45760</v>
      </c>
      <c r="B1239" t="s">
        <v>63</v>
      </c>
      <c r="D1239">
        <v>10000</v>
      </c>
      <c r="F1239">
        <v>2</v>
      </c>
      <c r="G1239" t="s">
        <v>70</v>
      </c>
      <c r="I1239" t="s">
        <v>71</v>
      </c>
      <c r="J1239" t="s">
        <v>72</v>
      </c>
      <c r="K1239" t="s">
        <v>109</v>
      </c>
      <c r="L1239" t="s">
        <v>1343</v>
      </c>
      <c r="M1239" t="s">
        <v>92</v>
      </c>
    </row>
    <row r="1240" spans="1:13">
      <c r="A1240">
        <v>45760</v>
      </c>
      <c r="B1240" t="s">
        <v>63</v>
      </c>
      <c r="D1240">
        <v>10500</v>
      </c>
      <c r="F1240">
        <v>2</v>
      </c>
      <c r="G1240" t="s">
        <v>70</v>
      </c>
      <c r="I1240" t="s">
        <v>71</v>
      </c>
      <c r="J1240" t="s">
        <v>72</v>
      </c>
      <c r="K1240" t="s">
        <v>1461</v>
      </c>
      <c r="L1240" t="s">
        <v>1343</v>
      </c>
      <c r="M1240" t="s">
        <v>90</v>
      </c>
    </row>
    <row r="1241" spans="1:13">
      <c r="A1241">
        <v>45760</v>
      </c>
      <c r="B1241" t="s">
        <v>1462</v>
      </c>
      <c r="D1241">
        <v>500</v>
      </c>
      <c r="F1241">
        <v>1</v>
      </c>
      <c r="G1241" t="s">
        <v>22</v>
      </c>
      <c r="H1241" t="s">
        <v>21</v>
      </c>
      <c r="I1241" t="s">
        <v>60</v>
      </c>
      <c r="J1241" t="s">
        <v>61</v>
      </c>
      <c r="L1241" t="s">
        <v>89</v>
      </c>
    </row>
    <row r="1242" spans="1:13">
      <c r="A1242">
        <v>45760</v>
      </c>
      <c r="B1242" t="s">
        <v>1463</v>
      </c>
      <c r="D1242">
        <v>500</v>
      </c>
      <c r="F1242">
        <v>1</v>
      </c>
      <c r="G1242" t="s">
        <v>22</v>
      </c>
      <c r="H1242" t="s">
        <v>21</v>
      </c>
      <c r="I1242" t="s">
        <v>60</v>
      </c>
      <c r="J1242" t="s">
        <v>61</v>
      </c>
      <c r="L1242" t="s">
        <v>89</v>
      </c>
    </row>
    <row r="1243" spans="1:13">
      <c r="A1243">
        <v>45760</v>
      </c>
      <c r="B1243" t="s">
        <v>1464</v>
      </c>
      <c r="D1243">
        <v>500</v>
      </c>
      <c r="F1243">
        <v>1</v>
      </c>
      <c r="G1243" t="s">
        <v>22</v>
      </c>
      <c r="H1243" t="s">
        <v>21</v>
      </c>
      <c r="I1243" t="s">
        <v>60</v>
      </c>
      <c r="J1243" t="s">
        <v>61</v>
      </c>
      <c r="L1243" t="s">
        <v>89</v>
      </c>
    </row>
    <row r="1244" spans="1:13">
      <c r="A1244">
        <v>45760</v>
      </c>
      <c r="B1244" t="s">
        <v>1465</v>
      </c>
      <c r="D1244">
        <v>500</v>
      </c>
      <c r="F1244">
        <v>1</v>
      </c>
      <c r="G1244" t="s">
        <v>22</v>
      </c>
      <c r="H1244" t="s">
        <v>21</v>
      </c>
      <c r="I1244" t="s">
        <v>60</v>
      </c>
      <c r="J1244" t="s">
        <v>61</v>
      </c>
      <c r="L1244" t="s">
        <v>89</v>
      </c>
    </row>
    <row r="1245" spans="1:13">
      <c r="A1245">
        <v>45760</v>
      </c>
      <c r="B1245" t="s">
        <v>63</v>
      </c>
      <c r="D1245">
        <v>4000</v>
      </c>
      <c r="G1245" t="s">
        <v>70</v>
      </c>
      <c r="I1245" t="s">
        <v>60</v>
      </c>
      <c r="J1245" t="s">
        <v>61</v>
      </c>
      <c r="L1245" t="s">
        <v>1343</v>
      </c>
    </row>
    <row r="1246" spans="1:13">
      <c r="A1246">
        <v>45761</v>
      </c>
      <c r="B1246" t="s">
        <v>624</v>
      </c>
      <c r="D1246">
        <v>-52000</v>
      </c>
      <c r="G1246" t="s">
        <v>77</v>
      </c>
      <c r="I1246" t="s">
        <v>60</v>
      </c>
      <c r="J1246" t="s">
        <v>61</v>
      </c>
      <c r="L1246" t="s">
        <v>62</v>
      </c>
    </row>
    <row r="1247" spans="1:13">
      <c r="A1247">
        <v>45761</v>
      </c>
      <c r="B1247" t="s">
        <v>624</v>
      </c>
      <c r="E1247">
        <v>-2750</v>
      </c>
      <c r="G1247" t="s">
        <v>65</v>
      </c>
      <c r="H1247" t="s">
        <v>85</v>
      </c>
      <c r="I1247" t="s">
        <v>60</v>
      </c>
      <c r="J1247" t="s">
        <v>61</v>
      </c>
      <c r="L1247" t="s">
        <v>62</v>
      </c>
    </row>
    <row r="1248" spans="1:13">
      <c r="A1248">
        <v>45761</v>
      </c>
      <c r="B1248" t="s">
        <v>81</v>
      </c>
      <c r="D1248">
        <v>188000</v>
      </c>
      <c r="F1248">
        <v>1</v>
      </c>
      <c r="G1248" t="s">
        <v>74</v>
      </c>
      <c r="H1248" t="s">
        <v>75</v>
      </c>
      <c r="I1248" t="s">
        <v>60</v>
      </c>
      <c r="J1248" t="s">
        <v>61</v>
      </c>
      <c r="L1248" t="s">
        <v>88</v>
      </c>
      <c r="M1248" t="s">
        <v>955</v>
      </c>
    </row>
    <row r="1249" spans="1:13">
      <c r="A1249">
        <v>45761</v>
      </c>
      <c r="B1249" t="s">
        <v>238</v>
      </c>
      <c r="C1249" t="s">
        <v>1466</v>
      </c>
      <c r="F1249">
        <v>14</v>
      </c>
      <c r="G1249" t="s">
        <v>22</v>
      </c>
      <c r="H1249" t="s">
        <v>21</v>
      </c>
      <c r="L1249" t="s">
        <v>95</v>
      </c>
    </row>
    <row r="1250" spans="1:13">
      <c r="A1250">
        <v>45761</v>
      </c>
      <c r="B1250" t="s">
        <v>63</v>
      </c>
      <c r="D1250">
        <v>42500</v>
      </c>
      <c r="G1250" t="s">
        <v>70</v>
      </c>
      <c r="I1250" t="s">
        <v>60</v>
      </c>
      <c r="J1250" t="s">
        <v>61</v>
      </c>
      <c r="L1250" t="s">
        <v>1343</v>
      </c>
    </row>
    <row r="1251" spans="1:13">
      <c r="A1251">
        <v>45761</v>
      </c>
      <c r="B1251" t="s">
        <v>1467</v>
      </c>
      <c r="D1251">
        <v>500</v>
      </c>
      <c r="F1251">
        <v>1</v>
      </c>
      <c r="G1251" t="s">
        <v>22</v>
      </c>
      <c r="H1251" t="s">
        <v>21</v>
      </c>
      <c r="I1251" t="s">
        <v>60</v>
      </c>
      <c r="J1251" t="s">
        <v>61</v>
      </c>
      <c r="L1251" t="s">
        <v>89</v>
      </c>
    </row>
    <row r="1252" spans="1:13">
      <c r="A1252">
        <v>45761</v>
      </c>
      <c r="B1252" t="s">
        <v>1468</v>
      </c>
      <c r="D1252">
        <v>500</v>
      </c>
      <c r="F1252">
        <v>1</v>
      </c>
      <c r="G1252" t="s">
        <v>22</v>
      </c>
      <c r="H1252" t="s">
        <v>21</v>
      </c>
      <c r="I1252" t="s">
        <v>60</v>
      </c>
      <c r="J1252" t="s">
        <v>61</v>
      </c>
      <c r="L1252" t="s">
        <v>82</v>
      </c>
    </row>
    <row r="1253" spans="1:13">
      <c r="A1253">
        <v>45761</v>
      </c>
      <c r="B1253" t="s">
        <v>1469</v>
      </c>
      <c r="D1253">
        <v>500</v>
      </c>
      <c r="F1253">
        <v>1</v>
      </c>
      <c r="G1253" t="s">
        <v>22</v>
      </c>
      <c r="H1253" t="s">
        <v>21</v>
      </c>
      <c r="I1253" t="s">
        <v>60</v>
      </c>
      <c r="J1253" t="s">
        <v>61</v>
      </c>
      <c r="L1253" t="s">
        <v>82</v>
      </c>
    </row>
    <row r="1254" spans="1:13">
      <c r="A1254">
        <v>45761</v>
      </c>
      <c r="B1254" t="s">
        <v>1470</v>
      </c>
      <c r="D1254">
        <v>500</v>
      </c>
      <c r="F1254">
        <v>1</v>
      </c>
      <c r="G1254" t="s">
        <v>22</v>
      </c>
      <c r="H1254" t="s">
        <v>21</v>
      </c>
      <c r="I1254" t="s">
        <v>60</v>
      </c>
      <c r="J1254" t="s">
        <v>61</v>
      </c>
      <c r="L1254" t="s">
        <v>82</v>
      </c>
    </row>
    <row r="1255" spans="1:13">
      <c r="A1255">
        <v>45761</v>
      </c>
      <c r="B1255" t="s">
        <v>1471</v>
      </c>
      <c r="F1255">
        <v>1</v>
      </c>
      <c r="G1255" t="s">
        <v>107</v>
      </c>
      <c r="H1255" t="s">
        <v>21</v>
      </c>
      <c r="L1255" t="s">
        <v>89</v>
      </c>
    </row>
    <row r="1256" spans="1:13">
      <c r="A1256">
        <v>45761</v>
      </c>
      <c r="B1256" t="s">
        <v>1472</v>
      </c>
      <c r="F1256">
        <v>1</v>
      </c>
      <c r="G1256" t="s">
        <v>590</v>
      </c>
      <c r="H1256" t="s">
        <v>21</v>
      </c>
      <c r="L1256" t="s">
        <v>82</v>
      </c>
    </row>
    <row r="1257" spans="1:13">
      <c r="A1257">
        <v>45761</v>
      </c>
      <c r="B1257" t="s">
        <v>1473</v>
      </c>
      <c r="D1257">
        <v>500</v>
      </c>
      <c r="F1257">
        <v>1</v>
      </c>
      <c r="G1257" t="s">
        <v>22</v>
      </c>
      <c r="H1257" t="s">
        <v>21</v>
      </c>
      <c r="I1257" t="s">
        <v>60</v>
      </c>
      <c r="J1257" t="s">
        <v>61</v>
      </c>
      <c r="L1257" t="s">
        <v>82</v>
      </c>
    </row>
    <row r="1258" spans="1:13">
      <c r="A1258">
        <v>45761</v>
      </c>
      <c r="B1258" t="s">
        <v>1474</v>
      </c>
      <c r="F1258">
        <v>1</v>
      </c>
      <c r="G1258" t="s">
        <v>590</v>
      </c>
      <c r="H1258" t="s">
        <v>21</v>
      </c>
      <c r="L1258" t="s">
        <v>82</v>
      </c>
    </row>
    <row r="1259" spans="1:13">
      <c r="A1259">
        <v>45761</v>
      </c>
      <c r="B1259" t="s">
        <v>1475</v>
      </c>
      <c r="F1259">
        <v>1</v>
      </c>
      <c r="G1259" t="s">
        <v>590</v>
      </c>
      <c r="H1259" t="s">
        <v>21</v>
      </c>
      <c r="L1259" t="s">
        <v>82</v>
      </c>
    </row>
    <row r="1260" spans="1:13">
      <c r="A1260">
        <v>45762</v>
      </c>
      <c r="B1260" t="s">
        <v>81</v>
      </c>
      <c r="D1260">
        <v>124500</v>
      </c>
      <c r="F1260">
        <v>1</v>
      </c>
      <c r="G1260" t="s">
        <v>74</v>
      </c>
      <c r="H1260" t="s">
        <v>75</v>
      </c>
      <c r="I1260" t="s">
        <v>60</v>
      </c>
      <c r="J1260" t="s">
        <v>61</v>
      </c>
      <c r="L1260" t="s">
        <v>88</v>
      </c>
      <c r="M1260" t="s">
        <v>955</v>
      </c>
    </row>
    <row r="1261" spans="1:13">
      <c r="A1261">
        <v>45762</v>
      </c>
      <c r="B1261" t="s">
        <v>1476</v>
      </c>
      <c r="D1261">
        <v>500</v>
      </c>
      <c r="F1261">
        <v>1</v>
      </c>
      <c r="G1261" t="s">
        <v>22</v>
      </c>
      <c r="H1261" t="s">
        <v>21</v>
      </c>
      <c r="I1261" t="s">
        <v>60</v>
      </c>
      <c r="J1261" t="s">
        <v>61</v>
      </c>
      <c r="L1261" t="s">
        <v>89</v>
      </c>
    </row>
    <row r="1262" spans="1:13">
      <c r="A1262">
        <v>45762</v>
      </c>
      <c r="B1262" t="s">
        <v>1477</v>
      </c>
      <c r="F1262">
        <v>1</v>
      </c>
      <c r="G1262" t="s">
        <v>564</v>
      </c>
      <c r="H1262" t="s">
        <v>21</v>
      </c>
      <c r="L1262" t="s">
        <v>89</v>
      </c>
    </row>
    <row r="1263" spans="1:13">
      <c r="A1263">
        <v>45762</v>
      </c>
      <c r="B1263" t="s">
        <v>1477</v>
      </c>
      <c r="D1263">
        <v>0</v>
      </c>
      <c r="F1263">
        <v>0</v>
      </c>
      <c r="G1263" t="s">
        <v>22</v>
      </c>
      <c r="H1263" t="s">
        <v>21</v>
      </c>
      <c r="I1263" t="s">
        <v>60</v>
      </c>
      <c r="J1263" t="s">
        <v>61</v>
      </c>
      <c r="L1263" t="s">
        <v>89</v>
      </c>
      <c r="M1263" t="s">
        <v>83</v>
      </c>
    </row>
    <row r="1264" spans="1:13">
      <c r="A1264">
        <v>45762</v>
      </c>
      <c r="B1264" t="s">
        <v>63</v>
      </c>
      <c r="D1264">
        <v>18000</v>
      </c>
      <c r="F1264">
        <v>2</v>
      </c>
      <c r="G1264" t="s">
        <v>70</v>
      </c>
      <c r="I1264" t="s">
        <v>71</v>
      </c>
      <c r="J1264" t="s">
        <v>72</v>
      </c>
      <c r="K1264">
        <v>505</v>
      </c>
      <c r="L1264" t="s">
        <v>1343</v>
      </c>
      <c r="M1264" t="s">
        <v>90</v>
      </c>
    </row>
    <row r="1265" spans="1:13">
      <c r="A1265">
        <v>45762</v>
      </c>
      <c r="B1265" t="s">
        <v>1478</v>
      </c>
      <c r="D1265">
        <v>500</v>
      </c>
      <c r="F1265">
        <v>1</v>
      </c>
      <c r="G1265" t="s">
        <v>22</v>
      </c>
      <c r="H1265" t="s">
        <v>21</v>
      </c>
      <c r="I1265" t="s">
        <v>60</v>
      </c>
      <c r="J1265" t="s">
        <v>61</v>
      </c>
      <c r="L1265" t="s">
        <v>82</v>
      </c>
    </row>
    <row r="1266" spans="1:13">
      <c r="A1266">
        <v>45762</v>
      </c>
      <c r="B1266" t="s">
        <v>1479</v>
      </c>
      <c r="D1266">
        <v>500</v>
      </c>
      <c r="F1266">
        <v>1</v>
      </c>
      <c r="G1266" t="s">
        <v>22</v>
      </c>
      <c r="H1266" t="s">
        <v>21</v>
      </c>
      <c r="I1266" t="s">
        <v>60</v>
      </c>
      <c r="J1266" t="s">
        <v>61</v>
      </c>
      <c r="L1266" t="s">
        <v>82</v>
      </c>
    </row>
    <row r="1267" spans="1:13">
      <c r="A1267">
        <v>45762</v>
      </c>
      <c r="B1267" t="s">
        <v>1480</v>
      </c>
      <c r="D1267">
        <v>500</v>
      </c>
      <c r="F1267">
        <v>1</v>
      </c>
      <c r="G1267" t="s">
        <v>22</v>
      </c>
      <c r="H1267" t="s">
        <v>21</v>
      </c>
      <c r="I1267" t="s">
        <v>60</v>
      </c>
      <c r="J1267" t="s">
        <v>61</v>
      </c>
      <c r="L1267" t="s">
        <v>82</v>
      </c>
    </row>
    <row r="1268" spans="1:13">
      <c r="A1268">
        <v>45762</v>
      </c>
      <c r="B1268" t="s">
        <v>63</v>
      </c>
      <c r="D1268">
        <v>400</v>
      </c>
      <c r="F1268">
        <v>4</v>
      </c>
      <c r="G1268" t="s">
        <v>22</v>
      </c>
      <c r="H1268" t="s">
        <v>93</v>
      </c>
      <c r="I1268" t="s">
        <v>60</v>
      </c>
      <c r="J1268" t="s">
        <v>61</v>
      </c>
      <c r="L1268" t="s">
        <v>1343</v>
      </c>
    </row>
    <row r="1269" spans="1:13">
      <c r="A1269">
        <v>45762</v>
      </c>
      <c r="B1269" t="s">
        <v>1481</v>
      </c>
      <c r="F1269">
        <v>1</v>
      </c>
      <c r="G1269" t="s">
        <v>0</v>
      </c>
      <c r="L1269" t="s">
        <v>82</v>
      </c>
    </row>
    <row r="1270" spans="1:13">
      <c r="A1270">
        <v>45763</v>
      </c>
      <c r="B1270" t="s">
        <v>1482</v>
      </c>
      <c r="F1270">
        <v>1</v>
      </c>
      <c r="G1270" t="s">
        <v>98</v>
      </c>
      <c r="H1270" t="s">
        <v>21</v>
      </c>
      <c r="L1270" t="s">
        <v>86</v>
      </c>
    </row>
    <row r="1271" spans="1:13">
      <c r="A1271">
        <v>45763</v>
      </c>
      <c r="B1271" t="s">
        <v>1483</v>
      </c>
      <c r="D1271">
        <v>500</v>
      </c>
      <c r="F1271">
        <v>1</v>
      </c>
      <c r="G1271" t="s">
        <v>22</v>
      </c>
      <c r="H1271" t="s">
        <v>21</v>
      </c>
      <c r="I1271" t="s">
        <v>60</v>
      </c>
      <c r="J1271" t="s">
        <v>61</v>
      </c>
      <c r="L1271" t="s">
        <v>86</v>
      </c>
    </row>
    <row r="1272" spans="1:13">
      <c r="A1272">
        <v>45763</v>
      </c>
      <c r="B1272" t="s">
        <v>1484</v>
      </c>
      <c r="D1272">
        <v>500</v>
      </c>
      <c r="F1272">
        <v>1</v>
      </c>
      <c r="G1272" t="s">
        <v>22</v>
      </c>
      <c r="H1272" t="s">
        <v>21</v>
      </c>
      <c r="I1272" t="s">
        <v>60</v>
      </c>
      <c r="J1272" t="s">
        <v>61</v>
      </c>
      <c r="L1272" t="s">
        <v>86</v>
      </c>
    </row>
    <row r="1273" spans="1:13">
      <c r="A1273">
        <v>45763</v>
      </c>
      <c r="B1273" t="s">
        <v>727</v>
      </c>
      <c r="E1273">
        <v>30000</v>
      </c>
      <c r="F1273">
        <v>1</v>
      </c>
      <c r="G1273" t="s">
        <v>65</v>
      </c>
      <c r="H1273" t="s">
        <v>265</v>
      </c>
      <c r="I1273" t="s">
        <v>60</v>
      </c>
      <c r="J1273" t="s">
        <v>61</v>
      </c>
      <c r="L1273" t="s">
        <v>1343</v>
      </c>
    </row>
    <row r="1274" spans="1:13">
      <c r="A1274">
        <v>45763</v>
      </c>
      <c r="B1274" t="s">
        <v>63</v>
      </c>
      <c r="D1274">
        <v>7500</v>
      </c>
      <c r="G1274" t="s">
        <v>70</v>
      </c>
      <c r="I1274" t="s">
        <v>60</v>
      </c>
      <c r="J1274" t="s">
        <v>61</v>
      </c>
      <c r="L1274" t="s">
        <v>1343</v>
      </c>
    </row>
    <row r="1275" spans="1:13">
      <c r="A1275">
        <v>45763</v>
      </c>
      <c r="B1275" t="s">
        <v>81</v>
      </c>
      <c r="D1275">
        <v>124000</v>
      </c>
      <c r="F1275">
        <v>1</v>
      </c>
      <c r="G1275" t="s">
        <v>74</v>
      </c>
      <c r="H1275" t="s">
        <v>75</v>
      </c>
      <c r="I1275" t="s">
        <v>60</v>
      </c>
      <c r="J1275" t="s">
        <v>61</v>
      </c>
      <c r="L1275" t="s">
        <v>88</v>
      </c>
      <c r="M1275" t="s">
        <v>955</v>
      </c>
    </row>
    <row r="1276" spans="1:13">
      <c r="A1276">
        <v>45763</v>
      </c>
      <c r="B1276" t="s">
        <v>1485</v>
      </c>
      <c r="D1276">
        <v>500</v>
      </c>
      <c r="F1276">
        <v>1</v>
      </c>
      <c r="G1276" t="s">
        <v>22</v>
      </c>
      <c r="H1276" t="s">
        <v>21</v>
      </c>
      <c r="I1276" t="s">
        <v>60</v>
      </c>
      <c r="J1276" t="s">
        <v>61</v>
      </c>
      <c r="L1276" t="s">
        <v>82</v>
      </c>
    </row>
    <row r="1277" spans="1:13">
      <c r="A1277">
        <v>45763</v>
      </c>
      <c r="B1277" t="s">
        <v>259</v>
      </c>
      <c r="D1277">
        <v>500</v>
      </c>
      <c r="F1277">
        <v>1</v>
      </c>
      <c r="G1277" t="s">
        <v>22</v>
      </c>
      <c r="H1277" t="s">
        <v>21</v>
      </c>
      <c r="I1277" t="s">
        <v>60</v>
      </c>
      <c r="J1277" t="s">
        <v>61</v>
      </c>
      <c r="L1277" t="s">
        <v>82</v>
      </c>
    </row>
    <row r="1278" spans="1:13">
      <c r="A1278">
        <v>45763</v>
      </c>
      <c r="B1278" t="s">
        <v>1486</v>
      </c>
      <c r="F1278">
        <v>1</v>
      </c>
      <c r="G1278" t="s">
        <v>603</v>
      </c>
      <c r="H1278" t="s">
        <v>21</v>
      </c>
      <c r="L1278" t="s">
        <v>82</v>
      </c>
    </row>
    <row r="1279" spans="1:13">
      <c r="A1279">
        <v>45764</v>
      </c>
      <c r="B1279" t="s">
        <v>1487</v>
      </c>
      <c r="D1279">
        <v>500</v>
      </c>
      <c r="F1279">
        <v>1</v>
      </c>
      <c r="G1279" t="s">
        <v>22</v>
      </c>
      <c r="H1279" t="s">
        <v>21</v>
      </c>
      <c r="I1279" t="s">
        <v>60</v>
      </c>
      <c r="J1279" t="s">
        <v>61</v>
      </c>
      <c r="L1279" t="s">
        <v>89</v>
      </c>
    </row>
    <row r="1280" spans="1:13">
      <c r="A1280">
        <v>45764</v>
      </c>
      <c r="B1280" t="s">
        <v>1488</v>
      </c>
      <c r="D1280">
        <v>500</v>
      </c>
      <c r="F1280">
        <v>1</v>
      </c>
      <c r="G1280" t="s">
        <v>22</v>
      </c>
      <c r="H1280" t="s">
        <v>21</v>
      </c>
      <c r="I1280" t="s">
        <v>60</v>
      </c>
      <c r="J1280" t="s">
        <v>61</v>
      </c>
      <c r="L1280" t="s">
        <v>89</v>
      </c>
    </row>
    <row r="1281" spans="1:13">
      <c r="A1281">
        <v>45764</v>
      </c>
      <c r="B1281" t="s">
        <v>1489</v>
      </c>
      <c r="D1281">
        <v>500</v>
      </c>
      <c r="F1281">
        <v>1</v>
      </c>
      <c r="G1281" t="s">
        <v>22</v>
      </c>
      <c r="H1281" t="s">
        <v>21</v>
      </c>
      <c r="I1281" t="s">
        <v>60</v>
      </c>
      <c r="J1281" t="s">
        <v>61</v>
      </c>
      <c r="L1281" t="s">
        <v>89</v>
      </c>
    </row>
    <row r="1282" spans="1:13">
      <c r="A1282">
        <v>45764</v>
      </c>
      <c r="B1282" t="s">
        <v>1490</v>
      </c>
      <c r="D1282">
        <v>500</v>
      </c>
      <c r="F1282">
        <v>1</v>
      </c>
      <c r="G1282" t="s">
        <v>22</v>
      </c>
      <c r="H1282" t="s">
        <v>21</v>
      </c>
      <c r="I1282" t="s">
        <v>60</v>
      </c>
      <c r="J1282" t="s">
        <v>61</v>
      </c>
      <c r="L1282" t="s">
        <v>89</v>
      </c>
    </row>
    <row r="1283" spans="1:13">
      <c r="A1283">
        <v>45764</v>
      </c>
      <c r="B1283" t="s">
        <v>1491</v>
      </c>
      <c r="D1283">
        <v>500</v>
      </c>
      <c r="F1283">
        <v>1</v>
      </c>
      <c r="G1283" t="s">
        <v>22</v>
      </c>
      <c r="H1283" t="s">
        <v>21</v>
      </c>
      <c r="I1283" t="s">
        <v>60</v>
      </c>
      <c r="J1283" t="s">
        <v>61</v>
      </c>
      <c r="L1283" t="s">
        <v>89</v>
      </c>
    </row>
    <row r="1284" spans="1:13">
      <c r="A1284">
        <v>45764</v>
      </c>
      <c r="B1284" t="s">
        <v>1492</v>
      </c>
      <c r="D1284">
        <v>500</v>
      </c>
      <c r="F1284">
        <v>1</v>
      </c>
      <c r="G1284" t="s">
        <v>22</v>
      </c>
      <c r="H1284" t="s">
        <v>21</v>
      </c>
      <c r="I1284" t="s">
        <v>60</v>
      </c>
      <c r="J1284" t="s">
        <v>61</v>
      </c>
      <c r="L1284" t="s">
        <v>89</v>
      </c>
    </row>
    <row r="1285" spans="1:13">
      <c r="A1285">
        <v>45764</v>
      </c>
      <c r="B1285" t="s">
        <v>1493</v>
      </c>
      <c r="D1285">
        <v>500</v>
      </c>
      <c r="F1285">
        <v>1</v>
      </c>
      <c r="G1285" t="s">
        <v>22</v>
      </c>
      <c r="H1285" t="s">
        <v>21</v>
      </c>
      <c r="I1285" t="s">
        <v>60</v>
      </c>
      <c r="J1285" t="s">
        <v>61</v>
      </c>
      <c r="L1285" t="s">
        <v>89</v>
      </c>
    </row>
    <row r="1286" spans="1:13">
      <c r="A1286">
        <v>45764</v>
      </c>
      <c r="B1286" t="s">
        <v>1494</v>
      </c>
      <c r="D1286">
        <v>500</v>
      </c>
      <c r="F1286">
        <v>1</v>
      </c>
      <c r="G1286" t="s">
        <v>22</v>
      </c>
      <c r="H1286" t="s">
        <v>21</v>
      </c>
      <c r="I1286" t="s">
        <v>60</v>
      </c>
      <c r="J1286" t="s">
        <v>61</v>
      </c>
      <c r="L1286" t="s">
        <v>86</v>
      </c>
    </row>
    <row r="1287" spans="1:13">
      <c r="A1287">
        <v>45764</v>
      </c>
      <c r="B1287" t="s">
        <v>1494</v>
      </c>
      <c r="F1287">
        <v>1</v>
      </c>
      <c r="G1287" t="s">
        <v>64</v>
      </c>
      <c r="L1287" t="s">
        <v>86</v>
      </c>
      <c r="M1287" t="s">
        <v>1354</v>
      </c>
    </row>
    <row r="1288" spans="1:13">
      <c r="A1288">
        <v>45764</v>
      </c>
      <c r="B1288" t="s">
        <v>63</v>
      </c>
      <c r="D1288">
        <v>100</v>
      </c>
      <c r="F1288">
        <v>1</v>
      </c>
      <c r="G1288" t="s">
        <v>22</v>
      </c>
      <c r="H1288" t="s">
        <v>93</v>
      </c>
      <c r="I1288" t="s">
        <v>60</v>
      </c>
      <c r="J1288" t="s">
        <v>61</v>
      </c>
      <c r="L1288" t="s">
        <v>1343</v>
      </c>
    </row>
    <row r="1289" spans="1:13">
      <c r="A1289">
        <v>45764</v>
      </c>
      <c r="B1289" t="s">
        <v>76</v>
      </c>
      <c r="D1289">
        <v>9000</v>
      </c>
      <c r="G1289" t="s">
        <v>77</v>
      </c>
      <c r="I1289" t="s">
        <v>60</v>
      </c>
      <c r="J1289" t="s">
        <v>61</v>
      </c>
      <c r="L1289" t="s">
        <v>1343</v>
      </c>
    </row>
    <row r="1290" spans="1:13">
      <c r="A1290">
        <v>45764</v>
      </c>
      <c r="B1290" t="s">
        <v>63</v>
      </c>
      <c r="D1290">
        <v>16500</v>
      </c>
      <c r="F1290">
        <v>2</v>
      </c>
      <c r="G1290" t="s">
        <v>70</v>
      </c>
      <c r="I1290" t="s">
        <v>71</v>
      </c>
      <c r="J1290" t="s">
        <v>72</v>
      </c>
      <c r="K1290" t="s">
        <v>1495</v>
      </c>
      <c r="L1290" t="s">
        <v>1343</v>
      </c>
      <c r="M1290" t="s">
        <v>90</v>
      </c>
    </row>
    <row r="1291" spans="1:13">
      <c r="A1291">
        <v>45764</v>
      </c>
      <c r="B1291" t="s">
        <v>875</v>
      </c>
      <c r="D1291">
        <v>152000</v>
      </c>
      <c r="F1291">
        <v>1</v>
      </c>
      <c r="G1291" t="s">
        <v>74</v>
      </c>
      <c r="H1291" t="s">
        <v>75</v>
      </c>
      <c r="I1291" t="s">
        <v>60</v>
      </c>
      <c r="J1291" t="s">
        <v>61</v>
      </c>
      <c r="L1291" t="s">
        <v>88</v>
      </c>
      <c r="M1291" t="s">
        <v>955</v>
      </c>
    </row>
    <row r="1292" spans="1:13">
      <c r="A1292">
        <v>45764</v>
      </c>
      <c r="B1292" t="s">
        <v>1496</v>
      </c>
      <c r="F1292">
        <v>1</v>
      </c>
      <c r="G1292" t="s">
        <v>377</v>
      </c>
      <c r="H1292" t="s">
        <v>21</v>
      </c>
      <c r="L1292" t="s">
        <v>86</v>
      </c>
    </row>
    <row r="1293" spans="1:13">
      <c r="A1293">
        <v>45764</v>
      </c>
      <c r="B1293" t="s">
        <v>1497</v>
      </c>
      <c r="D1293">
        <v>500</v>
      </c>
      <c r="F1293">
        <v>1</v>
      </c>
      <c r="G1293" t="s">
        <v>22</v>
      </c>
      <c r="H1293" t="s">
        <v>21</v>
      </c>
      <c r="I1293" t="s">
        <v>60</v>
      </c>
      <c r="J1293" t="s">
        <v>61</v>
      </c>
      <c r="L1293" t="s">
        <v>86</v>
      </c>
    </row>
    <row r="1294" spans="1:13">
      <c r="A1294">
        <v>45765</v>
      </c>
      <c r="B1294" t="s">
        <v>1498</v>
      </c>
      <c r="F1294">
        <v>1</v>
      </c>
      <c r="G1294" t="s">
        <v>64</v>
      </c>
      <c r="L1294" t="s">
        <v>86</v>
      </c>
      <c r="M1294" t="s">
        <v>1499</v>
      </c>
    </row>
    <row r="1295" spans="1:13">
      <c r="A1295">
        <v>45765</v>
      </c>
      <c r="B1295" t="s">
        <v>63</v>
      </c>
      <c r="D1295">
        <v>15000</v>
      </c>
      <c r="G1295" t="s">
        <v>70</v>
      </c>
      <c r="I1295" t="s">
        <v>60</v>
      </c>
      <c r="J1295" t="s">
        <v>61</v>
      </c>
      <c r="L1295" t="s">
        <v>1343</v>
      </c>
    </row>
    <row r="1296" spans="1:13">
      <c r="A1296">
        <v>45765</v>
      </c>
      <c r="B1296" t="s">
        <v>1500</v>
      </c>
      <c r="D1296">
        <v>500</v>
      </c>
      <c r="F1296">
        <v>1</v>
      </c>
      <c r="G1296" t="s">
        <v>22</v>
      </c>
      <c r="H1296" t="s">
        <v>21</v>
      </c>
      <c r="I1296" t="s">
        <v>60</v>
      </c>
      <c r="J1296" t="s">
        <v>61</v>
      </c>
      <c r="L1296" t="s">
        <v>86</v>
      </c>
    </row>
    <row r="1297" spans="1:13">
      <c r="A1297">
        <v>45765</v>
      </c>
      <c r="B1297" t="s">
        <v>63</v>
      </c>
      <c r="D1297">
        <v>100</v>
      </c>
      <c r="F1297">
        <v>1</v>
      </c>
      <c r="G1297" t="s">
        <v>22</v>
      </c>
      <c r="H1297" t="s">
        <v>93</v>
      </c>
      <c r="I1297" t="s">
        <v>60</v>
      </c>
      <c r="J1297" t="s">
        <v>61</v>
      </c>
      <c r="L1297" t="s">
        <v>1343</v>
      </c>
    </row>
    <row r="1298" spans="1:13">
      <c r="A1298">
        <v>45765</v>
      </c>
      <c r="B1298" t="s">
        <v>1501</v>
      </c>
      <c r="F1298">
        <v>1</v>
      </c>
      <c r="G1298" t="s">
        <v>319</v>
      </c>
      <c r="H1298" t="s">
        <v>21</v>
      </c>
      <c r="L1298" t="s">
        <v>89</v>
      </c>
    </row>
    <row r="1299" spans="1:13">
      <c r="A1299">
        <v>45765</v>
      </c>
      <c r="B1299" t="s">
        <v>1502</v>
      </c>
      <c r="D1299">
        <v>500</v>
      </c>
      <c r="F1299">
        <v>0</v>
      </c>
      <c r="G1299" t="s">
        <v>22</v>
      </c>
      <c r="H1299" t="s">
        <v>21</v>
      </c>
      <c r="I1299" t="s">
        <v>60</v>
      </c>
      <c r="J1299" t="s">
        <v>61</v>
      </c>
      <c r="L1299" t="s">
        <v>89</v>
      </c>
    </row>
    <row r="1300" spans="1:13">
      <c r="A1300">
        <v>45765</v>
      </c>
      <c r="B1300" t="s">
        <v>1503</v>
      </c>
      <c r="F1300">
        <v>1</v>
      </c>
      <c r="G1300" t="s">
        <v>64</v>
      </c>
      <c r="L1300" t="s">
        <v>89</v>
      </c>
      <c r="M1300" t="s">
        <v>368</v>
      </c>
    </row>
    <row r="1301" spans="1:13">
      <c r="A1301">
        <v>45766</v>
      </c>
      <c r="B1301" t="s">
        <v>559</v>
      </c>
      <c r="E1301">
        <v>10000</v>
      </c>
      <c r="F1301">
        <v>1</v>
      </c>
      <c r="G1301" t="s">
        <v>65</v>
      </c>
      <c r="H1301" t="s">
        <v>560</v>
      </c>
      <c r="I1301" t="s">
        <v>60</v>
      </c>
      <c r="J1301" t="s">
        <v>61</v>
      </c>
      <c r="L1301" t="s">
        <v>1343</v>
      </c>
    </row>
    <row r="1302" spans="1:13">
      <c r="A1302">
        <v>45766</v>
      </c>
      <c r="B1302" t="s">
        <v>561</v>
      </c>
      <c r="E1302">
        <v>9000</v>
      </c>
      <c r="F1302">
        <v>1</v>
      </c>
      <c r="G1302" t="s">
        <v>65</v>
      </c>
      <c r="H1302" t="s">
        <v>560</v>
      </c>
      <c r="I1302" t="s">
        <v>60</v>
      </c>
      <c r="J1302" t="s">
        <v>61</v>
      </c>
      <c r="L1302" t="s">
        <v>1343</v>
      </c>
    </row>
    <row r="1303" spans="1:13">
      <c r="A1303">
        <v>45766</v>
      </c>
      <c r="B1303" t="s">
        <v>624</v>
      </c>
      <c r="D1303">
        <v>-31200</v>
      </c>
      <c r="G1303" t="s">
        <v>77</v>
      </c>
      <c r="I1303" t="s">
        <v>60</v>
      </c>
      <c r="J1303" t="s">
        <v>61</v>
      </c>
      <c r="L1303" t="s">
        <v>62</v>
      </c>
    </row>
    <row r="1304" spans="1:13">
      <c r="A1304">
        <v>45766</v>
      </c>
      <c r="B1304" t="s">
        <v>624</v>
      </c>
      <c r="E1304">
        <v>-1650</v>
      </c>
      <c r="G1304" t="s">
        <v>65</v>
      </c>
      <c r="H1304" t="s">
        <v>85</v>
      </c>
      <c r="I1304" t="s">
        <v>60</v>
      </c>
      <c r="J1304" t="s">
        <v>61</v>
      </c>
      <c r="L1304" t="s">
        <v>62</v>
      </c>
    </row>
    <row r="1305" spans="1:13">
      <c r="A1305">
        <v>45766</v>
      </c>
      <c r="B1305" t="s">
        <v>63</v>
      </c>
      <c r="D1305">
        <v>200</v>
      </c>
      <c r="F1305">
        <v>2</v>
      </c>
      <c r="G1305" t="s">
        <v>22</v>
      </c>
      <c r="H1305" t="s">
        <v>93</v>
      </c>
      <c r="I1305" t="s">
        <v>60</v>
      </c>
      <c r="J1305" t="s">
        <v>61</v>
      </c>
      <c r="L1305" t="s">
        <v>1343</v>
      </c>
    </row>
    <row r="1306" spans="1:13">
      <c r="A1306">
        <v>45766</v>
      </c>
      <c r="B1306" t="s">
        <v>63</v>
      </c>
      <c r="D1306">
        <v>14200</v>
      </c>
      <c r="G1306" t="s">
        <v>77</v>
      </c>
      <c r="I1306" t="s">
        <v>60</v>
      </c>
      <c r="J1306" t="s">
        <v>61</v>
      </c>
      <c r="L1306" t="s">
        <v>1343</v>
      </c>
    </row>
    <row r="1307" spans="1:13">
      <c r="A1307">
        <v>45766</v>
      </c>
      <c r="B1307" t="s">
        <v>63</v>
      </c>
      <c r="D1307">
        <v>97000</v>
      </c>
      <c r="F1307">
        <v>3</v>
      </c>
      <c r="G1307" t="s">
        <v>70</v>
      </c>
      <c r="I1307" t="s">
        <v>71</v>
      </c>
      <c r="J1307" t="s">
        <v>535</v>
      </c>
      <c r="K1307" t="s">
        <v>1504</v>
      </c>
      <c r="L1307" t="s">
        <v>1343</v>
      </c>
      <c r="M1307" t="s">
        <v>90</v>
      </c>
    </row>
    <row r="1308" spans="1:13">
      <c r="A1308">
        <v>45766</v>
      </c>
      <c r="B1308" t="s">
        <v>63</v>
      </c>
      <c r="D1308">
        <v>7500</v>
      </c>
      <c r="G1308" t="s">
        <v>70</v>
      </c>
      <c r="I1308" t="s">
        <v>60</v>
      </c>
      <c r="J1308" t="s">
        <v>61</v>
      </c>
      <c r="L1308" t="s">
        <v>1343</v>
      </c>
    </row>
    <row r="1309" spans="1:13">
      <c r="A1309">
        <v>45766</v>
      </c>
      <c r="B1309" t="s">
        <v>1505</v>
      </c>
      <c r="D1309">
        <v>500</v>
      </c>
      <c r="F1309">
        <v>1</v>
      </c>
      <c r="G1309" t="s">
        <v>22</v>
      </c>
      <c r="H1309" t="s">
        <v>21</v>
      </c>
      <c r="I1309" t="s">
        <v>60</v>
      </c>
      <c r="J1309" t="s">
        <v>61</v>
      </c>
      <c r="L1309" t="s">
        <v>82</v>
      </c>
    </row>
    <row r="1310" spans="1:13">
      <c r="A1310">
        <v>45766</v>
      </c>
      <c r="B1310" t="s">
        <v>1506</v>
      </c>
      <c r="F1310">
        <v>1</v>
      </c>
      <c r="G1310" t="s">
        <v>64</v>
      </c>
      <c r="L1310" t="s">
        <v>89</v>
      </c>
      <c r="M1310" t="s">
        <v>96</v>
      </c>
    </row>
    <row r="1311" spans="1:13">
      <c r="A1311">
        <v>45766</v>
      </c>
      <c r="B1311" t="s">
        <v>1507</v>
      </c>
      <c r="D1311">
        <v>500</v>
      </c>
      <c r="F1311">
        <v>1</v>
      </c>
      <c r="G1311" t="s">
        <v>22</v>
      </c>
      <c r="H1311" t="s">
        <v>21</v>
      </c>
      <c r="I1311" t="s">
        <v>60</v>
      </c>
      <c r="J1311" t="s">
        <v>61</v>
      </c>
      <c r="L1311" t="s">
        <v>89</v>
      </c>
    </row>
    <row r="1312" spans="1:13">
      <c r="A1312">
        <v>45766</v>
      </c>
      <c r="B1312" t="s">
        <v>1508</v>
      </c>
      <c r="D1312">
        <v>500</v>
      </c>
      <c r="F1312">
        <v>0</v>
      </c>
      <c r="G1312" t="s">
        <v>22</v>
      </c>
      <c r="H1312" t="s">
        <v>21</v>
      </c>
      <c r="I1312" t="s">
        <v>60</v>
      </c>
      <c r="J1312" t="s">
        <v>61</v>
      </c>
      <c r="L1312" t="s">
        <v>82</v>
      </c>
      <c r="M1312" t="s">
        <v>83</v>
      </c>
    </row>
    <row r="1313" spans="1:13">
      <c r="A1313">
        <v>45766</v>
      </c>
      <c r="B1313" t="s">
        <v>1509</v>
      </c>
      <c r="D1313">
        <v>500</v>
      </c>
      <c r="F1313">
        <v>1</v>
      </c>
      <c r="G1313" t="s">
        <v>22</v>
      </c>
      <c r="H1313" t="s">
        <v>21</v>
      </c>
      <c r="I1313" t="s">
        <v>60</v>
      </c>
      <c r="J1313" t="s">
        <v>61</v>
      </c>
      <c r="L1313" t="s">
        <v>89</v>
      </c>
    </row>
    <row r="1314" spans="1:13">
      <c r="A1314">
        <v>45767</v>
      </c>
      <c r="B1314" t="s">
        <v>63</v>
      </c>
      <c r="D1314">
        <v>7500</v>
      </c>
      <c r="F1314">
        <v>1</v>
      </c>
      <c r="G1314" t="s">
        <v>70</v>
      </c>
      <c r="I1314" t="s">
        <v>71</v>
      </c>
      <c r="J1314" t="s">
        <v>72</v>
      </c>
      <c r="K1314" t="s">
        <v>1510</v>
      </c>
      <c r="L1314" t="s">
        <v>1343</v>
      </c>
      <c r="M1314" t="s">
        <v>92</v>
      </c>
    </row>
    <row r="1315" spans="1:13">
      <c r="A1315">
        <v>45767</v>
      </c>
      <c r="B1315" t="s">
        <v>1511</v>
      </c>
      <c r="F1315">
        <v>1</v>
      </c>
      <c r="G1315" t="s">
        <v>79</v>
      </c>
      <c r="H1315" t="s">
        <v>21</v>
      </c>
      <c r="L1315" t="s">
        <v>86</v>
      </c>
    </row>
    <row r="1316" spans="1:13">
      <c r="A1316">
        <v>45767</v>
      </c>
      <c r="B1316" t="s">
        <v>1511</v>
      </c>
      <c r="F1316">
        <v>1</v>
      </c>
      <c r="G1316" t="s">
        <v>64</v>
      </c>
      <c r="L1316" t="s">
        <v>86</v>
      </c>
      <c r="M1316" t="s">
        <v>1354</v>
      </c>
    </row>
    <row r="1317" spans="1:13">
      <c r="A1317">
        <v>45767</v>
      </c>
      <c r="B1317" t="s">
        <v>63</v>
      </c>
      <c r="D1317">
        <v>12500</v>
      </c>
      <c r="F1317">
        <v>1</v>
      </c>
      <c r="G1317" t="s">
        <v>70</v>
      </c>
      <c r="I1317" t="s">
        <v>71</v>
      </c>
      <c r="J1317" t="s">
        <v>72</v>
      </c>
      <c r="K1317" t="s">
        <v>1512</v>
      </c>
      <c r="L1317" t="s">
        <v>1343</v>
      </c>
      <c r="M1317" t="s">
        <v>1513</v>
      </c>
    </row>
    <row r="1318" spans="1:13">
      <c r="A1318">
        <v>45767</v>
      </c>
      <c r="B1318" t="s">
        <v>1514</v>
      </c>
      <c r="D1318">
        <v>0</v>
      </c>
      <c r="F1318">
        <v>1</v>
      </c>
      <c r="G1318" t="s">
        <v>22</v>
      </c>
      <c r="H1318" t="s">
        <v>21</v>
      </c>
      <c r="I1318" t="s">
        <v>60</v>
      </c>
      <c r="J1318" t="s">
        <v>61</v>
      </c>
      <c r="L1318" t="s">
        <v>101</v>
      </c>
      <c r="M1318" t="s">
        <v>1515</v>
      </c>
    </row>
    <row r="1319" spans="1:13">
      <c r="A1319">
        <v>45767</v>
      </c>
      <c r="B1319" t="s">
        <v>1514</v>
      </c>
      <c r="D1319">
        <v>500</v>
      </c>
      <c r="F1319">
        <v>1</v>
      </c>
      <c r="G1319" t="s">
        <v>22</v>
      </c>
      <c r="H1319" t="s">
        <v>21</v>
      </c>
      <c r="I1319" t="s">
        <v>60</v>
      </c>
      <c r="J1319" t="s">
        <v>61</v>
      </c>
      <c r="L1319" t="s">
        <v>82</v>
      </c>
    </row>
    <row r="1320" spans="1:13">
      <c r="A1320">
        <v>45767</v>
      </c>
      <c r="B1320" t="s">
        <v>1516</v>
      </c>
      <c r="D1320">
        <v>500</v>
      </c>
      <c r="F1320">
        <v>1</v>
      </c>
      <c r="G1320" t="s">
        <v>22</v>
      </c>
      <c r="H1320" t="s">
        <v>21</v>
      </c>
      <c r="I1320" t="s">
        <v>60</v>
      </c>
      <c r="J1320" t="s">
        <v>61</v>
      </c>
      <c r="L1320" t="s">
        <v>82</v>
      </c>
    </row>
    <row r="1321" spans="1:13">
      <c r="A1321">
        <v>45767</v>
      </c>
      <c r="B1321" t="s">
        <v>63</v>
      </c>
      <c r="D1321">
        <v>100</v>
      </c>
      <c r="F1321">
        <v>1</v>
      </c>
      <c r="G1321" t="s">
        <v>22</v>
      </c>
      <c r="H1321" t="s">
        <v>93</v>
      </c>
      <c r="I1321" t="s">
        <v>60</v>
      </c>
      <c r="J1321" t="s">
        <v>61</v>
      </c>
      <c r="L1321" t="s">
        <v>1343</v>
      </c>
    </row>
    <row r="1322" spans="1:13">
      <c r="A1322">
        <v>45767</v>
      </c>
      <c r="B1322" t="s">
        <v>76</v>
      </c>
      <c r="D1322">
        <v>500</v>
      </c>
      <c r="G1322" t="s">
        <v>77</v>
      </c>
      <c r="I1322" t="s">
        <v>60</v>
      </c>
      <c r="J1322" t="s">
        <v>61</v>
      </c>
      <c r="L1322" t="s">
        <v>1343</v>
      </c>
    </row>
    <row r="1323" spans="1:13">
      <c r="A1323">
        <v>45768</v>
      </c>
      <c r="B1323" t="s">
        <v>81</v>
      </c>
      <c r="D1323">
        <v>281900</v>
      </c>
      <c r="F1323">
        <v>1</v>
      </c>
      <c r="G1323" t="s">
        <v>74</v>
      </c>
      <c r="H1323" t="s">
        <v>75</v>
      </c>
      <c r="I1323" t="s">
        <v>60</v>
      </c>
      <c r="J1323" t="s">
        <v>61</v>
      </c>
      <c r="L1323" t="s">
        <v>88</v>
      </c>
      <c r="M1323" t="s">
        <v>955</v>
      </c>
    </row>
    <row r="1324" spans="1:13">
      <c r="A1324">
        <v>45768</v>
      </c>
      <c r="B1324" t="s">
        <v>238</v>
      </c>
      <c r="C1324" t="s">
        <v>1517</v>
      </c>
      <c r="F1324">
        <v>5</v>
      </c>
      <c r="G1324" t="s">
        <v>22</v>
      </c>
      <c r="H1324" t="s">
        <v>21</v>
      </c>
      <c r="L1324" t="s">
        <v>95</v>
      </c>
    </row>
    <row r="1325" spans="1:13">
      <c r="A1325">
        <v>45768</v>
      </c>
      <c r="B1325" t="s">
        <v>1518</v>
      </c>
      <c r="D1325">
        <v>500</v>
      </c>
      <c r="F1325">
        <v>1</v>
      </c>
      <c r="G1325" t="s">
        <v>22</v>
      </c>
      <c r="H1325" t="s">
        <v>21</v>
      </c>
      <c r="I1325" t="s">
        <v>60</v>
      </c>
      <c r="J1325" t="s">
        <v>61</v>
      </c>
      <c r="L1325" t="s">
        <v>89</v>
      </c>
    </row>
    <row r="1326" spans="1:13">
      <c r="A1326">
        <v>45768</v>
      </c>
      <c r="B1326" t="s">
        <v>1519</v>
      </c>
      <c r="F1326">
        <v>1</v>
      </c>
      <c r="G1326" t="s">
        <v>587</v>
      </c>
      <c r="H1326" t="s">
        <v>21</v>
      </c>
      <c r="L1326" t="s">
        <v>89</v>
      </c>
    </row>
    <row r="1327" spans="1:13">
      <c r="A1327">
        <v>45768</v>
      </c>
      <c r="B1327" t="s">
        <v>1520</v>
      </c>
      <c r="F1327">
        <v>1</v>
      </c>
      <c r="G1327" t="s">
        <v>590</v>
      </c>
      <c r="H1327" t="s">
        <v>21</v>
      </c>
      <c r="L1327" t="s">
        <v>89</v>
      </c>
    </row>
    <row r="1328" spans="1:13">
      <c r="A1328">
        <v>45768</v>
      </c>
      <c r="B1328" t="s">
        <v>1521</v>
      </c>
      <c r="D1328">
        <v>500</v>
      </c>
      <c r="F1328">
        <v>1</v>
      </c>
      <c r="G1328" t="s">
        <v>22</v>
      </c>
      <c r="H1328" t="s">
        <v>21</v>
      </c>
      <c r="I1328" t="s">
        <v>60</v>
      </c>
      <c r="J1328" t="s">
        <v>61</v>
      </c>
      <c r="L1328" t="s">
        <v>89</v>
      </c>
    </row>
    <row r="1329" spans="1:13">
      <c r="A1329">
        <v>45768</v>
      </c>
      <c r="B1329" t="s">
        <v>1522</v>
      </c>
      <c r="F1329">
        <v>1</v>
      </c>
      <c r="G1329" t="s">
        <v>64</v>
      </c>
      <c r="L1329" t="s">
        <v>89</v>
      </c>
      <c r="M1329" t="s">
        <v>96</v>
      </c>
    </row>
    <row r="1330" spans="1:13">
      <c r="A1330">
        <v>45768</v>
      </c>
      <c r="B1330" t="s">
        <v>63</v>
      </c>
      <c r="D1330">
        <v>27000</v>
      </c>
      <c r="F1330">
        <v>3</v>
      </c>
      <c r="G1330" t="s">
        <v>70</v>
      </c>
      <c r="I1330" t="s">
        <v>71</v>
      </c>
      <c r="J1330" t="s">
        <v>535</v>
      </c>
      <c r="K1330" t="s">
        <v>1523</v>
      </c>
      <c r="L1330" t="s">
        <v>1343</v>
      </c>
      <c r="M1330" t="s">
        <v>90</v>
      </c>
    </row>
    <row r="1331" spans="1:13">
      <c r="A1331">
        <v>45768</v>
      </c>
      <c r="B1331" t="s">
        <v>1524</v>
      </c>
      <c r="F1331">
        <v>1</v>
      </c>
      <c r="G1331" t="s">
        <v>587</v>
      </c>
      <c r="H1331" t="s">
        <v>21</v>
      </c>
      <c r="L1331" t="s">
        <v>89</v>
      </c>
    </row>
    <row r="1332" spans="1:13">
      <c r="A1332">
        <v>45768</v>
      </c>
      <c r="B1332" t="s">
        <v>1525</v>
      </c>
      <c r="D1332">
        <v>500</v>
      </c>
      <c r="F1332">
        <v>1</v>
      </c>
      <c r="G1332" t="s">
        <v>22</v>
      </c>
      <c r="H1332" t="s">
        <v>21</v>
      </c>
      <c r="I1332" t="s">
        <v>60</v>
      </c>
      <c r="J1332" t="s">
        <v>61</v>
      </c>
      <c r="L1332" t="s">
        <v>89</v>
      </c>
    </row>
    <row r="1333" spans="1:13">
      <c r="A1333">
        <v>45768</v>
      </c>
      <c r="B1333" t="s">
        <v>1526</v>
      </c>
      <c r="D1333">
        <v>500</v>
      </c>
      <c r="F1333">
        <v>1</v>
      </c>
      <c r="G1333" t="s">
        <v>22</v>
      </c>
      <c r="H1333" t="s">
        <v>21</v>
      </c>
      <c r="I1333" t="s">
        <v>60</v>
      </c>
      <c r="J1333" t="s">
        <v>61</v>
      </c>
      <c r="L1333" t="s">
        <v>82</v>
      </c>
    </row>
    <row r="1334" spans="1:13">
      <c r="A1334">
        <v>45768</v>
      </c>
      <c r="B1334" t="s">
        <v>1527</v>
      </c>
      <c r="D1334">
        <v>500</v>
      </c>
      <c r="F1334">
        <v>1</v>
      </c>
      <c r="G1334" t="s">
        <v>22</v>
      </c>
      <c r="H1334" t="s">
        <v>21</v>
      </c>
      <c r="I1334" t="s">
        <v>60</v>
      </c>
      <c r="J1334" t="s">
        <v>61</v>
      </c>
      <c r="L1334" t="s">
        <v>82</v>
      </c>
    </row>
    <row r="1335" spans="1:13">
      <c r="A1335">
        <v>45768</v>
      </c>
      <c r="B1335" t="s">
        <v>63</v>
      </c>
      <c r="D1335">
        <v>24500</v>
      </c>
      <c r="F1335">
        <v>2</v>
      </c>
      <c r="G1335" t="s">
        <v>70</v>
      </c>
      <c r="I1335" t="s">
        <v>71</v>
      </c>
      <c r="J1335" t="s">
        <v>535</v>
      </c>
      <c r="K1335" t="s">
        <v>1528</v>
      </c>
      <c r="L1335" t="s">
        <v>1343</v>
      </c>
      <c r="M1335" t="s">
        <v>90</v>
      </c>
    </row>
    <row r="1336" spans="1:13">
      <c r="A1336">
        <v>45769</v>
      </c>
      <c r="B1336" t="s">
        <v>1529</v>
      </c>
      <c r="F1336">
        <v>1</v>
      </c>
      <c r="G1336" t="s">
        <v>587</v>
      </c>
      <c r="H1336" t="s">
        <v>21</v>
      </c>
      <c r="L1336" t="s">
        <v>89</v>
      </c>
    </row>
    <row r="1337" spans="1:13">
      <c r="A1337">
        <v>45769</v>
      </c>
      <c r="B1337" t="s">
        <v>1530</v>
      </c>
      <c r="D1337">
        <v>500</v>
      </c>
      <c r="F1337">
        <v>1</v>
      </c>
      <c r="G1337" t="s">
        <v>22</v>
      </c>
      <c r="H1337" t="s">
        <v>21</v>
      </c>
      <c r="I1337" t="s">
        <v>60</v>
      </c>
      <c r="J1337" t="s">
        <v>61</v>
      </c>
      <c r="L1337" t="s">
        <v>89</v>
      </c>
    </row>
    <row r="1338" spans="1:13">
      <c r="A1338">
        <v>45769</v>
      </c>
      <c r="B1338" t="s">
        <v>63</v>
      </c>
      <c r="D1338">
        <v>100</v>
      </c>
      <c r="F1338">
        <v>1</v>
      </c>
      <c r="G1338" t="s">
        <v>22</v>
      </c>
      <c r="H1338" t="s">
        <v>93</v>
      </c>
      <c r="I1338" t="s">
        <v>60</v>
      </c>
      <c r="J1338" t="s">
        <v>61</v>
      </c>
      <c r="L1338" t="s">
        <v>1343</v>
      </c>
    </row>
    <row r="1339" spans="1:13">
      <c r="A1339">
        <v>45769</v>
      </c>
      <c r="B1339" t="s">
        <v>81</v>
      </c>
      <c r="D1339">
        <v>138000</v>
      </c>
      <c r="F1339">
        <v>1</v>
      </c>
      <c r="G1339" t="s">
        <v>74</v>
      </c>
      <c r="H1339" t="s">
        <v>75</v>
      </c>
      <c r="I1339" t="s">
        <v>60</v>
      </c>
      <c r="J1339" t="s">
        <v>61</v>
      </c>
      <c r="L1339" t="s">
        <v>88</v>
      </c>
      <c r="M1339" t="s">
        <v>955</v>
      </c>
    </row>
    <row r="1340" spans="1:13">
      <c r="A1340">
        <v>45769</v>
      </c>
      <c r="B1340" t="s">
        <v>63</v>
      </c>
      <c r="D1340">
        <v>10500</v>
      </c>
      <c r="F1340">
        <v>2</v>
      </c>
      <c r="G1340" t="s">
        <v>70</v>
      </c>
      <c r="I1340" t="s">
        <v>71</v>
      </c>
      <c r="J1340" t="s">
        <v>535</v>
      </c>
      <c r="K1340" t="s">
        <v>1531</v>
      </c>
      <c r="L1340" t="s">
        <v>1343</v>
      </c>
      <c r="M1340" t="s">
        <v>1532</v>
      </c>
    </row>
    <row r="1341" spans="1:13">
      <c r="A1341">
        <v>45769</v>
      </c>
      <c r="B1341" t="s">
        <v>1533</v>
      </c>
      <c r="D1341">
        <v>500</v>
      </c>
      <c r="F1341">
        <v>1</v>
      </c>
      <c r="G1341" t="s">
        <v>22</v>
      </c>
      <c r="H1341" t="s">
        <v>21</v>
      </c>
      <c r="I1341" t="s">
        <v>60</v>
      </c>
      <c r="J1341" t="s">
        <v>61</v>
      </c>
      <c r="L1341" t="s">
        <v>82</v>
      </c>
    </row>
    <row r="1342" spans="1:13">
      <c r="A1342">
        <v>45769</v>
      </c>
      <c r="B1342" t="s">
        <v>1534</v>
      </c>
      <c r="D1342">
        <v>500</v>
      </c>
      <c r="F1342">
        <v>1</v>
      </c>
      <c r="G1342" t="s">
        <v>22</v>
      </c>
      <c r="H1342" t="s">
        <v>21</v>
      </c>
      <c r="I1342" t="s">
        <v>60</v>
      </c>
      <c r="J1342" t="s">
        <v>61</v>
      </c>
      <c r="L1342" t="s">
        <v>82</v>
      </c>
    </row>
    <row r="1343" spans="1:13">
      <c r="A1343">
        <v>45769</v>
      </c>
      <c r="B1343" t="s">
        <v>1535</v>
      </c>
      <c r="D1343">
        <v>500</v>
      </c>
      <c r="F1343">
        <v>1</v>
      </c>
      <c r="G1343" t="s">
        <v>22</v>
      </c>
      <c r="H1343" t="s">
        <v>21</v>
      </c>
      <c r="I1343" t="s">
        <v>60</v>
      </c>
      <c r="J1343" t="s">
        <v>61</v>
      </c>
      <c r="L1343" t="s">
        <v>89</v>
      </c>
    </row>
    <row r="1344" spans="1:13">
      <c r="A1344">
        <v>45769</v>
      </c>
      <c r="B1344" t="s">
        <v>1536</v>
      </c>
      <c r="D1344">
        <v>500</v>
      </c>
      <c r="F1344">
        <v>1</v>
      </c>
      <c r="G1344" t="s">
        <v>22</v>
      </c>
      <c r="H1344" t="s">
        <v>21</v>
      </c>
      <c r="I1344" t="s">
        <v>60</v>
      </c>
      <c r="J1344" t="s">
        <v>61</v>
      </c>
      <c r="L1344" t="s">
        <v>82</v>
      </c>
    </row>
    <row r="1345" spans="1:13">
      <c r="A1345">
        <v>45769</v>
      </c>
      <c r="B1345" t="s">
        <v>1537</v>
      </c>
      <c r="F1345">
        <v>1</v>
      </c>
      <c r="G1345" t="s">
        <v>0</v>
      </c>
      <c r="L1345" t="s">
        <v>82</v>
      </c>
    </row>
    <row r="1346" spans="1:13">
      <c r="A1346">
        <v>45769</v>
      </c>
      <c r="B1346" t="s">
        <v>1131</v>
      </c>
      <c r="C1346" t="s">
        <v>1538</v>
      </c>
      <c r="F1346">
        <v>-500</v>
      </c>
      <c r="G1346" t="s">
        <v>23</v>
      </c>
      <c r="H1346" t="s">
        <v>1133</v>
      </c>
      <c r="L1346" t="s">
        <v>1134</v>
      </c>
    </row>
    <row r="1347" spans="1:13">
      <c r="A1347">
        <v>45770</v>
      </c>
      <c r="B1347" t="s">
        <v>63</v>
      </c>
      <c r="D1347">
        <v>3500</v>
      </c>
      <c r="F1347">
        <v>1</v>
      </c>
      <c r="G1347" t="s">
        <v>70</v>
      </c>
      <c r="I1347" t="s">
        <v>71</v>
      </c>
      <c r="J1347" t="s">
        <v>72</v>
      </c>
      <c r="K1347">
        <v>512</v>
      </c>
      <c r="L1347" t="s">
        <v>1343</v>
      </c>
      <c r="M1347" t="s">
        <v>90</v>
      </c>
    </row>
    <row r="1348" spans="1:13">
      <c r="A1348">
        <v>45770</v>
      </c>
      <c r="B1348" t="s">
        <v>1539</v>
      </c>
      <c r="D1348">
        <v>500</v>
      </c>
      <c r="F1348">
        <v>1</v>
      </c>
      <c r="G1348" t="s">
        <v>22</v>
      </c>
      <c r="H1348" t="s">
        <v>21</v>
      </c>
      <c r="I1348" t="s">
        <v>60</v>
      </c>
      <c r="J1348" t="s">
        <v>61</v>
      </c>
      <c r="L1348" t="s">
        <v>86</v>
      </c>
    </row>
    <row r="1349" spans="1:13">
      <c r="A1349">
        <v>45770</v>
      </c>
      <c r="B1349" t="s">
        <v>81</v>
      </c>
      <c r="D1349">
        <v>91100</v>
      </c>
      <c r="F1349">
        <v>1</v>
      </c>
      <c r="G1349" t="s">
        <v>74</v>
      </c>
      <c r="H1349" t="s">
        <v>75</v>
      </c>
      <c r="I1349" t="s">
        <v>60</v>
      </c>
      <c r="J1349" t="s">
        <v>61</v>
      </c>
      <c r="L1349" t="s">
        <v>88</v>
      </c>
      <c r="M1349" t="s">
        <v>955</v>
      </c>
    </row>
    <row r="1350" spans="1:13">
      <c r="A1350">
        <v>45770</v>
      </c>
      <c r="B1350" t="s">
        <v>1540</v>
      </c>
      <c r="D1350">
        <v>500</v>
      </c>
      <c r="F1350">
        <v>1</v>
      </c>
      <c r="G1350" t="s">
        <v>22</v>
      </c>
      <c r="H1350" t="s">
        <v>21</v>
      </c>
      <c r="I1350" t="s">
        <v>60</v>
      </c>
      <c r="J1350" t="s">
        <v>61</v>
      </c>
      <c r="L1350" t="s">
        <v>82</v>
      </c>
    </row>
    <row r="1351" spans="1:13">
      <c r="A1351">
        <v>45770</v>
      </c>
      <c r="B1351" t="s">
        <v>1541</v>
      </c>
      <c r="D1351">
        <v>500</v>
      </c>
      <c r="F1351">
        <v>0</v>
      </c>
      <c r="G1351" t="s">
        <v>22</v>
      </c>
      <c r="H1351" t="s">
        <v>21</v>
      </c>
      <c r="I1351" t="s">
        <v>60</v>
      </c>
      <c r="J1351" t="s">
        <v>61</v>
      </c>
      <c r="L1351" t="s">
        <v>86</v>
      </c>
      <c r="M1351" t="s">
        <v>83</v>
      </c>
    </row>
    <row r="1352" spans="1:13">
      <c r="A1352">
        <v>45770</v>
      </c>
      <c r="B1352" t="s">
        <v>76</v>
      </c>
      <c r="D1352">
        <v>1000</v>
      </c>
      <c r="G1352" t="s">
        <v>77</v>
      </c>
      <c r="I1352" t="s">
        <v>60</v>
      </c>
      <c r="J1352" t="s">
        <v>61</v>
      </c>
      <c r="L1352" t="s">
        <v>1343</v>
      </c>
    </row>
    <row r="1353" spans="1:13">
      <c r="A1353">
        <v>45770</v>
      </c>
      <c r="B1353" t="s">
        <v>1542</v>
      </c>
      <c r="D1353">
        <v>500</v>
      </c>
      <c r="F1353">
        <v>1</v>
      </c>
      <c r="G1353" t="s">
        <v>22</v>
      </c>
      <c r="H1353" t="s">
        <v>21</v>
      </c>
      <c r="I1353" t="s">
        <v>60</v>
      </c>
      <c r="J1353" t="s">
        <v>61</v>
      </c>
      <c r="L1353" t="s">
        <v>82</v>
      </c>
    </row>
    <row r="1354" spans="1:13">
      <c r="A1354">
        <v>45770</v>
      </c>
      <c r="B1354" t="s">
        <v>1542</v>
      </c>
      <c r="F1354">
        <v>1</v>
      </c>
      <c r="G1354" t="s">
        <v>64</v>
      </c>
      <c r="L1354" t="s">
        <v>82</v>
      </c>
      <c r="M1354" t="s">
        <v>1543</v>
      </c>
    </row>
    <row r="1355" spans="1:13">
      <c r="A1355">
        <v>45770</v>
      </c>
      <c r="B1355" t="s">
        <v>1544</v>
      </c>
      <c r="D1355">
        <v>500</v>
      </c>
      <c r="F1355">
        <v>1</v>
      </c>
      <c r="G1355" t="s">
        <v>22</v>
      </c>
      <c r="H1355" t="s">
        <v>21</v>
      </c>
      <c r="I1355" t="s">
        <v>60</v>
      </c>
      <c r="J1355" t="s">
        <v>61</v>
      </c>
      <c r="L1355" t="s">
        <v>82</v>
      </c>
    </row>
    <row r="1356" spans="1:13">
      <c r="A1356">
        <v>45770</v>
      </c>
      <c r="B1356" t="s">
        <v>1544</v>
      </c>
      <c r="F1356">
        <v>1</v>
      </c>
      <c r="G1356" t="s">
        <v>64</v>
      </c>
      <c r="L1356" t="s">
        <v>82</v>
      </c>
      <c r="M1356" t="s">
        <v>1545</v>
      </c>
    </row>
    <row r="1357" spans="1:13">
      <c r="A1357">
        <v>45770</v>
      </c>
      <c r="B1357" t="s">
        <v>63</v>
      </c>
      <c r="D1357">
        <v>100</v>
      </c>
      <c r="F1357">
        <v>1</v>
      </c>
      <c r="G1357" t="s">
        <v>22</v>
      </c>
      <c r="H1357" t="s">
        <v>93</v>
      </c>
      <c r="I1357" t="s">
        <v>60</v>
      </c>
      <c r="J1357" t="s">
        <v>61</v>
      </c>
      <c r="L1357" t="s">
        <v>1343</v>
      </c>
    </row>
    <row r="1358" spans="1:13">
      <c r="A1358">
        <v>45770</v>
      </c>
      <c r="B1358" t="s">
        <v>63</v>
      </c>
      <c r="D1358">
        <v>25000</v>
      </c>
      <c r="F1358">
        <v>3</v>
      </c>
      <c r="G1358" t="s">
        <v>70</v>
      </c>
      <c r="I1358" t="s">
        <v>71</v>
      </c>
      <c r="J1358" t="s">
        <v>72</v>
      </c>
      <c r="K1358" t="s">
        <v>1546</v>
      </c>
      <c r="L1358" t="s">
        <v>1343</v>
      </c>
      <c r="M1358" t="s">
        <v>90</v>
      </c>
    </row>
    <row r="1359" spans="1:13">
      <c r="A1359">
        <v>45770</v>
      </c>
      <c r="B1359" t="s">
        <v>63</v>
      </c>
      <c r="D1359">
        <v>7500</v>
      </c>
      <c r="G1359" t="s">
        <v>70</v>
      </c>
      <c r="I1359" t="s">
        <v>60</v>
      </c>
      <c r="J1359" t="s">
        <v>61</v>
      </c>
      <c r="L1359" t="s">
        <v>1343</v>
      </c>
    </row>
    <row r="1360" spans="1:13">
      <c r="A1360">
        <v>45771</v>
      </c>
      <c r="B1360" t="s">
        <v>81</v>
      </c>
      <c r="D1360">
        <v>190000</v>
      </c>
      <c r="F1360">
        <v>1</v>
      </c>
      <c r="G1360" t="s">
        <v>74</v>
      </c>
      <c r="H1360" t="s">
        <v>75</v>
      </c>
      <c r="I1360" t="s">
        <v>60</v>
      </c>
      <c r="J1360" t="s">
        <v>61</v>
      </c>
      <c r="L1360" t="s">
        <v>88</v>
      </c>
      <c r="M1360" t="s">
        <v>955</v>
      </c>
    </row>
    <row r="1361" spans="1:13">
      <c r="A1361">
        <v>45771</v>
      </c>
      <c r="B1361" t="s">
        <v>1547</v>
      </c>
      <c r="F1361">
        <v>1</v>
      </c>
      <c r="G1361" t="s">
        <v>99</v>
      </c>
      <c r="H1361" t="s">
        <v>21</v>
      </c>
      <c r="L1361" t="s">
        <v>89</v>
      </c>
    </row>
    <row r="1362" spans="1:13">
      <c r="A1362">
        <v>45771</v>
      </c>
      <c r="B1362" t="s">
        <v>1548</v>
      </c>
      <c r="D1362">
        <v>500</v>
      </c>
      <c r="F1362">
        <v>1</v>
      </c>
      <c r="G1362" t="s">
        <v>22</v>
      </c>
      <c r="H1362" t="s">
        <v>21</v>
      </c>
      <c r="I1362" t="s">
        <v>60</v>
      </c>
      <c r="J1362" t="s">
        <v>61</v>
      </c>
      <c r="L1362" t="s">
        <v>89</v>
      </c>
    </row>
    <row r="1363" spans="1:13">
      <c r="A1363">
        <v>45771</v>
      </c>
      <c r="B1363" t="s">
        <v>1549</v>
      </c>
      <c r="D1363">
        <v>500</v>
      </c>
      <c r="F1363">
        <v>1</v>
      </c>
      <c r="G1363" t="s">
        <v>22</v>
      </c>
      <c r="H1363" t="s">
        <v>21</v>
      </c>
      <c r="I1363" t="s">
        <v>60</v>
      </c>
      <c r="J1363" t="s">
        <v>61</v>
      </c>
      <c r="L1363" t="s">
        <v>89</v>
      </c>
    </row>
    <row r="1364" spans="1:13">
      <c r="A1364">
        <v>45771</v>
      </c>
      <c r="B1364" t="s">
        <v>1550</v>
      </c>
      <c r="D1364">
        <v>500</v>
      </c>
      <c r="F1364">
        <v>1</v>
      </c>
      <c r="G1364" t="s">
        <v>22</v>
      </c>
      <c r="H1364" t="s">
        <v>21</v>
      </c>
      <c r="I1364" t="s">
        <v>60</v>
      </c>
      <c r="J1364" t="s">
        <v>61</v>
      </c>
      <c r="L1364" t="s">
        <v>86</v>
      </c>
    </row>
    <row r="1365" spans="1:13">
      <c r="A1365">
        <v>45771</v>
      </c>
      <c r="B1365" t="s">
        <v>63</v>
      </c>
      <c r="D1365">
        <v>5500</v>
      </c>
      <c r="G1365" t="s">
        <v>70</v>
      </c>
      <c r="I1365" t="s">
        <v>60</v>
      </c>
      <c r="J1365" t="s">
        <v>61</v>
      </c>
      <c r="L1365" t="s">
        <v>1343</v>
      </c>
    </row>
    <row r="1366" spans="1:13">
      <c r="A1366">
        <v>45771</v>
      </c>
      <c r="B1366" t="s">
        <v>1139</v>
      </c>
      <c r="D1366">
        <v>500</v>
      </c>
      <c r="F1366">
        <v>0</v>
      </c>
      <c r="G1366" t="s">
        <v>22</v>
      </c>
      <c r="H1366" t="s">
        <v>21</v>
      </c>
      <c r="I1366" t="s">
        <v>60</v>
      </c>
      <c r="J1366" t="s">
        <v>61</v>
      </c>
      <c r="L1366" t="s">
        <v>86</v>
      </c>
      <c r="M1366" t="s">
        <v>83</v>
      </c>
    </row>
    <row r="1367" spans="1:13">
      <c r="A1367">
        <v>45771</v>
      </c>
      <c r="B1367" t="s">
        <v>76</v>
      </c>
      <c r="D1367">
        <v>2000</v>
      </c>
      <c r="G1367" t="s">
        <v>77</v>
      </c>
      <c r="I1367" t="s">
        <v>60</v>
      </c>
      <c r="J1367" t="s">
        <v>61</v>
      </c>
      <c r="L1367" t="s">
        <v>1343</v>
      </c>
    </row>
    <row r="1368" spans="1:13">
      <c r="A1368">
        <v>45771</v>
      </c>
      <c r="B1368" t="s">
        <v>1551</v>
      </c>
      <c r="F1368">
        <v>1</v>
      </c>
      <c r="G1368" t="s">
        <v>590</v>
      </c>
      <c r="H1368" t="s">
        <v>21</v>
      </c>
      <c r="L1368" t="s">
        <v>86</v>
      </c>
    </row>
    <row r="1369" spans="1:13">
      <c r="A1369">
        <v>45771</v>
      </c>
      <c r="B1369" t="s">
        <v>1552</v>
      </c>
      <c r="D1369">
        <v>500</v>
      </c>
      <c r="F1369">
        <v>1</v>
      </c>
      <c r="G1369" t="s">
        <v>22</v>
      </c>
      <c r="H1369" t="s">
        <v>21</v>
      </c>
      <c r="I1369" t="s">
        <v>60</v>
      </c>
      <c r="J1369" t="s">
        <v>61</v>
      </c>
      <c r="L1369" t="s">
        <v>86</v>
      </c>
    </row>
    <row r="1370" spans="1:13">
      <c r="A1370">
        <v>45771</v>
      </c>
      <c r="B1370" t="s">
        <v>1552</v>
      </c>
      <c r="F1370">
        <v>1</v>
      </c>
      <c r="G1370" t="s">
        <v>64</v>
      </c>
      <c r="L1370" t="s">
        <v>86</v>
      </c>
      <c r="M1370" t="s">
        <v>368</v>
      </c>
    </row>
    <row r="1371" spans="1:13">
      <c r="A1371">
        <v>45771</v>
      </c>
      <c r="B1371" t="s">
        <v>1553</v>
      </c>
      <c r="D1371">
        <v>500</v>
      </c>
      <c r="F1371">
        <v>1</v>
      </c>
      <c r="G1371" t="s">
        <v>22</v>
      </c>
      <c r="H1371" t="s">
        <v>21</v>
      </c>
      <c r="I1371" t="s">
        <v>60</v>
      </c>
      <c r="J1371" t="s">
        <v>61</v>
      </c>
      <c r="L1371" t="s">
        <v>86</v>
      </c>
    </row>
    <row r="1372" spans="1:13">
      <c r="A1372">
        <v>45771</v>
      </c>
      <c r="B1372" t="s">
        <v>63</v>
      </c>
      <c r="D1372">
        <v>10000</v>
      </c>
      <c r="F1372">
        <v>2</v>
      </c>
      <c r="G1372" t="s">
        <v>70</v>
      </c>
      <c r="I1372" t="s">
        <v>71</v>
      </c>
      <c r="J1372" t="s">
        <v>535</v>
      </c>
      <c r="K1372" t="s">
        <v>1554</v>
      </c>
      <c r="L1372" t="s">
        <v>1343</v>
      </c>
      <c r="M1372" t="s">
        <v>90</v>
      </c>
    </row>
    <row r="1373" spans="1:13">
      <c r="A1373">
        <v>45771</v>
      </c>
      <c r="B1373" t="s">
        <v>63</v>
      </c>
      <c r="D1373">
        <v>10000</v>
      </c>
      <c r="F1373">
        <v>2</v>
      </c>
      <c r="G1373" t="s">
        <v>70</v>
      </c>
      <c r="I1373" t="s">
        <v>71</v>
      </c>
      <c r="J1373" t="s">
        <v>72</v>
      </c>
      <c r="K1373" t="s">
        <v>1555</v>
      </c>
      <c r="L1373" t="s">
        <v>1343</v>
      </c>
      <c r="M1373" t="s">
        <v>1556</v>
      </c>
    </row>
    <row r="1374" spans="1:13">
      <c r="A1374">
        <v>45772</v>
      </c>
      <c r="B1374" t="s">
        <v>773</v>
      </c>
      <c r="C1374" t="s">
        <v>1557</v>
      </c>
      <c r="E1374">
        <v>144433.39000000001</v>
      </c>
      <c r="F1374">
        <v>1</v>
      </c>
      <c r="G1374" t="s">
        <v>65</v>
      </c>
      <c r="H1374" t="s">
        <v>265</v>
      </c>
      <c r="I1374" t="s">
        <v>60</v>
      </c>
      <c r="J1374" t="s">
        <v>61</v>
      </c>
      <c r="L1374" t="s">
        <v>1343</v>
      </c>
    </row>
    <row r="1375" spans="1:13">
      <c r="A1375">
        <v>45772</v>
      </c>
      <c r="B1375" t="s">
        <v>81</v>
      </c>
      <c r="E1375">
        <v>197952</v>
      </c>
      <c r="F1375">
        <v>1</v>
      </c>
      <c r="G1375" t="s">
        <v>74</v>
      </c>
      <c r="H1375" t="s">
        <v>75</v>
      </c>
      <c r="I1375" t="s">
        <v>60</v>
      </c>
      <c r="J1375" t="s">
        <v>61</v>
      </c>
      <c r="L1375" t="s">
        <v>768</v>
      </c>
      <c r="M1375" t="s">
        <v>1558</v>
      </c>
    </row>
    <row r="1376" spans="1:13">
      <c r="A1376">
        <v>45772</v>
      </c>
      <c r="B1376" t="s">
        <v>81</v>
      </c>
      <c r="D1376">
        <v>70300</v>
      </c>
      <c r="F1376">
        <v>1</v>
      </c>
      <c r="G1376" t="s">
        <v>74</v>
      </c>
      <c r="H1376" t="s">
        <v>75</v>
      </c>
      <c r="I1376" t="s">
        <v>60</v>
      </c>
      <c r="J1376" t="s">
        <v>61</v>
      </c>
      <c r="L1376" t="s">
        <v>88</v>
      </c>
      <c r="M1376" t="s">
        <v>955</v>
      </c>
    </row>
    <row r="1377" spans="1:13">
      <c r="A1377">
        <v>45772</v>
      </c>
      <c r="B1377" t="s">
        <v>1559</v>
      </c>
      <c r="F1377">
        <v>1</v>
      </c>
      <c r="G1377" t="s">
        <v>377</v>
      </c>
      <c r="H1377" t="s">
        <v>21</v>
      </c>
      <c r="L1377" t="s">
        <v>89</v>
      </c>
    </row>
    <row r="1378" spans="1:13">
      <c r="A1378">
        <v>45772</v>
      </c>
      <c r="B1378" t="s">
        <v>1560</v>
      </c>
      <c r="F1378">
        <v>1</v>
      </c>
      <c r="G1378" t="s">
        <v>79</v>
      </c>
      <c r="H1378" t="s">
        <v>21</v>
      </c>
      <c r="L1378" t="s">
        <v>89</v>
      </c>
    </row>
    <row r="1379" spans="1:13">
      <c r="A1379">
        <v>45772</v>
      </c>
      <c r="B1379" t="s">
        <v>1561</v>
      </c>
      <c r="D1379">
        <v>500</v>
      </c>
      <c r="F1379">
        <v>1</v>
      </c>
      <c r="G1379" t="s">
        <v>22</v>
      </c>
      <c r="H1379" t="s">
        <v>21</v>
      </c>
      <c r="I1379" t="s">
        <v>60</v>
      </c>
      <c r="J1379" t="s">
        <v>61</v>
      </c>
      <c r="L1379" t="s">
        <v>82</v>
      </c>
    </row>
    <row r="1380" spans="1:13">
      <c r="A1380">
        <v>45772</v>
      </c>
      <c r="B1380" t="s">
        <v>1562</v>
      </c>
      <c r="D1380">
        <v>500</v>
      </c>
      <c r="F1380">
        <v>1</v>
      </c>
      <c r="G1380" t="s">
        <v>22</v>
      </c>
      <c r="H1380" t="s">
        <v>21</v>
      </c>
      <c r="I1380" t="s">
        <v>60</v>
      </c>
      <c r="J1380" t="s">
        <v>61</v>
      </c>
      <c r="L1380" t="s">
        <v>89</v>
      </c>
    </row>
    <row r="1381" spans="1:13">
      <c r="A1381">
        <v>45772</v>
      </c>
      <c r="B1381" t="s">
        <v>1563</v>
      </c>
      <c r="D1381">
        <v>500</v>
      </c>
      <c r="F1381">
        <v>1</v>
      </c>
      <c r="G1381" t="s">
        <v>22</v>
      </c>
      <c r="H1381" t="s">
        <v>21</v>
      </c>
      <c r="I1381" t="s">
        <v>60</v>
      </c>
      <c r="J1381" t="s">
        <v>61</v>
      </c>
      <c r="L1381" t="s">
        <v>89</v>
      </c>
    </row>
    <row r="1382" spans="1:13">
      <c r="A1382">
        <v>45772</v>
      </c>
      <c r="B1382" t="s">
        <v>1564</v>
      </c>
      <c r="D1382">
        <v>500</v>
      </c>
      <c r="F1382">
        <v>0</v>
      </c>
      <c r="G1382" t="s">
        <v>22</v>
      </c>
      <c r="H1382" t="s">
        <v>21</v>
      </c>
      <c r="I1382" t="s">
        <v>60</v>
      </c>
      <c r="J1382" t="s">
        <v>61</v>
      </c>
      <c r="L1382" t="s">
        <v>89</v>
      </c>
      <c r="M1382" t="s">
        <v>83</v>
      </c>
    </row>
    <row r="1383" spans="1:13">
      <c r="A1383">
        <v>45772</v>
      </c>
      <c r="B1383" t="s">
        <v>1565</v>
      </c>
      <c r="D1383">
        <v>500</v>
      </c>
      <c r="F1383">
        <v>1</v>
      </c>
      <c r="G1383" t="s">
        <v>22</v>
      </c>
      <c r="H1383" t="s">
        <v>21</v>
      </c>
      <c r="I1383" t="s">
        <v>60</v>
      </c>
      <c r="J1383" t="s">
        <v>61</v>
      </c>
      <c r="L1383" t="s">
        <v>82</v>
      </c>
    </row>
    <row r="1384" spans="1:13">
      <c r="A1384">
        <v>45772</v>
      </c>
      <c r="B1384" t="s">
        <v>63</v>
      </c>
      <c r="D1384">
        <v>7500</v>
      </c>
      <c r="F1384">
        <v>1</v>
      </c>
      <c r="G1384" t="s">
        <v>70</v>
      </c>
      <c r="I1384" t="s">
        <v>71</v>
      </c>
      <c r="J1384" t="s">
        <v>535</v>
      </c>
      <c r="K1384" t="s">
        <v>1566</v>
      </c>
      <c r="L1384" t="s">
        <v>1343</v>
      </c>
      <c r="M1384" t="s">
        <v>1258</v>
      </c>
    </row>
    <row r="1385" spans="1:13">
      <c r="A1385">
        <v>45773</v>
      </c>
      <c r="B1385" t="s">
        <v>81</v>
      </c>
      <c r="D1385">
        <v>72000</v>
      </c>
      <c r="F1385">
        <v>1</v>
      </c>
      <c r="G1385" t="s">
        <v>74</v>
      </c>
      <c r="H1385" t="s">
        <v>75</v>
      </c>
      <c r="I1385" t="s">
        <v>60</v>
      </c>
      <c r="J1385" t="s">
        <v>61</v>
      </c>
      <c r="L1385" t="s">
        <v>88</v>
      </c>
      <c r="M1385" t="s">
        <v>955</v>
      </c>
    </row>
    <row r="1386" spans="1:13">
      <c r="A1386">
        <v>45773</v>
      </c>
      <c r="B1386" t="s">
        <v>559</v>
      </c>
      <c r="E1386">
        <v>10000</v>
      </c>
      <c r="F1386">
        <v>1</v>
      </c>
      <c r="G1386" t="s">
        <v>65</v>
      </c>
      <c r="H1386" t="s">
        <v>560</v>
      </c>
      <c r="I1386" t="s">
        <v>60</v>
      </c>
      <c r="J1386" t="s">
        <v>61</v>
      </c>
      <c r="L1386" t="s">
        <v>1343</v>
      </c>
    </row>
    <row r="1387" spans="1:13">
      <c r="A1387">
        <v>45773</v>
      </c>
      <c r="B1387" t="s">
        <v>561</v>
      </c>
      <c r="E1387">
        <v>9000</v>
      </c>
      <c r="F1387">
        <v>1</v>
      </c>
      <c r="G1387" t="s">
        <v>65</v>
      </c>
      <c r="H1387" t="s">
        <v>560</v>
      </c>
      <c r="I1387" t="s">
        <v>60</v>
      </c>
      <c r="J1387" t="s">
        <v>61</v>
      </c>
      <c r="L1387" t="s">
        <v>1343</v>
      </c>
    </row>
    <row r="1388" spans="1:13">
      <c r="A1388">
        <v>45773</v>
      </c>
      <c r="B1388" t="s">
        <v>1567</v>
      </c>
      <c r="F1388">
        <v>1</v>
      </c>
      <c r="G1388" t="s">
        <v>64</v>
      </c>
      <c r="L1388" t="s">
        <v>82</v>
      </c>
      <c r="M1388" t="s">
        <v>1568</v>
      </c>
    </row>
    <row r="1389" spans="1:13">
      <c r="A1389">
        <v>45773</v>
      </c>
      <c r="B1389" t="s">
        <v>1569</v>
      </c>
      <c r="D1389">
        <v>500</v>
      </c>
      <c r="F1389">
        <v>1</v>
      </c>
      <c r="G1389" t="s">
        <v>22</v>
      </c>
      <c r="H1389" t="s">
        <v>21</v>
      </c>
      <c r="I1389" t="s">
        <v>60</v>
      </c>
      <c r="J1389" t="s">
        <v>61</v>
      </c>
      <c r="L1389" t="s">
        <v>82</v>
      </c>
    </row>
    <row r="1390" spans="1:13">
      <c r="A1390">
        <v>45773</v>
      </c>
      <c r="B1390" t="s">
        <v>1570</v>
      </c>
      <c r="D1390">
        <v>500</v>
      </c>
      <c r="F1390">
        <v>1</v>
      </c>
      <c r="G1390" t="s">
        <v>22</v>
      </c>
      <c r="H1390" t="s">
        <v>21</v>
      </c>
      <c r="I1390" t="s">
        <v>60</v>
      </c>
      <c r="J1390" t="s">
        <v>61</v>
      </c>
      <c r="L1390" t="s">
        <v>82</v>
      </c>
    </row>
    <row r="1391" spans="1:13">
      <c r="A1391">
        <v>45773</v>
      </c>
      <c r="B1391" t="s">
        <v>1571</v>
      </c>
      <c r="F1391">
        <v>1</v>
      </c>
      <c r="G1391" t="s">
        <v>79</v>
      </c>
      <c r="H1391" t="s">
        <v>21</v>
      </c>
      <c r="L1391" t="s">
        <v>82</v>
      </c>
    </row>
    <row r="1392" spans="1:13">
      <c r="A1392">
        <v>45773</v>
      </c>
      <c r="B1392" t="s">
        <v>1572</v>
      </c>
      <c r="D1392">
        <v>500</v>
      </c>
      <c r="F1392">
        <v>1</v>
      </c>
      <c r="G1392" t="s">
        <v>22</v>
      </c>
      <c r="H1392" t="s">
        <v>21</v>
      </c>
      <c r="I1392" t="s">
        <v>60</v>
      </c>
      <c r="J1392" t="s">
        <v>61</v>
      </c>
      <c r="L1392" t="s">
        <v>82</v>
      </c>
    </row>
    <row r="1393" spans="1:13">
      <c r="A1393">
        <v>45773</v>
      </c>
      <c r="B1393" t="s">
        <v>1573</v>
      </c>
      <c r="D1393">
        <v>500</v>
      </c>
      <c r="F1393">
        <v>1</v>
      </c>
      <c r="G1393" t="s">
        <v>22</v>
      </c>
      <c r="H1393" t="s">
        <v>21</v>
      </c>
      <c r="I1393" t="s">
        <v>60</v>
      </c>
      <c r="J1393" t="s">
        <v>61</v>
      </c>
      <c r="L1393" t="s">
        <v>82</v>
      </c>
    </row>
    <row r="1394" spans="1:13">
      <c r="A1394">
        <v>45773</v>
      </c>
      <c r="B1394" t="s">
        <v>76</v>
      </c>
      <c r="D1394">
        <v>7100</v>
      </c>
      <c r="G1394" t="s">
        <v>77</v>
      </c>
      <c r="I1394" t="s">
        <v>60</v>
      </c>
      <c r="J1394" t="s">
        <v>61</v>
      </c>
      <c r="L1394" t="s">
        <v>1343</v>
      </c>
    </row>
    <row r="1395" spans="1:13">
      <c r="A1395">
        <v>45773</v>
      </c>
      <c r="B1395" t="s">
        <v>63</v>
      </c>
      <c r="D1395">
        <v>17500</v>
      </c>
      <c r="F1395">
        <v>2</v>
      </c>
      <c r="G1395" t="s">
        <v>70</v>
      </c>
      <c r="I1395" t="s">
        <v>71</v>
      </c>
      <c r="J1395" t="s">
        <v>72</v>
      </c>
      <c r="K1395" t="s">
        <v>1574</v>
      </c>
      <c r="L1395" t="s">
        <v>1343</v>
      </c>
      <c r="M1395" t="s">
        <v>90</v>
      </c>
    </row>
    <row r="1396" spans="1:13">
      <c r="A1396">
        <v>45773</v>
      </c>
      <c r="B1396" t="s">
        <v>63</v>
      </c>
      <c r="D1396">
        <v>9000</v>
      </c>
      <c r="F1396">
        <v>2</v>
      </c>
      <c r="G1396" t="s">
        <v>70</v>
      </c>
      <c r="I1396" t="s">
        <v>71</v>
      </c>
      <c r="J1396" t="s">
        <v>72</v>
      </c>
      <c r="K1396" t="s">
        <v>1575</v>
      </c>
      <c r="L1396" t="s">
        <v>1343</v>
      </c>
      <c r="M1396" t="s">
        <v>90</v>
      </c>
    </row>
    <row r="1397" spans="1:13">
      <c r="A1397">
        <v>45773</v>
      </c>
      <c r="B1397" t="s">
        <v>63</v>
      </c>
      <c r="D1397">
        <v>9500</v>
      </c>
      <c r="G1397" t="s">
        <v>70</v>
      </c>
      <c r="I1397" t="s">
        <v>60</v>
      </c>
      <c r="J1397" t="s">
        <v>61</v>
      </c>
      <c r="L1397" t="s">
        <v>86</v>
      </c>
    </row>
    <row r="1398" spans="1:13">
      <c r="A1398">
        <v>45773</v>
      </c>
      <c r="B1398" t="s">
        <v>1576</v>
      </c>
      <c r="F1398">
        <v>1</v>
      </c>
      <c r="G1398" t="s">
        <v>107</v>
      </c>
      <c r="H1398" t="s">
        <v>21</v>
      </c>
      <c r="L1398" t="s">
        <v>86</v>
      </c>
    </row>
    <row r="1399" spans="1:13">
      <c r="A1399">
        <v>45773</v>
      </c>
      <c r="B1399" t="s">
        <v>1577</v>
      </c>
      <c r="D1399">
        <v>500</v>
      </c>
      <c r="F1399">
        <v>0</v>
      </c>
      <c r="G1399" t="s">
        <v>22</v>
      </c>
      <c r="H1399" t="s">
        <v>21</v>
      </c>
      <c r="I1399" t="s">
        <v>60</v>
      </c>
      <c r="J1399" t="s">
        <v>61</v>
      </c>
      <c r="L1399" t="s">
        <v>86</v>
      </c>
      <c r="M1399" t="s">
        <v>83</v>
      </c>
    </row>
    <row r="1400" spans="1:13">
      <c r="A1400">
        <v>45773</v>
      </c>
      <c r="B1400" t="s">
        <v>63</v>
      </c>
      <c r="D1400">
        <v>100</v>
      </c>
      <c r="F1400">
        <v>1</v>
      </c>
      <c r="G1400" t="s">
        <v>22</v>
      </c>
      <c r="H1400" t="s">
        <v>93</v>
      </c>
      <c r="I1400" t="s">
        <v>60</v>
      </c>
      <c r="J1400" t="s">
        <v>61</v>
      </c>
      <c r="L1400" t="s">
        <v>1343</v>
      </c>
    </row>
    <row r="1401" spans="1:13">
      <c r="A1401">
        <v>45773</v>
      </c>
      <c r="B1401" t="s">
        <v>1578</v>
      </c>
      <c r="D1401">
        <v>500</v>
      </c>
      <c r="F1401">
        <v>1</v>
      </c>
      <c r="G1401" t="s">
        <v>22</v>
      </c>
      <c r="H1401" t="s">
        <v>21</v>
      </c>
      <c r="I1401" t="s">
        <v>60</v>
      </c>
      <c r="J1401" t="s">
        <v>61</v>
      </c>
      <c r="L1401" t="s">
        <v>86</v>
      </c>
    </row>
    <row r="1402" spans="1:13">
      <c r="A1402">
        <v>45774</v>
      </c>
      <c r="B1402" t="s">
        <v>1579</v>
      </c>
      <c r="D1402">
        <v>500</v>
      </c>
      <c r="F1402">
        <v>1</v>
      </c>
      <c r="G1402" t="s">
        <v>22</v>
      </c>
      <c r="H1402" t="s">
        <v>21</v>
      </c>
      <c r="I1402" t="s">
        <v>60</v>
      </c>
      <c r="J1402" t="s">
        <v>61</v>
      </c>
      <c r="L1402" t="s">
        <v>86</v>
      </c>
    </row>
    <row r="1403" spans="1:13">
      <c r="A1403">
        <v>45774</v>
      </c>
      <c r="B1403" t="s">
        <v>1580</v>
      </c>
      <c r="D1403">
        <v>500</v>
      </c>
      <c r="F1403">
        <v>1</v>
      </c>
      <c r="G1403" t="s">
        <v>22</v>
      </c>
      <c r="H1403" t="s">
        <v>21</v>
      </c>
      <c r="I1403" t="s">
        <v>60</v>
      </c>
      <c r="J1403" t="s">
        <v>61</v>
      </c>
      <c r="L1403" t="s">
        <v>86</v>
      </c>
    </row>
    <row r="1404" spans="1:13">
      <c r="A1404">
        <v>45774</v>
      </c>
      <c r="B1404" t="s">
        <v>63</v>
      </c>
      <c r="D1404">
        <v>200</v>
      </c>
      <c r="F1404">
        <v>2</v>
      </c>
      <c r="G1404" t="s">
        <v>22</v>
      </c>
      <c r="H1404" t="s">
        <v>93</v>
      </c>
      <c r="I1404" t="s">
        <v>60</v>
      </c>
      <c r="J1404" t="s">
        <v>61</v>
      </c>
      <c r="L1404" t="s">
        <v>88</v>
      </c>
    </row>
    <row r="1405" spans="1:13">
      <c r="A1405">
        <v>45774</v>
      </c>
      <c r="B1405" t="s">
        <v>1581</v>
      </c>
      <c r="D1405">
        <v>500000</v>
      </c>
      <c r="F1405">
        <v>1</v>
      </c>
      <c r="G1405" t="s">
        <v>64</v>
      </c>
      <c r="I1405" t="s">
        <v>60</v>
      </c>
      <c r="J1405" t="s">
        <v>61</v>
      </c>
      <c r="L1405" t="s">
        <v>86</v>
      </c>
    </row>
    <row r="1406" spans="1:13">
      <c r="A1406">
        <v>45774</v>
      </c>
      <c r="B1406" t="s">
        <v>1582</v>
      </c>
      <c r="F1406">
        <v>1</v>
      </c>
      <c r="G1406" t="s">
        <v>590</v>
      </c>
      <c r="H1406" t="s">
        <v>21</v>
      </c>
      <c r="L1406" t="s">
        <v>86</v>
      </c>
    </row>
    <row r="1407" spans="1:13">
      <c r="A1407">
        <v>45774</v>
      </c>
      <c r="B1407" t="s">
        <v>1583</v>
      </c>
      <c r="F1407">
        <v>1</v>
      </c>
      <c r="G1407" t="s">
        <v>98</v>
      </c>
      <c r="H1407" t="s">
        <v>21</v>
      </c>
      <c r="L1407" t="s">
        <v>86</v>
      </c>
    </row>
    <row r="1408" spans="1:13">
      <c r="A1408">
        <v>45774</v>
      </c>
      <c r="B1408" t="s">
        <v>1584</v>
      </c>
      <c r="D1408">
        <v>500</v>
      </c>
      <c r="F1408">
        <v>0</v>
      </c>
      <c r="G1408" t="s">
        <v>22</v>
      </c>
      <c r="H1408" t="s">
        <v>21</v>
      </c>
      <c r="I1408" t="s">
        <v>60</v>
      </c>
      <c r="J1408" t="s">
        <v>61</v>
      </c>
      <c r="L1408" t="s">
        <v>86</v>
      </c>
      <c r="M1408" t="s">
        <v>83</v>
      </c>
    </row>
    <row r="1409" spans="1:13">
      <c r="A1409">
        <v>45774</v>
      </c>
      <c r="B1409" t="s">
        <v>1585</v>
      </c>
      <c r="D1409">
        <v>500</v>
      </c>
      <c r="F1409">
        <v>1</v>
      </c>
      <c r="G1409" t="s">
        <v>22</v>
      </c>
      <c r="H1409" t="s">
        <v>21</v>
      </c>
      <c r="I1409" t="s">
        <v>60</v>
      </c>
      <c r="J1409" t="s">
        <v>61</v>
      </c>
      <c r="L1409" t="s">
        <v>89</v>
      </c>
    </row>
    <row r="1410" spans="1:13">
      <c r="A1410">
        <v>45774</v>
      </c>
      <c r="B1410" t="s">
        <v>1586</v>
      </c>
      <c r="D1410">
        <v>500</v>
      </c>
      <c r="F1410">
        <v>1</v>
      </c>
      <c r="G1410" t="s">
        <v>22</v>
      </c>
      <c r="H1410" t="s">
        <v>21</v>
      </c>
      <c r="I1410" t="s">
        <v>60</v>
      </c>
      <c r="J1410" t="s">
        <v>61</v>
      </c>
      <c r="L1410" t="s">
        <v>89</v>
      </c>
    </row>
    <row r="1411" spans="1:13">
      <c r="A1411">
        <v>45774</v>
      </c>
      <c r="B1411" t="s">
        <v>1587</v>
      </c>
      <c r="D1411">
        <v>250000</v>
      </c>
      <c r="F1411">
        <v>1</v>
      </c>
      <c r="G1411" t="s">
        <v>22</v>
      </c>
      <c r="H1411" t="s">
        <v>1191</v>
      </c>
      <c r="I1411" t="s">
        <v>71</v>
      </c>
      <c r="J1411" t="s">
        <v>72</v>
      </c>
      <c r="K1411" t="s">
        <v>1588</v>
      </c>
      <c r="L1411" t="s">
        <v>89</v>
      </c>
      <c r="M1411" t="s">
        <v>1589</v>
      </c>
    </row>
    <row r="1412" spans="1:13">
      <c r="A1412">
        <v>45774</v>
      </c>
      <c r="B1412" t="s">
        <v>1590</v>
      </c>
      <c r="D1412">
        <v>500</v>
      </c>
      <c r="F1412">
        <v>1</v>
      </c>
      <c r="G1412" t="s">
        <v>22</v>
      </c>
      <c r="H1412" t="s">
        <v>21</v>
      </c>
      <c r="I1412" t="s">
        <v>60</v>
      </c>
      <c r="J1412" t="s">
        <v>61</v>
      </c>
      <c r="L1412" t="s">
        <v>89</v>
      </c>
    </row>
    <row r="1413" spans="1:13">
      <c r="A1413">
        <v>45774</v>
      </c>
      <c r="B1413" t="s">
        <v>1591</v>
      </c>
      <c r="F1413">
        <v>1</v>
      </c>
      <c r="G1413" t="s">
        <v>79</v>
      </c>
      <c r="H1413" t="s">
        <v>21</v>
      </c>
      <c r="L1413" t="s">
        <v>89</v>
      </c>
    </row>
    <row r="1414" spans="1:13">
      <c r="A1414">
        <v>45774</v>
      </c>
      <c r="B1414" t="s">
        <v>63</v>
      </c>
      <c r="D1414">
        <v>14000</v>
      </c>
      <c r="F1414">
        <v>2</v>
      </c>
      <c r="G1414" t="s">
        <v>70</v>
      </c>
      <c r="I1414" t="s">
        <v>71</v>
      </c>
      <c r="J1414" t="s">
        <v>72</v>
      </c>
      <c r="K1414" t="s">
        <v>1592</v>
      </c>
      <c r="L1414" t="s">
        <v>1343</v>
      </c>
      <c r="M1414" t="s">
        <v>90</v>
      </c>
    </row>
    <row r="1415" spans="1:13">
      <c r="A1415">
        <v>45774</v>
      </c>
      <c r="B1415" t="s">
        <v>63</v>
      </c>
      <c r="D1415">
        <v>9000</v>
      </c>
      <c r="G1415" t="s">
        <v>70</v>
      </c>
      <c r="I1415" t="s">
        <v>60</v>
      </c>
      <c r="J1415" t="s">
        <v>61</v>
      </c>
      <c r="L1415" t="s">
        <v>1343</v>
      </c>
    </row>
    <row r="1416" spans="1:13">
      <c r="A1416">
        <v>45775</v>
      </c>
      <c r="B1416" t="s">
        <v>238</v>
      </c>
      <c r="C1416" t="s">
        <v>1593</v>
      </c>
      <c r="F1416">
        <v>43</v>
      </c>
      <c r="G1416" t="s">
        <v>22</v>
      </c>
      <c r="H1416" t="s">
        <v>21</v>
      </c>
      <c r="L1416" t="s">
        <v>95</v>
      </c>
    </row>
    <row r="1417" spans="1:13">
      <c r="A1417">
        <v>45775</v>
      </c>
      <c r="B1417" t="s">
        <v>81</v>
      </c>
      <c r="D1417">
        <v>173500</v>
      </c>
      <c r="F1417">
        <v>1</v>
      </c>
      <c r="G1417" t="s">
        <v>74</v>
      </c>
      <c r="H1417" t="s">
        <v>75</v>
      </c>
      <c r="I1417" t="s">
        <v>60</v>
      </c>
      <c r="J1417" t="s">
        <v>61</v>
      </c>
      <c r="L1417" t="s">
        <v>88</v>
      </c>
      <c r="M1417" t="s">
        <v>955</v>
      </c>
    </row>
    <row r="1418" spans="1:13">
      <c r="A1418">
        <v>45775</v>
      </c>
      <c r="B1418" t="s">
        <v>1594</v>
      </c>
      <c r="F1418">
        <v>1</v>
      </c>
      <c r="G1418" t="s">
        <v>319</v>
      </c>
      <c r="H1418" t="s">
        <v>21</v>
      </c>
      <c r="L1418" t="s">
        <v>89</v>
      </c>
    </row>
    <row r="1419" spans="1:13">
      <c r="A1419">
        <v>45775</v>
      </c>
      <c r="B1419" t="s">
        <v>1595</v>
      </c>
      <c r="F1419">
        <v>1</v>
      </c>
      <c r="G1419" t="s">
        <v>79</v>
      </c>
      <c r="H1419" t="s">
        <v>21</v>
      </c>
      <c r="L1419" t="s">
        <v>89</v>
      </c>
    </row>
    <row r="1420" spans="1:13">
      <c r="A1420">
        <v>45775</v>
      </c>
      <c r="B1420" t="s">
        <v>1596</v>
      </c>
      <c r="D1420">
        <v>500</v>
      </c>
      <c r="F1420">
        <v>1</v>
      </c>
      <c r="G1420" t="s">
        <v>22</v>
      </c>
      <c r="H1420" t="s">
        <v>21</v>
      </c>
      <c r="I1420" t="s">
        <v>60</v>
      </c>
      <c r="J1420" t="s">
        <v>61</v>
      </c>
      <c r="L1420" t="s">
        <v>89</v>
      </c>
    </row>
    <row r="1421" spans="1:13">
      <c r="A1421">
        <v>45775</v>
      </c>
      <c r="B1421" t="s">
        <v>1597</v>
      </c>
      <c r="D1421">
        <v>500</v>
      </c>
      <c r="F1421">
        <v>1</v>
      </c>
      <c r="G1421" t="s">
        <v>22</v>
      </c>
      <c r="H1421" t="s">
        <v>21</v>
      </c>
      <c r="I1421" t="s">
        <v>60</v>
      </c>
      <c r="J1421" t="s">
        <v>61</v>
      </c>
      <c r="L1421" t="s">
        <v>89</v>
      </c>
    </row>
    <row r="1422" spans="1:13">
      <c r="A1422">
        <v>45775</v>
      </c>
      <c r="B1422" t="s">
        <v>1598</v>
      </c>
      <c r="F1422">
        <v>1</v>
      </c>
      <c r="G1422" t="s">
        <v>64</v>
      </c>
      <c r="L1422" t="s">
        <v>82</v>
      </c>
      <c r="M1422" t="s">
        <v>1599</v>
      </c>
    </row>
    <row r="1423" spans="1:13">
      <c r="A1423">
        <v>45775</v>
      </c>
      <c r="B1423" t="s">
        <v>1600</v>
      </c>
      <c r="D1423">
        <v>500</v>
      </c>
      <c r="F1423">
        <v>1</v>
      </c>
      <c r="G1423" t="s">
        <v>22</v>
      </c>
      <c r="H1423" t="s">
        <v>21</v>
      </c>
      <c r="I1423" t="s">
        <v>60</v>
      </c>
      <c r="J1423" t="s">
        <v>61</v>
      </c>
      <c r="L1423" t="s">
        <v>82</v>
      </c>
    </row>
    <row r="1424" spans="1:13">
      <c r="A1424">
        <v>45775</v>
      </c>
      <c r="B1424" t="s">
        <v>63</v>
      </c>
      <c r="D1424">
        <v>15000</v>
      </c>
      <c r="F1424">
        <v>2</v>
      </c>
      <c r="G1424" t="s">
        <v>70</v>
      </c>
      <c r="I1424" t="s">
        <v>71</v>
      </c>
      <c r="J1424" t="s">
        <v>72</v>
      </c>
      <c r="K1424" t="s">
        <v>1601</v>
      </c>
      <c r="L1424" t="s">
        <v>1343</v>
      </c>
      <c r="M1424" t="s">
        <v>1602</v>
      </c>
    </row>
    <row r="1425" spans="1:13">
      <c r="A1425">
        <v>45776</v>
      </c>
      <c r="B1425" t="s">
        <v>81</v>
      </c>
      <c r="D1425">
        <v>226500</v>
      </c>
      <c r="F1425">
        <v>1</v>
      </c>
      <c r="G1425" t="s">
        <v>74</v>
      </c>
      <c r="H1425" t="s">
        <v>75</v>
      </c>
      <c r="I1425" t="s">
        <v>60</v>
      </c>
      <c r="J1425" t="s">
        <v>61</v>
      </c>
      <c r="L1425" t="s">
        <v>88</v>
      </c>
      <c r="M1425" t="s">
        <v>955</v>
      </c>
    </row>
    <row r="1426" spans="1:13">
      <c r="A1426">
        <v>45776</v>
      </c>
      <c r="B1426" t="s">
        <v>1603</v>
      </c>
      <c r="F1426">
        <v>1</v>
      </c>
      <c r="G1426" t="s">
        <v>79</v>
      </c>
      <c r="H1426" t="s">
        <v>21</v>
      </c>
      <c r="L1426" t="s">
        <v>82</v>
      </c>
    </row>
    <row r="1427" spans="1:13">
      <c r="A1427">
        <v>45776</v>
      </c>
      <c r="B1427" t="s">
        <v>1603</v>
      </c>
      <c r="F1427">
        <v>1</v>
      </c>
      <c r="G1427" t="s">
        <v>64</v>
      </c>
      <c r="L1427" t="s">
        <v>82</v>
      </c>
      <c r="M1427" t="s">
        <v>1354</v>
      </c>
    </row>
    <row r="1428" spans="1:13">
      <c r="A1428">
        <v>45776</v>
      </c>
      <c r="B1428" t="s">
        <v>63</v>
      </c>
      <c r="D1428">
        <v>6000</v>
      </c>
      <c r="G1428" t="s">
        <v>70</v>
      </c>
      <c r="I1428" t="s">
        <v>60</v>
      </c>
      <c r="J1428" t="s">
        <v>61</v>
      </c>
      <c r="L1428" t="s">
        <v>1343</v>
      </c>
    </row>
    <row r="1429" spans="1:13">
      <c r="A1429">
        <v>45776</v>
      </c>
      <c r="B1429" t="s">
        <v>81</v>
      </c>
      <c r="E1429">
        <v>2100948</v>
      </c>
      <c r="F1429">
        <v>1</v>
      </c>
      <c r="G1429" t="s">
        <v>74</v>
      </c>
      <c r="H1429" t="s">
        <v>75</v>
      </c>
      <c r="I1429" t="s">
        <v>60</v>
      </c>
      <c r="J1429" t="s">
        <v>61</v>
      </c>
      <c r="L1429" t="s">
        <v>104</v>
      </c>
      <c r="M1429" t="s">
        <v>937</v>
      </c>
    </row>
    <row r="1430" spans="1:13">
      <c r="A1430">
        <v>45776</v>
      </c>
      <c r="B1430" t="s">
        <v>1604</v>
      </c>
      <c r="D1430">
        <v>500</v>
      </c>
      <c r="F1430">
        <v>1</v>
      </c>
      <c r="G1430" t="s">
        <v>22</v>
      </c>
      <c r="H1430" t="s">
        <v>21</v>
      </c>
      <c r="I1430" t="s">
        <v>60</v>
      </c>
      <c r="J1430" t="s">
        <v>61</v>
      </c>
      <c r="L1430" t="s">
        <v>82</v>
      </c>
    </row>
    <row r="1431" spans="1:13">
      <c r="A1431">
        <v>45777</v>
      </c>
      <c r="B1431" t="s">
        <v>1605</v>
      </c>
      <c r="C1431" t="s">
        <v>1606</v>
      </c>
      <c r="E1431">
        <v>41538.550000000003</v>
      </c>
      <c r="F1431">
        <v>1</v>
      </c>
      <c r="G1431" t="s">
        <v>65</v>
      </c>
      <c r="H1431" t="s">
        <v>265</v>
      </c>
      <c r="I1431" t="s">
        <v>60</v>
      </c>
      <c r="J1431" t="s">
        <v>61</v>
      </c>
      <c r="L1431" t="s">
        <v>1343</v>
      </c>
      <c r="M1431" t="s">
        <v>1044</v>
      </c>
    </row>
    <row r="1432" spans="1:13">
      <c r="A1432">
        <v>45777</v>
      </c>
      <c r="B1432" t="s">
        <v>248</v>
      </c>
      <c r="E1432">
        <v>106818.52</v>
      </c>
      <c r="F1432">
        <v>1</v>
      </c>
      <c r="G1432" t="s">
        <v>65</v>
      </c>
      <c r="H1432" t="s">
        <v>348</v>
      </c>
      <c r="I1432" t="s">
        <v>60</v>
      </c>
      <c r="J1432" t="s">
        <v>61</v>
      </c>
      <c r="L1432" t="s">
        <v>1343</v>
      </c>
    </row>
    <row r="1433" spans="1:13">
      <c r="A1433">
        <v>45777</v>
      </c>
      <c r="B1433" t="s">
        <v>542</v>
      </c>
      <c r="C1433" t="s">
        <v>1607</v>
      </c>
      <c r="E1433">
        <v>38000</v>
      </c>
      <c r="F1433">
        <v>1</v>
      </c>
      <c r="G1433" t="s">
        <v>65</v>
      </c>
      <c r="H1433" t="s">
        <v>265</v>
      </c>
      <c r="I1433" t="s">
        <v>60</v>
      </c>
      <c r="J1433" t="s">
        <v>61</v>
      </c>
      <c r="L1433" t="s">
        <v>1343</v>
      </c>
      <c r="M1433" t="s">
        <v>1608</v>
      </c>
    </row>
    <row r="1434" spans="1:13">
      <c r="A1434">
        <v>45777</v>
      </c>
      <c r="B1434" t="s">
        <v>81</v>
      </c>
      <c r="D1434">
        <v>149200</v>
      </c>
      <c r="F1434">
        <v>1</v>
      </c>
      <c r="G1434" t="s">
        <v>74</v>
      </c>
      <c r="H1434" t="s">
        <v>75</v>
      </c>
      <c r="I1434" t="s">
        <v>60</v>
      </c>
      <c r="J1434" t="s">
        <v>61</v>
      </c>
      <c r="L1434" t="s">
        <v>88</v>
      </c>
    </row>
    <row r="1435" spans="1:13">
      <c r="A1435">
        <v>45777</v>
      </c>
      <c r="B1435" t="s">
        <v>1609</v>
      </c>
      <c r="D1435">
        <v>500</v>
      </c>
      <c r="F1435">
        <v>1</v>
      </c>
      <c r="G1435" t="s">
        <v>22</v>
      </c>
      <c r="H1435" t="s">
        <v>21</v>
      </c>
      <c r="I1435" t="s">
        <v>60</v>
      </c>
      <c r="J1435" t="s">
        <v>61</v>
      </c>
      <c r="L1435" t="s">
        <v>82</v>
      </c>
    </row>
    <row r="1436" spans="1:13">
      <c r="A1436">
        <v>45777</v>
      </c>
      <c r="B1436" t="s">
        <v>1610</v>
      </c>
      <c r="F1436">
        <v>1</v>
      </c>
      <c r="G1436" t="s">
        <v>377</v>
      </c>
      <c r="H1436" t="s">
        <v>21</v>
      </c>
      <c r="L1436" t="s">
        <v>82</v>
      </c>
    </row>
    <row r="1437" spans="1:13">
      <c r="A1437">
        <v>45777</v>
      </c>
      <c r="B1437" t="s">
        <v>1577</v>
      </c>
      <c r="D1437">
        <v>500</v>
      </c>
      <c r="F1437">
        <v>0</v>
      </c>
      <c r="G1437" t="s">
        <v>22</v>
      </c>
      <c r="H1437" t="s">
        <v>21</v>
      </c>
      <c r="I1437" t="s">
        <v>60</v>
      </c>
      <c r="J1437" t="s">
        <v>61</v>
      </c>
      <c r="L1437" t="s">
        <v>82</v>
      </c>
      <c r="M1437" t="s">
        <v>83</v>
      </c>
    </row>
    <row r="1438" spans="1:13">
      <c r="A1438">
        <v>45777</v>
      </c>
      <c r="B1438" t="s">
        <v>1611</v>
      </c>
      <c r="F1438">
        <v>1</v>
      </c>
      <c r="G1438" t="s">
        <v>79</v>
      </c>
      <c r="H1438" t="s">
        <v>21</v>
      </c>
      <c r="L1438" t="s">
        <v>82</v>
      </c>
    </row>
    <row r="1439" spans="1:13">
      <c r="A1439">
        <v>45777</v>
      </c>
      <c r="B1439" t="s">
        <v>1611</v>
      </c>
      <c r="D1439">
        <v>0</v>
      </c>
      <c r="F1439">
        <v>0</v>
      </c>
      <c r="G1439" t="s">
        <v>22</v>
      </c>
      <c r="H1439" t="s">
        <v>21</v>
      </c>
      <c r="I1439" t="s">
        <v>60</v>
      </c>
      <c r="J1439" t="s">
        <v>61</v>
      </c>
      <c r="L1439" t="s">
        <v>82</v>
      </c>
      <c r="M1439" t="s">
        <v>83</v>
      </c>
    </row>
    <row r="1440" spans="1:13">
      <c r="A1440">
        <v>45777</v>
      </c>
      <c r="B1440" t="s">
        <v>63</v>
      </c>
      <c r="D1440">
        <v>194000</v>
      </c>
      <c r="F1440">
        <v>1</v>
      </c>
      <c r="G1440" t="s">
        <v>70</v>
      </c>
      <c r="I1440" t="s">
        <v>71</v>
      </c>
      <c r="J1440" t="s">
        <v>72</v>
      </c>
      <c r="K1440" t="s">
        <v>1612</v>
      </c>
      <c r="L1440" t="s">
        <v>1343</v>
      </c>
      <c r="M1440" t="s">
        <v>1613</v>
      </c>
    </row>
    <row r="1441" spans="1:13">
      <c r="A1441">
        <v>45777</v>
      </c>
      <c r="B1441" t="s">
        <v>63</v>
      </c>
      <c r="D1441">
        <v>13500</v>
      </c>
      <c r="G1441" t="s">
        <v>70</v>
      </c>
      <c r="I1441" t="s">
        <v>60</v>
      </c>
      <c r="J1441" t="s">
        <v>61</v>
      </c>
      <c r="L1441" t="s">
        <v>1343</v>
      </c>
    </row>
    <row r="1442" spans="1:13">
      <c r="A1442">
        <v>45777</v>
      </c>
      <c r="B1442" t="s">
        <v>1614</v>
      </c>
      <c r="D1442">
        <v>500</v>
      </c>
      <c r="F1442">
        <v>1</v>
      </c>
      <c r="G1442" t="s">
        <v>22</v>
      </c>
      <c r="H1442" t="s">
        <v>21</v>
      </c>
      <c r="I1442" t="s">
        <v>60</v>
      </c>
      <c r="J1442" t="s">
        <v>61</v>
      </c>
      <c r="L1442" t="s">
        <v>82</v>
      </c>
    </row>
    <row r="1443" spans="1:13">
      <c r="A1443">
        <v>45777</v>
      </c>
      <c r="B1443" t="s">
        <v>1615</v>
      </c>
      <c r="F1443">
        <v>1</v>
      </c>
      <c r="G1443" t="s">
        <v>564</v>
      </c>
      <c r="H1443" t="s">
        <v>21</v>
      </c>
      <c r="L1443" t="s">
        <v>82</v>
      </c>
    </row>
    <row r="1444" spans="1:13">
      <c r="A1444">
        <v>45777</v>
      </c>
      <c r="B1444" t="s">
        <v>63</v>
      </c>
      <c r="D1444">
        <v>12016</v>
      </c>
      <c r="G1444" t="s">
        <v>70</v>
      </c>
      <c r="I1444" t="s">
        <v>60</v>
      </c>
      <c r="J1444" t="s">
        <v>61</v>
      </c>
      <c r="L1444" t="s">
        <v>1343</v>
      </c>
    </row>
    <row r="1445" spans="1:13">
      <c r="A1445">
        <v>45777</v>
      </c>
      <c r="B1445" t="s">
        <v>1616</v>
      </c>
      <c r="F1445">
        <v>1</v>
      </c>
      <c r="G1445" t="s">
        <v>79</v>
      </c>
      <c r="H1445" t="s">
        <v>21</v>
      </c>
      <c r="L1445" t="s">
        <v>82</v>
      </c>
    </row>
    <row r="1446" spans="1:13">
      <c r="A1446">
        <v>45777</v>
      </c>
      <c r="B1446" t="s">
        <v>1617</v>
      </c>
      <c r="F1446">
        <v>2</v>
      </c>
      <c r="G1446" t="s">
        <v>79</v>
      </c>
      <c r="H1446" t="s">
        <v>21</v>
      </c>
      <c r="L1446" t="s">
        <v>82</v>
      </c>
    </row>
    <row r="1447" spans="1:13">
      <c r="A1447">
        <v>45777</v>
      </c>
      <c r="B1447" t="s">
        <v>1618</v>
      </c>
      <c r="F1447">
        <v>3</v>
      </c>
      <c r="G1447" t="s">
        <v>79</v>
      </c>
      <c r="H1447" t="s">
        <v>21</v>
      </c>
      <c r="L1447" t="s">
        <v>86</v>
      </c>
    </row>
    <row r="1448" spans="1:13">
      <c r="A1448">
        <v>45779</v>
      </c>
      <c r="B1448" t="s">
        <v>81</v>
      </c>
      <c r="D1448">
        <v>178500</v>
      </c>
      <c r="F1448">
        <v>1</v>
      </c>
      <c r="G1448" t="s">
        <v>74</v>
      </c>
      <c r="H1448" t="s">
        <v>75</v>
      </c>
      <c r="I1448" t="s">
        <v>60</v>
      </c>
      <c r="J1448" t="s">
        <v>61</v>
      </c>
      <c r="L1448" t="s">
        <v>88</v>
      </c>
      <c r="M1448" t="s">
        <v>955</v>
      </c>
    </row>
    <row r="1449" spans="1:13">
      <c r="A1449">
        <v>45779</v>
      </c>
      <c r="B1449" t="s">
        <v>1619</v>
      </c>
      <c r="D1449">
        <v>500</v>
      </c>
      <c r="F1449">
        <v>0</v>
      </c>
      <c r="G1449" t="s">
        <v>22</v>
      </c>
      <c r="H1449" t="s">
        <v>21</v>
      </c>
      <c r="I1449" t="s">
        <v>60</v>
      </c>
      <c r="J1449" t="s">
        <v>61</v>
      </c>
      <c r="L1449" t="s">
        <v>89</v>
      </c>
      <c r="M1449" t="s">
        <v>83</v>
      </c>
    </row>
    <row r="1450" spans="1:13">
      <c r="A1450">
        <v>45779</v>
      </c>
      <c r="B1450" t="s">
        <v>1620</v>
      </c>
      <c r="D1450">
        <v>500</v>
      </c>
      <c r="F1450">
        <v>1</v>
      </c>
      <c r="G1450" t="s">
        <v>22</v>
      </c>
      <c r="H1450" t="s">
        <v>21</v>
      </c>
      <c r="I1450" t="s">
        <v>60</v>
      </c>
      <c r="J1450" t="s">
        <v>61</v>
      </c>
      <c r="L1450" t="s">
        <v>89</v>
      </c>
    </row>
    <row r="1451" spans="1:13">
      <c r="A1451">
        <v>45779</v>
      </c>
      <c r="B1451" t="s">
        <v>1621</v>
      </c>
      <c r="F1451">
        <v>1</v>
      </c>
      <c r="G1451" t="s">
        <v>79</v>
      </c>
      <c r="H1451" t="s">
        <v>21</v>
      </c>
      <c r="L1451" t="s">
        <v>89</v>
      </c>
    </row>
    <row r="1452" spans="1:13">
      <c r="A1452">
        <v>45779</v>
      </c>
      <c r="B1452" t="s">
        <v>1621</v>
      </c>
      <c r="D1452">
        <v>500</v>
      </c>
      <c r="F1452">
        <v>0</v>
      </c>
      <c r="G1452" t="s">
        <v>22</v>
      </c>
      <c r="H1452" t="s">
        <v>21</v>
      </c>
      <c r="I1452" t="s">
        <v>60</v>
      </c>
      <c r="J1452" t="s">
        <v>61</v>
      </c>
      <c r="L1452" t="s">
        <v>89</v>
      </c>
      <c r="M1452" t="s">
        <v>83</v>
      </c>
    </row>
    <row r="1453" spans="1:13">
      <c r="A1453">
        <v>45779</v>
      </c>
      <c r="B1453" t="s">
        <v>1622</v>
      </c>
      <c r="D1453">
        <v>500</v>
      </c>
      <c r="F1453">
        <v>0</v>
      </c>
      <c r="G1453" t="s">
        <v>22</v>
      </c>
      <c r="H1453" t="s">
        <v>21</v>
      </c>
      <c r="I1453" t="s">
        <v>60</v>
      </c>
      <c r="J1453" t="s">
        <v>61</v>
      </c>
      <c r="L1453" t="s">
        <v>89</v>
      </c>
      <c r="M1453" t="s">
        <v>83</v>
      </c>
    </row>
    <row r="1454" spans="1:13">
      <c r="A1454">
        <v>45779</v>
      </c>
      <c r="B1454" t="s">
        <v>1623</v>
      </c>
      <c r="D1454">
        <v>500</v>
      </c>
      <c r="F1454">
        <v>0</v>
      </c>
      <c r="G1454" t="s">
        <v>22</v>
      </c>
      <c r="H1454" t="s">
        <v>21</v>
      </c>
      <c r="I1454" t="s">
        <v>60</v>
      </c>
      <c r="J1454" t="s">
        <v>61</v>
      </c>
      <c r="L1454" t="s">
        <v>89</v>
      </c>
      <c r="M1454" t="s">
        <v>83</v>
      </c>
    </row>
    <row r="1455" spans="1:13">
      <c r="A1455">
        <v>45779</v>
      </c>
      <c r="B1455" t="s">
        <v>63</v>
      </c>
      <c r="D1455">
        <v>29000</v>
      </c>
      <c r="G1455" t="s">
        <v>70</v>
      </c>
      <c r="I1455" t="s">
        <v>60</v>
      </c>
      <c r="J1455" t="s">
        <v>61</v>
      </c>
      <c r="L1455" t="s">
        <v>62</v>
      </c>
    </row>
    <row r="1456" spans="1:13">
      <c r="A1456">
        <v>45779</v>
      </c>
      <c r="B1456" t="s">
        <v>76</v>
      </c>
      <c r="D1456">
        <v>8600</v>
      </c>
      <c r="G1456" t="s">
        <v>77</v>
      </c>
      <c r="I1456" t="s">
        <v>60</v>
      </c>
      <c r="J1456" t="s">
        <v>61</v>
      </c>
      <c r="L1456" t="s">
        <v>62</v>
      </c>
    </row>
    <row r="1457" spans="1:13">
      <c r="A1457">
        <v>45779</v>
      </c>
      <c r="B1457" t="s">
        <v>63</v>
      </c>
      <c r="D1457">
        <v>100</v>
      </c>
      <c r="F1457">
        <v>1</v>
      </c>
      <c r="G1457" t="s">
        <v>22</v>
      </c>
      <c r="H1457" t="s">
        <v>93</v>
      </c>
      <c r="I1457" t="s">
        <v>60</v>
      </c>
      <c r="J1457" t="s">
        <v>61</v>
      </c>
      <c r="L1457" t="s">
        <v>62</v>
      </c>
    </row>
    <row r="1458" spans="1:13">
      <c r="A1458">
        <v>45779</v>
      </c>
      <c r="B1458" t="s">
        <v>606</v>
      </c>
      <c r="E1458">
        <v>30000</v>
      </c>
      <c r="F1458">
        <v>1</v>
      </c>
      <c r="G1458" t="s">
        <v>65</v>
      </c>
      <c r="H1458" t="s">
        <v>348</v>
      </c>
      <c r="I1458" t="s">
        <v>60</v>
      </c>
      <c r="J1458" t="s">
        <v>61</v>
      </c>
      <c r="L1458" t="s">
        <v>62</v>
      </c>
      <c r="M1458" t="s">
        <v>903</v>
      </c>
    </row>
    <row r="1459" spans="1:13">
      <c r="A1459">
        <v>45779</v>
      </c>
      <c r="B1459" t="s">
        <v>604</v>
      </c>
      <c r="E1459">
        <v>30000</v>
      </c>
      <c r="F1459">
        <v>1</v>
      </c>
      <c r="G1459" t="s">
        <v>65</v>
      </c>
      <c r="H1459" t="s">
        <v>348</v>
      </c>
      <c r="I1459" t="s">
        <v>60</v>
      </c>
      <c r="J1459" t="s">
        <v>61</v>
      </c>
      <c r="L1459" t="s">
        <v>62</v>
      </c>
      <c r="M1459" t="s">
        <v>903</v>
      </c>
    </row>
    <row r="1460" spans="1:13">
      <c r="A1460">
        <v>45779</v>
      </c>
      <c r="B1460" t="s">
        <v>248</v>
      </c>
      <c r="E1460">
        <v>30000</v>
      </c>
      <c r="F1460">
        <v>1</v>
      </c>
      <c r="G1460" t="s">
        <v>65</v>
      </c>
      <c r="H1460" t="s">
        <v>348</v>
      </c>
      <c r="I1460" t="s">
        <v>60</v>
      </c>
      <c r="J1460" t="s">
        <v>61</v>
      </c>
      <c r="L1460" t="s">
        <v>62</v>
      </c>
      <c r="M1460" t="s">
        <v>903</v>
      </c>
    </row>
    <row r="1461" spans="1:13">
      <c r="A1461">
        <v>45779</v>
      </c>
      <c r="B1461" t="s">
        <v>1624</v>
      </c>
      <c r="D1461">
        <v>500</v>
      </c>
      <c r="F1461">
        <v>0</v>
      </c>
      <c r="G1461" t="s">
        <v>22</v>
      </c>
      <c r="H1461" t="s">
        <v>21</v>
      </c>
      <c r="I1461" t="s">
        <v>60</v>
      </c>
      <c r="J1461" t="s">
        <v>61</v>
      </c>
      <c r="L1461" t="s">
        <v>86</v>
      </c>
      <c r="M1461" t="s">
        <v>83</v>
      </c>
    </row>
    <row r="1462" spans="1:13">
      <c r="A1462">
        <v>45779</v>
      </c>
      <c r="B1462" t="s">
        <v>1625</v>
      </c>
      <c r="D1462">
        <v>500</v>
      </c>
      <c r="F1462">
        <v>0</v>
      </c>
      <c r="G1462" t="s">
        <v>22</v>
      </c>
      <c r="H1462" t="s">
        <v>21</v>
      </c>
      <c r="I1462" t="s">
        <v>60</v>
      </c>
      <c r="J1462" t="s">
        <v>61</v>
      </c>
      <c r="L1462" t="s">
        <v>86</v>
      </c>
      <c r="M1462" t="s">
        <v>83</v>
      </c>
    </row>
    <row r="1463" spans="1:13">
      <c r="A1463">
        <v>45779</v>
      </c>
      <c r="B1463" t="s">
        <v>1626</v>
      </c>
      <c r="C1463" t="s">
        <v>1627</v>
      </c>
      <c r="E1463">
        <v>8500</v>
      </c>
      <c r="F1463">
        <v>1</v>
      </c>
      <c r="G1463" t="s">
        <v>65</v>
      </c>
      <c r="H1463" t="s">
        <v>265</v>
      </c>
      <c r="I1463" t="s">
        <v>60</v>
      </c>
      <c r="J1463" t="s">
        <v>61</v>
      </c>
      <c r="L1463" t="s">
        <v>62</v>
      </c>
      <c r="M1463" t="s">
        <v>1628</v>
      </c>
    </row>
    <row r="1464" spans="1:13">
      <c r="A1464">
        <v>45779</v>
      </c>
      <c r="B1464" t="s">
        <v>1629</v>
      </c>
      <c r="D1464">
        <v>500</v>
      </c>
      <c r="F1464">
        <v>1</v>
      </c>
      <c r="G1464" t="s">
        <v>22</v>
      </c>
      <c r="H1464" t="s">
        <v>21</v>
      </c>
      <c r="I1464" t="s">
        <v>60</v>
      </c>
      <c r="J1464" t="s">
        <v>61</v>
      </c>
      <c r="L1464" t="s">
        <v>89</v>
      </c>
    </row>
    <row r="1465" spans="1:13">
      <c r="A1465">
        <v>45779</v>
      </c>
      <c r="B1465" t="s">
        <v>1630</v>
      </c>
      <c r="F1465">
        <v>1</v>
      </c>
      <c r="G1465" t="s">
        <v>22</v>
      </c>
      <c r="H1465" t="s">
        <v>21</v>
      </c>
      <c r="L1465" t="s">
        <v>461</v>
      </c>
    </row>
    <row r="1466" spans="1:13">
      <c r="A1466">
        <v>45780</v>
      </c>
      <c r="B1466" t="s">
        <v>81</v>
      </c>
      <c r="D1466">
        <v>54000</v>
      </c>
      <c r="F1466">
        <v>1</v>
      </c>
      <c r="G1466" t="s">
        <v>74</v>
      </c>
      <c r="H1466" t="s">
        <v>75</v>
      </c>
      <c r="I1466" t="s">
        <v>60</v>
      </c>
      <c r="J1466" t="s">
        <v>61</v>
      </c>
      <c r="L1466" t="s">
        <v>88</v>
      </c>
      <c r="M1466" t="s">
        <v>955</v>
      </c>
    </row>
    <row r="1467" spans="1:13">
      <c r="A1467">
        <v>45780</v>
      </c>
      <c r="B1467" t="s">
        <v>624</v>
      </c>
      <c r="D1467">
        <v>-31200</v>
      </c>
      <c r="G1467" t="s">
        <v>77</v>
      </c>
      <c r="I1467" t="s">
        <v>60</v>
      </c>
      <c r="J1467" t="s">
        <v>61</v>
      </c>
      <c r="L1467" t="s">
        <v>62</v>
      </c>
    </row>
    <row r="1468" spans="1:13">
      <c r="A1468">
        <v>45780</v>
      </c>
      <c r="B1468" t="s">
        <v>624</v>
      </c>
      <c r="E1468">
        <v>-1650</v>
      </c>
      <c r="G1468" t="s">
        <v>65</v>
      </c>
      <c r="H1468" t="s">
        <v>85</v>
      </c>
      <c r="I1468" t="s">
        <v>60</v>
      </c>
      <c r="J1468" t="s">
        <v>61</v>
      </c>
      <c r="L1468" t="s">
        <v>62</v>
      </c>
    </row>
    <row r="1469" spans="1:13">
      <c r="A1469">
        <v>45780</v>
      </c>
      <c r="B1469" t="s">
        <v>1631</v>
      </c>
      <c r="D1469">
        <v>500</v>
      </c>
      <c r="F1469">
        <v>1</v>
      </c>
      <c r="G1469" t="s">
        <v>22</v>
      </c>
      <c r="H1469" t="s">
        <v>21</v>
      </c>
      <c r="I1469" t="s">
        <v>60</v>
      </c>
      <c r="J1469" t="s">
        <v>61</v>
      </c>
      <c r="L1469" t="s">
        <v>89</v>
      </c>
    </row>
    <row r="1470" spans="1:13">
      <c r="A1470">
        <v>45780</v>
      </c>
      <c r="B1470" t="s">
        <v>63</v>
      </c>
      <c r="D1470">
        <v>7913</v>
      </c>
      <c r="G1470" t="s">
        <v>70</v>
      </c>
      <c r="I1470" t="s">
        <v>60</v>
      </c>
      <c r="J1470" t="s">
        <v>61</v>
      </c>
      <c r="L1470" t="s">
        <v>62</v>
      </c>
    </row>
    <row r="1471" spans="1:13">
      <c r="A1471">
        <v>45780</v>
      </c>
      <c r="B1471" t="s">
        <v>559</v>
      </c>
      <c r="E1471">
        <v>10000</v>
      </c>
      <c r="F1471">
        <v>1</v>
      </c>
      <c r="G1471" t="s">
        <v>65</v>
      </c>
      <c r="H1471" t="s">
        <v>560</v>
      </c>
      <c r="I1471" t="s">
        <v>60</v>
      </c>
      <c r="J1471" t="s">
        <v>61</v>
      </c>
      <c r="L1471" t="s">
        <v>62</v>
      </c>
    </row>
    <row r="1472" spans="1:13">
      <c r="A1472">
        <v>45780</v>
      </c>
      <c r="B1472" t="s">
        <v>561</v>
      </c>
      <c r="E1472">
        <v>9000</v>
      </c>
      <c r="F1472">
        <v>1</v>
      </c>
      <c r="G1472" t="s">
        <v>65</v>
      </c>
      <c r="H1472" t="s">
        <v>560</v>
      </c>
      <c r="I1472" t="s">
        <v>60</v>
      </c>
      <c r="J1472" t="s">
        <v>61</v>
      </c>
      <c r="L1472" t="s">
        <v>62</v>
      </c>
    </row>
    <row r="1473" spans="1:13">
      <c r="A1473">
        <v>45780</v>
      </c>
      <c r="B1473" t="s">
        <v>1632</v>
      </c>
      <c r="D1473">
        <v>500</v>
      </c>
      <c r="F1473">
        <v>1</v>
      </c>
      <c r="G1473" t="s">
        <v>22</v>
      </c>
      <c r="H1473" t="s">
        <v>21</v>
      </c>
      <c r="I1473" t="s">
        <v>60</v>
      </c>
      <c r="J1473" t="s">
        <v>61</v>
      </c>
      <c r="L1473" t="s">
        <v>86</v>
      </c>
    </row>
    <row r="1474" spans="1:13">
      <c r="A1474">
        <v>45780</v>
      </c>
      <c r="B1474" t="s">
        <v>1633</v>
      </c>
      <c r="D1474">
        <v>500</v>
      </c>
      <c r="F1474">
        <v>0</v>
      </c>
      <c r="G1474" t="s">
        <v>22</v>
      </c>
      <c r="H1474" t="s">
        <v>21</v>
      </c>
      <c r="I1474" t="s">
        <v>60</v>
      </c>
      <c r="J1474" t="s">
        <v>61</v>
      </c>
      <c r="L1474" t="s">
        <v>86</v>
      </c>
      <c r="M1474" t="s">
        <v>83</v>
      </c>
    </row>
    <row r="1475" spans="1:13">
      <c r="A1475">
        <v>45780</v>
      </c>
      <c r="B1475" t="s">
        <v>63</v>
      </c>
      <c r="D1475">
        <v>4000</v>
      </c>
      <c r="F1475">
        <v>1</v>
      </c>
      <c r="G1475" t="s">
        <v>70</v>
      </c>
      <c r="I1475" t="s">
        <v>71</v>
      </c>
      <c r="J1475" t="s">
        <v>72</v>
      </c>
      <c r="K1475" t="s">
        <v>1634</v>
      </c>
      <c r="L1475" t="s">
        <v>62</v>
      </c>
      <c r="M1475" t="s">
        <v>90</v>
      </c>
    </row>
    <row r="1476" spans="1:13">
      <c r="A1476">
        <v>45780</v>
      </c>
      <c r="B1476" t="s">
        <v>1635</v>
      </c>
      <c r="F1476">
        <v>1</v>
      </c>
      <c r="G1476" t="s">
        <v>79</v>
      </c>
      <c r="H1476" t="s">
        <v>21</v>
      </c>
      <c r="L1476" t="s">
        <v>86</v>
      </c>
    </row>
    <row r="1477" spans="1:13">
      <c r="A1477">
        <v>45780</v>
      </c>
      <c r="B1477" t="s">
        <v>1635</v>
      </c>
      <c r="D1477">
        <v>0</v>
      </c>
      <c r="F1477">
        <v>0</v>
      </c>
      <c r="G1477" t="s">
        <v>22</v>
      </c>
      <c r="H1477" t="s">
        <v>21</v>
      </c>
      <c r="I1477" t="s">
        <v>60</v>
      </c>
      <c r="J1477" t="s">
        <v>61</v>
      </c>
      <c r="L1477" t="s">
        <v>86</v>
      </c>
      <c r="M1477" t="s">
        <v>83</v>
      </c>
    </row>
    <row r="1478" spans="1:13">
      <c r="A1478">
        <v>45781</v>
      </c>
      <c r="B1478" t="s">
        <v>1397</v>
      </c>
      <c r="D1478">
        <v>500</v>
      </c>
      <c r="F1478">
        <v>1</v>
      </c>
      <c r="G1478" t="s">
        <v>22</v>
      </c>
      <c r="H1478" t="s">
        <v>21</v>
      </c>
      <c r="I1478" t="s">
        <v>60</v>
      </c>
      <c r="J1478" t="s">
        <v>61</v>
      </c>
      <c r="L1478" t="s">
        <v>82</v>
      </c>
    </row>
    <row r="1479" spans="1:13">
      <c r="A1479">
        <v>45781</v>
      </c>
      <c r="B1479" t="s">
        <v>76</v>
      </c>
      <c r="D1479">
        <v>7100</v>
      </c>
      <c r="G1479" t="s">
        <v>77</v>
      </c>
      <c r="I1479" t="s">
        <v>60</v>
      </c>
      <c r="J1479" t="s">
        <v>61</v>
      </c>
      <c r="L1479" t="s">
        <v>62</v>
      </c>
    </row>
    <row r="1480" spans="1:13">
      <c r="A1480">
        <v>45781</v>
      </c>
      <c r="B1480" t="s">
        <v>63</v>
      </c>
      <c r="D1480">
        <v>300</v>
      </c>
      <c r="F1480">
        <v>3</v>
      </c>
      <c r="G1480" t="s">
        <v>22</v>
      </c>
      <c r="H1480" t="s">
        <v>93</v>
      </c>
      <c r="I1480" t="s">
        <v>60</v>
      </c>
      <c r="J1480" t="s">
        <v>61</v>
      </c>
      <c r="L1480" t="s">
        <v>62</v>
      </c>
    </row>
    <row r="1481" spans="1:13">
      <c r="A1481">
        <v>45781</v>
      </c>
      <c r="B1481" t="s">
        <v>63</v>
      </c>
      <c r="D1481">
        <v>30000</v>
      </c>
      <c r="G1481" t="s">
        <v>70</v>
      </c>
      <c r="I1481" t="s">
        <v>60</v>
      </c>
      <c r="J1481" t="s">
        <v>61</v>
      </c>
      <c r="L1481" t="s">
        <v>62</v>
      </c>
    </row>
    <row r="1482" spans="1:13">
      <c r="A1482">
        <v>45781</v>
      </c>
      <c r="B1482" t="s">
        <v>63</v>
      </c>
      <c r="D1482">
        <v>35000</v>
      </c>
      <c r="F1482">
        <v>4</v>
      </c>
      <c r="G1482" t="s">
        <v>70</v>
      </c>
      <c r="I1482" t="s">
        <v>71</v>
      </c>
      <c r="J1482" t="s">
        <v>72</v>
      </c>
      <c r="K1482" t="s">
        <v>1636</v>
      </c>
      <c r="L1482" t="s">
        <v>62</v>
      </c>
      <c r="M1482" t="s">
        <v>1637</v>
      </c>
    </row>
    <row r="1483" spans="1:13">
      <c r="A1483">
        <v>45781</v>
      </c>
      <c r="B1483" t="s">
        <v>1638</v>
      </c>
      <c r="D1483">
        <v>500</v>
      </c>
      <c r="F1483">
        <v>1</v>
      </c>
      <c r="G1483" t="s">
        <v>22</v>
      </c>
      <c r="H1483" t="s">
        <v>21</v>
      </c>
      <c r="I1483" t="s">
        <v>60</v>
      </c>
      <c r="J1483" t="s">
        <v>61</v>
      </c>
      <c r="L1483" t="s">
        <v>86</v>
      </c>
    </row>
    <row r="1484" spans="1:13">
      <c r="A1484">
        <v>45781</v>
      </c>
      <c r="B1484" t="s">
        <v>1639</v>
      </c>
      <c r="F1484">
        <v>1</v>
      </c>
      <c r="G1484" t="s">
        <v>79</v>
      </c>
      <c r="H1484" t="s">
        <v>21</v>
      </c>
      <c r="L1484" t="s">
        <v>86</v>
      </c>
    </row>
    <row r="1485" spans="1:13">
      <c r="A1485">
        <v>45781</v>
      </c>
      <c r="B1485" t="s">
        <v>63</v>
      </c>
      <c r="D1485">
        <v>11500</v>
      </c>
      <c r="F1485">
        <v>1</v>
      </c>
      <c r="G1485" t="s">
        <v>70</v>
      </c>
      <c r="I1485" t="s">
        <v>71</v>
      </c>
      <c r="J1485" t="s">
        <v>72</v>
      </c>
      <c r="K1485" t="s">
        <v>1640</v>
      </c>
      <c r="L1485" t="s">
        <v>62</v>
      </c>
      <c r="M1485" t="s">
        <v>90</v>
      </c>
    </row>
    <row r="1486" spans="1:13">
      <c r="A1486">
        <v>45781</v>
      </c>
      <c r="B1486" t="s">
        <v>63</v>
      </c>
      <c r="D1486">
        <v>25500</v>
      </c>
      <c r="F1486">
        <v>2</v>
      </c>
      <c r="G1486" t="s">
        <v>70</v>
      </c>
      <c r="I1486" t="s">
        <v>71</v>
      </c>
      <c r="J1486" t="s">
        <v>72</v>
      </c>
      <c r="K1486" t="s">
        <v>1641</v>
      </c>
      <c r="L1486" t="s">
        <v>62</v>
      </c>
      <c r="M1486" t="s">
        <v>90</v>
      </c>
    </row>
    <row r="1487" spans="1:13">
      <c r="A1487">
        <v>45782</v>
      </c>
      <c r="B1487" t="s">
        <v>81</v>
      </c>
      <c r="D1487">
        <v>205000</v>
      </c>
      <c r="F1487">
        <v>1</v>
      </c>
      <c r="G1487" t="s">
        <v>74</v>
      </c>
      <c r="H1487" t="s">
        <v>75</v>
      </c>
      <c r="I1487" t="s">
        <v>60</v>
      </c>
      <c r="J1487" t="s">
        <v>61</v>
      </c>
      <c r="L1487" t="s">
        <v>88</v>
      </c>
      <c r="M1487" t="s">
        <v>955</v>
      </c>
    </row>
    <row r="1488" spans="1:13">
      <c r="A1488">
        <v>45782</v>
      </c>
      <c r="B1488" t="s">
        <v>238</v>
      </c>
      <c r="C1488" t="s">
        <v>1642</v>
      </c>
      <c r="F1488">
        <v>12</v>
      </c>
      <c r="G1488" t="s">
        <v>22</v>
      </c>
      <c r="H1488" t="s">
        <v>21</v>
      </c>
      <c r="L1488" t="s">
        <v>95</v>
      </c>
    </row>
    <row r="1489" spans="1:13">
      <c r="A1489">
        <v>45782</v>
      </c>
      <c r="B1489" t="s">
        <v>1643</v>
      </c>
      <c r="E1489">
        <v>84000</v>
      </c>
      <c r="F1489">
        <v>1</v>
      </c>
      <c r="G1489" t="s">
        <v>65</v>
      </c>
      <c r="H1489" t="s">
        <v>348</v>
      </c>
      <c r="I1489" t="s">
        <v>60</v>
      </c>
      <c r="J1489" t="s">
        <v>61</v>
      </c>
      <c r="L1489" t="s">
        <v>0</v>
      </c>
      <c r="M1489" t="s">
        <v>670</v>
      </c>
    </row>
    <row r="1490" spans="1:13">
      <c r="A1490">
        <v>45782</v>
      </c>
      <c r="B1490" t="s">
        <v>1644</v>
      </c>
      <c r="E1490">
        <v>126500</v>
      </c>
      <c r="F1490">
        <v>1</v>
      </c>
      <c r="G1490" t="s">
        <v>65</v>
      </c>
      <c r="H1490" t="s">
        <v>348</v>
      </c>
      <c r="I1490" t="s">
        <v>60</v>
      </c>
      <c r="J1490" t="s">
        <v>61</v>
      </c>
      <c r="L1490" t="s">
        <v>0</v>
      </c>
      <c r="M1490" t="s">
        <v>670</v>
      </c>
    </row>
    <row r="1491" spans="1:13">
      <c r="A1491">
        <v>45782</v>
      </c>
      <c r="B1491" t="s">
        <v>233</v>
      </c>
      <c r="E1491">
        <v>300000</v>
      </c>
      <c r="F1491">
        <v>1</v>
      </c>
      <c r="G1491" t="s">
        <v>65</v>
      </c>
      <c r="H1491" t="s">
        <v>348</v>
      </c>
      <c r="I1491" t="s">
        <v>60</v>
      </c>
      <c r="J1491" t="s">
        <v>61</v>
      </c>
      <c r="L1491" t="s">
        <v>0</v>
      </c>
      <c r="M1491" t="s">
        <v>670</v>
      </c>
    </row>
    <row r="1492" spans="1:13">
      <c r="A1492">
        <v>45782</v>
      </c>
      <c r="B1492" t="s">
        <v>643</v>
      </c>
      <c r="E1492">
        <v>9500</v>
      </c>
      <c r="F1492">
        <v>1</v>
      </c>
      <c r="G1492" t="s">
        <v>65</v>
      </c>
      <c r="H1492" t="s">
        <v>348</v>
      </c>
      <c r="I1492" t="s">
        <v>60</v>
      </c>
      <c r="J1492" t="s">
        <v>61</v>
      </c>
      <c r="L1492" t="s">
        <v>0</v>
      </c>
      <c r="M1492" t="s">
        <v>670</v>
      </c>
    </row>
    <row r="1493" spans="1:13">
      <c r="A1493">
        <v>45782</v>
      </c>
      <c r="B1493" t="s">
        <v>1645</v>
      </c>
      <c r="F1493">
        <v>1</v>
      </c>
      <c r="G1493" t="s">
        <v>98</v>
      </c>
      <c r="H1493" t="s">
        <v>21</v>
      </c>
      <c r="L1493" t="s">
        <v>89</v>
      </c>
    </row>
    <row r="1494" spans="1:13">
      <c r="A1494">
        <v>45782</v>
      </c>
      <c r="B1494" t="s">
        <v>1646</v>
      </c>
      <c r="D1494">
        <v>500</v>
      </c>
      <c r="F1494">
        <v>1</v>
      </c>
      <c r="G1494" t="s">
        <v>22</v>
      </c>
      <c r="H1494" t="s">
        <v>21</v>
      </c>
      <c r="I1494" t="s">
        <v>60</v>
      </c>
      <c r="J1494" t="s">
        <v>61</v>
      </c>
      <c r="L1494" t="s">
        <v>89</v>
      </c>
    </row>
    <row r="1495" spans="1:13">
      <c r="A1495">
        <v>45782</v>
      </c>
      <c r="B1495" t="s">
        <v>1647</v>
      </c>
      <c r="D1495">
        <v>249999</v>
      </c>
      <c r="F1495">
        <v>1</v>
      </c>
      <c r="G1495" t="s">
        <v>22</v>
      </c>
      <c r="H1495" t="s">
        <v>1191</v>
      </c>
      <c r="I1495" t="s">
        <v>71</v>
      </c>
      <c r="J1495" t="s">
        <v>535</v>
      </c>
      <c r="K1495" t="s">
        <v>1648</v>
      </c>
      <c r="L1495" t="s">
        <v>89</v>
      </c>
      <c r="M1495" t="s">
        <v>1649</v>
      </c>
    </row>
    <row r="1496" spans="1:13">
      <c r="A1496">
        <v>45782</v>
      </c>
      <c r="B1496" t="s">
        <v>63</v>
      </c>
      <c r="D1496">
        <v>35000</v>
      </c>
      <c r="F1496">
        <v>1</v>
      </c>
      <c r="G1496" t="s">
        <v>70</v>
      </c>
      <c r="I1496" t="s">
        <v>71</v>
      </c>
      <c r="J1496" t="s">
        <v>535</v>
      </c>
      <c r="K1496" t="s">
        <v>1650</v>
      </c>
      <c r="L1496" t="s">
        <v>62</v>
      </c>
      <c r="M1496" t="s">
        <v>90</v>
      </c>
    </row>
    <row r="1497" spans="1:13">
      <c r="A1497">
        <v>45782</v>
      </c>
      <c r="B1497" t="s">
        <v>63</v>
      </c>
      <c r="D1497">
        <v>22500</v>
      </c>
      <c r="F1497">
        <v>1</v>
      </c>
      <c r="G1497" t="s">
        <v>70</v>
      </c>
      <c r="I1497" t="s">
        <v>71</v>
      </c>
      <c r="J1497" t="s">
        <v>535</v>
      </c>
      <c r="K1497" t="s">
        <v>1651</v>
      </c>
      <c r="L1497" t="s">
        <v>62</v>
      </c>
      <c r="M1497" t="s">
        <v>90</v>
      </c>
    </row>
    <row r="1498" spans="1:13">
      <c r="A1498">
        <v>45782</v>
      </c>
      <c r="B1498" t="s">
        <v>1652</v>
      </c>
      <c r="D1498">
        <v>349999</v>
      </c>
      <c r="F1498">
        <v>1</v>
      </c>
      <c r="G1498" t="s">
        <v>22</v>
      </c>
      <c r="H1498" t="s">
        <v>1310</v>
      </c>
      <c r="I1498" t="s">
        <v>71</v>
      </c>
      <c r="J1498" t="s">
        <v>72</v>
      </c>
      <c r="K1498" t="s">
        <v>1653</v>
      </c>
      <c r="L1498" t="s">
        <v>82</v>
      </c>
      <c r="M1498" t="s">
        <v>1654</v>
      </c>
    </row>
    <row r="1499" spans="1:13">
      <c r="A1499">
        <v>45782</v>
      </c>
      <c r="B1499" t="s">
        <v>1655</v>
      </c>
      <c r="D1499">
        <v>500</v>
      </c>
      <c r="F1499">
        <v>1</v>
      </c>
      <c r="G1499" t="s">
        <v>22</v>
      </c>
      <c r="H1499" t="s">
        <v>21</v>
      </c>
      <c r="I1499" t="s">
        <v>60</v>
      </c>
      <c r="J1499" t="s">
        <v>61</v>
      </c>
      <c r="L1499" t="s">
        <v>82</v>
      </c>
    </row>
    <row r="1500" spans="1:13">
      <c r="A1500">
        <v>45782</v>
      </c>
      <c r="B1500" t="s">
        <v>1656</v>
      </c>
      <c r="D1500">
        <v>500</v>
      </c>
      <c r="F1500">
        <v>1</v>
      </c>
      <c r="G1500" t="s">
        <v>22</v>
      </c>
      <c r="H1500" t="s">
        <v>21</v>
      </c>
      <c r="I1500" t="s">
        <v>60</v>
      </c>
      <c r="J1500" t="s">
        <v>61</v>
      </c>
      <c r="L1500" t="s">
        <v>82</v>
      </c>
    </row>
    <row r="1501" spans="1:13">
      <c r="A1501">
        <v>45782</v>
      </c>
      <c r="B1501" t="s">
        <v>1657</v>
      </c>
      <c r="D1501">
        <v>500</v>
      </c>
      <c r="F1501">
        <v>1</v>
      </c>
      <c r="G1501" t="s">
        <v>22</v>
      </c>
      <c r="H1501" t="s">
        <v>21</v>
      </c>
      <c r="I1501" t="s">
        <v>60</v>
      </c>
      <c r="J1501" t="s">
        <v>61</v>
      </c>
      <c r="L1501" t="s">
        <v>82</v>
      </c>
    </row>
    <row r="1502" spans="1:13">
      <c r="A1502">
        <v>45782</v>
      </c>
      <c r="B1502" t="s">
        <v>1658</v>
      </c>
      <c r="D1502">
        <v>500</v>
      </c>
      <c r="F1502">
        <v>1</v>
      </c>
      <c r="G1502" t="s">
        <v>22</v>
      </c>
      <c r="H1502" t="s">
        <v>21</v>
      </c>
      <c r="I1502" t="s">
        <v>60</v>
      </c>
      <c r="J1502" t="s">
        <v>61</v>
      </c>
      <c r="L1502" t="s">
        <v>82</v>
      </c>
    </row>
    <row r="1503" spans="1:13">
      <c r="A1503">
        <v>45783</v>
      </c>
      <c r="B1503" t="s">
        <v>81</v>
      </c>
      <c r="D1503">
        <v>176000</v>
      </c>
      <c r="F1503">
        <v>1</v>
      </c>
      <c r="G1503" t="s">
        <v>74</v>
      </c>
      <c r="H1503" t="s">
        <v>75</v>
      </c>
      <c r="I1503" t="s">
        <v>60</v>
      </c>
      <c r="J1503" t="s">
        <v>61</v>
      </c>
      <c r="L1503" t="s">
        <v>88</v>
      </c>
      <c r="M1503" t="s">
        <v>955</v>
      </c>
    </row>
    <row r="1504" spans="1:13">
      <c r="A1504">
        <v>45783</v>
      </c>
      <c r="B1504" t="s">
        <v>1659</v>
      </c>
      <c r="D1504">
        <v>500</v>
      </c>
      <c r="F1504">
        <v>1</v>
      </c>
      <c r="G1504" t="s">
        <v>22</v>
      </c>
      <c r="H1504" t="s">
        <v>21</v>
      </c>
      <c r="I1504" t="s">
        <v>60</v>
      </c>
      <c r="J1504" t="s">
        <v>61</v>
      </c>
      <c r="L1504" t="s">
        <v>89</v>
      </c>
    </row>
    <row r="1505" spans="1:13">
      <c r="A1505">
        <v>45783</v>
      </c>
      <c r="B1505" t="s">
        <v>1660</v>
      </c>
      <c r="D1505">
        <v>500</v>
      </c>
      <c r="F1505">
        <v>1</v>
      </c>
      <c r="G1505" t="s">
        <v>22</v>
      </c>
      <c r="H1505" t="s">
        <v>21</v>
      </c>
      <c r="I1505" t="s">
        <v>60</v>
      </c>
      <c r="J1505" t="s">
        <v>61</v>
      </c>
      <c r="L1505" t="s">
        <v>89</v>
      </c>
    </row>
    <row r="1506" spans="1:13">
      <c r="A1506">
        <v>45783</v>
      </c>
      <c r="B1506" t="s">
        <v>63</v>
      </c>
      <c r="D1506">
        <v>15500</v>
      </c>
      <c r="F1506">
        <v>3</v>
      </c>
      <c r="G1506" t="s">
        <v>70</v>
      </c>
      <c r="I1506" t="s">
        <v>71</v>
      </c>
      <c r="J1506" t="s">
        <v>72</v>
      </c>
      <c r="K1506" t="s">
        <v>1661</v>
      </c>
      <c r="L1506" t="s">
        <v>62</v>
      </c>
      <c r="M1506" t="s">
        <v>90</v>
      </c>
    </row>
    <row r="1507" spans="1:13">
      <c r="A1507">
        <v>45783</v>
      </c>
      <c r="B1507" t="s">
        <v>1662</v>
      </c>
      <c r="D1507">
        <v>500</v>
      </c>
      <c r="F1507">
        <v>1</v>
      </c>
      <c r="G1507" t="s">
        <v>22</v>
      </c>
      <c r="H1507" t="s">
        <v>21</v>
      </c>
      <c r="I1507" t="s">
        <v>60</v>
      </c>
      <c r="J1507" t="s">
        <v>61</v>
      </c>
      <c r="L1507" t="s">
        <v>82</v>
      </c>
    </row>
    <row r="1508" spans="1:13">
      <c r="A1508">
        <v>45783</v>
      </c>
      <c r="B1508" t="s">
        <v>1663</v>
      </c>
      <c r="D1508">
        <v>500</v>
      </c>
      <c r="F1508">
        <v>1</v>
      </c>
      <c r="G1508" t="s">
        <v>22</v>
      </c>
      <c r="H1508" t="s">
        <v>21</v>
      </c>
      <c r="I1508" t="s">
        <v>60</v>
      </c>
      <c r="J1508" t="s">
        <v>61</v>
      </c>
      <c r="L1508" t="s">
        <v>82</v>
      </c>
    </row>
    <row r="1509" spans="1:13">
      <c r="A1509">
        <v>45783</v>
      </c>
      <c r="B1509" t="s">
        <v>63</v>
      </c>
      <c r="D1509">
        <v>7500</v>
      </c>
      <c r="F1509">
        <v>1</v>
      </c>
      <c r="G1509" t="s">
        <v>70</v>
      </c>
      <c r="I1509" t="s">
        <v>71</v>
      </c>
      <c r="J1509" t="s">
        <v>535</v>
      </c>
      <c r="K1509" t="s">
        <v>1664</v>
      </c>
      <c r="L1509" t="s">
        <v>62</v>
      </c>
      <c r="M1509" t="s">
        <v>1258</v>
      </c>
    </row>
    <row r="1510" spans="1:13">
      <c r="A1510">
        <v>45783</v>
      </c>
      <c r="B1510" t="s">
        <v>1665</v>
      </c>
      <c r="F1510">
        <v>1</v>
      </c>
      <c r="G1510" t="s">
        <v>64</v>
      </c>
      <c r="L1510" t="s">
        <v>82</v>
      </c>
      <c r="M1510" t="s">
        <v>1666</v>
      </c>
    </row>
    <row r="1511" spans="1:13">
      <c r="A1511">
        <v>45784</v>
      </c>
      <c r="B1511" t="s">
        <v>81</v>
      </c>
      <c r="D1511">
        <v>118500</v>
      </c>
      <c r="F1511">
        <v>1</v>
      </c>
      <c r="G1511" t="s">
        <v>74</v>
      </c>
      <c r="H1511" t="s">
        <v>75</v>
      </c>
      <c r="I1511" t="s">
        <v>60</v>
      </c>
      <c r="J1511" t="s">
        <v>61</v>
      </c>
      <c r="L1511" t="s">
        <v>88</v>
      </c>
      <c r="M1511" t="s">
        <v>955</v>
      </c>
    </row>
    <row r="1512" spans="1:13">
      <c r="A1512">
        <v>45784</v>
      </c>
      <c r="B1512" t="s">
        <v>1667</v>
      </c>
      <c r="D1512">
        <v>500</v>
      </c>
      <c r="F1512">
        <v>1</v>
      </c>
      <c r="G1512" t="s">
        <v>22</v>
      </c>
      <c r="H1512" t="s">
        <v>21</v>
      </c>
      <c r="I1512" t="s">
        <v>60</v>
      </c>
      <c r="J1512" t="s">
        <v>61</v>
      </c>
      <c r="L1512" t="s">
        <v>86</v>
      </c>
    </row>
    <row r="1513" spans="1:13">
      <c r="A1513">
        <v>45784</v>
      </c>
      <c r="B1513" t="s">
        <v>63</v>
      </c>
      <c r="D1513">
        <v>24802</v>
      </c>
      <c r="G1513" t="s">
        <v>70</v>
      </c>
      <c r="I1513" t="s">
        <v>60</v>
      </c>
      <c r="J1513" t="s">
        <v>61</v>
      </c>
      <c r="L1513" t="s">
        <v>62</v>
      </c>
    </row>
    <row r="1514" spans="1:13">
      <c r="A1514">
        <v>45784</v>
      </c>
      <c r="B1514" t="s">
        <v>63</v>
      </c>
      <c r="D1514">
        <v>5000</v>
      </c>
      <c r="F1514">
        <v>1</v>
      </c>
      <c r="G1514" t="s">
        <v>70</v>
      </c>
      <c r="I1514" t="s">
        <v>71</v>
      </c>
      <c r="J1514" t="s">
        <v>72</v>
      </c>
      <c r="K1514" t="s">
        <v>1668</v>
      </c>
      <c r="L1514" t="s">
        <v>62</v>
      </c>
      <c r="M1514" t="s">
        <v>970</v>
      </c>
    </row>
    <row r="1515" spans="1:13">
      <c r="A1515">
        <v>45784</v>
      </c>
      <c r="B1515" t="s">
        <v>63</v>
      </c>
      <c r="D1515">
        <v>6500</v>
      </c>
      <c r="F1515">
        <v>1</v>
      </c>
      <c r="G1515" t="s">
        <v>70</v>
      </c>
      <c r="I1515" t="s">
        <v>71</v>
      </c>
      <c r="J1515" t="s">
        <v>72</v>
      </c>
      <c r="K1515" t="s">
        <v>1669</v>
      </c>
      <c r="L1515" t="s">
        <v>62</v>
      </c>
      <c r="M1515" t="s">
        <v>1670</v>
      </c>
    </row>
    <row r="1516" spans="1:13">
      <c r="A1516">
        <v>45784</v>
      </c>
      <c r="B1516" t="s">
        <v>1671</v>
      </c>
      <c r="F1516">
        <v>1</v>
      </c>
      <c r="G1516" t="s">
        <v>64</v>
      </c>
      <c r="L1516" t="s">
        <v>86</v>
      </c>
      <c r="M1516" t="s">
        <v>1672</v>
      </c>
    </row>
    <row r="1517" spans="1:13">
      <c r="A1517">
        <v>45784</v>
      </c>
      <c r="B1517" t="s">
        <v>1673</v>
      </c>
      <c r="D1517">
        <v>500</v>
      </c>
      <c r="F1517">
        <v>1</v>
      </c>
      <c r="G1517" t="s">
        <v>22</v>
      </c>
      <c r="H1517" t="s">
        <v>21</v>
      </c>
      <c r="I1517" t="s">
        <v>60</v>
      </c>
      <c r="J1517" t="s">
        <v>61</v>
      </c>
      <c r="L1517" t="s">
        <v>82</v>
      </c>
    </row>
    <row r="1518" spans="1:13">
      <c r="A1518">
        <v>45784</v>
      </c>
      <c r="B1518" t="s">
        <v>1674</v>
      </c>
      <c r="F1518">
        <v>1</v>
      </c>
      <c r="G1518" t="s">
        <v>98</v>
      </c>
      <c r="H1518" t="s">
        <v>21</v>
      </c>
      <c r="L1518" t="s">
        <v>82</v>
      </c>
    </row>
    <row r="1519" spans="1:13">
      <c r="A1519">
        <v>45784</v>
      </c>
      <c r="B1519" t="s">
        <v>1674</v>
      </c>
      <c r="F1519">
        <v>1</v>
      </c>
      <c r="G1519" t="s">
        <v>64</v>
      </c>
      <c r="L1519" t="s">
        <v>82</v>
      </c>
      <c r="M1519" t="s">
        <v>1672</v>
      </c>
    </row>
    <row r="1520" spans="1:13">
      <c r="A1520">
        <v>45784</v>
      </c>
      <c r="B1520" t="s">
        <v>1675</v>
      </c>
      <c r="D1520">
        <v>500</v>
      </c>
      <c r="F1520">
        <v>1</v>
      </c>
      <c r="G1520" t="s">
        <v>22</v>
      </c>
      <c r="H1520" t="s">
        <v>21</v>
      </c>
      <c r="I1520" t="s">
        <v>60</v>
      </c>
      <c r="J1520" t="s">
        <v>61</v>
      </c>
      <c r="L1520" t="s">
        <v>82</v>
      </c>
    </row>
    <row r="1521" spans="1:13">
      <c r="A1521">
        <v>45784</v>
      </c>
      <c r="B1521" t="s">
        <v>63</v>
      </c>
      <c r="D1521">
        <v>10500</v>
      </c>
      <c r="F1521">
        <v>2</v>
      </c>
      <c r="G1521" t="s">
        <v>70</v>
      </c>
      <c r="I1521" t="s">
        <v>71</v>
      </c>
      <c r="J1521" t="s">
        <v>72</v>
      </c>
      <c r="K1521" t="s">
        <v>1676</v>
      </c>
      <c r="L1521" t="s">
        <v>62</v>
      </c>
      <c r="M1521" t="s">
        <v>90</v>
      </c>
    </row>
    <row r="1522" spans="1:13">
      <c r="A1522">
        <v>45784</v>
      </c>
      <c r="B1522" t="s">
        <v>76</v>
      </c>
      <c r="D1522">
        <v>5000</v>
      </c>
      <c r="G1522" t="s">
        <v>77</v>
      </c>
      <c r="I1522" t="s">
        <v>60</v>
      </c>
      <c r="J1522" t="s">
        <v>61</v>
      </c>
      <c r="L1522" t="s">
        <v>62</v>
      </c>
    </row>
    <row r="1523" spans="1:13">
      <c r="A1523">
        <v>45785</v>
      </c>
      <c r="B1523" t="s">
        <v>81</v>
      </c>
      <c r="D1523">
        <v>47000</v>
      </c>
      <c r="F1523">
        <v>1</v>
      </c>
      <c r="G1523" t="s">
        <v>74</v>
      </c>
      <c r="H1523" t="s">
        <v>75</v>
      </c>
      <c r="I1523" t="s">
        <v>60</v>
      </c>
      <c r="J1523" t="s">
        <v>61</v>
      </c>
      <c r="L1523" t="s">
        <v>88</v>
      </c>
      <c r="M1523" t="s">
        <v>955</v>
      </c>
    </row>
    <row r="1524" spans="1:13">
      <c r="A1524">
        <v>45785</v>
      </c>
      <c r="B1524" t="s">
        <v>1677</v>
      </c>
      <c r="D1524">
        <v>500</v>
      </c>
      <c r="F1524">
        <v>1</v>
      </c>
      <c r="G1524" t="s">
        <v>22</v>
      </c>
      <c r="H1524" t="s">
        <v>21</v>
      </c>
      <c r="I1524" t="s">
        <v>60</v>
      </c>
      <c r="J1524" t="s">
        <v>61</v>
      </c>
      <c r="L1524" t="s">
        <v>86</v>
      </c>
    </row>
    <row r="1525" spans="1:13">
      <c r="A1525">
        <v>45785</v>
      </c>
      <c r="B1525" t="s">
        <v>76</v>
      </c>
      <c r="D1525">
        <v>6000</v>
      </c>
      <c r="G1525" t="s">
        <v>77</v>
      </c>
      <c r="I1525" t="s">
        <v>60</v>
      </c>
      <c r="J1525" t="s">
        <v>61</v>
      </c>
      <c r="L1525" t="s">
        <v>62</v>
      </c>
    </row>
    <row r="1526" spans="1:13">
      <c r="A1526">
        <v>45785</v>
      </c>
      <c r="B1526" t="s">
        <v>1678</v>
      </c>
      <c r="D1526">
        <v>500</v>
      </c>
      <c r="F1526">
        <v>1</v>
      </c>
      <c r="G1526" t="s">
        <v>22</v>
      </c>
      <c r="H1526" t="s">
        <v>21</v>
      </c>
      <c r="I1526" t="s">
        <v>60</v>
      </c>
      <c r="J1526" t="s">
        <v>61</v>
      </c>
      <c r="L1526" t="s">
        <v>86</v>
      </c>
    </row>
    <row r="1527" spans="1:13">
      <c r="A1527">
        <v>45785</v>
      </c>
      <c r="B1527" t="s">
        <v>1679</v>
      </c>
      <c r="D1527">
        <v>500</v>
      </c>
      <c r="F1527">
        <v>1</v>
      </c>
      <c r="G1527" t="s">
        <v>22</v>
      </c>
      <c r="H1527" t="s">
        <v>21</v>
      </c>
      <c r="I1527" t="s">
        <v>60</v>
      </c>
      <c r="J1527" t="s">
        <v>61</v>
      </c>
      <c r="L1527" t="s">
        <v>86</v>
      </c>
    </row>
    <row r="1528" spans="1:13">
      <c r="A1528">
        <v>45785</v>
      </c>
      <c r="B1528" t="s">
        <v>1680</v>
      </c>
      <c r="F1528">
        <v>1</v>
      </c>
      <c r="G1528" t="s">
        <v>64</v>
      </c>
      <c r="L1528" t="s">
        <v>86</v>
      </c>
      <c r="M1528" t="s">
        <v>96</v>
      </c>
    </row>
    <row r="1529" spans="1:13">
      <c r="A1529">
        <v>45785</v>
      </c>
      <c r="B1529" t="s">
        <v>1681</v>
      </c>
      <c r="F1529">
        <v>1</v>
      </c>
      <c r="G1529" t="s">
        <v>64</v>
      </c>
      <c r="L1529" t="s">
        <v>89</v>
      </c>
      <c r="M1529" t="s">
        <v>1282</v>
      </c>
    </row>
    <row r="1530" spans="1:13">
      <c r="A1530">
        <v>45785</v>
      </c>
      <c r="B1530" t="s">
        <v>1682</v>
      </c>
      <c r="F1530">
        <v>1</v>
      </c>
      <c r="G1530" t="s">
        <v>319</v>
      </c>
      <c r="H1530" t="s">
        <v>21</v>
      </c>
      <c r="L1530" t="s">
        <v>89</v>
      </c>
    </row>
    <row r="1531" spans="1:13">
      <c r="A1531">
        <v>45785</v>
      </c>
      <c r="B1531" t="s">
        <v>63</v>
      </c>
      <c r="D1531">
        <v>7500</v>
      </c>
      <c r="G1531" t="s">
        <v>70</v>
      </c>
      <c r="I1531" t="s">
        <v>60</v>
      </c>
      <c r="J1531" t="s">
        <v>61</v>
      </c>
      <c r="L1531" t="s">
        <v>62</v>
      </c>
    </row>
    <row r="1532" spans="1:13">
      <c r="A1532">
        <v>45785</v>
      </c>
      <c r="B1532" t="s">
        <v>63</v>
      </c>
      <c r="D1532">
        <v>300</v>
      </c>
      <c r="F1532">
        <v>3</v>
      </c>
      <c r="G1532" t="s">
        <v>22</v>
      </c>
      <c r="H1532" t="s">
        <v>93</v>
      </c>
      <c r="I1532" t="s">
        <v>60</v>
      </c>
      <c r="J1532" t="s">
        <v>61</v>
      </c>
      <c r="L1532" t="s">
        <v>62</v>
      </c>
    </row>
    <row r="1533" spans="1:13">
      <c r="A1533">
        <v>45785</v>
      </c>
      <c r="B1533" t="s">
        <v>1683</v>
      </c>
      <c r="F1533">
        <v>1</v>
      </c>
      <c r="G1533" t="s">
        <v>0</v>
      </c>
      <c r="L1533" t="s">
        <v>86</v>
      </c>
    </row>
    <row r="1534" spans="1:13">
      <c r="A1534">
        <v>45786</v>
      </c>
      <c r="B1534" t="s">
        <v>81</v>
      </c>
      <c r="D1534">
        <v>197000</v>
      </c>
      <c r="F1534">
        <v>1</v>
      </c>
      <c r="G1534" t="s">
        <v>74</v>
      </c>
      <c r="H1534" t="s">
        <v>75</v>
      </c>
      <c r="I1534" t="s">
        <v>60</v>
      </c>
      <c r="J1534" t="s">
        <v>61</v>
      </c>
      <c r="L1534" t="s">
        <v>88</v>
      </c>
      <c r="M1534" t="s">
        <v>1684</v>
      </c>
    </row>
    <row r="1535" spans="1:13">
      <c r="A1535">
        <v>45786</v>
      </c>
      <c r="B1535" t="s">
        <v>1685</v>
      </c>
      <c r="D1535">
        <v>500</v>
      </c>
      <c r="F1535">
        <v>1</v>
      </c>
      <c r="G1535" t="s">
        <v>22</v>
      </c>
      <c r="H1535" t="s">
        <v>21</v>
      </c>
      <c r="I1535" t="s">
        <v>60</v>
      </c>
      <c r="J1535" t="s">
        <v>61</v>
      </c>
      <c r="L1535" t="s">
        <v>82</v>
      </c>
    </row>
    <row r="1536" spans="1:13">
      <c r="A1536">
        <v>45786</v>
      </c>
      <c r="B1536" t="s">
        <v>63</v>
      </c>
      <c r="D1536">
        <v>17000</v>
      </c>
      <c r="F1536">
        <v>2</v>
      </c>
      <c r="G1536" t="s">
        <v>70</v>
      </c>
      <c r="I1536" t="s">
        <v>71</v>
      </c>
      <c r="J1536" t="s">
        <v>72</v>
      </c>
      <c r="K1536" t="s">
        <v>1686</v>
      </c>
      <c r="L1536" t="s">
        <v>62</v>
      </c>
      <c r="M1536" t="s">
        <v>90</v>
      </c>
    </row>
    <row r="1537" spans="1:13">
      <c r="A1537">
        <v>45786</v>
      </c>
      <c r="B1537" t="s">
        <v>1687</v>
      </c>
      <c r="D1537">
        <v>0</v>
      </c>
      <c r="F1537">
        <v>0</v>
      </c>
      <c r="G1537" t="s">
        <v>22</v>
      </c>
      <c r="H1537" t="s">
        <v>21</v>
      </c>
      <c r="I1537" t="s">
        <v>60</v>
      </c>
      <c r="J1537" t="s">
        <v>61</v>
      </c>
      <c r="L1537" t="s">
        <v>82</v>
      </c>
      <c r="M1537" t="s">
        <v>1688</v>
      </c>
    </row>
    <row r="1538" spans="1:13">
      <c r="A1538">
        <v>45786</v>
      </c>
      <c r="B1538" t="s">
        <v>1689</v>
      </c>
      <c r="D1538">
        <v>500</v>
      </c>
      <c r="F1538">
        <v>1</v>
      </c>
      <c r="G1538" t="s">
        <v>22</v>
      </c>
      <c r="H1538" t="s">
        <v>21</v>
      </c>
      <c r="I1538" t="s">
        <v>60</v>
      </c>
      <c r="J1538" t="s">
        <v>61</v>
      </c>
      <c r="L1538" t="s">
        <v>82</v>
      </c>
    </row>
    <row r="1539" spans="1:13">
      <c r="A1539">
        <v>45786</v>
      </c>
      <c r="B1539" t="s">
        <v>817</v>
      </c>
      <c r="D1539">
        <v>500</v>
      </c>
      <c r="F1539">
        <v>1</v>
      </c>
      <c r="G1539" t="s">
        <v>22</v>
      </c>
      <c r="H1539" t="s">
        <v>21</v>
      </c>
      <c r="I1539" t="s">
        <v>60</v>
      </c>
      <c r="J1539" t="s">
        <v>61</v>
      </c>
      <c r="L1539" t="s">
        <v>82</v>
      </c>
    </row>
    <row r="1540" spans="1:13">
      <c r="A1540">
        <v>45786</v>
      </c>
      <c r="B1540" t="s">
        <v>1690</v>
      </c>
      <c r="D1540">
        <v>500</v>
      </c>
      <c r="F1540">
        <v>1</v>
      </c>
      <c r="G1540" t="s">
        <v>22</v>
      </c>
      <c r="H1540" t="s">
        <v>21</v>
      </c>
      <c r="I1540" t="s">
        <v>60</v>
      </c>
      <c r="J1540" t="s">
        <v>61</v>
      </c>
      <c r="L1540" t="s">
        <v>82</v>
      </c>
    </row>
    <row r="1541" spans="1:13">
      <c r="A1541">
        <v>45786</v>
      </c>
      <c r="B1541" t="s">
        <v>1691</v>
      </c>
      <c r="D1541">
        <v>500</v>
      </c>
      <c r="F1541">
        <v>0</v>
      </c>
      <c r="G1541" t="s">
        <v>22</v>
      </c>
      <c r="H1541" t="s">
        <v>21</v>
      </c>
      <c r="I1541" t="s">
        <v>60</v>
      </c>
      <c r="J1541" t="s">
        <v>61</v>
      </c>
      <c r="L1541" t="s">
        <v>82</v>
      </c>
      <c r="M1541" t="s">
        <v>83</v>
      </c>
    </row>
    <row r="1542" spans="1:13">
      <c r="A1542">
        <v>45786</v>
      </c>
      <c r="B1542" t="s">
        <v>1692</v>
      </c>
      <c r="D1542">
        <v>500</v>
      </c>
      <c r="F1542">
        <v>1</v>
      </c>
      <c r="G1542" t="s">
        <v>22</v>
      </c>
      <c r="H1542" t="s">
        <v>21</v>
      </c>
      <c r="I1542" t="s">
        <v>60</v>
      </c>
      <c r="J1542" t="s">
        <v>61</v>
      </c>
      <c r="L1542" t="s">
        <v>89</v>
      </c>
    </row>
    <row r="1543" spans="1:13">
      <c r="A1543">
        <v>45786</v>
      </c>
      <c r="B1543" t="s">
        <v>1693</v>
      </c>
      <c r="D1543">
        <v>500</v>
      </c>
      <c r="F1543">
        <v>1</v>
      </c>
      <c r="G1543" t="s">
        <v>22</v>
      </c>
      <c r="H1543" t="s">
        <v>21</v>
      </c>
      <c r="I1543" t="s">
        <v>60</v>
      </c>
      <c r="J1543" t="s">
        <v>61</v>
      </c>
      <c r="L1543" t="s">
        <v>89</v>
      </c>
    </row>
    <row r="1544" spans="1:13">
      <c r="A1544">
        <v>45786</v>
      </c>
      <c r="B1544" t="s">
        <v>1694</v>
      </c>
      <c r="D1544">
        <v>500</v>
      </c>
      <c r="F1544">
        <v>0</v>
      </c>
      <c r="G1544" t="s">
        <v>22</v>
      </c>
      <c r="H1544" t="s">
        <v>21</v>
      </c>
      <c r="I1544" t="s">
        <v>60</v>
      </c>
      <c r="J1544" t="s">
        <v>61</v>
      </c>
      <c r="L1544" t="s">
        <v>89</v>
      </c>
      <c r="M1544" t="s">
        <v>83</v>
      </c>
    </row>
    <row r="1545" spans="1:13">
      <c r="A1545">
        <v>45786</v>
      </c>
      <c r="B1545" t="s">
        <v>63</v>
      </c>
      <c r="D1545">
        <v>5500</v>
      </c>
      <c r="G1545" t="s">
        <v>70</v>
      </c>
      <c r="I1545" t="s">
        <v>60</v>
      </c>
      <c r="J1545" t="s">
        <v>61</v>
      </c>
      <c r="L1545" t="s">
        <v>62</v>
      </c>
    </row>
    <row r="1546" spans="1:13">
      <c r="A1546">
        <v>45786</v>
      </c>
      <c r="B1546" t="s">
        <v>1695</v>
      </c>
      <c r="F1546">
        <v>2</v>
      </c>
      <c r="G1546" t="s">
        <v>319</v>
      </c>
      <c r="H1546" t="s">
        <v>21</v>
      </c>
      <c r="L1546" t="s">
        <v>89</v>
      </c>
    </row>
    <row r="1547" spans="1:13">
      <c r="A1547">
        <v>45786</v>
      </c>
      <c r="B1547" t="s">
        <v>1696</v>
      </c>
      <c r="D1547">
        <v>500</v>
      </c>
      <c r="F1547">
        <v>0</v>
      </c>
      <c r="G1547" t="s">
        <v>22</v>
      </c>
      <c r="H1547" t="s">
        <v>21</v>
      </c>
      <c r="I1547" t="s">
        <v>60</v>
      </c>
      <c r="J1547" t="s">
        <v>61</v>
      </c>
      <c r="L1547" t="s">
        <v>89</v>
      </c>
      <c r="M1547" t="s">
        <v>83</v>
      </c>
    </row>
    <row r="1548" spans="1:13">
      <c r="A1548">
        <v>45786</v>
      </c>
      <c r="B1548" t="s">
        <v>1697</v>
      </c>
      <c r="F1548">
        <v>1</v>
      </c>
      <c r="G1548" t="s">
        <v>377</v>
      </c>
      <c r="H1548" t="s">
        <v>21</v>
      </c>
      <c r="L1548" t="s">
        <v>86</v>
      </c>
    </row>
    <row r="1549" spans="1:13">
      <c r="A1549">
        <v>45786</v>
      </c>
      <c r="B1549" t="s">
        <v>76</v>
      </c>
      <c r="D1549">
        <v>3000</v>
      </c>
      <c r="G1549" t="s">
        <v>77</v>
      </c>
      <c r="I1549" t="s">
        <v>60</v>
      </c>
      <c r="J1549" t="s">
        <v>61</v>
      </c>
      <c r="L1549" t="s">
        <v>62</v>
      </c>
    </row>
    <row r="1550" spans="1:13">
      <c r="A1550">
        <v>45787</v>
      </c>
      <c r="B1550" t="s">
        <v>559</v>
      </c>
      <c r="E1550">
        <v>10000</v>
      </c>
      <c r="F1550">
        <v>1</v>
      </c>
      <c r="G1550" t="s">
        <v>65</v>
      </c>
      <c r="H1550" t="s">
        <v>560</v>
      </c>
      <c r="I1550" t="s">
        <v>60</v>
      </c>
      <c r="J1550" t="s">
        <v>61</v>
      </c>
      <c r="L1550" t="s">
        <v>62</v>
      </c>
    </row>
    <row r="1551" spans="1:13">
      <c r="A1551">
        <v>45787</v>
      </c>
      <c r="B1551" t="s">
        <v>561</v>
      </c>
      <c r="E1551">
        <v>10000</v>
      </c>
      <c r="F1551">
        <v>1</v>
      </c>
      <c r="G1551" t="s">
        <v>65</v>
      </c>
      <c r="H1551" t="s">
        <v>560</v>
      </c>
      <c r="I1551" t="s">
        <v>60</v>
      </c>
      <c r="J1551" t="s">
        <v>61</v>
      </c>
      <c r="L1551" t="s">
        <v>62</v>
      </c>
    </row>
    <row r="1552" spans="1:13">
      <c r="A1552">
        <v>45787</v>
      </c>
      <c r="B1552" t="s">
        <v>1698</v>
      </c>
      <c r="F1552">
        <v>1</v>
      </c>
      <c r="G1552" t="s">
        <v>64</v>
      </c>
      <c r="L1552" t="s">
        <v>82</v>
      </c>
      <c r="M1552" t="s">
        <v>1666</v>
      </c>
    </row>
    <row r="1553" spans="1:13">
      <c r="A1553">
        <v>45787</v>
      </c>
      <c r="B1553" t="s">
        <v>1699</v>
      </c>
      <c r="D1553">
        <v>500</v>
      </c>
      <c r="F1553">
        <v>1</v>
      </c>
      <c r="G1553" t="s">
        <v>22</v>
      </c>
      <c r="H1553" t="s">
        <v>21</v>
      </c>
      <c r="I1553" t="s">
        <v>60</v>
      </c>
      <c r="J1553" t="s">
        <v>61</v>
      </c>
      <c r="L1553" t="s">
        <v>82</v>
      </c>
    </row>
    <row r="1554" spans="1:13">
      <c r="A1554">
        <v>45787</v>
      </c>
      <c r="B1554" t="s">
        <v>1700</v>
      </c>
      <c r="D1554">
        <v>500</v>
      </c>
      <c r="F1554">
        <v>1</v>
      </c>
      <c r="G1554" t="s">
        <v>22</v>
      </c>
      <c r="H1554" t="s">
        <v>21</v>
      </c>
      <c r="I1554" t="s">
        <v>60</v>
      </c>
      <c r="J1554" t="s">
        <v>61</v>
      </c>
      <c r="L1554" t="s">
        <v>82</v>
      </c>
    </row>
    <row r="1555" spans="1:13">
      <c r="A1555">
        <v>45787</v>
      </c>
      <c r="B1555" t="s">
        <v>1701</v>
      </c>
      <c r="D1555">
        <v>500</v>
      </c>
      <c r="F1555">
        <v>1</v>
      </c>
      <c r="G1555" t="s">
        <v>22</v>
      </c>
      <c r="H1555" t="s">
        <v>21</v>
      </c>
      <c r="I1555" t="s">
        <v>60</v>
      </c>
      <c r="J1555" t="s">
        <v>61</v>
      </c>
      <c r="L1555" t="s">
        <v>82</v>
      </c>
    </row>
    <row r="1556" spans="1:13">
      <c r="A1556">
        <v>45787</v>
      </c>
      <c r="B1556" t="s">
        <v>1442</v>
      </c>
      <c r="D1556">
        <v>500</v>
      </c>
      <c r="F1556">
        <v>0</v>
      </c>
      <c r="G1556" t="s">
        <v>22</v>
      </c>
      <c r="H1556" t="s">
        <v>21</v>
      </c>
      <c r="I1556" t="s">
        <v>60</v>
      </c>
      <c r="J1556" t="s">
        <v>61</v>
      </c>
      <c r="L1556" t="s">
        <v>82</v>
      </c>
      <c r="M1556" t="s">
        <v>83</v>
      </c>
    </row>
    <row r="1557" spans="1:13">
      <c r="A1557">
        <v>45787</v>
      </c>
      <c r="B1557" t="s">
        <v>63</v>
      </c>
      <c r="D1557">
        <v>14000</v>
      </c>
      <c r="G1557" t="s">
        <v>70</v>
      </c>
      <c r="I1557" t="s">
        <v>60</v>
      </c>
      <c r="J1557" t="s">
        <v>61</v>
      </c>
      <c r="L1557" t="s">
        <v>62</v>
      </c>
    </row>
    <row r="1558" spans="1:13">
      <c r="A1558">
        <v>45787</v>
      </c>
      <c r="B1558" t="s">
        <v>1330</v>
      </c>
      <c r="D1558">
        <v>500</v>
      </c>
      <c r="F1558">
        <v>0</v>
      </c>
      <c r="G1558" t="s">
        <v>22</v>
      </c>
      <c r="H1558" t="s">
        <v>21</v>
      </c>
      <c r="I1558" t="s">
        <v>60</v>
      </c>
      <c r="J1558" t="s">
        <v>61</v>
      </c>
      <c r="L1558" t="s">
        <v>86</v>
      </c>
      <c r="M1558" t="s">
        <v>83</v>
      </c>
    </row>
    <row r="1559" spans="1:13">
      <c r="A1559">
        <v>45787</v>
      </c>
      <c r="B1559" t="s">
        <v>1702</v>
      </c>
      <c r="D1559">
        <v>500</v>
      </c>
      <c r="F1559">
        <v>1</v>
      </c>
      <c r="G1559" t="s">
        <v>22</v>
      </c>
      <c r="H1559" t="s">
        <v>21</v>
      </c>
      <c r="I1559" t="s">
        <v>60</v>
      </c>
      <c r="J1559" t="s">
        <v>61</v>
      </c>
      <c r="L1559" t="s">
        <v>86</v>
      </c>
    </row>
    <row r="1560" spans="1:13">
      <c r="A1560">
        <v>45787</v>
      </c>
      <c r="B1560" t="s">
        <v>1703</v>
      </c>
      <c r="D1560">
        <v>500</v>
      </c>
      <c r="F1560">
        <v>1</v>
      </c>
      <c r="G1560" t="s">
        <v>22</v>
      </c>
      <c r="H1560" t="s">
        <v>21</v>
      </c>
      <c r="I1560" t="s">
        <v>60</v>
      </c>
      <c r="J1560" t="s">
        <v>61</v>
      </c>
      <c r="L1560" t="s">
        <v>86</v>
      </c>
    </row>
    <row r="1561" spans="1:13">
      <c r="A1561">
        <v>45787</v>
      </c>
      <c r="B1561" t="s">
        <v>1704</v>
      </c>
      <c r="F1561">
        <v>1</v>
      </c>
      <c r="G1561" t="s">
        <v>0</v>
      </c>
      <c r="L1561" t="s">
        <v>86</v>
      </c>
    </row>
    <row r="1562" spans="1:13">
      <c r="A1562">
        <v>45788</v>
      </c>
      <c r="B1562" t="s">
        <v>63</v>
      </c>
      <c r="D1562">
        <v>10500</v>
      </c>
      <c r="F1562">
        <v>2</v>
      </c>
      <c r="G1562" t="s">
        <v>70</v>
      </c>
      <c r="I1562" t="s">
        <v>71</v>
      </c>
      <c r="J1562" t="s">
        <v>72</v>
      </c>
      <c r="K1562" t="s">
        <v>1705</v>
      </c>
      <c r="L1562" t="s">
        <v>62</v>
      </c>
      <c r="M1562" t="s">
        <v>90</v>
      </c>
    </row>
    <row r="1563" spans="1:13">
      <c r="A1563">
        <v>45788</v>
      </c>
      <c r="B1563" t="s">
        <v>76</v>
      </c>
      <c r="D1563">
        <v>5000</v>
      </c>
      <c r="G1563" t="s">
        <v>77</v>
      </c>
      <c r="I1563" t="s">
        <v>60</v>
      </c>
      <c r="J1563" t="s">
        <v>61</v>
      </c>
      <c r="L1563" t="s">
        <v>62</v>
      </c>
    </row>
    <row r="1564" spans="1:13">
      <c r="A1564">
        <v>45788</v>
      </c>
      <c r="B1564" t="s">
        <v>546</v>
      </c>
      <c r="F1564">
        <v>-28</v>
      </c>
      <c r="G1564" t="s">
        <v>22</v>
      </c>
      <c r="H1564" t="s">
        <v>93</v>
      </c>
      <c r="L1564" t="s">
        <v>461</v>
      </c>
    </row>
    <row r="1565" spans="1:13">
      <c r="A1565">
        <v>45788</v>
      </c>
      <c r="B1565" t="s">
        <v>63</v>
      </c>
      <c r="D1565">
        <v>12000</v>
      </c>
      <c r="G1565" t="s">
        <v>70</v>
      </c>
      <c r="I1565" t="s">
        <v>60</v>
      </c>
      <c r="J1565" t="s">
        <v>61</v>
      </c>
      <c r="L1565" t="s">
        <v>62</v>
      </c>
    </row>
    <row r="1566" spans="1:13">
      <c r="A1566">
        <v>45788</v>
      </c>
      <c r="B1566" t="s">
        <v>1706</v>
      </c>
      <c r="D1566">
        <v>500</v>
      </c>
      <c r="F1566">
        <v>1</v>
      </c>
      <c r="G1566" t="s">
        <v>22</v>
      </c>
      <c r="H1566" t="s">
        <v>21</v>
      </c>
      <c r="I1566" t="s">
        <v>60</v>
      </c>
      <c r="J1566" t="s">
        <v>61</v>
      </c>
      <c r="L1566" t="s">
        <v>89</v>
      </c>
    </row>
    <row r="1567" spans="1:13">
      <c r="A1567">
        <v>45789</v>
      </c>
      <c r="B1567" t="s">
        <v>81</v>
      </c>
      <c r="D1567">
        <v>305000</v>
      </c>
      <c r="F1567">
        <v>1</v>
      </c>
      <c r="G1567" t="s">
        <v>74</v>
      </c>
      <c r="H1567" t="s">
        <v>75</v>
      </c>
      <c r="I1567" t="s">
        <v>60</v>
      </c>
      <c r="J1567" t="s">
        <v>61</v>
      </c>
      <c r="L1567" t="s">
        <v>88</v>
      </c>
      <c r="M1567" t="s">
        <v>955</v>
      </c>
    </row>
    <row r="1568" spans="1:13">
      <c r="A1568">
        <v>45789</v>
      </c>
      <c r="B1568" t="s">
        <v>238</v>
      </c>
      <c r="C1568" t="s">
        <v>1707</v>
      </c>
      <c r="F1568">
        <v>16</v>
      </c>
      <c r="G1568" t="s">
        <v>22</v>
      </c>
      <c r="H1568" t="s">
        <v>21</v>
      </c>
      <c r="L1568" t="s">
        <v>95</v>
      </c>
    </row>
    <row r="1569" spans="1:13">
      <c r="A1569">
        <v>45789</v>
      </c>
      <c r="B1569" t="s">
        <v>63</v>
      </c>
      <c r="D1569">
        <v>7500</v>
      </c>
      <c r="G1569" t="s">
        <v>70</v>
      </c>
      <c r="I1569" t="s">
        <v>60</v>
      </c>
      <c r="J1569" t="s">
        <v>61</v>
      </c>
      <c r="L1569" t="s">
        <v>62</v>
      </c>
    </row>
    <row r="1570" spans="1:13">
      <c r="A1570">
        <v>45789</v>
      </c>
      <c r="B1570" t="s">
        <v>1708</v>
      </c>
      <c r="F1570">
        <v>1</v>
      </c>
      <c r="G1570" t="s">
        <v>64</v>
      </c>
      <c r="L1570" t="s">
        <v>82</v>
      </c>
      <c r="M1570" t="s">
        <v>1709</v>
      </c>
    </row>
    <row r="1571" spans="1:13">
      <c r="A1571">
        <v>45789</v>
      </c>
      <c r="B1571" t="s">
        <v>1710</v>
      </c>
      <c r="D1571">
        <v>500</v>
      </c>
      <c r="F1571">
        <v>1</v>
      </c>
      <c r="G1571" t="s">
        <v>22</v>
      </c>
      <c r="H1571" t="s">
        <v>21</v>
      </c>
      <c r="I1571" t="s">
        <v>60</v>
      </c>
      <c r="J1571" t="s">
        <v>61</v>
      </c>
      <c r="L1571" t="s">
        <v>89</v>
      </c>
    </row>
    <row r="1572" spans="1:13">
      <c r="A1572">
        <v>45789</v>
      </c>
      <c r="B1572" t="s">
        <v>63</v>
      </c>
      <c r="D1572">
        <v>9500</v>
      </c>
      <c r="F1572">
        <v>1</v>
      </c>
      <c r="G1572" t="s">
        <v>70</v>
      </c>
      <c r="I1572" t="s">
        <v>71</v>
      </c>
      <c r="J1572" t="s">
        <v>72</v>
      </c>
      <c r="K1572" t="s">
        <v>1711</v>
      </c>
      <c r="L1572" t="s">
        <v>62</v>
      </c>
      <c r="M1572" t="s">
        <v>92</v>
      </c>
    </row>
    <row r="1573" spans="1:13">
      <c r="A1573">
        <v>45789</v>
      </c>
      <c r="B1573" t="s">
        <v>63</v>
      </c>
      <c r="D1573">
        <v>4000</v>
      </c>
      <c r="F1573">
        <v>1</v>
      </c>
      <c r="G1573" t="s">
        <v>70</v>
      </c>
      <c r="I1573" t="s">
        <v>71</v>
      </c>
      <c r="J1573" t="s">
        <v>72</v>
      </c>
      <c r="K1573" t="s">
        <v>1712</v>
      </c>
      <c r="L1573" t="s">
        <v>62</v>
      </c>
      <c r="M1573" t="s">
        <v>92</v>
      </c>
    </row>
    <row r="1574" spans="1:13">
      <c r="A1574">
        <v>45789</v>
      </c>
      <c r="B1574" t="s">
        <v>1713</v>
      </c>
      <c r="D1574">
        <v>500</v>
      </c>
      <c r="F1574">
        <v>1</v>
      </c>
      <c r="G1574" t="s">
        <v>22</v>
      </c>
      <c r="H1574" t="s">
        <v>21</v>
      </c>
      <c r="I1574" t="s">
        <v>60</v>
      </c>
      <c r="J1574" t="s">
        <v>61</v>
      </c>
      <c r="L1574" t="s">
        <v>82</v>
      </c>
    </row>
    <row r="1575" spans="1:13">
      <c r="A1575">
        <v>45789</v>
      </c>
      <c r="B1575" t="s">
        <v>1714</v>
      </c>
      <c r="D1575">
        <v>500</v>
      </c>
      <c r="F1575">
        <v>1</v>
      </c>
      <c r="G1575" t="s">
        <v>22</v>
      </c>
      <c r="H1575" t="s">
        <v>21</v>
      </c>
      <c r="I1575" t="s">
        <v>60</v>
      </c>
      <c r="J1575" t="s">
        <v>61</v>
      </c>
      <c r="L1575" t="s">
        <v>82</v>
      </c>
    </row>
    <row r="1576" spans="1:13">
      <c r="A1576">
        <v>45789</v>
      </c>
      <c r="B1576" t="s">
        <v>1715</v>
      </c>
      <c r="F1576">
        <v>1</v>
      </c>
      <c r="G1576" t="s">
        <v>64</v>
      </c>
      <c r="L1576" t="s">
        <v>82</v>
      </c>
      <c r="M1576" t="s">
        <v>96</v>
      </c>
    </row>
    <row r="1577" spans="1:13">
      <c r="A1577">
        <v>45790</v>
      </c>
      <c r="B1577" t="s">
        <v>81</v>
      </c>
      <c r="D1577">
        <v>112200</v>
      </c>
      <c r="F1577">
        <v>1</v>
      </c>
      <c r="G1577" t="s">
        <v>74</v>
      </c>
      <c r="H1577" t="s">
        <v>75</v>
      </c>
      <c r="I1577" t="s">
        <v>60</v>
      </c>
      <c r="J1577" t="s">
        <v>61</v>
      </c>
      <c r="L1577" t="s">
        <v>88</v>
      </c>
      <c r="M1577" t="s">
        <v>955</v>
      </c>
    </row>
    <row r="1578" spans="1:13">
      <c r="A1578">
        <v>45790</v>
      </c>
      <c r="B1578" t="s">
        <v>1716</v>
      </c>
      <c r="D1578">
        <v>500</v>
      </c>
      <c r="F1578">
        <v>1</v>
      </c>
      <c r="G1578" t="s">
        <v>22</v>
      </c>
      <c r="H1578" t="s">
        <v>21</v>
      </c>
      <c r="I1578" t="s">
        <v>60</v>
      </c>
      <c r="J1578" t="s">
        <v>61</v>
      </c>
      <c r="L1578" t="s">
        <v>89</v>
      </c>
    </row>
    <row r="1579" spans="1:13">
      <c r="A1579">
        <v>45790</v>
      </c>
      <c r="B1579" t="s">
        <v>63</v>
      </c>
      <c r="D1579">
        <v>1000</v>
      </c>
      <c r="F1579">
        <v>10</v>
      </c>
      <c r="G1579" t="s">
        <v>22</v>
      </c>
      <c r="H1579" t="s">
        <v>93</v>
      </c>
      <c r="I1579" t="s">
        <v>60</v>
      </c>
      <c r="J1579" t="s">
        <v>61</v>
      </c>
      <c r="L1579" t="s">
        <v>62</v>
      </c>
    </row>
    <row r="1580" spans="1:13">
      <c r="A1580">
        <v>45790</v>
      </c>
      <c r="B1580" t="s">
        <v>1717</v>
      </c>
      <c r="F1580">
        <v>1</v>
      </c>
      <c r="G1580" t="s">
        <v>79</v>
      </c>
      <c r="H1580" t="s">
        <v>21</v>
      </c>
      <c r="L1580" t="s">
        <v>82</v>
      </c>
    </row>
    <row r="1581" spans="1:13">
      <c r="A1581">
        <v>45790</v>
      </c>
      <c r="B1581" t="s">
        <v>1718</v>
      </c>
      <c r="F1581">
        <v>1</v>
      </c>
      <c r="G1581" t="s">
        <v>64</v>
      </c>
      <c r="L1581" t="s">
        <v>82</v>
      </c>
      <c r="M1581" t="s">
        <v>1719</v>
      </c>
    </row>
    <row r="1582" spans="1:13">
      <c r="A1582">
        <v>45790</v>
      </c>
      <c r="B1582" t="s">
        <v>1720</v>
      </c>
      <c r="D1582">
        <v>500</v>
      </c>
      <c r="F1582">
        <v>0</v>
      </c>
      <c r="G1582" t="s">
        <v>22</v>
      </c>
      <c r="H1582" t="s">
        <v>21</v>
      </c>
      <c r="I1582" t="s">
        <v>60</v>
      </c>
      <c r="J1582" t="s">
        <v>61</v>
      </c>
      <c r="L1582" t="s">
        <v>82</v>
      </c>
      <c r="M1582" t="s">
        <v>83</v>
      </c>
    </row>
    <row r="1583" spans="1:13">
      <c r="A1583">
        <v>45790</v>
      </c>
      <c r="B1583" t="s">
        <v>63</v>
      </c>
      <c r="D1583">
        <v>5500</v>
      </c>
      <c r="G1583" t="s">
        <v>70</v>
      </c>
      <c r="I1583" t="s">
        <v>60</v>
      </c>
      <c r="J1583" t="s">
        <v>61</v>
      </c>
      <c r="L1583" t="s">
        <v>62</v>
      </c>
    </row>
    <row r="1584" spans="1:13">
      <c r="A1584">
        <v>45790</v>
      </c>
      <c r="B1584" t="s">
        <v>1721</v>
      </c>
      <c r="D1584">
        <v>879550</v>
      </c>
      <c r="F1584">
        <v>1</v>
      </c>
      <c r="G1584" t="s">
        <v>74</v>
      </c>
      <c r="H1584" t="s">
        <v>75</v>
      </c>
      <c r="I1584" t="s">
        <v>60</v>
      </c>
      <c r="J1584" t="s">
        <v>61</v>
      </c>
      <c r="L1584" t="s">
        <v>1722</v>
      </c>
    </row>
    <row r="1585" spans="1:13">
      <c r="A1585">
        <v>45791</v>
      </c>
      <c r="B1585" t="s">
        <v>81</v>
      </c>
      <c r="D1585">
        <v>50200</v>
      </c>
      <c r="F1585">
        <v>1</v>
      </c>
      <c r="G1585" t="s">
        <v>74</v>
      </c>
      <c r="H1585" t="s">
        <v>75</v>
      </c>
      <c r="I1585" t="s">
        <v>60</v>
      </c>
      <c r="J1585" t="s">
        <v>61</v>
      </c>
      <c r="L1585" t="s">
        <v>88</v>
      </c>
      <c r="M1585" t="s">
        <v>955</v>
      </c>
    </row>
    <row r="1586" spans="1:13">
      <c r="A1586">
        <v>45791</v>
      </c>
      <c r="B1586" t="s">
        <v>76</v>
      </c>
      <c r="D1586">
        <v>12000</v>
      </c>
      <c r="G1586" t="s">
        <v>77</v>
      </c>
      <c r="I1586" t="s">
        <v>60</v>
      </c>
      <c r="J1586" t="s">
        <v>61</v>
      </c>
      <c r="L1586" t="s">
        <v>62</v>
      </c>
    </row>
    <row r="1587" spans="1:13">
      <c r="A1587">
        <v>45791</v>
      </c>
      <c r="B1587" t="s">
        <v>1723</v>
      </c>
      <c r="F1587">
        <v>1</v>
      </c>
      <c r="G1587" t="s">
        <v>587</v>
      </c>
      <c r="H1587" t="s">
        <v>21</v>
      </c>
      <c r="L1587" t="s">
        <v>89</v>
      </c>
    </row>
    <row r="1588" spans="1:13">
      <c r="A1588">
        <v>45791</v>
      </c>
      <c r="B1588" t="s">
        <v>1724</v>
      </c>
      <c r="E1588">
        <v>1229600</v>
      </c>
      <c r="F1588">
        <v>1</v>
      </c>
      <c r="G1588" t="s">
        <v>74</v>
      </c>
      <c r="H1588" t="s">
        <v>75</v>
      </c>
      <c r="I1588" t="s">
        <v>60</v>
      </c>
      <c r="J1588" t="s">
        <v>61</v>
      </c>
      <c r="L1588" t="s">
        <v>768</v>
      </c>
      <c r="M1588" t="s">
        <v>1725</v>
      </c>
    </row>
    <row r="1589" spans="1:13">
      <c r="A1589">
        <v>45791</v>
      </c>
      <c r="B1589" t="s">
        <v>1726</v>
      </c>
      <c r="D1589">
        <v>500</v>
      </c>
      <c r="F1589">
        <v>1</v>
      </c>
      <c r="G1589" t="s">
        <v>22</v>
      </c>
      <c r="H1589" t="s">
        <v>21</v>
      </c>
      <c r="I1589" t="s">
        <v>60</v>
      </c>
      <c r="J1589" t="s">
        <v>61</v>
      </c>
      <c r="L1589" t="s">
        <v>82</v>
      </c>
    </row>
    <row r="1590" spans="1:13">
      <c r="A1590">
        <v>45791</v>
      </c>
      <c r="B1590" t="s">
        <v>1727</v>
      </c>
      <c r="F1590">
        <v>1</v>
      </c>
      <c r="G1590" t="s">
        <v>564</v>
      </c>
      <c r="H1590" t="s">
        <v>21</v>
      </c>
      <c r="L1590" t="s">
        <v>82</v>
      </c>
    </row>
    <row r="1591" spans="1:13">
      <c r="A1591">
        <v>45791</v>
      </c>
      <c r="B1591" t="s">
        <v>1728</v>
      </c>
      <c r="F1591">
        <v>1</v>
      </c>
      <c r="G1591" t="s">
        <v>750</v>
      </c>
      <c r="H1591" t="s">
        <v>21</v>
      </c>
      <c r="L1591" t="s">
        <v>82</v>
      </c>
    </row>
    <row r="1592" spans="1:13">
      <c r="A1592">
        <v>45791</v>
      </c>
      <c r="B1592" t="s">
        <v>1729</v>
      </c>
      <c r="D1592">
        <v>500</v>
      </c>
      <c r="F1592">
        <v>1</v>
      </c>
      <c r="G1592" t="s">
        <v>22</v>
      </c>
      <c r="H1592" t="s">
        <v>21</v>
      </c>
      <c r="I1592" t="s">
        <v>60</v>
      </c>
      <c r="J1592" t="s">
        <v>61</v>
      </c>
      <c r="L1592" t="s">
        <v>82</v>
      </c>
    </row>
    <row r="1593" spans="1:13">
      <c r="A1593">
        <v>45792</v>
      </c>
      <c r="B1593" t="s">
        <v>1730</v>
      </c>
      <c r="E1593">
        <v>695417</v>
      </c>
      <c r="F1593">
        <v>1</v>
      </c>
      <c r="G1593" t="s">
        <v>74</v>
      </c>
      <c r="H1593" t="s">
        <v>75</v>
      </c>
      <c r="I1593" t="s">
        <v>60</v>
      </c>
      <c r="J1593" t="s">
        <v>61</v>
      </c>
      <c r="L1593" t="s">
        <v>104</v>
      </c>
      <c r="M1593" t="s">
        <v>1731</v>
      </c>
    </row>
    <row r="1594" spans="1:13">
      <c r="A1594">
        <v>45792</v>
      </c>
      <c r="B1594" t="s">
        <v>81</v>
      </c>
      <c r="D1594">
        <v>82300</v>
      </c>
      <c r="F1594">
        <v>1</v>
      </c>
      <c r="G1594" t="s">
        <v>74</v>
      </c>
      <c r="H1594" t="s">
        <v>75</v>
      </c>
      <c r="I1594" t="s">
        <v>60</v>
      </c>
      <c r="J1594" t="s">
        <v>61</v>
      </c>
      <c r="L1594" t="s">
        <v>88</v>
      </c>
      <c r="M1594" t="s">
        <v>955</v>
      </c>
    </row>
    <row r="1595" spans="1:13">
      <c r="A1595">
        <v>45792</v>
      </c>
      <c r="B1595" t="s">
        <v>1732</v>
      </c>
      <c r="D1595">
        <v>500</v>
      </c>
      <c r="F1595">
        <v>0</v>
      </c>
      <c r="G1595" t="s">
        <v>22</v>
      </c>
      <c r="H1595" t="s">
        <v>21</v>
      </c>
      <c r="I1595" t="s">
        <v>60</v>
      </c>
      <c r="J1595" t="s">
        <v>61</v>
      </c>
      <c r="L1595" t="s">
        <v>89</v>
      </c>
      <c r="M1595" t="s">
        <v>83</v>
      </c>
    </row>
    <row r="1596" spans="1:13">
      <c r="A1596">
        <v>45792</v>
      </c>
      <c r="B1596" t="s">
        <v>1733</v>
      </c>
      <c r="D1596">
        <v>500</v>
      </c>
      <c r="F1596">
        <v>0</v>
      </c>
      <c r="G1596" t="s">
        <v>22</v>
      </c>
      <c r="H1596" t="s">
        <v>21</v>
      </c>
      <c r="I1596" t="s">
        <v>60</v>
      </c>
      <c r="J1596" t="s">
        <v>61</v>
      </c>
      <c r="L1596" t="s">
        <v>89</v>
      </c>
      <c r="M1596" t="s">
        <v>83</v>
      </c>
    </row>
    <row r="1597" spans="1:13">
      <c r="A1597">
        <v>45792</v>
      </c>
      <c r="B1597" t="s">
        <v>624</v>
      </c>
      <c r="D1597">
        <v>-20800</v>
      </c>
      <c r="G1597" t="s">
        <v>77</v>
      </c>
      <c r="I1597" t="s">
        <v>60</v>
      </c>
      <c r="J1597" t="s">
        <v>61</v>
      </c>
      <c r="L1597" t="s">
        <v>62</v>
      </c>
    </row>
    <row r="1598" spans="1:13">
      <c r="A1598">
        <v>45792</v>
      </c>
      <c r="B1598" t="s">
        <v>624</v>
      </c>
      <c r="E1598">
        <v>-1100</v>
      </c>
      <c r="G1598" t="s">
        <v>65</v>
      </c>
      <c r="H1598" t="s">
        <v>85</v>
      </c>
      <c r="I1598" t="s">
        <v>60</v>
      </c>
      <c r="J1598" t="s">
        <v>61</v>
      </c>
      <c r="L1598" t="s">
        <v>62</v>
      </c>
    </row>
    <row r="1599" spans="1:13">
      <c r="A1599">
        <v>45792</v>
      </c>
      <c r="B1599" t="s">
        <v>727</v>
      </c>
      <c r="C1599" t="s">
        <v>1734</v>
      </c>
      <c r="E1599">
        <v>32000</v>
      </c>
      <c r="F1599">
        <v>1</v>
      </c>
      <c r="G1599" t="s">
        <v>65</v>
      </c>
      <c r="H1599" t="s">
        <v>265</v>
      </c>
      <c r="I1599" t="s">
        <v>60</v>
      </c>
      <c r="J1599" t="s">
        <v>61</v>
      </c>
      <c r="L1599" t="s">
        <v>62</v>
      </c>
    </row>
    <row r="1600" spans="1:13">
      <c r="A1600">
        <v>45792</v>
      </c>
      <c r="B1600" t="s">
        <v>63</v>
      </c>
      <c r="D1600">
        <v>9500</v>
      </c>
      <c r="G1600" t="s">
        <v>70</v>
      </c>
      <c r="I1600" t="s">
        <v>60</v>
      </c>
      <c r="J1600" t="s">
        <v>61</v>
      </c>
      <c r="L1600" t="s">
        <v>62</v>
      </c>
    </row>
    <row r="1601" spans="1:13">
      <c r="A1601">
        <v>45792</v>
      </c>
      <c r="B1601" t="s">
        <v>1735</v>
      </c>
      <c r="D1601">
        <v>500</v>
      </c>
      <c r="F1601">
        <v>1</v>
      </c>
      <c r="G1601" t="s">
        <v>22</v>
      </c>
      <c r="H1601" t="s">
        <v>21</v>
      </c>
      <c r="I1601" t="s">
        <v>60</v>
      </c>
      <c r="J1601" t="s">
        <v>61</v>
      </c>
      <c r="L1601" t="s">
        <v>86</v>
      </c>
    </row>
    <row r="1602" spans="1:13">
      <c r="A1602">
        <v>45793</v>
      </c>
      <c r="B1602" t="s">
        <v>81</v>
      </c>
      <c r="D1602">
        <v>38000</v>
      </c>
      <c r="F1602">
        <v>1</v>
      </c>
      <c r="G1602" t="s">
        <v>74</v>
      </c>
      <c r="H1602" t="s">
        <v>75</v>
      </c>
      <c r="I1602" t="s">
        <v>60</v>
      </c>
      <c r="J1602" t="s">
        <v>61</v>
      </c>
      <c r="L1602" t="s">
        <v>88</v>
      </c>
      <c r="M1602" t="s">
        <v>955</v>
      </c>
    </row>
    <row r="1603" spans="1:13">
      <c r="A1603">
        <v>45793</v>
      </c>
      <c r="B1603" t="s">
        <v>63</v>
      </c>
      <c r="D1603">
        <v>14000</v>
      </c>
      <c r="G1603" t="s">
        <v>70</v>
      </c>
      <c r="I1603" t="s">
        <v>60</v>
      </c>
      <c r="J1603" t="s">
        <v>61</v>
      </c>
      <c r="L1603" t="s">
        <v>62</v>
      </c>
    </row>
    <row r="1604" spans="1:13">
      <c r="A1604">
        <v>45793</v>
      </c>
      <c r="B1604" t="s">
        <v>719</v>
      </c>
      <c r="E1604">
        <v>69299</v>
      </c>
      <c r="F1604">
        <v>1</v>
      </c>
      <c r="G1604" t="s">
        <v>65</v>
      </c>
      <c r="H1604" t="s">
        <v>348</v>
      </c>
      <c r="I1604" t="s">
        <v>60</v>
      </c>
      <c r="J1604" t="s">
        <v>61</v>
      </c>
      <c r="L1604" t="s">
        <v>88</v>
      </c>
      <c r="M1604" t="s">
        <v>670</v>
      </c>
    </row>
    <row r="1605" spans="1:13">
      <c r="A1605">
        <v>45793</v>
      </c>
      <c r="B1605" t="s">
        <v>1736</v>
      </c>
      <c r="F1605">
        <v>1</v>
      </c>
      <c r="G1605" t="s">
        <v>79</v>
      </c>
      <c r="H1605" t="s">
        <v>21</v>
      </c>
      <c r="L1605" t="s">
        <v>89</v>
      </c>
    </row>
    <row r="1606" spans="1:13">
      <c r="A1606">
        <v>45793</v>
      </c>
      <c r="B1606" t="s">
        <v>1737</v>
      </c>
      <c r="F1606">
        <v>2</v>
      </c>
      <c r="G1606" t="s">
        <v>22</v>
      </c>
      <c r="H1606" t="s">
        <v>21</v>
      </c>
      <c r="L1606" t="s">
        <v>461</v>
      </c>
    </row>
    <row r="1607" spans="1:13">
      <c r="A1607">
        <v>45793</v>
      </c>
      <c r="B1607" t="s">
        <v>1738</v>
      </c>
      <c r="D1607">
        <v>500</v>
      </c>
      <c r="F1607">
        <v>1</v>
      </c>
      <c r="G1607" t="s">
        <v>22</v>
      </c>
      <c r="H1607" t="s">
        <v>21</v>
      </c>
      <c r="I1607" t="s">
        <v>60</v>
      </c>
      <c r="J1607" t="s">
        <v>61</v>
      </c>
      <c r="L1607" t="s">
        <v>89</v>
      </c>
    </row>
    <row r="1608" spans="1:13">
      <c r="A1608">
        <v>45793</v>
      </c>
      <c r="B1608" t="s">
        <v>1739</v>
      </c>
      <c r="F1608">
        <v>1</v>
      </c>
      <c r="G1608" t="s">
        <v>587</v>
      </c>
      <c r="H1608" t="s">
        <v>21</v>
      </c>
      <c r="L1608" t="s">
        <v>82</v>
      </c>
    </row>
    <row r="1609" spans="1:13">
      <c r="A1609">
        <v>45793</v>
      </c>
      <c r="B1609" t="s">
        <v>63</v>
      </c>
      <c r="D1609">
        <v>13000</v>
      </c>
      <c r="F1609">
        <v>2</v>
      </c>
      <c r="G1609" t="s">
        <v>70</v>
      </c>
      <c r="I1609" t="s">
        <v>71</v>
      </c>
      <c r="J1609" t="s">
        <v>72</v>
      </c>
      <c r="K1609" t="s">
        <v>1740</v>
      </c>
      <c r="L1609" t="s">
        <v>62</v>
      </c>
      <c r="M1609" t="s">
        <v>90</v>
      </c>
    </row>
    <row r="1610" spans="1:13">
      <c r="A1610">
        <v>45793</v>
      </c>
      <c r="B1610" t="s">
        <v>1741</v>
      </c>
      <c r="F1610">
        <v>1</v>
      </c>
      <c r="G1610" t="s">
        <v>377</v>
      </c>
      <c r="H1610" t="s">
        <v>21</v>
      </c>
      <c r="L1610" t="s">
        <v>82</v>
      </c>
    </row>
    <row r="1611" spans="1:13">
      <c r="A1611">
        <v>45793</v>
      </c>
      <c r="B1611" t="s">
        <v>1742</v>
      </c>
      <c r="D1611">
        <v>500</v>
      </c>
      <c r="F1611">
        <v>1</v>
      </c>
      <c r="G1611" t="s">
        <v>22</v>
      </c>
      <c r="H1611" t="s">
        <v>21</v>
      </c>
      <c r="I1611" t="s">
        <v>60</v>
      </c>
      <c r="J1611" t="s">
        <v>61</v>
      </c>
      <c r="L1611" t="s">
        <v>82</v>
      </c>
    </row>
    <row r="1612" spans="1:13">
      <c r="A1612">
        <v>45793</v>
      </c>
      <c r="B1612" t="s">
        <v>1395</v>
      </c>
      <c r="D1612">
        <v>500</v>
      </c>
      <c r="F1612">
        <v>1</v>
      </c>
      <c r="G1612" t="s">
        <v>22</v>
      </c>
      <c r="H1612" t="s">
        <v>21</v>
      </c>
      <c r="I1612" t="s">
        <v>60</v>
      </c>
      <c r="J1612" t="s">
        <v>61</v>
      </c>
      <c r="L1612" t="s">
        <v>82</v>
      </c>
    </row>
    <row r="1613" spans="1:13">
      <c r="A1613">
        <v>45793</v>
      </c>
      <c r="B1613" t="s">
        <v>63</v>
      </c>
      <c r="D1613">
        <v>7500</v>
      </c>
      <c r="F1613">
        <v>1</v>
      </c>
      <c r="G1613" t="s">
        <v>70</v>
      </c>
      <c r="I1613" t="s">
        <v>71</v>
      </c>
      <c r="J1613" t="s">
        <v>72</v>
      </c>
      <c r="K1613" t="s">
        <v>1743</v>
      </c>
      <c r="L1613" t="s">
        <v>62</v>
      </c>
      <c r="M1613" t="s">
        <v>1744</v>
      </c>
    </row>
    <row r="1614" spans="1:13">
      <c r="A1614">
        <v>45793</v>
      </c>
      <c r="B1614" t="s">
        <v>76</v>
      </c>
      <c r="D1614">
        <v>22400</v>
      </c>
      <c r="G1614" t="s">
        <v>77</v>
      </c>
      <c r="I1614" t="s">
        <v>60</v>
      </c>
      <c r="J1614" t="s">
        <v>61</v>
      </c>
      <c r="L1614" t="s">
        <v>62</v>
      </c>
    </row>
    <row r="1615" spans="1:13">
      <c r="A1615">
        <v>45793</v>
      </c>
      <c r="B1615" t="s">
        <v>63</v>
      </c>
      <c r="D1615">
        <v>300</v>
      </c>
      <c r="F1615">
        <v>3</v>
      </c>
      <c r="G1615" t="s">
        <v>22</v>
      </c>
      <c r="H1615" t="s">
        <v>93</v>
      </c>
      <c r="I1615" t="s">
        <v>60</v>
      </c>
      <c r="J1615" t="s">
        <v>61</v>
      </c>
      <c r="L1615" t="s">
        <v>62</v>
      </c>
    </row>
    <row r="1616" spans="1:13">
      <c r="A1616">
        <v>45794</v>
      </c>
      <c r="B1616" t="s">
        <v>562</v>
      </c>
      <c r="D1616">
        <v>5000</v>
      </c>
      <c r="G1616" t="s">
        <v>77</v>
      </c>
      <c r="I1616" t="s">
        <v>60</v>
      </c>
      <c r="J1616" t="s">
        <v>61</v>
      </c>
      <c r="L1616" t="s">
        <v>62</v>
      </c>
    </row>
    <row r="1617" spans="1:13">
      <c r="A1617">
        <v>45794</v>
      </c>
      <c r="B1617" t="s">
        <v>1745</v>
      </c>
      <c r="D1617">
        <v>500</v>
      </c>
      <c r="F1617">
        <v>1</v>
      </c>
      <c r="G1617" t="s">
        <v>22</v>
      </c>
      <c r="H1617" t="s">
        <v>21</v>
      </c>
      <c r="I1617" t="s">
        <v>60</v>
      </c>
      <c r="J1617" t="s">
        <v>61</v>
      </c>
      <c r="L1617" t="s">
        <v>89</v>
      </c>
    </row>
    <row r="1618" spans="1:13">
      <c r="A1618">
        <v>45794</v>
      </c>
      <c r="B1618" t="s">
        <v>559</v>
      </c>
      <c r="E1618">
        <v>10000</v>
      </c>
      <c r="F1618">
        <v>1</v>
      </c>
      <c r="G1618" t="s">
        <v>65</v>
      </c>
      <c r="H1618" t="s">
        <v>560</v>
      </c>
      <c r="I1618" t="s">
        <v>60</v>
      </c>
      <c r="J1618" t="s">
        <v>61</v>
      </c>
      <c r="L1618" t="s">
        <v>62</v>
      </c>
    </row>
    <row r="1619" spans="1:13">
      <c r="A1619">
        <v>45794</v>
      </c>
      <c r="B1619" t="s">
        <v>561</v>
      </c>
      <c r="E1619">
        <v>9000</v>
      </c>
      <c r="F1619">
        <v>1</v>
      </c>
      <c r="G1619" t="s">
        <v>65</v>
      </c>
      <c r="H1619" t="s">
        <v>560</v>
      </c>
      <c r="I1619" t="s">
        <v>60</v>
      </c>
      <c r="J1619" t="s">
        <v>61</v>
      </c>
      <c r="L1619" t="s">
        <v>62</v>
      </c>
    </row>
    <row r="1620" spans="1:13">
      <c r="A1620">
        <v>45794</v>
      </c>
      <c r="B1620" t="s">
        <v>1746</v>
      </c>
      <c r="F1620">
        <v>1</v>
      </c>
      <c r="G1620" t="s">
        <v>377</v>
      </c>
      <c r="H1620" t="s">
        <v>21</v>
      </c>
      <c r="L1620" t="s">
        <v>89</v>
      </c>
    </row>
    <row r="1621" spans="1:13">
      <c r="A1621">
        <v>45794</v>
      </c>
      <c r="B1621" t="s">
        <v>1747</v>
      </c>
      <c r="F1621">
        <v>1</v>
      </c>
      <c r="G1621" t="s">
        <v>377</v>
      </c>
      <c r="H1621" t="s">
        <v>21</v>
      </c>
      <c r="L1621" t="s">
        <v>89</v>
      </c>
    </row>
    <row r="1622" spans="1:13">
      <c r="A1622">
        <v>45794</v>
      </c>
      <c r="B1622" t="s">
        <v>1748</v>
      </c>
      <c r="D1622">
        <v>500</v>
      </c>
      <c r="F1622">
        <v>1</v>
      </c>
      <c r="G1622" t="s">
        <v>22</v>
      </c>
      <c r="H1622" t="s">
        <v>21</v>
      </c>
      <c r="I1622" t="s">
        <v>60</v>
      </c>
      <c r="J1622" t="s">
        <v>61</v>
      </c>
      <c r="L1622" t="s">
        <v>89</v>
      </c>
    </row>
    <row r="1623" spans="1:13">
      <c r="A1623">
        <v>45794</v>
      </c>
      <c r="B1623" t="s">
        <v>624</v>
      </c>
      <c r="D1623">
        <v>-20800</v>
      </c>
      <c r="G1623" t="s">
        <v>77</v>
      </c>
      <c r="I1623" t="s">
        <v>60</v>
      </c>
      <c r="J1623" t="s">
        <v>61</v>
      </c>
      <c r="L1623" t="s">
        <v>62</v>
      </c>
    </row>
    <row r="1624" spans="1:13">
      <c r="A1624">
        <v>45794</v>
      </c>
      <c r="B1624" t="s">
        <v>624</v>
      </c>
      <c r="E1624">
        <v>-1100</v>
      </c>
      <c r="G1624" t="s">
        <v>65</v>
      </c>
      <c r="H1624" t="s">
        <v>85</v>
      </c>
      <c r="I1624" t="s">
        <v>60</v>
      </c>
      <c r="J1624" t="s">
        <v>61</v>
      </c>
      <c r="L1624" t="s">
        <v>62</v>
      </c>
    </row>
    <row r="1625" spans="1:13">
      <c r="A1625">
        <v>45794</v>
      </c>
      <c r="B1625" t="s">
        <v>1749</v>
      </c>
      <c r="F1625">
        <v>1</v>
      </c>
      <c r="G1625" t="s">
        <v>64</v>
      </c>
      <c r="L1625" t="s">
        <v>86</v>
      </c>
      <c r="M1625" t="s">
        <v>96</v>
      </c>
    </row>
    <row r="1626" spans="1:13">
      <c r="A1626">
        <v>45794</v>
      </c>
      <c r="B1626" t="s">
        <v>1750</v>
      </c>
      <c r="F1626">
        <v>1</v>
      </c>
      <c r="G1626" t="s">
        <v>377</v>
      </c>
      <c r="H1626" t="s">
        <v>21</v>
      </c>
      <c r="L1626" t="s">
        <v>86</v>
      </c>
    </row>
    <row r="1627" spans="1:13">
      <c r="A1627">
        <v>45794</v>
      </c>
      <c r="B1627" t="s">
        <v>1750</v>
      </c>
      <c r="D1627">
        <v>0</v>
      </c>
      <c r="F1627">
        <v>0</v>
      </c>
      <c r="G1627" t="s">
        <v>22</v>
      </c>
      <c r="H1627" t="s">
        <v>21</v>
      </c>
      <c r="I1627" t="s">
        <v>60</v>
      </c>
      <c r="J1627" t="s">
        <v>61</v>
      </c>
      <c r="L1627" t="s">
        <v>86</v>
      </c>
      <c r="M1627" t="s">
        <v>1751</v>
      </c>
    </row>
    <row r="1628" spans="1:13">
      <c r="A1628">
        <v>45794</v>
      </c>
      <c r="B1628" t="s">
        <v>1752</v>
      </c>
      <c r="F1628">
        <v>1</v>
      </c>
      <c r="G1628" t="s">
        <v>564</v>
      </c>
      <c r="H1628" t="s">
        <v>21</v>
      </c>
      <c r="L1628" t="s">
        <v>86</v>
      </c>
    </row>
    <row r="1629" spans="1:13">
      <c r="A1629">
        <v>45794</v>
      </c>
      <c r="B1629" t="s">
        <v>1752</v>
      </c>
      <c r="D1629">
        <v>0</v>
      </c>
      <c r="F1629">
        <v>0</v>
      </c>
      <c r="G1629" t="s">
        <v>22</v>
      </c>
      <c r="H1629" t="s">
        <v>21</v>
      </c>
      <c r="I1629" t="s">
        <v>60</v>
      </c>
      <c r="J1629" t="s">
        <v>61</v>
      </c>
      <c r="L1629" t="s">
        <v>86</v>
      </c>
      <c r="M1629" t="s">
        <v>1751</v>
      </c>
    </row>
    <row r="1630" spans="1:13">
      <c r="A1630">
        <v>45794</v>
      </c>
      <c r="B1630" t="s">
        <v>1753</v>
      </c>
      <c r="D1630">
        <v>500</v>
      </c>
      <c r="F1630">
        <v>1</v>
      </c>
      <c r="G1630" t="s">
        <v>22</v>
      </c>
      <c r="H1630" t="s">
        <v>21</v>
      </c>
      <c r="I1630" t="s">
        <v>60</v>
      </c>
      <c r="J1630" t="s">
        <v>61</v>
      </c>
      <c r="L1630" t="s">
        <v>86</v>
      </c>
    </row>
    <row r="1631" spans="1:13">
      <c r="A1631">
        <v>45794</v>
      </c>
      <c r="B1631" t="s">
        <v>1754</v>
      </c>
      <c r="D1631">
        <v>500</v>
      </c>
      <c r="F1631">
        <v>1</v>
      </c>
      <c r="G1631" t="s">
        <v>22</v>
      </c>
      <c r="H1631" t="s">
        <v>21</v>
      </c>
      <c r="I1631" t="s">
        <v>60</v>
      </c>
      <c r="J1631" t="s">
        <v>61</v>
      </c>
      <c r="L1631" t="s">
        <v>86</v>
      </c>
    </row>
    <row r="1632" spans="1:13">
      <c r="A1632">
        <v>45794</v>
      </c>
      <c r="B1632" t="s">
        <v>63</v>
      </c>
      <c r="D1632">
        <v>16500</v>
      </c>
      <c r="G1632" t="s">
        <v>70</v>
      </c>
      <c r="I1632" t="s">
        <v>60</v>
      </c>
      <c r="J1632" t="s">
        <v>61</v>
      </c>
      <c r="L1632" t="s">
        <v>62</v>
      </c>
    </row>
    <row r="1633" spans="1:13">
      <c r="A1633">
        <v>45794</v>
      </c>
      <c r="B1633" t="s">
        <v>1755</v>
      </c>
      <c r="D1633">
        <v>500</v>
      </c>
      <c r="F1633">
        <v>0</v>
      </c>
      <c r="G1633" t="s">
        <v>22</v>
      </c>
      <c r="H1633" t="s">
        <v>21</v>
      </c>
      <c r="I1633" t="s">
        <v>60</v>
      </c>
      <c r="J1633" t="s">
        <v>61</v>
      </c>
      <c r="L1633" t="s">
        <v>86</v>
      </c>
      <c r="M1633" t="s">
        <v>1756</v>
      </c>
    </row>
    <row r="1634" spans="1:13">
      <c r="A1634">
        <v>45794</v>
      </c>
      <c r="B1634" t="s">
        <v>1757</v>
      </c>
      <c r="F1634">
        <v>1</v>
      </c>
      <c r="G1634" t="s">
        <v>79</v>
      </c>
      <c r="H1634" t="s">
        <v>21</v>
      </c>
      <c r="L1634" t="s">
        <v>86</v>
      </c>
    </row>
    <row r="1635" spans="1:13">
      <c r="A1635">
        <v>45794</v>
      </c>
      <c r="B1635" t="s">
        <v>1757</v>
      </c>
      <c r="D1635">
        <v>0</v>
      </c>
      <c r="F1635">
        <v>0</v>
      </c>
      <c r="G1635" t="s">
        <v>22</v>
      </c>
      <c r="H1635" t="s">
        <v>21</v>
      </c>
      <c r="I1635" t="s">
        <v>60</v>
      </c>
      <c r="J1635" t="s">
        <v>61</v>
      </c>
      <c r="L1635" t="s">
        <v>86</v>
      </c>
      <c r="M1635" t="s">
        <v>1751</v>
      </c>
    </row>
    <row r="1636" spans="1:13">
      <c r="A1636">
        <v>45794</v>
      </c>
      <c r="B1636" t="s">
        <v>63</v>
      </c>
      <c r="D1636">
        <v>9500</v>
      </c>
      <c r="F1636">
        <v>1</v>
      </c>
      <c r="G1636" t="s">
        <v>70</v>
      </c>
      <c r="I1636" t="s">
        <v>71</v>
      </c>
      <c r="J1636" t="s">
        <v>535</v>
      </c>
      <c r="K1636" t="s">
        <v>1758</v>
      </c>
      <c r="L1636" t="s">
        <v>62</v>
      </c>
      <c r="M1636" t="s">
        <v>90</v>
      </c>
    </row>
    <row r="1637" spans="1:13">
      <c r="A1637">
        <v>45794</v>
      </c>
      <c r="B1637" t="s">
        <v>63</v>
      </c>
      <c r="D1637">
        <v>7500</v>
      </c>
      <c r="F1637">
        <v>1</v>
      </c>
      <c r="G1637" t="s">
        <v>70</v>
      </c>
      <c r="I1637" t="s">
        <v>71</v>
      </c>
      <c r="J1637" t="s">
        <v>72</v>
      </c>
      <c r="K1637" t="s">
        <v>1759</v>
      </c>
      <c r="L1637" t="s">
        <v>62</v>
      </c>
      <c r="M1637" t="s">
        <v>90</v>
      </c>
    </row>
    <row r="1638" spans="1:13">
      <c r="A1638">
        <v>45794</v>
      </c>
      <c r="B1638" t="s">
        <v>63</v>
      </c>
      <c r="D1638">
        <v>21500</v>
      </c>
      <c r="F1638">
        <v>2</v>
      </c>
      <c r="G1638" t="s">
        <v>70</v>
      </c>
      <c r="I1638" t="s">
        <v>71</v>
      </c>
      <c r="J1638" t="s">
        <v>535</v>
      </c>
      <c r="K1638" t="s">
        <v>1760</v>
      </c>
      <c r="L1638" t="s">
        <v>62</v>
      </c>
      <c r="M1638" t="s">
        <v>90</v>
      </c>
    </row>
    <row r="1639" spans="1:13">
      <c r="A1639">
        <v>45794</v>
      </c>
      <c r="B1639" t="s">
        <v>1761</v>
      </c>
      <c r="D1639">
        <v>500</v>
      </c>
      <c r="F1639">
        <v>1</v>
      </c>
      <c r="G1639" t="s">
        <v>22</v>
      </c>
      <c r="H1639" t="s">
        <v>21</v>
      </c>
      <c r="I1639" t="s">
        <v>60</v>
      </c>
      <c r="J1639" t="s">
        <v>61</v>
      </c>
      <c r="L1639" t="s">
        <v>86</v>
      </c>
    </row>
    <row r="1640" spans="1:13">
      <c r="A1640">
        <v>45795</v>
      </c>
      <c r="B1640" t="s">
        <v>63</v>
      </c>
      <c r="D1640">
        <v>56500</v>
      </c>
      <c r="G1640" t="s">
        <v>70</v>
      </c>
      <c r="I1640" t="s">
        <v>60</v>
      </c>
      <c r="J1640" t="s">
        <v>61</v>
      </c>
      <c r="L1640" t="s">
        <v>62</v>
      </c>
    </row>
    <row r="1641" spans="1:13">
      <c r="A1641">
        <v>45795</v>
      </c>
      <c r="B1641" t="s">
        <v>1762</v>
      </c>
      <c r="F1641">
        <v>1</v>
      </c>
      <c r="G1641" t="s">
        <v>79</v>
      </c>
      <c r="H1641" t="s">
        <v>21</v>
      </c>
      <c r="L1641" t="s">
        <v>86</v>
      </c>
    </row>
    <row r="1642" spans="1:13">
      <c r="A1642">
        <v>45795</v>
      </c>
      <c r="B1642" t="s">
        <v>1763</v>
      </c>
      <c r="F1642">
        <v>1</v>
      </c>
      <c r="G1642" t="s">
        <v>79</v>
      </c>
      <c r="H1642" t="s">
        <v>21</v>
      </c>
      <c r="L1642" t="s">
        <v>82</v>
      </c>
    </row>
    <row r="1643" spans="1:13">
      <c r="A1643">
        <v>45795</v>
      </c>
      <c r="B1643" t="s">
        <v>1763</v>
      </c>
      <c r="F1643">
        <v>1</v>
      </c>
      <c r="G1643" t="s">
        <v>64</v>
      </c>
      <c r="L1643" t="s">
        <v>82</v>
      </c>
      <c r="M1643" t="s">
        <v>1764</v>
      </c>
    </row>
    <row r="1644" spans="1:13">
      <c r="A1644">
        <v>45795</v>
      </c>
      <c r="B1644" t="s">
        <v>63</v>
      </c>
      <c r="D1644">
        <v>8000</v>
      </c>
      <c r="F1644">
        <v>1</v>
      </c>
      <c r="G1644" t="s">
        <v>70</v>
      </c>
      <c r="I1644" t="s">
        <v>71</v>
      </c>
      <c r="J1644" t="s">
        <v>72</v>
      </c>
      <c r="K1644" t="s">
        <v>1765</v>
      </c>
      <c r="L1644" t="s">
        <v>62</v>
      </c>
      <c r="M1644" t="s">
        <v>90</v>
      </c>
    </row>
    <row r="1645" spans="1:13">
      <c r="A1645">
        <v>45795</v>
      </c>
      <c r="B1645" t="s">
        <v>76</v>
      </c>
      <c r="D1645">
        <v>19600</v>
      </c>
      <c r="G1645" t="s">
        <v>77</v>
      </c>
      <c r="I1645" t="s">
        <v>60</v>
      </c>
      <c r="J1645" t="s">
        <v>61</v>
      </c>
      <c r="L1645" t="s">
        <v>62</v>
      </c>
    </row>
    <row r="1646" spans="1:13">
      <c r="A1646">
        <v>45795</v>
      </c>
      <c r="B1646" t="s">
        <v>1766</v>
      </c>
      <c r="D1646">
        <v>500</v>
      </c>
      <c r="F1646">
        <v>1</v>
      </c>
      <c r="G1646" t="s">
        <v>22</v>
      </c>
      <c r="H1646" t="s">
        <v>21</v>
      </c>
      <c r="I1646" t="s">
        <v>60</v>
      </c>
      <c r="J1646" t="s">
        <v>61</v>
      </c>
      <c r="L1646" t="s">
        <v>82</v>
      </c>
    </row>
    <row r="1647" spans="1:13">
      <c r="A1647">
        <v>45795</v>
      </c>
      <c r="B1647" t="s">
        <v>1767</v>
      </c>
      <c r="D1647">
        <v>500</v>
      </c>
      <c r="F1647">
        <v>1</v>
      </c>
      <c r="G1647" t="s">
        <v>22</v>
      </c>
      <c r="H1647" t="s">
        <v>21</v>
      </c>
      <c r="I1647" t="s">
        <v>60</v>
      </c>
      <c r="J1647" t="s">
        <v>61</v>
      </c>
      <c r="L1647" t="s">
        <v>82</v>
      </c>
    </row>
    <row r="1648" spans="1:13">
      <c r="A1648">
        <v>45795</v>
      </c>
      <c r="B1648" t="s">
        <v>1768</v>
      </c>
      <c r="D1648">
        <v>500</v>
      </c>
      <c r="F1648">
        <v>1</v>
      </c>
      <c r="G1648" t="s">
        <v>22</v>
      </c>
      <c r="H1648" t="s">
        <v>21</v>
      </c>
      <c r="I1648" t="s">
        <v>60</v>
      </c>
      <c r="J1648" t="s">
        <v>61</v>
      </c>
      <c r="L1648" t="s">
        <v>82</v>
      </c>
    </row>
    <row r="1649" spans="1:13">
      <c r="A1649">
        <v>45795</v>
      </c>
      <c r="B1649" t="s">
        <v>1769</v>
      </c>
      <c r="F1649">
        <v>1</v>
      </c>
      <c r="G1649" t="s">
        <v>64</v>
      </c>
      <c r="L1649" t="s">
        <v>82</v>
      </c>
      <c r="M1649" t="s">
        <v>96</v>
      </c>
    </row>
    <row r="1650" spans="1:13">
      <c r="A1650">
        <v>45795</v>
      </c>
      <c r="B1650" t="s">
        <v>1770</v>
      </c>
      <c r="D1650">
        <v>500</v>
      </c>
      <c r="F1650">
        <v>1</v>
      </c>
      <c r="G1650" t="s">
        <v>22</v>
      </c>
      <c r="H1650" t="s">
        <v>21</v>
      </c>
      <c r="I1650" t="s">
        <v>60</v>
      </c>
      <c r="J1650" t="s">
        <v>61</v>
      </c>
      <c r="L1650" t="s">
        <v>82</v>
      </c>
    </row>
    <row r="1651" spans="1:13">
      <c r="A1651">
        <v>45795</v>
      </c>
      <c r="B1651" t="s">
        <v>63</v>
      </c>
      <c r="D1651">
        <v>300</v>
      </c>
      <c r="F1651">
        <v>3</v>
      </c>
      <c r="G1651" t="s">
        <v>22</v>
      </c>
      <c r="H1651" t="s">
        <v>93</v>
      </c>
      <c r="I1651" t="s">
        <v>60</v>
      </c>
      <c r="J1651" t="s">
        <v>61</v>
      </c>
      <c r="L1651" t="s">
        <v>62</v>
      </c>
    </row>
    <row r="1652" spans="1:13">
      <c r="A1652">
        <v>45796</v>
      </c>
      <c r="B1652" t="s">
        <v>81</v>
      </c>
      <c r="D1652">
        <v>130000</v>
      </c>
      <c r="F1652">
        <v>1</v>
      </c>
      <c r="G1652" t="s">
        <v>74</v>
      </c>
      <c r="H1652" t="s">
        <v>75</v>
      </c>
      <c r="I1652" t="s">
        <v>60</v>
      </c>
      <c r="J1652" t="s">
        <v>61</v>
      </c>
      <c r="L1652" t="s">
        <v>88</v>
      </c>
      <c r="M1652" t="s">
        <v>955</v>
      </c>
    </row>
    <row r="1653" spans="1:13">
      <c r="A1653">
        <v>45796</v>
      </c>
      <c r="B1653" t="s">
        <v>238</v>
      </c>
      <c r="C1653" t="s">
        <v>1771</v>
      </c>
      <c r="F1653">
        <v>16</v>
      </c>
      <c r="G1653" t="s">
        <v>22</v>
      </c>
      <c r="H1653" t="s">
        <v>21</v>
      </c>
      <c r="L1653" t="s">
        <v>95</v>
      </c>
    </row>
    <row r="1654" spans="1:13">
      <c r="A1654">
        <v>45796</v>
      </c>
      <c r="B1654" t="s">
        <v>1772</v>
      </c>
      <c r="F1654">
        <v>1</v>
      </c>
      <c r="G1654" t="s">
        <v>64</v>
      </c>
      <c r="L1654" t="s">
        <v>82</v>
      </c>
      <c r="M1654" t="s">
        <v>96</v>
      </c>
    </row>
    <row r="1655" spans="1:13">
      <c r="A1655">
        <v>45796</v>
      </c>
      <c r="B1655" t="s">
        <v>1773</v>
      </c>
      <c r="D1655">
        <v>500</v>
      </c>
      <c r="F1655">
        <v>1</v>
      </c>
      <c r="G1655" t="s">
        <v>22</v>
      </c>
      <c r="H1655" t="s">
        <v>21</v>
      </c>
      <c r="I1655" t="s">
        <v>60</v>
      </c>
      <c r="J1655" t="s">
        <v>61</v>
      </c>
      <c r="L1655" t="s">
        <v>89</v>
      </c>
    </row>
    <row r="1656" spans="1:13">
      <c r="A1656">
        <v>45796</v>
      </c>
      <c r="B1656" t="s">
        <v>63</v>
      </c>
      <c r="D1656">
        <v>27000</v>
      </c>
      <c r="G1656" t="s">
        <v>70</v>
      </c>
      <c r="I1656" t="s">
        <v>60</v>
      </c>
      <c r="J1656" t="s">
        <v>61</v>
      </c>
      <c r="L1656" t="s">
        <v>62</v>
      </c>
    </row>
    <row r="1657" spans="1:13">
      <c r="A1657">
        <v>45796</v>
      </c>
      <c r="B1657" t="s">
        <v>63</v>
      </c>
      <c r="D1657">
        <v>10000</v>
      </c>
      <c r="F1657">
        <v>2</v>
      </c>
      <c r="G1657" t="s">
        <v>70</v>
      </c>
      <c r="I1657" t="s">
        <v>71</v>
      </c>
      <c r="J1657" t="s">
        <v>72</v>
      </c>
      <c r="K1657" t="s">
        <v>1774</v>
      </c>
      <c r="L1657" t="s">
        <v>62</v>
      </c>
      <c r="M1657" t="s">
        <v>90</v>
      </c>
    </row>
    <row r="1658" spans="1:13">
      <c r="A1658">
        <v>45796</v>
      </c>
      <c r="B1658" t="s">
        <v>1775</v>
      </c>
      <c r="D1658">
        <v>500</v>
      </c>
      <c r="F1658">
        <v>1</v>
      </c>
      <c r="G1658" t="s">
        <v>22</v>
      </c>
      <c r="H1658" t="s">
        <v>21</v>
      </c>
      <c r="I1658" t="s">
        <v>60</v>
      </c>
      <c r="J1658" t="s">
        <v>61</v>
      </c>
      <c r="L1658" t="s">
        <v>89</v>
      </c>
    </row>
    <row r="1659" spans="1:13">
      <c r="A1659">
        <v>45796</v>
      </c>
      <c r="B1659" t="s">
        <v>1776</v>
      </c>
      <c r="F1659">
        <v>1</v>
      </c>
      <c r="G1659" t="s">
        <v>0</v>
      </c>
      <c r="L1659" t="s">
        <v>82</v>
      </c>
    </row>
    <row r="1660" spans="1:13">
      <c r="A1660">
        <v>45797</v>
      </c>
      <c r="B1660" t="s">
        <v>81</v>
      </c>
      <c r="D1660">
        <v>96500</v>
      </c>
      <c r="F1660">
        <v>1</v>
      </c>
      <c r="G1660" t="s">
        <v>74</v>
      </c>
      <c r="H1660" t="s">
        <v>75</v>
      </c>
      <c r="I1660" t="s">
        <v>60</v>
      </c>
      <c r="J1660" t="s">
        <v>61</v>
      </c>
      <c r="L1660" t="s">
        <v>88</v>
      </c>
      <c r="M1660" t="s">
        <v>955</v>
      </c>
    </row>
    <row r="1661" spans="1:13">
      <c r="A1661">
        <v>45797</v>
      </c>
      <c r="B1661" t="s">
        <v>76</v>
      </c>
      <c r="D1661">
        <v>500</v>
      </c>
      <c r="G1661" t="s">
        <v>77</v>
      </c>
      <c r="I1661" t="s">
        <v>60</v>
      </c>
      <c r="J1661" t="s">
        <v>61</v>
      </c>
      <c r="L1661" t="s">
        <v>62</v>
      </c>
    </row>
    <row r="1662" spans="1:13">
      <c r="A1662">
        <v>45797</v>
      </c>
      <c r="B1662" t="s">
        <v>1777</v>
      </c>
      <c r="D1662">
        <v>500</v>
      </c>
      <c r="F1662">
        <v>1</v>
      </c>
      <c r="G1662" t="s">
        <v>22</v>
      </c>
      <c r="H1662" t="s">
        <v>21</v>
      </c>
      <c r="I1662" t="s">
        <v>60</v>
      </c>
      <c r="J1662" t="s">
        <v>61</v>
      </c>
      <c r="L1662" t="s">
        <v>89</v>
      </c>
    </row>
    <row r="1663" spans="1:13">
      <c r="A1663">
        <v>45797</v>
      </c>
      <c r="B1663" t="s">
        <v>1778</v>
      </c>
      <c r="D1663">
        <v>500</v>
      </c>
      <c r="F1663">
        <v>1</v>
      </c>
      <c r="G1663" t="s">
        <v>22</v>
      </c>
      <c r="H1663" t="s">
        <v>21</v>
      </c>
      <c r="I1663" t="s">
        <v>60</v>
      </c>
      <c r="J1663" t="s">
        <v>61</v>
      </c>
      <c r="L1663" t="s">
        <v>89</v>
      </c>
    </row>
    <row r="1664" spans="1:13">
      <c r="A1664">
        <v>45797</v>
      </c>
      <c r="B1664" t="s">
        <v>1779</v>
      </c>
      <c r="D1664">
        <v>500</v>
      </c>
      <c r="F1664">
        <v>0</v>
      </c>
      <c r="G1664" t="s">
        <v>22</v>
      </c>
      <c r="H1664" t="s">
        <v>21</v>
      </c>
      <c r="I1664" t="s">
        <v>60</v>
      </c>
      <c r="J1664" t="s">
        <v>61</v>
      </c>
      <c r="L1664" t="s">
        <v>89</v>
      </c>
      <c r="M1664" t="s">
        <v>83</v>
      </c>
    </row>
    <row r="1665" spans="1:13">
      <c r="A1665">
        <v>45797</v>
      </c>
      <c r="B1665" t="s">
        <v>1780</v>
      </c>
      <c r="D1665">
        <v>500</v>
      </c>
      <c r="F1665">
        <v>1</v>
      </c>
      <c r="G1665" t="s">
        <v>22</v>
      </c>
      <c r="H1665" t="s">
        <v>21</v>
      </c>
      <c r="I1665" t="s">
        <v>60</v>
      </c>
      <c r="J1665" t="s">
        <v>61</v>
      </c>
      <c r="L1665" t="s">
        <v>82</v>
      </c>
    </row>
    <row r="1666" spans="1:13">
      <c r="A1666">
        <v>45798</v>
      </c>
      <c r="B1666" t="s">
        <v>81</v>
      </c>
      <c r="D1666">
        <v>74000</v>
      </c>
      <c r="F1666">
        <v>1</v>
      </c>
      <c r="G1666" t="s">
        <v>74</v>
      </c>
      <c r="H1666" t="s">
        <v>75</v>
      </c>
      <c r="I1666" t="s">
        <v>60</v>
      </c>
      <c r="J1666" t="s">
        <v>61</v>
      </c>
      <c r="L1666" t="s">
        <v>88</v>
      </c>
      <c r="M1666" t="s">
        <v>955</v>
      </c>
    </row>
    <row r="1667" spans="1:13">
      <c r="A1667">
        <v>45798</v>
      </c>
      <c r="B1667" t="s">
        <v>773</v>
      </c>
      <c r="C1667" t="s">
        <v>1781</v>
      </c>
      <c r="E1667">
        <v>143676.82</v>
      </c>
      <c r="F1667">
        <v>1</v>
      </c>
      <c r="G1667" t="s">
        <v>65</v>
      </c>
      <c r="H1667" t="s">
        <v>265</v>
      </c>
      <c r="I1667" t="s">
        <v>60</v>
      </c>
      <c r="J1667" t="s">
        <v>61</v>
      </c>
      <c r="L1667" t="s">
        <v>62</v>
      </c>
    </row>
    <row r="1668" spans="1:13">
      <c r="A1668">
        <v>45798</v>
      </c>
      <c r="B1668" t="s">
        <v>63</v>
      </c>
      <c r="D1668">
        <v>34000</v>
      </c>
      <c r="G1668" t="s">
        <v>70</v>
      </c>
      <c r="I1668" t="s">
        <v>60</v>
      </c>
      <c r="J1668" t="s">
        <v>61</v>
      </c>
      <c r="L1668" t="s">
        <v>62</v>
      </c>
    </row>
    <row r="1669" spans="1:13">
      <c r="A1669">
        <v>45798</v>
      </c>
      <c r="B1669" t="s">
        <v>1782</v>
      </c>
      <c r="D1669">
        <v>500</v>
      </c>
      <c r="F1669">
        <v>1</v>
      </c>
      <c r="G1669" t="s">
        <v>22</v>
      </c>
      <c r="H1669" t="s">
        <v>21</v>
      </c>
      <c r="I1669" t="s">
        <v>60</v>
      </c>
      <c r="J1669" t="s">
        <v>61</v>
      </c>
      <c r="L1669" t="s">
        <v>62</v>
      </c>
    </row>
    <row r="1670" spans="1:13">
      <c r="A1670">
        <v>45798</v>
      </c>
      <c r="B1670" t="s">
        <v>1783</v>
      </c>
      <c r="D1670">
        <v>500</v>
      </c>
      <c r="F1670">
        <v>1</v>
      </c>
      <c r="G1670" t="s">
        <v>22</v>
      </c>
      <c r="H1670" t="s">
        <v>21</v>
      </c>
      <c r="I1670" t="s">
        <v>60</v>
      </c>
      <c r="J1670" t="s">
        <v>61</v>
      </c>
      <c r="L1670" t="s">
        <v>86</v>
      </c>
    </row>
    <row r="1671" spans="1:13">
      <c r="A1671">
        <v>45798</v>
      </c>
      <c r="B1671" t="s">
        <v>1783</v>
      </c>
      <c r="F1671">
        <v>1</v>
      </c>
      <c r="G1671" t="s">
        <v>64</v>
      </c>
      <c r="L1671" t="s">
        <v>86</v>
      </c>
      <c r="M1671" t="s">
        <v>96</v>
      </c>
    </row>
    <row r="1672" spans="1:13">
      <c r="A1672">
        <v>45798</v>
      </c>
      <c r="B1672" t="s">
        <v>1784</v>
      </c>
      <c r="F1672">
        <v>2</v>
      </c>
      <c r="G1672" t="s">
        <v>750</v>
      </c>
      <c r="H1672" t="s">
        <v>21</v>
      </c>
      <c r="L1672" t="s">
        <v>82</v>
      </c>
    </row>
    <row r="1673" spans="1:13">
      <c r="A1673">
        <v>45798</v>
      </c>
      <c r="B1673" t="s">
        <v>1784</v>
      </c>
      <c r="D1673">
        <v>0</v>
      </c>
      <c r="F1673">
        <v>0</v>
      </c>
      <c r="G1673" t="s">
        <v>22</v>
      </c>
      <c r="H1673" t="s">
        <v>21</v>
      </c>
      <c r="I1673" t="s">
        <v>60</v>
      </c>
      <c r="J1673" t="s">
        <v>61</v>
      </c>
      <c r="L1673" t="s">
        <v>82</v>
      </c>
      <c r="M1673" t="s">
        <v>1751</v>
      </c>
    </row>
    <row r="1674" spans="1:13">
      <c r="A1674">
        <v>45798</v>
      </c>
      <c r="B1674" t="s">
        <v>1785</v>
      </c>
      <c r="D1674">
        <v>0</v>
      </c>
      <c r="F1674">
        <v>0</v>
      </c>
      <c r="G1674" t="s">
        <v>22</v>
      </c>
      <c r="H1674" t="s">
        <v>21</v>
      </c>
      <c r="I1674" t="s">
        <v>60</v>
      </c>
      <c r="J1674" t="s">
        <v>61</v>
      </c>
      <c r="L1674" t="s">
        <v>82</v>
      </c>
      <c r="M1674" t="s">
        <v>1751</v>
      </c>
    </row>
    <row r="1675" spans="1:13">
      <c r="A1675">
        <v>45798</v>
      </c>
      <c r="B1675" t="s">
        <v>76</v>
      </c>
      <c r="D1675">
        <v>5500</v>
      </c>
      <c r="G1675" t="s">
        <v>77</v>
      </c>
      <c r="I1675" t="s">
        <v>60</v>
      </c>
      <c r="J1675" t="s">
        <v>61</v>
      </c>
      <c r="L1675" t="s">
        <v>62</v>
      </c>
    </row>
    <row r="1676" spans="1:13">
      <c r="A1676">
        <v>45798</v>
      </c>
      <c r="B1676" t="s">
        <v>1786</v>
      </c>
      <c r="D1676">
        <v>500</v>
      </c>
      <c r="F1676">
        <v>1</v>
      </c>
      <c r="G1676" t="s">
        <v>22</v>
      </c>
      <c r="H1676" t="s">
        <v>21</v>
      </c>
      <c r="I1676" t="s">
        <v>60</v>
      </c>
      <c r="J1676" t="s">
        <v>61</v>
      </c>
      <c r="L1676" t="s">
        <v>82</v>
      </c>
    </row>
    <row r="1677" spans="1:13">
      <c r="A1677">
        <v>45798</v>
      </c>
      <c r="B1677" t="s">
        <v>1787</v>
      </c>
      <c r="F1677">
        <v>1</v>
      </c>
      <c r="G1677" t="s">
        <v>64</v>
      </c>
      <c r="L1677" t="s">
        <v>82</v>
      </c>
      <c r="M1677" t="s">
        <v>400</v>
      </c>
    </row>
    <row r="1678" spans="1:13">
      <c r="A1678">
        <v>45799</v>
      </c>
      <c r="B1678" t="s">
        <v>81</v>
      </c>
      <c r="D1678">
        <v>59000</v>
      </c>
      <c r="F1678">
        <v>1</v>
      </c>
      <c r="G1678" t="s">
        <v>74</v>
      </c>
      <c r="H1678" t="s">
        <v>75</v>
      </c>
      <c r="I1678" t="s">
        <v>60</v>
      </c>
      <c r="J1678" t="s">
        <v>61</v>
      </c>
      <c r="L1678" t="s">
        <v>88</v>
      </c>
      <c r="M1678" t="s">
        <v>955</v>
      </c>
    </row>
    <row r="1679" spans="1:13">
      <c r="A1679">
        <v>45799</v>
      </c>
      <c r="B1679" t="s">
        <v>1788</v>
      </c>
      <c r="F1679">
        <v>1</v>
      </c>
      <c r="G1679" t="s">
        <v>64</v>
      </c>
      <c r="L1679" t="s">
        <v>89</v>
      </c>
      <c r="M1679" t="s">
        <v>1789</v>
      </c>
    </row>
    <row r="1680" spans="1:13">
      <c r="A1680">
        <v>45799</v>
      </c>
      <c r="B1680" t="s">
        <v>1790</v>
      </c>
      <c r="D1680">
        <v>500</v>
      </c>
      <c r="F1680">
        <v>1</v>
      </c>
      <c r="G1680" t="s">
        <v>22</v>
      </c>
      <c r="H1680" t="s">
        <v>21</v>
      </c>
      <c r="I1680" t="s">
        <v>60</v>
      </c>
      <c r="J1680" t="s">
        <v>61</v>
      </c>
      <c r="L1680" t="s">
        <v>89</v>
      </c>
    </row>
    <row r="1681" spans="1:13">
      <c r="A1681">
        <v>45799</v>
      </c>
      <c r="B1681" t="s">
        <v>1791</v>
      </c>
      <c r="F1681">
        <v>1</v>
      </c>
      <c r="G1681" t="s">
        <v>79</v>
      </c>
      <c r="H1681" t="s">
        <v>21</v>
      </c>
      <c r="L1681" t="s">
        <v>89</v>
      </c>
    </row>
    <row r="1682" spans="1:13">
      <c r="A1682">
        <v>45799</v>
      </c>
      <c r="B1682" t="s">
        <v>1792</v>
      </c>
      <c r="D1682">
        <v>500</v>
      </c>
      <c r="F1682">
        <v>1</v>
      </c>
      <c r="G1682" t="s">
        <v>22</v>
      </c>
      <c r="H1682" t="s">
        <v>21</v>
      </c>
      <c r="I1682" t="s">
        <v>60</v>
      </c>
      <c r="J1682" t="s">
        <v>61</v>
      </c>
      <c r="L1682" t="s">
        <v>86</v>
      </c>
    </row>
    <row r="1683" spans="1:13">
      <c r="A1683">
        <v>45799</v>
      </c>
      <c r="B1683" t="s">
        <v>1793</v>
      </c>
      <c r="F1683">
        <v>1</v>
      </c>
      <c r="G1683" t="s">
        <v>79</v>
      </c>
      <c r="H1683" t="s">
        <v>21</v>
      </c>
      <c r="L1683" t="s">
        <v>89</v>
      </c>
    </row>
    <row r="1684" spans="1:13">
      <c r="A1684">
        <v>45799</v>
      </c>
      <c r="B1684" t="s">
        <v>76</v>
      </c>
      <c r="D1684">
        <v>500</v>
      </c>
      <c r="G1684" t="s">
        <v>77</v>
      </c>
      <c r="I1684" t="s">
        <v>60</v>
      </c>
      <c r="J1684" t="s">
        <v>61</v>
      </c>
      <c r="L1684" t="s">
        <v>62</v>
      </c>
    </row>
    <row r="1685" spans="1:13">
      <c r="A1685">
        <v>45799</v>
      </c>
      <c r="B1685" t="s">
        <v>63</v>
      </c>
      <c r="D1685">
        <v>7500</v>
      </c>
      <c r="G1685" t="s">
        <v>70</v>
      </c>
      <c r="I1685" t="s">
        <v>60</v>
      </c>
      <c r="J1685" t="s">
        <v>61</v>
      </c>
      <c r="L1685" t="s">
        <v>62</v>
      </c>
    </row>
    <row r="1686" spans="1:13">
      <c r="A1686">
        <v>45799</v>
      </c>
      <c r="B1686" t="s">
        <v>1794</v>
      </c>
      <c r="D1686">
        <v>500</v>
      </c>
      <c r="F1686">
        <v>0</v>
      </c>
      <c r="G1686" t="s">
        <v>22</v>
      </c>
      <c r="H1686" t="s">
        <v>21</v>
      </c>
      <c r="I1686" t="s">
        <v>60</v>
      </c>
      <c r="J1686" t="s">
        <v>61</v>
      </c>
      <c r="L1686" t="s">
        <v>86</v>
      </c>
    </row>
    <row r="1687" spans="1:13">
      <c r="A1687">
        <v>45799</v>
      </c>
      <c r="B1687" t="s">
        <v>1795</v>
      </c>
      <c r="F1687">
        <v>1</v>
      </c>
      <c r="G1687" t="s">
        <v>0</v>
      </c>
      <c r="L1687" t="s">
        <v>89</v>
      </c>
    </row>
    <row r="1688" spans="1:13">
      <c r="A1688">
        <v>45800</v>
      </c>
      <c r="B1688" t="s">
        <v>81</v>
      </c>
      <c r="D1688">
        <v>134000</v>
      </c>
      <c r="F1688">
        <v>1</v>
      </c>
      <c r="G1688" t="s">
        <v>74</v>
      </c>
      <c r="H1688" t="s">
        <v>75</v>
      </c>
      <c r="I1688" t="s">
        <v>60</v>
      </c>
      <c r="J1688" t="s">
        <v>61</v>
      </c>
      <c r="L1688" t="s">
        <v>88</v>
      </c>
      <c r="M1688" t="s">
        <v>955</v>
      </c>
    </row>
    <row r="1689" spans="1:13">
      <c r="A1689">
        <v>45800</v>
      </c>
      <c r="B1689" t="s">
        <v>1796</v>
      </c>
      <c r="D1689">
        <v>500</v>
      </c>
      <c r="F1689">
        <v>1</v>
      </c>
      <c r="G1689" t="s">
        <v>22</v>
      </c>
      <c r="H1689" t="s">
        <v>21</v>
      </c>
      <c r="I1689" t="s">
        <v>60</v>
      </c>
      <c r="J1689" t="s">
        <v>61</v>
      </c>
      <c r="L1689" t="s">
        <v>82</v>
      </c>
    </row>
    <row r="1690" spans="1:13">
      <c r="A1690">
        <v>45800</v>
      </c>
      <c r="B1690" t="s">
        <v>1797</v>
      </c>
      <c r="D1690">
        <v>500</v>
      </c>
      <c r="F1690">
        <v>1</v>
      </c>
      <c r="G1690" t="s">
        <v>22</v>
      </c>
      <c r="H1690" t="s">
        <v>21</v>
      </c>
      <c r="I1690" t="s">
        <v>60</v>
      </c>
      <c r="J1690" t="s">
        <v>61</v>
      </c>
      <c r="L1690" t="s">
        <v>82</v>
      </c>
    </row>
    <row r="1691" spans="1:13">
      <c r="A1691">
        <v>45800</v>
      </c>
      <c r="B1691" t="s">
        <v>1798</v>
      </c>
      <c r="F1691">
        <v>1</v>
      </c>
      <c r="G1691" t="s">
        <v>79</v>
      </c>
      <c r="H1691" t="s">
        <v>21</v>
      </c>
      <c r="L1691" t="s">
        <v>89</v>
      </c>
    </row>
    <row r="1692" spans="1:13">
      <c r="A1692">
        <v>45800</v>
      </c>
      <c r="B1692" t="s">
        <v>63</v>
      </c>
      <c r="D1692">
        <v>8000</v>
      </c>
      <c r="G1692" t="s">
        <v>70</v>
      </c>
      <c r="I1692" t="s">
        <v>60</v>
      </c>
      <c r="J1692" t="s">
        <v>61</v>
      </c>
      <c r="L1692" t="s">
        <v>62</v>
      </c>
    </row>
    <row r="1693" spans="1:13">
      <c r="A1693">
        <v>45800</v>
      </c>
      <c r="B1693" t="s">
        <v>753</v>
      </c>
      <c r="D1693">
        <v>5000</v>
      </c>
      <c r="G1693" t="s">
        <v>77</v>
      </c>
      <c r="I1693" t="s">
        <v>60</v>
      </c>
      <c r="J1693" t="s">
        <v>61</v>
      </c>
      <c r="L1693" t="s">
        <v>62</v>
      </c>
    </row>
    <row r="1694" spans="1:13">
      <c r="A1694">
        <v>45800</v>
      </c>
      <c r="B1694" t="s">
        <v>1799</v>
      </c>
      <c r="F1694">
        <v>1</v>
      </c>
      <c r="G1694" t="s">
        <v>79</v>
      </c>
      <c r="H1694" t="s">
        <v>21</v>
      </c>
      <c r="L1694" t="s">
        <v>89</v>
      </c>
    </row>
    <row r="1695" spans="1:13">
      <c r="A1695">
        <v>45800</v>
      </c>
      <c r="B1695" t="s">
        <v>1800</v>
      </c>
      <c r="F1695">
        <v>1</v>
      </c>
      <c r="G1695" t="s">
        <v>0</v>
      </c>
      <c r="L1695" t="s">
        <v>82</v>
      </c>
    </row>
    <row r="1696" spans="1:13">
      <c r="A1696">
        <v>45801</v>
      </c>
      <c r="B1696" t="s">
        <v>624</v>
      </c>
      <c r="D1696">
        <v>-41600</v>
      </c>
      <c r="G1696" t="s">
        <v>77</v>
      </c>
      <c r="I1696" t="s">
        <v>60</v>
      </c>
      <c r="J1696" t="s">
        <v>61</v>
      </c>
      <c r="L1696" t="s">
        <v>62</v>
      </c>
    </row>
    <row r="1697" spans="1:13">
      <c r="A1697">
        <v>45801</v>
      </c>
      <c r="B1697" t="s">
        <v>624</v>
      </c>
      <c r="E1697">
        <v>-2200</v>
      </c>
      <c r="G1697" t="s">
        <v>65</v>
      </c>
      <c r="H1697" t="s">
        <v>85</v>
      </c>
      <c r="I1697" t="s">
        <v>60</v>
      </c>
      <c r="J1697" t="s">
        <v>61</v>
      </c>
      <c r="L1697" t="s">
        <v>62</v>
      </c>
    </row>
    <row r="1698" spans="1:13">
      <c r="A1698">
        <v>45801</v>
      </c>
      <c r="B1698" t="s">
        <v>559</v>
      </c>
      <c r="E1698">
        <v>10000</v>
      </c>
      <c r="F1698">
        <v>1</v>
      </c>
      <c r="G1698" t="s">
        <v>65</v>
      </c>
      <c r="H1698" t="s">
        <v>560</v>
      </c>
      <c r="I1698" t="s">
        <v>60</v>
      </c>
      <c r="J1698" t="s">
        <v>61</v>
      </c>
      <c r="L1698" t="s">
        <v>62</v>
      </c>
    </row>
    <row r="1699" spans="1:13">
      <c r="A1699">
        <v>45801</v>
      </c>
      <c r="B1699" t="s">
        <v>561</v>
      </c>
      <c r="E1699">
        <v>10000</v>
      </c>
      <c r="F1699">
        <v>1</v>
      </c>
      <c r="G1699" t="s">
        <v>65</v>
      </c>
      <c r="H1699" t="s">
        <v>560</v>
      </c>
      <c r="I1699" t="s">
        <v>60</v>
      </c>
      <c r="J1699" t="s">
        <v>61</v>
      </c>
      <c r="L1699" t="s">
        <v>62</v>
      </c>
    </row>
    <row r="1700" spans="1:13">
      <c r="A1700">
        <v>45801</v>
      </c>
      <c r="B1700" t="s">
        <v>63</v>
      </c>
      <c r="D1700">
        <v>200</v>
      </c>
      <c r="F1700">
        <v>2</v>
      </c>
      <c r="G1700" t="s">
        <v>22</v>
      </c>
      <c r="H1700" t="s">
        <v>93</v>
      </c>
      <c r="I1700" t="s">
        <v>60</v>
      </c>
      <c r="J1700" t="s">
        <v>61</v>
      </c>
      <c r="L1700" t="s">
        <v>62</v>
      </c>
    </row>
    <row r="1701" spans="1:13">
      <c r="A1701">
        <v>45801</v>
      </c>
      <c r="B1701" t="s">
        <v>76</v>
      </c>
      <c r="D1701">
        <v>4500</v>
      </c>
      <c r="G1701" t="s">
        <v>77</v>
      </c>
      <c r="I1701" t="s">
        <v>60</v>
      </c>
      <c r="J1701" t="s">
        <v>61</v>
      </c>
      <c r="L1701" t="s">
        <v>62</v>
      </c>
    </row>
    <row r="1702" spans="1:13">
      <c r="A1702">
        <v>45801</v>
      </c>
      <c r="B1702" t="s">
        <v>1801</v>
      </c>
      <c r="D1702">
        <v>500</v>
      </c>
      <c r="F1702">
        <v>1</v>
      </c>
      <c r="G1702" t="s">
        <v>22</v>
      </c>
      <c r="H1702" t="s">
        <v>21</v>
      </c>
      <c r="I1702" t="s">
        <v>60</v>
      </c>
      <c r="J1702" t="s">
        <v>61</v>
      </c>
      <c r="L1702" t="s">
        <v>82</v>
      </c>
    </row>
    <row r="1703" spans="1:13">
      <c r="A1703">
        <v>45801</v>
      </c>
      <c r="B1703" t="s">
        <v>1802</v>
      </c>
      <c r="D1703">
        <v>500</v>
      </c>
      <c r="F1703">
        <v>1</v>
      </c>
      <c r="G1703" t="s">
        <v>22</v>
      </c>
      <c r="H1703" t="s">
        <v>21</v>
      </c>
      <c r="I1703" t="s">
        <v>60</v>
      </c>
      <c r="J1703" t="s">
        <v>61</v>
      </c>
      <c r="L1703" t="s">
        <v>86</v>
      </c>
    </row>
    <row r="1704" spans="1:13">
      <c r="A1704">
        <v>45801</v>
      </c>
      <c r="B1704" t="s">
        <v>1803</v>
      </c>
      <c r="D1704">
        <v>500</v>
      </c>
      <c r="F1704">
        <v>1</v>
      </c>
      <c r="G1704" t="s">
        <v>22</v>
      </c>
      <c r="H1704" t="s">
        <v>21</v>
      </c>
      <c r="I1704" t="s">
        <v>60</v>
      </c>
      <c r="J1704" t="s">
        <v>61</v>
      </c>
      <c r="L1704" t="s">
        <v>86</v>
      </c>
    </row>
    <row r="1705" spans="1:13">
      <c r="A1705">
        <v>45801</v>
      </c>
      <c r="B1705" t="s">
        <v>1804</v>
      </c>
      <c r="D1705">
        <v>500</v>
      </c>
      <c r="F1705">
        <v>1</v>
      </c>
      <c r="G1705" t="s">
        <v>22</v>
      </c>
      <c r="H1705" t="s">
        <v>21</v>
      </c>
      <c r="I1705" t="s">
        <v>60</v>
      </c>
      <c r="J1705" t="s">
        <v>61</v>
      </c>
      <c r="L1705" t="s">
        <v>86</v>
      </c>
    </row>
    <row r="1706" spans="1:13">
      <c r="A1706">
        <v>45801</v>
      </c>
      <c r="B1706" t="s">
        <v>1805</v>
      </c>
      <c r="F1706">
        <v>1</v>
      </c>
      <c r="G1706" t="s">
        <v>64</v>
      </c>
      <c r="L1706" t="s">
        <v>86</v>
      </c>
      <c r="M1706" t="s">
        <v>1084</v>
      </c>
    </row>
    <row r="1707" spans="1:13">
      <c r="A1707">
        <v>45802</v>
      </c>
      <c r="B1707" t="s">
        <v>1806</v>
      </c>
      <c r="F1707">
        <v>1</v>
      </c>
      <c r="G1707" t="s">
        <v>64</v>
      </c>
      <c r="L1707" t="s">
        <v>86</v>
      </c>
      <c r="M1707" t="s">
        <v>444</v>
      </c>
    </row>
    <row r="1708" spans="1:13">
      <c r="A1708">
        <v>45802</v>
      </c>
      <c r="B1708" t="s">
        <v>63</v>
      </c>
      <c r="D1708">
        <v>36500</v>
      </c>
      <c r="G1708" t="s">
        <v>70</v>
      </c>
      <c r="I1708" t="s">
        <v>60</v>
      </c>
      <c r="J1708" t="s">
        <v>61</v>
      </c>
      <c r="L1708" t="s">
        <v>62</v>
      </c>
    </row>
    <row r="1709" spans="1:13">
      <c r="A1709">
        <v>45802</v>
      </c>
      <c r="B1709" t="s">
        <v>1807</v>
      </c>
      <c r="D1709">
        <v>500</v>
      </c>
      <c r="F1709">
        <v>0</v>
      </c>
      <c r="G1709" t="s">
        <v>22</v>
      </c>
      <c r="H1709" t="s">
        <v>21</v>
      </c>
      <c r="I1709" t="s">
        <v>60</v>
      </c>
      <c r="J1709" t="s">
        <v>61</v>
      </c>
      <c r="L1709" t="s">
        <v>86</v>
      </c>
      <c r="M1709" t="s">
        <v>83</v>
      </c>
    </row>
    <row r="1710" spans="1:13">
      <c r="A1710">
        <v>45802</v>
      </c>
      <c r="B1710" t="s">
        <v>1808</v>
      </c>
      <c r="D1710">
        <v>500</v>
      </c>
      <c r="F1710">
        <v>0</v>
      </c>
      <c r="G1710" t="s">
        <v>22</v>
      </c>
      <c r="H1710" t="s">
        <v>21</v>
      </c>
      <c r="I1710" t="s">
        <v>60</v>
      </c>
      <c r="J1710" t="s">
        <v>61</v>
      </c>
      <c r="L1710" t="s">
        <v>86</v>
      </c>
      <c r="M1710" t="s">
        <v>83</v>
      </c>
    </row>
    <row r="1711" spans="1:13">
      <c r="A1711">
        <v>45802</v>
      </c>
      <c r="B1711" t="s">
        <v>1809</v>
      </c>
      <c r="F1711">
        <v>1</v>
      </c>
      <c r="G1711" t="s">
        <v>79</v>
      </c>
      <c r="H1711" t="s">
        <v>21</v>
      </c>
      <c r="L1711" t="s">
        <v>86</v>
      </c>
    </row>
    <row r="1712" spans="1:13">
      <c r="A1712">
        <v>45802</v>
      </c>
      <c r="B1712" t="s">
        <v>1810</v>
      </c>
      <c r="D1712">
        <v>500</v>
      </c>
      <c r="F1712">
        <v>1</v>
      </c>
      <c r="G1712" t="s">
        <v>22</v>
      </c>
      <c r="H1712" t="s">
        <v>21</v>
      </c>
      <c r="I1712" t="s">
        <v>60</v>
      </c>
      <c r="J1712" t="s">
        <v>61</v>
      </c>
      <c r="L1712" t="s">
        <v>89</v>
      </c>
    </row>
    <row r="1713" spans="1:13">
      <c r="A1713">
        <v>45802</v>
      </c>
      <c r="B1713" t="s">
        <v>1811</v>
      </c>
      <c r="D1713">
        <v>500</v>
      </c>
      <c r="F1713">
        <v>0</v>
      </c>
      <c r="G1713" t="s">
        <v>22</v>
      </c>
      <c r="H1713" t="s">
        <v>21</v>
      </c>
      <c r="I1713" t="s">
        <v>60</v>
      </c>
      <c r="J1713" t="s">
        <v>61</v>
      </c>
      <c r="L1713" t="s">
        <v>89</v>
      </c>
      <c r="M1713" t="s">
        <v>83</v>
      </c>
    </row>
    <row r="1714" spans="1:13">
      <c r="A1714">
        <v>45802</v>
      </c>
      <c r="B1714" t="s">
        <v>1812</v>
      </c>
      <c r="F1714">
        <v>1</v>
      </c>
      <c r="G1714" t="s">
        <v>564</v>
      </c>
      <c r="H1714" t="s">
        <v>21</v>
      </c>
      <c r="L1714" t="s">
        <v>89</v>
      </c>
    </row>
    <row r="1715" spans="1:13">
      <c r="A1715">
        <v>45802</v>
      </c>
      <c r="B1715" t="s">
        <v>1813</v>
      </c>
      <c r="D1715">
        <v>500</v>
      </c>
      <c r="F1715">
        <v>1</v>
      </c>
      <c r="G1715" t="s">
        <v>22</v>
      </c>
      <c r="H1715" t="s">
        <v>21</v>
      </c>
      <c r="I1715" t="s">
        <v>60</v>
      </c>
      <c r="J1715" t="s">
        <v>61</v>
      </c>
      <c r="L1715" t="s">
        <v>89</v>
      </c>
    </row>
    <row r="1716" spans="1:13">
      <c r="A1716">
        <v>45803</v>
      </c>
      <c r="B1716" t="s">
        <v>81</v>
      </c>
      <c r="D1716">
        <v>191300</v>
      </c>
      <c r="F1716">
        <v>1</v>
      </c>
      <c r="G1716" t="s">
        <v>74</v>
      </c>
      <c r="H1716" t="s">
        <v>75</v>
      </c>
      <c r="I1716" t="s">
        <v>60</v>
      </c>
      <c r="J1716" t="s">
        <v>61</v>
      </c>
      <c r="L1716" t="s">
        <v>88</v>
      </c>
      <c r="M1716" t="s">
        <v>955</v>
      </c>
    </row>
    <row r="1717" spans="1:13">
      <c r="A1717">
        <v>45803</v>
      </c>
      <c r="B1717" t="s">
        <v>238</v>
      </c>
      <c r="C1717" t="s">
        <v>1814</v>
      </c>
      <c r="F1717">
        <v>21</v>
      </c>
      <c r="G1717" t="s">
        <v>22</v>
      </c>
      <c r="H1717" t="s">
        <v>21</v>
      </c>
      <c r="L1717" t="s">
        <v>95</v>
      </c>
    </row>
    <row r="1718" spans="1:13">
      <c r="A1718">
        <v>45803</v>
      </c>
      <c r="B1718" t="s">
        <v>1815</v>
      </c>
      <c r="D1718">
        <v>500</v>
      </c>
      <c r="F1718">
        <v>1</v>
      </c>
      <c r="G1718" t="s">
        <v>22</v>
      </c>
      <c r="H1718" t="s">
        <v>21</v>
      </c>
      <c r="I1718" t="s">
        <v>60</v>
      </c>
      <c r="J1718" t="s">
        <v>61</v>
      </c>
      <c r="L1718" t="s">
        <v>89</v>
      </c>
    </row>
    <row r="1719" spans="1:13">
      <c r="A1719">
        <v>45803</v>
      </c>
      <c r="B1719" t="s">
        <v>1816</v>
      </c>
      <c r="D1719">
        <v>0</v>
      </c>
      <c r="F1719">
        <v>0</v>
      </c>
      <c r="G1719" t="s">
        <v>22</v>
      </c>
      <c r="H1719" t="s">
        <v>21</v>
      </c>
      <c r="I1719" t="s">
        <v>60</v>
      </c>
      <c r="J1719" t="s">
        <v>61</v>
      </c>
      <c r="L1719" t="s">
        <v>89</v>
      </c>
      <c r="M1719" t="s">
        <v>1688</v>
      </c>
    </row>
    <row r="1720" spans="1:13">
      <c r="A1720">
        <v>45803</v>
      </c>
      <c r="B1720" t="s">
        <v>1817</v>
      </c>
      <c r="F1720">
        <v>1</v>
      </c>
      <c r="G1720" t="s">
        <v>319</v>
      </c>
      <c r="H1720" t="s">
        <v>21</v>
      </c>
      <c r="L1720" t="s">
        <v>89</v>
      </c>
    </row>
    <row r="1721" spans="1:13">
      <c r="A1721">
        <v>45803</v>
      </c>
      <c r="B1721" t="s">
        <v>1818</v>
      </c>
      <c r="F1721">
        <v>1</v>
      </c>
      <c r="G1721" t="s">
        <v>564</v>
      </c>
      <c r="H1721" t="s">
        <v>21</v>
      </c>
      <c r="L1721" t="s">
        <v>89</v>
      </c>
    </row>
    <row r="1722" spans="1:13">
      <c r="A1722">
        <v>45803</v>
      </c>
      <c r="B1722" t="s">
        <v>63</v>
      </c>
      <c r="D1722">
        <v>7500</v>
      </c>
      <c r="F1722">
        <v>1</v>
      </c>
      <c r="G1722" t="s">
        <v>70</v>
      </c>
      <c r="I1722" t="s">
        <v>71</v>
      </c>
      <c r="J1722" t="s">
        <v>72</v>
      </c>
      <c r="K1722" t="s">
        <v>1819</v>
      </c>
      <c r="L1722" t="s">
        <v>62</v>
      </c>
      <c r="M1722" t="s">
        <v>1258</v>
      </c>
    </row>
    <row r="1723" spans="1:13">
      <c r="A1723">
        <v>45803</v>
      </c>
      <c r="B1723" t="s">
        <v>76</v>
      </c>
      <c r="D1723">
        <v>7000</v>
      </c>
      <c r="G1723" t="s">
        <v>77</v>
      </c>
      <c r="I1723" t="s">
        <v>60</v>
      </c>
      <c r="J1723" t="s">
        <v>61</v>
      </c>
      <c r="L1723" t="s">
        <v>62</v>
      </c>
    </row>
    <row r="1724" spans="1:13">
      <c r="A1724">
        <v>45803</v>
      </c>
      <c r="B1724" t="s">
        <v>1820</v>
      </c>
      <c r="F1724">
        <v>1</v>
      </c>
      <c r="G1724" t="s">
        <v>564</v>
      </c>
      <c r="H1724" t="s">
        <v>21</v>
      </c>
      <c r="L1724" t="s">
        <v>82</v>
      </c>
    </row>
    <row r="1725" spans="1:13">
      <c r="A1725">
        <v>45804</v>
      </c>
      <c r="B1725" t="s">
        <v>81</v>
      </c>
      <c r="D1725">
        <v>121000</v>
      </c>
      <c r="F1725">
        <v>1</v>
      </c>
      <c r="G1725" t="s">
        <v>74</v>
      </c>
      <c r="H1725" t="s">
        <v>75</v>
      </c>
      <c r="I1725" t="s">
        <v>60</v>
      </c>
      <c r="J1725" t="s">
        <v>61</v>
      </c>
      <c r="L1725" t="s">
        <v>88</v>
      </c>
    </row>
    <row r="1726" spans="1:13">
      <c r="A1726">
        <v>45804</v>
      </c>
      <c r="B1726" t="s">
        <v>1821</v>
      </c>
      <c r="D1726">
        <v>500</v>
      </c>
      <c r="F1726">
        <v>0</v>
      </c>
      <c r="G1726" t="s">
        <v>22</v>
      </c>
      <c r="H1726" t="s">
        <v>21</v>
      </c>
      <c r="I1726" t="s">
        <v>60</v>
      </c>
      <c r="J1726" t="s">
        <v>61</v>
      </c>
      <c r="L1726" t="s">
        <v>89</v>
      </c>
      <c r="M1726" t="s">
        <v>83</v>
      </c>
    </row>
    <row r="1727" spans="1:13">
      <c r="A1727">
        <v>45804</v>
      </c>
      <c r="B1727" t="s">
        <v>63</v>
      </c>
      <c r="D1727">
        <v>100</v>
      </c>
      <c r="F1727">
        <v>1</v>
      </c>
      <c r="G1727" t="s">
        <v>22</v>
      </c>
      <c r="H1727" t="s">
        <v>93</v>
      </c>
      <c r="I1727" t="s">
        <v>60</v>
      </c>
      <c r="J1727" t="s">
        <v>61</v>
      </c>
      <c r="L1727" t="s">
        <v>62</v>
      </c>
    </row>
    <row r="1728" spans="1:13">
      <c r="A1728">
        <v>45804</v>
      </c>
      <c r="B1728" t="s">
        <v>63</v>
      </c>
      <c r="D1728">
        <v>5500</v>
      </c>
      <c r="F1728">
        <v>1</v>
      </c>
      <c r="G1728" t="s">
        <v>70</v>
      </c>
      <c r="I1728" t="s">
        <v>60</v>
      </c>
      <c r="J1728" t="s">
        <v>61</v>
      </c>
      <c r="L1728" t="s">
        <v>62</v>
      </c>
    </row>
    <row r="1729" spans="1:13">
      <c r="A1729">
        <v>45804</v>
      </c>
      <c r="B1729" t="s">
        <v>1822</v>
      </c>
      <c r="D1729">
        <v>500</v>
      </c>
      <c r="F1729">
        <v>1</v>
      </c>
      <c r="G1729" t="s">
        <v>22</v>
      </c>
      <c r="H1729" t="s">
        <v>21</v>
      </c>
      <c r="I1729" t="s">
        <v>60</v>
      </c>
      <c r="J1729" t="s">
        <v>61</v>
      </c>
      <c r="L1729" t="s">
        <v>89</v>
      </c>
    </row>
    <row r="1730" spans="1:13">
      <c r="A1730">
        <v>45804</v>
      </c>
      <c r="B1730" t="s">
        <v>1823</v>
      </c>
      <c r="D1730">
        <v>500</v>
      </c>
      <c r="F1730">
        <v>1</v>
      </c>
      <c r="G1730" t="s">
        <v>22</v>
      </c>
      <c r="H1730" t="s">
        <v>21</v>
      </c>
      <c r="I1730" t="s">
        <v>60</v>
      </c>
      <c r="J1730" t="s">
        <v>61</v>
      </c>
      <c r="L1730" t="s">
        <v>82</v>
      </c>
    </row>
    <row r="1731" spans="1:13">
      <c r="A1731">
        <v>45804</v>
      </c>
      <c r="B1731" t="s">
        <v>1824</v>
      </c>
      <c r="D1731">
        <v>500</v>
      </c>
      <c r="F1731">
        <v>1</v>
      </c>
      <c r="G1731" t="s">
        <v>22</v>
      </c>
      <c r="H1731" t="s">
        <v>21</v>
      </c>
      <c r="I1731" t="s">
        <v>60</v>
      </c>
      <c r="J1731" t="s">
        <v>61</v>
      </c>
      <c r="L1731" t="s">
        <v>82</v>
      </c>
    </row>
    <row r="1732" spans="1:13">
      <c r="A1732">
        <v>45804</v>
      </c>
      <c r="B1732" t="s">
        <v>1825</v>
      </c>
      <c r="D1732">
        <v>500</v>
      </c>
      <c r="F1732">
        <v>1</v>
      </c>
      <c r="G1732" t="s">
        <v>22</v>
      </c>
      <c r="H1732" t="s">
        <v>21</v>
      </c>
      <c r="I1732" t="s">
        <v>60</v>
      </c>
      <c r="J1732" t="s">
        <v>61</v>
      </c>
      <c r="L1732" t="s">
        <v>82</v>
      </c>
    </row>
    <row r="1733" spans="1:13">
      <c r="A1733">
        <v>45804</v>
      </c>
      <c r="B1733" t="s">
        <v>1826</v>
      </c>
      <c r="F1733">
        <v>1</v>
      </c>
      <c r="G1733" t="s">
        <v>0</v>
      </c>
      <c r="L1733" t="s">
        <v>89</v>
      </c>
    </row>
    <row r="1734" spans="1:13">
      <c r="A1734">
        <v>45805</v>
      </c>
      <c r="B1734" t="s">
        <v>81</v>
      </c>
      <c r="D1734">
        <v>91000</v>
      </c>
      <c r="F1734">
        <v>1</v>
      </c>
      <c r="G1734" t="s">
        <v>74</v>
      </c>
      <c r="H1734" t="s">
        <v>75</v>
      </c>
      <c r="I1734" t="s">
        <v>60</v>
      </c>
      <c r="J1734" t="s">
        <v>61</v>
      </c>
      <c r="L1734" t="s">
        <v>88</v>
      </c>
      <c r="M1734" t="s">
        <v>955</v>
      </c>
    </row>
    <row r="1735" spans="1:13">
      <c r="A1735">
        <v>45805</v>
      </c>
      <c r="B1735" t="s">
        <v>76</v>
      </c>
      <c r="D1735">
        <v>5000</v>
      </c>
      <c r="G1735" t="s">
        <v>77</v>
      </c>
      <c r="I1735" t="s">
        <v>60</v>
      </c>
      <c r="J1735" t="s">
        <v>61</v>
      </c>
      <c r="L1735" t="s">
        <v>62</v>
      </c>
    </row>
    <row r="1736" spans="1:13">
      <c r="A1736">
        <v>45805</v>
      </c>
      <c r="B1736" t="s">
        <v>63</v>
      </c>
      <c r="D1736">
        <v>23000</v>
      </c>
      <c r="F1736">
        <v>3</v>
      </c>
      <c r="G1736" t="s">
        <v>70</v>
      </c>
      <c r="I1736" t="s">
        <v>71</v>
      </c>
      <c r="J1736" t="s">
        <v>1827</v>
      </c>
      <c r="K1736" t="s">
        <v>1828</v>
      </c>
      <c r="L1736" t="s">
        <v>62</v>
      </c>
      <c r="M1736" t="s">
        <v>1829</v>
      </c>
    </row>
    <row r="1737" spans="1:13">
      <c r="A1737">
        <v>45805</v>
      </c>
      <c r="B1737" t="s">
        <v>290</v>
      </c>
      <c r="C1737" t="s">
        <v>1830</v>
      </c>
      <c r="E1737">
        <v>45950.17</v>
      </c>
      <c r="F1737">
        <v>1</v>
      </c>
      <c r="G1737" t="s">
        <v>65</v>
      </c>
      <c r="H1737" t="s">
        <v>265</v>
      </c>
      <c r="I1737" t="s">
        <v>60</v>
      </c>
      <c r="J1737" t="s">
        <v>61</v>
      </c>
      <c r="L1737" t="s">
        <v>62</v>
      </c>
    </row>
    <row r="1738" spans="1:13">
      <c r="A1738">
        <v>45805</v>
      </c>
      <c r="B1738" t="s">
        <v>1701</v>
      </c>
      <c r="D1738">
        <v>500</v>
      </c>
      <c r="F1738">
        <v>1</v>
      </c>
      <c r="G1738" t="s">
        <v>22</v>
      </c>
      <c r="H1738" t="s">
        <v>21</v>
      </c>
      <c r="I1738" t="s">
        <v>60</v>
      </c>
      <c r="J1738" t="s">
        <v>61</v>
      </c>
      <c r="L1738" t="s">
        <v>86</v>
      </c>
    </row>
    <row r="1739" spans="1:13">
      <c r="A1739">
        <v>45805</v>
      </c>
      <c r="B1739" t="s">
        <v>1831</v>
      </c>
      <c r="F1739">
        <v>1</v>
      </c>
      <c r="G1739" t="s">
        <v>79</v>
      </c>
      <c r="H1739" t="s">
        <v>21</v>
      </c>
      <c r="L1739" t="s">
        <v>86</v>
      </c>
    </row>
    <row r="1740" spans="1:13">
      <c r="A1740">
        <v>45805</v>
      </c>
      <c r="B1740" t="s">
        <v>1831</v>
      </c>
      <c r="D1740">
        <v>0</v>
      </c>
      <c r="F1740">
        <v>0</v>
      </c>
      <c r="G1740" t="s">
        <v>22</v>
      </c>
      <c r="H1740" t="s">
        <v>21</v>
      </c>
      <c r="I1740" t="s">
        <v>60</v>
      </c>
      <c r="J1740" t="s">
        <v>61</v>
      </c>
      <c r="L1740" t="s">
        <v>86</v>
      </c>
      <c r="M1740" t="s">
        <v>83</v>
      </c>
    </row>
    <row r="1741" spans="1:13">
      <c r="A1741">
        <v>45805</v>
      </c>
      <c r="B1741" t="s">
        <v>1832</v>
      </c>
      <c r="D1741">
        <v>500</v>
      </c>
      <c r="F1741">
        <v>1</v>
      </c>
      <c r="G1741" t="s">
        <v>22</v>
      </c>
      <c r="H1741" t="s">
        <v>21</v>
      </c>
      <c r="I1741" t="s">
        <v>60</v>
      </c>
      <c r="J1741" t="s">
        <v>61</v>
      </c>
      <c r="L1741" t="s">
        <v>82</v>
      </c>
    </row>
    <row r="1742" spans="1:13">
      <c r="A1742">
        <v>45805</v>
      </c>
      <c r="B1742" t="s">
        <v>1833</v>
      </c>
      <c r="D1742">
        <v>500</v>
      </c>
      <c r="F1742">
        <v>1</v>
      </c>
      <c r="G1742" t="s">
        <v>22</v>
      </c>
      <c r="H1742" t="s">
        <v>21</v>
      </c>
      <c r="I1742" t="s">
        <v>60</v>
      </c>
      <c r="J1742" t="s">
        <v>61</v>
      </c>
      <c r="L1742" t="s">
        <v>82</v>
      </c>
    </row>
    <row r="1743" spans="1:13">
      <c r="A1743">
        <v>45805</v>
      </c>
      <c r="B1743" t="s">
        <v>1833</v>
      </c>
      <c r="F1743">
        <v>1</v>
      </c>
      <c r="G1743" t="s">
        <v>64</v>
      </c>
      <c r="L1743" t="s">
        <v>82</v>
      </c>
      <c r="M1743" t="s">
        <v>1834</v>
      </c>
    </row>
    <row r="1744" spans="1:13">
      <c r="A1744">
        <v>45805</v>
      </c>
      <c r="B1744" t="s">
        <v>63</v>
      </c>
      <c r="D1744">
        <v>11500</v>
      </c>
      <c r="F1744">
        <v>2</v>
      </c>
      <c r="G1744" t="s">
        <v>70</v>
      </c>
      <c r="I1744" t="s">
        <v>71</v>
      </c>
      <c r="J1744" t="s">
        <v>535</v>
      </c>
      <c r="K1744" t="s">
        <v>1835</v>
      </c>
      <c r="L1744" t="s">
        <v>62</v>
      </c>
      <c r="M1744" t="s">
        <v>90</v>
      </c>
    </row>
    <row r="1745" spans="1:13">
      <c r="A1745">
        <v>45805</v>
      </c>
      <c r="B1745" t="s">
        <v>1836</v>
      </c>
      <c r="F1745">
        <v>1</v>
      </c>
      <c r="G1745" t="s">
        <v>99</v>
      </c>
      <c r="H1745" t="s">
        <v>21</v>
      </c>
      <c r="L1745" t="s">
        <v>82</v>
      </c>
      <c r="M1745" t="s">
        <v>1837</v>
      </c>
    </row>
    <row r="1746" spans="1:13">
      <c r="A1746">
        <v>45805</v>
      </c>
      <c r="B1746" t="s">
        <v>1838</v>
      </c>
      <c r="F1746">
        <v>1</v>
      </c>
      <c r="G1746" t="s">
        <v>0</v>
      </c>
      <c r="L1746" t="s">
        <v>82</v>
      </c>
    </row>
    <row r="1747" spans="1:13">
      <c r="A1747">
        <v>45806</v>
      </c>
      <c r="B1747" t="s">
        <v>81</v>
      </c>
      <c r="D1747">
        <v>89500</v>
      </c>
      <c r="F1747">
        <v>1</v>
      </c>
      <c r="G1747" t="s">
        <v>74</v>
      </c>
      <c r="H1747" t="s">
        <v>75</v>
      </c>
      <c r="I1747" t="s">
        <v>60</v>
      </c>
      <c r="J1747" t="s">
        <v>61</v>
      </c>
      <c r="L1747" t="s">
        <v>88</v>
      </c>
      <c r="M1747" t="s">
        <v>955</v>
      </c>
    </row>
    <row r="1748" spans="1:13">
      <c r="A1748">
        <v>45806</v>
      </c>
      <c r="B1748" t="s">
        <v>1839</v>
      </c>
      <c r="D1748">
        <v>500</v>
      </c>
      <c r="F1748">
        <v>1</v>
      </c>
      <c r="G1748" t="s">
        <v>22</v>
      </c>
      <c r="H1748" t="s">
        <v>21</v>
      </c>
      <c r="I1748" t="s">
        <v>60</v>
      </c>
      <c r="J1748" t="s">
        <v>61</v>
      </c>
      <c r="L1748" t="s">
        <v>89</v>
      </c>
    </row>
    <row r="1749" spans="1:13">
      <c r="A1749">
        <v>45806</v>
      </c>
      <c r="B1749" t="s">
        <v>1840</v>
      </c>
      <c r="D1749">
        <v>500</v>
      </c>
      <c r="F1749">
        <v>1</v>
      </c>
      <c r="G1749" t="s">
        <v>22</v>
      </c>
      <c r="H1749" t="s">
        <v>21</v>
      </c>
      <c r="I1749" t="s">
        <v>60</v>
      </c>
      <c r="J1749" t="s">
        <v>61</v>
      </c>
      <c r="L1749" t="s">
        <v>89</v>
      </c>
    </row>
    <row r="1750" spans="1:13">
      <c r="A1750">
        <v>45806</v>
      </c>
      <c r="B1750" t="s">
        <v>1841</v>
      </c>
      <c r="D1750">
        <v>500</v>
      </c>
      <c r="F1750">
        <v>0</v>
      </c>
      <c r="G1750" t="s">
        <v>22</v>
      </c>
      <c r="H1750" t="s">
        <v>21</v>
      </c>
      <c r="I1750" t="s">
        <v>60</v>
      </c>
      <c r="J1750" t="s">
        <v>61</v>
      </c>
      <c r="L1750" t="s">
        <v>86</v>
      </c>
      <c r="M1750" t="s">
        <v>83</v>
      </c>
    </row>
    <row r="1751" spans="1:13">
      <c r="A1751">
        <v>45806</v>
      </c>
      <c r="B1751" t="s">
        <v>1842</v>
      </c>
      <c r="F1751">
        <v>1</v>
      </c>
      <c r="G1751" t="s">
        <v>99</v>
      </c>
      <c r="H1751" t="s">
        <v>21</v>
      </c>
      <c r="L1751" t="s">
        <v>86</v>
      </c>
    </row>
    <row r="1752" spans="1:13">
      <c r="A1752">
        <v>45806</v>
      </c>
      <c r="B1752" t="s">
        <v>1843</v>
      </c>
      <c r="D1752">
        <v>500</v>
      </c>
      <c r="F1752">
        <v>1</v>
      </c>
      <c r="G1752" t="s">
        <v>22</v>
      </c>
      <c r="H1752" t="s">
        <v>21</v>
      </c>
      <c r="I1752" t="s">
        <v>60</v>
      </c>
      <c r="J1752" t="s">
        <v>61</v>
      </c>
      <c r="L1752" t="s">
        <v>86</v>
      </c>
    </row>
    <row r="1753" spans="1:13">
      <c r="A1753">
        <v>45806</v>
      </c>
      <c r="B1753" t="s">
        <v>63</v>
      </c>
      <c r="D1753">
        <v>300</v>
      </c>
      <c r="F1753">
        <v>3</v>
      </c>
      <c r="G1753" t="s">
        <v>22</v>
      </c>
      <c r="H1753" t="s">
        <v>93</v>
      </c>
      <c r="I1753" t="s">
        <v>60</v>
      </c>
      <c r="J1753" t="s">
        <v>61</v>
      </c>
      <c r="L1753" t="s">
        <v>62</v>
      </c>
    </row>
    <row r="1754" spans="1:13">
      <c r="A1754">
        <v>45806</v>
      </c>
      <c r="B1754" t="s">
        <v>1844</v>
      </c>
      <c r="D1754">
        <v>500</v>
      </c>
      <c r="F1754">
        <v>0</v>
      </c>
      <c r="G1754" t="s">
        <v>22</v>
      </c>
      <c r="H1754" t="s">
        <v>21</v>
      </c>
      <c r="I1754" t="s">
        <v>60</v>
      </c>
      <c r="J1754" t="s">
        <v>61</v>
      </c>
      <c r="L1754" t="s">
        <v>86</v>
      </c>
    </row>
    <row r="1755" spans="1:13">
      <c r="A1755">
        <v>45806</v>
      </c>
      <c r="B1755" t="s">
        <v>1845</v>
      </c>
      <c r="D1755">
        <v>500</v>
      </c>
      <c r="F1755">
        <v>1</v>
      </c>
      <c r="G1755" t="s">
        <v>22</v>
      </c>
      <c r="H1755" t="s">
        <v>21</v>
      </c>
      <c r="I1755" t="s">
        <v>60</v>
      </c>
      <c r="J1755" t="s">
        <v>61</v>
      </c>
      <c r="L1755" t="s">
        <v>86</v>
      </c>
    </row>
    <row r="1756" spans="1:13">
      <c r="A1756">
        <v>45806</v>
      </c>
      <c r="B1756" t="s">
        <v>1846</v>
      </c>
      <c r="F1756">
        <v>1</v>
      </c>
      <c r="G1756" t="s">
        <v>0</v>
      </c>
      <c r="L1756" t="s">
        <v>82</v>
      </c>
    </row>
    <row r="1757" spans="1:13">
      <c r="A1757">
        <v>45807</v>
      </c>
      <c r="B1757" t="s">
        <v>1847</v>
      </c>
      <c r="D1757">
        <v>140500</v>
      </c>
      <c r="F1757">
        <v>1</v>
      </c>
      <c r="G1757" t="s">
        <v>74</v>
      </c>
      <c r="H1757" t="s">
        <v>75</v>
      </c>
      <c r="I1757" t="s">
        <v>60</v>
      </c>
      <c r="J1757" t="s">
        <v>61</v>
      </c>
      <c r="L1757" t="s">
        <v>88</v>
      </c>
    </row>
    <row r="1758" spans="1:13">
      <c r="A1758">
        <v>45807</v>
      </c>
      <c r="B1758" t="s">
        <v>1848</v>
      </c>
      <c r="F1758">
        <v>1</v>
      </c>
      <c r="G1758" t="s">
        <v>64</v>
      </c>
      <c r="L1758" t="s">
        <v>89</v>
      </c>
      <c r="M1758" t="s">
        <v>1834</v>
      </c>
    </row>
    <row r="1759" spans="1:13">
      <c r="A1759">
        <v>45807</v>
      </c>
      <c r="B1759" t="s">
        <v>1849</v>
      </c>
      <c r="D1759">
        <v>500</v>
      </c>
      <c r="F1759">
        <v>1</v>
      </c>
      <c r="G1759" t="s">
        <v>22</v>
      </c>
      <c r="H1759" t="s">
        <v>21</v>
      </c>
      <c r="I1759" t="s">
        <v>60</v>
      </c>
      <c r="J1759" t="s">
        <v>61</v>
      </c>
      <c r="L1759" t="s">
        <v>89</v>
      </c>
    </row>
    <row r="1760" spans="1:13">
      <c r="A1760">
        <v>45807</v>
      </c>
      <c r="B1760" t="s">
        <v>1850</v>
      </c>
      <c r="D1760">
        <v>500</v>
      </c>
      <c r="F1760">
        <v>1</v>
      </c>
      <c r="G1760" t="s">
        <v>22</v>
      </c>
      <c r="H1760" t="s">
        <v>21</v>
      </c>
      <c r="I1760" t="s">
        <v>60</v>
      </c>
      <c r="J1760" t="s">
        <v>61</v>
      </c>
      <c r="L1760" t="s">
        <v>89</v>
      </c>
    </row>
    <row r="1761" spans="1:13">
      <c r="A1761">
        <v>45807</v>
      </c>
      <c r="B1761" t="s">
        <v>1851</v>
      </c>
      <c r="D1761">
        <v>40000</v>
      </c>
      <c r="F1761">
        <v>1</v>
      </c>
      <c r="G1761" t="s">
        <v>64</v>
      </c>
      <c r="I1761" t="s">
        <v>60</v>
      </c>
      <c r="J1761" t="s">
        <v>61</v>
      </c>
      <c r="L1761" t="s">
        <v>89</v>
      </c>
      <c r="M1761" t="s">
        <v>169</v>
      </c>
    </row>
    <row r="1762" spans="1:13">
      <c r="A1762">
        <v>45807</v>
      </c>
      <c r="B1762" t="s">
        <v>63</v>
      </c>
      <c r="D1762">
        <v>8500</v>
      </c>
      <c r="G1762" t="s">
        <v>70</v>
      </c>
      <c r="I1762" t="s">
        <v>60</v>
      </c>
      <c r="J1762" t="s">
        <v>61</v>
      </c>
      <c r="L1762" t="s">
        <v>62</v>
      </c>
    </row>
    <row r="1763" spans="1:13">
      <c r="A1763">
        <v>45808</v>
      </c>
      <c r="B1763" t="s">
        <v>559</v>
      </c>
      <c r="E1763">
        <v>10000</v>
      </c>
      <c r="F1763">
        <v>1</v>
      </c>
      <c r="G1763" t="s">
        <v>65</v>
      </c>
      <c r="H1763" t="s">
        <v>560</v>
      </c>
      <c r="I1763" t="s">
        <v>60</v>
      </c>
      <c r="J1763" t="s">
        <v>61</v>
      </c>
      <c r="L1763" t="s">
        <v>62</v>
      </c>
    </row>
    <row r="1764" spans="1:13">
      <c r="A1764">
        <v>45808</v>
      </c>
      <c r="B1764" t="s">
        <v>561</v>
      </c>
      <c r="E1764">
        <v>10000</v>
      </c>
      <c r="F1764">
        <v>1</v>
      </c>
      <c r="G1764" t="s">
        <v>65</v>
      </c>
      <c r="H1764" t="s">
        <v>560</v>
      </c>
      <c r="I1764" t="s">
        <v>60</v>
      </c>
      <c r="J1764" t="s">
        <v>61</v>
      </c>
      <c r="L1764" t="s">
        <v>62</v>
      </c>
    </row>
    <row r="1765" spans="1:13">
      <c r="A1765">
        <v>45808</v>
      </c>
      <c r="B1765" t="s">
        <v>1852</v>
      </c>
      <c r="D1765">
        <v>500</v>
      </c>
      <c r="F1765">
        <v>1</v>
      </c>
      <c r="G1765" t="s">
        <v>22</v>
      </c>
      <c r="H1765" t="s">
        <v>21</v>
      </c>
      <c r="I1765" t="s">
        <v>60</v>
      </c>
      <c r="J1765" t="s">
        <v>61</v>
      </c>
      <c r="L1765" t="s">
        <v>89</v>
      </c>
    </row>
    <row r="1766" spans="1:13">
      <c r="A1766">
        <v>45808</v>
      </c>
      <c r="B1766" t="s">
        <v>1853</v>
      </c>
      <c r="D1766">
        <v>500</v>
      </c>
      <c r="F1766">
        <v>1</v>
      </c>
      <c r="G1766" t="s">
        <v>22</v>
      </c>
      <c r="H1766" t="s">
        <v>21</v>
      </c>
      <c r="I1766" t="s">
        <v>60</v>
      </c>
      <c r="J1766" t="s">
        <v>61</v>
      </c>
      <c r="L1766" t="s">
        <v>89</v>
      </c>
    </row>
    <row r="1767" spans="1:13">
      <c r="A1767">
        <v>45808</v>
      </c>
      <c r="B1767" t="s">
        <v>63</v>
      </c>
      <c r="D1767">
        <v>21000</v>
      </c>
      <c r="G1767" t="s">
        <v>70</v>
      </c>
      <c r="I1767" t="s">
        <v>60</v>
      </c>
      <c r="J1767" t="s">
        <v>61</v>
      </c>
      <c r="L1767" t="s">
        <v>86</v>
      </c>
    </row>
    <row r="1768" spans="1:13">
      <c r="A1768">
        <v>45808</v>
      </c>
      <c r="B1768" t="s">
        <v>63</v>
      </c>
      <c r="D1768">
        <v>500</v>
      </c>
      <c r="F1768">
        <v>5</v>
      </c>
      <c r="G1768" t="s">
        <v>22</v>
      </c>
      <c r="H1768" t="s">
        <v>93</v>
      </c>
      <c r="I1768" t="s">
        <v>60</v>
      </c>
      <c r="J1768" t="s">
        <v>61</v>
      </c>
      <c r="L1768" t="s">
        <v>62</v>
      </c>
    </row>
    <row r="1769" spans="1:13">
      <c r="A1769">
        <v>45808</v>
      </c>
      <c r="B1769" t="s">
        <v>1854</v>
      </c>
      <c r="F1769">
        <v>1</v>
      </c>
      <c r="G1769" t="s">
        <v>79</v>
      </c>
      <c r="H1769" t="s">
        <v>21</v>
      </c>
      <c r="L1769" t="s">
        <v>89</v>
      </c>
    </row>
    <row r="1770" spans="1:13">
      <c r="A1770">
        <v>45808</v>
      </c>
      <c r="B1770" t="s">
        <v>1854</v>
      </c>
      <c r="F1770">
        <v>1</v>
      </c>
      <c r="G1770" t="s">
        <v>64</v>
      </c>
      <c r="L1770" t="s">
        <v>89</v>
      </c>
      <c r="M1770" t="s">
        <v>1855</v>
      </c>
    </row>
    <row r="1771" spans="1:13">
      <c r="A1771">
        <v>45808</v>
      </c>
      <c r="B1771" t="s">
        <v>1856</v>
      </c>
      <c r="D1771">
        <v>500</v>
      </c>
      <c r="F1771">
        <v>0</v>
      </c>
      <c r="G1771" t="s">
        <v>22</v>
      </c>
      <c r="H1771" t="s">
        <v>21</v>
      </c>
      <c r="I1771" t="s">
        <v>60</v>
      </c>
      <c r="J1771" t="s">
        <v>61</v>
      </c>
      <c r="L1771" t="s">
        <v>86</v>
      </c>
      <c r="M1771" t="s">
        <v>83</v>
      </c>
    </row>
    <row r="1772" spans="1:13">
      <c r="A1772">
        <v>45808</v>
      </c>
      <c r="B1772" t="s">
        <v>1857</v>
      </c>
      <c r="D1772">
        <v>500</v>
      </c>
      <c r="F1772">
        <v>0</v>
      </c>
      <c r="G1772" t="s">
        <v>22</v>
      </c>
      <c r="H1772" t="s">
        <v>21</v>
      </c>
      <c r="I1772" t="s">
        <v>60</v>
      </c>
      <c r="J1772" t="s">
        <v>61</v>
      </c>
      <c r="L1772" t="s">
        <v>86</v>
      </c>
      <c r="M1772" t="s">
        <v>83</v>
      </c>
    </row>
    <row r="1773" spans="1:13">
      <c r="A1773">
        <v>45808</v>
      </c>
      <c r="B1773" t="s">
        <v>1858</v>
      </c>
      <c r="D1773">
        <v>500</v>
      </c>
      <c r="F1773">
        <v>0</v>
      </c>
      <c r="G1773" t="s">
        <v>22</v>
      </c>
      <c r="H1773" t="s">
        <v>21</v>
      </c>
      <c r="I1773" t="s">
        <v>60</v>
      </c>
      <c r="J1773" t="s">
        <v>61</v>
      </c>
      <c r="L1773" t="s">
        <v>86</v>
      </c>
      <c r="M1773" t="s">
        <v>83</v>
      </c>
    </row>
    <row r="1774" spans="1:13">
      <c r="A1774">
        <v>45808</v>
      </c>
      <c r="B1774" t="s">
        <v>76</v>
      </c>
      <c r="D1774">
        <v>14600</v>
      </c>
      <c r="G1774" t="s">
        <v>77</v>
      </c>
      <c r="I1774" t="s">
        <v>60</v>
      </c>
      <c r="J1774" t="s">
        <v>61</v>
      </c>
      <c r="L1774" t="s">
        <v>62</v>
      </c>
    </row>
    <row r="1775" spans="1:13">
      <c r="A1775">
        <v>45809</v>
      </c>
      <c r="B1775" t="s">
        <v>76</v>
      </c>
      <c r="D1775">
        <v>23350</v>
      </c>
      <c r="G1775" t="s">
        <v>77</v>
      </c>
      <c r="I1775" t="s">
        <v>60</v>
      </c>
      <c r="J1775" t="s">
        <v>61</v>
      </c>
      <c r="L1775" t="s">
        <v>62</v>
      </c>
    </row>
    <row r="1776" spans="1:13">
      <c r="A1776">
        <v>45809</v>
      </c>
      <c r="B1776" t="s">
        <v>1859</v>
      </c>
      <c r="D1776">
        <v>500</v>
      </c>
      <c r="F1776">
        <v>1</v>
      </c>
      <c r="G1776" t="s">
        <v>22</v>
      </c>
      <c r="H1776" t="s">
        <v>21</v>
      </c>
      <c r="I1776" t="s">
        <v>60</v>
      </c>
      <c r="J1776" t="s">
        <v>61</v>
      </c>
      <c r="L1776" t="s">
        <v>82</v>
      </c>
    </row>
    <row r="1777" spans="1:13">
      <c r="A1777">
        <v>45809</v>
      </c>
      <c r="B1777" t="s">
        <v>1860</v>
      </c>
      <c r="D1777">
        <v>500</v>
      </c>
      <c r="F1777">
        <v>1</v>
      </c>
      <c r="G1777" t="s">
        <v>22</v>
      </c>
      <c r="H1777" t="s">
        <v>21</v>
      </c>
      <c r="I1777" t="s">
        <v>60</v>
      </c>
      <c r="J1777" t="s">
        <v>61</v>
      </c>
      <c r="L1777" t="s">
        <v>86</v>
      </c>
    </row>
    <row r="1778" spans="1:13">
      <c r="A1778">
        <v>45809</v>
      </c>
      <c r="B1778" t="s">
        <v>1861</v>
      </c>
      <c r="D1778">
        <v>500</v>
      </c>
      <c r="F1778">
        <v>1</v>
      </c>
      <c r="G1778" t="s">
        <v>22</v>
      </c>
      <c r="H1778" t="s">
        <v>21</v>
      </c>
      <c r="I1778" t="s">
        <v>60</v>
      </c>
      <c r="J1778" t="s">
        <v>61</v>
      </c>
      <c r="L1778" t="s">
        <v>86</v>
      </c>
    </row>
    <row r="1779" spans="1:13">
      <c r="A1779">
        <v>45809</v>
      </c>
      <c r="B1779" t="s">
        <v>1862</v>
      </c>
      <c r="D1779">
        <v>500</v>
      </c>
      <c r="F1779">
        <v>1</v>
      </c>
      <c r="G1779" t="s">
        <v>22</v>
      </c>
      <c r="H1779" t="s">
        <v>21</v>
      </c>
      <c r="I1779" t="s">
        <v>60</v>
      </c>
      <c r="J1779" t="s">
        <v>61</v>
      </c>
      <c r="L1779" t="s">
        <v>86</v>
      </c>
    </row>
    <row r="1780" spans="1:13">
      <c r="A1780">
        <v>45809</v>
      </c>
      <c r="B1780" t="s">
        <v>63</v>
      </c>
      <c r="D1780">
        <v>23500</v>
      </c>
      <c r="G1780" t="s">
        <v>70</v>
      </c>
      <c r="I1780" t="s">
        <v>60</v>
      </c>
      <c r="J1780" t="s">
        <v>61</v>
      </c>
      <c r="L1780" t="s">
        <v>62</v>
      </c>
    </row>
    <row r="1781" spans="1:13">
      <c r="A1781">
        <v>45809</v>
      </c>
      <c r="B1781" t="s">
        <v>81</v>
      </c>
      <c r="E1781">
        <v>5500</v>
      </c>
      <c r="F1781">
        <v>1</v>
      </c>
      <c r="G1781" t="s">
        <v>74</v>
      </c>
      <c r="H1781" t="s">
        <v>75</v>
      </c>
      <c r="I1781" t="s">
        <v>60</v>
      </c>
      <c r="J1781" t="s">
        <v>61</v>
      </c>
      <c r="K1781" t="s">
        <v>1863</v>
      </c>
      <c r="L1781" t="s">
        <v>87</v>
      </c>
      <c r="M1781" t="s">
        <v>92</v>
      </c>
    </row>
    <row r="1782" spans="1:13">
      <c r="A1782">
        <v>45809</v>
      </c>
      <c r="B1782" t="s">
        <v>63</v>
      </c>
      <c r="D1782">
        <v>24000</v>
      </c>
      <c r="F1782">
        <v>3</v>
      </c>
      <c r="G1782" t="s">
        <v>70</v>
      </c>
      <c r="I1782" t="s">
        <v>71</v>
      </c>
      <c r="J1782" t="s">
        <v>72</v>
      </c>
      <c r="K1782" t="s">
        <v>1864</v>
      </c>
      <c r="L1782" t="s">
        <v>62</v>
      </c>
      <c r="M1782" t="s">
        <v>90</v>
      </c>
    </row>
    <row r="1783" spans="1:13">
      <c r="A1783">
        <v>45809</v>
      </c>
      <c r="B1783" t="s">
        <v>1865</v>
      </c>
      <c r="F1783">
        <v>1</v>
      </c>
      <c r="G1783" t="s">
        <v>64</v>
      </c>
      <c r="L1783" t="s">
        <v>82</v>
      </c>
      <c r="M1783" t="s">
        <v>1866</v>
      </c>
    </row>
    <row r="1784" spans="1:13">
      <c r="A1784">
        <v>45809</v>
      </c>
      <c r="B1784" t="s">
        <v>1867</v>
      </c>
      <c r="D1784">
        <v>500</v>
      </c>
      <c r="F1784">
        <v>1</v>
      </c>
      <c r="G1784" t="s">
        <v>22</v>
      </c>
      <c r="H1784" t="s">
        <v>21</v>
      </c>
      <c r="I1784" t="s">
        <v>60</v>
      </c>
      <c r="J1784" t="s">
        <v>61</v>
      </c>
      <c r="L1784" t="s">
        <v>86</v>
      </c>
    </row>
    <row r="1785" spans="1:13">
      <c r="A1785">
        <v>45809</v>
      </c>
      <c r="B1785" t="s">
        <v>1868</v>
      </c>
      <c r="D1785">
        <v>500</v>
      </c>
      <c r="F1785">
        <v>1</v>
      </c>
      <c r="G1785" t="s">
        <v>22</v>
      </c>
      <c r="H1785" t="s">
        <v>21</v>
      </c>
      <c r="I1785" t="s">
        <v>60</v>
      </c>
      <c r="J1785" t="s">
        <v>61</v>
      </c>
      <c r="L1785" t="s">
        <v>86</v>
      </c>
    </row>
    <row r="1786" spans="1:13">
      <c r="A1786">
        <v>45809</v>
      </c>
      <c r="B1786" t="s">
        <v>1869</v>
      </c>
      <c r="D1786">
        <v>500</v>
      </c>
      <c r="F1786">
        <v>1</v>
      </c>
      <c r="G1786" t="s">
        <v>22</v>
      </c>
      <c r="H1786" t="s">
        <v>21</v>
      </c>
      <c r="I1786" t="s">
        <v>60</v>
      </c>
      <c r="J1786" t="s">
        <v>61</v>
      </c>
      <c r="L1786" t="s">
        <v>86</v>
      </c>
    </row>
    <row r="1787" spans="1:13">
      <c r="A1787">
        <v>45809</v>
      </c>
      <c r="B1787" t="s">
        <v>1870</v>
      </c>
      <c r="D1787">
        <v>500</v>
      </c>
      <c r="F1787">
        <v>1</v>
      </c>
      <c r="G1787" t="s">
        <v>22</v>
      </c>
      <c r="H1787" t="s">
        <v>21</v>
      </c>
      <c r="I1787" t="s">
        <v>60</v>
      </c>
      <c r="J1787" t="s">
        <v>61</v>
      </c>
      <c r="L1787" t="s">
        <v>86</v>
      </c>
    </row>
    <row r="1788" spans="1:13">
      <c r="A1788">
        <v>45809</v>
      </c>
      <c r="B1788" t="s">
        <v>1871</v>
      </c>
      <c r="D1788">
        <v>500</v>
      </c>
      <c r="F1788">
        <v>1</v>
      </c>
      <c r="G1788" t="s">
        <v>22</v>
      </c>
      <c r="H1788" t="s">
        <v>21</v>
      </c>
      <c r="I1788" t="s">
        <v>60</v>
      </c>
      <c r="J1788" t="s">
        <v>61</v>
      </c>
      <c r="L1788" t="s">
        <v>86</v>
      </c>
    </row>
    <row r="1789" spans="1:13">
      <c r="A1789">
        <v>45809</v>
      </c>
      <c r="B1789" t="s">
        <v>63</v>
      </c>
      <c r="D1789">
        <v>19500</v>
      </c>
      <c r="F1789">
        <v>2</v>
      </c>
      <c r="G1789" t="s">
        <v>70</v>
      </c>
      <c r="I1789" t="s">
        <v>71</v>
      </c>
      <c r="J1789" t="s">
        <v>72</v>
      </c>
      <c r="K1789" t="s">
        <v>1872</v>
      </c>
      <c r="L1789" t="s">
        <v>62</v>
      </c>
      <c r="M1789" t="s">
        <v>90</v>
      </c>
    </row>
    <row r="1790" spans="1:13">
      <c r="A1790">
        <v>45810</v>
      </c>
      <c r="B1790" t="s">
        <v>81</v>
      </c>
      <c r="D1790">
        <v>224800</v>
      </c>
      <c r="F1790">
        <v>1</v>
      </c>
      <c r="G1790" t="s">
        <v>74</v>
      </c>
      <c r="H1790" t="s">
        <v>75</v>
      </c>
      <c r="I1790" t="s">
        <v>60</v>
      </c>
      <c r="J1790" t="s">
        <v>61</v>
      </c>
      <c r="L1790" t="s">
        <v>88</v>
      </c>
      <c r="M1790" t="s">
        <v>955</v>
      </c>
    </row>
    <row r="1791" spans="1:13">
      <c r="A1791">
        <v>45810</v>
      </c>
      <c r="B1791" t="s">
        <v>1873</v>
      </c>
      <c r="C1791" t="s">
        <v>1874</v>
      </c>
      <c r="F1791">
        <v>10</v>
      </c>
      <c r="G1791" t="s">
        <v>22</v>
      </c>
      <c r="H1791" t="s">
        <v>21</v>
      </c>
      <c r="L1791" t="s">
        <v>95</v>
      </c>
    </row>
    <row r="1792" spans="1:13">
      <c r="A1792">
        <v>45810</v>
      </c>
      <c r="B1792" t="s">
        <v>1875</v>
      </c>
      <c r="F1792">
        <v>1</v>
      </c>
      <c r="G1792" t="s">
        <v>64</v>
      </c>
      <c r="L1792" t="s">
        <v>89</v>
      </c>
      <c r="M1792" t="s">
        <v>1789</v>
      </c>
    </row>
    <row r="1793" spans="1:13">
      <c r="A1793">
        <v>45810</v>
      </c>
      <c r="B1793" t="s">
        <v>1876</v>
      </c>
      <c r="F1793">
        <v>1</v>
      </c>
      <c r="G1793" t="s">
        <v>79</v>
      </c>
      <c r="H1793" t="s">
        <v>21</v>
      </c>
      <c r="L1793" t="s">
        <v>89</v>
      </c>
    </row>
    <row r="1794" spans="1:13">
      <c r="A1794">
        <v>45810</v>
      </c>
      <c r="B1794" t="s">
        <v>1877</v>
      </c>
      <c r="F1794">
        <v>1</v>
      </c>
      <c r="G1794" t="s">
        <v>64</v>
      </c>
      <c r="L1794" t="s">
        <v>89</v>
      </c>
      <c r="M1794" t="s">
        <v>1866</v>
      </c>
    </row>
    <row r="1795" spans="1:13">
      <c r="A1795">
        <v>45810</v>
      </c>
      <c r="B1795" t="s">
        <v>1878</v>
      </c>
      <c r="D1795">
        <v>500</v>
      </c>
      <c r="F1795">
        <v>1</v>
      </c>
      <c r="G1795" t="s">
        <v>22</v>
      </c>
      <c r="H1795" t="s">
        <v>21</v>
      </c>
      <c r="I1795" t="s">
        <v>60</v>
      </c>
      <c r="J1795" t="s">
        <v>61</v>
      </c>
      <c r="L1795" t="s">
        <v>89</v>
      </c>
    </row>
    <row r="1796" spans="1:13">
      <c r="A1796">
        <v>45810</v>
      </c>
      <c r="B1796" t="s">
        <v>1879</v>
      </c>
      <c r="F1796">
        <v>1</v>
      </c>
      <c r="G1796" t="s">
        <v>79</v>
      </c>
      <c r="H1796" t="s">
        <v>21</v>
      </c>
      <c r="L1796" t="s">
        <v>89</v>
      </c>
    </row>
    <row r="1797" spans="1:13">
      <c r="A1797">
        <v>45810</v>
      </c>
      <c r="B1797" t="s">
        <v>1880</v>
      </c>
      <c r="D1797">
        <v>500</v>
      </c>
      <c r="F1797">
        <v>1</v>
      </c>
      <c r="G1797" t="s">
        <v>22</v>
      </c>
      <c r="H1797" t="s">
        <v>21</v>
      </c>
      <c r="I1797" t="s">
        <v>60</v>
      </c>
      <c r="J1797" t="s">
        <v>61</v>
      </c>
      <c r="L1797" t="s">
        <v>82</v>
      </c>
    </row>
    <row r="1798" spans="1:13">
      <c r="A1798">
        <v>45810</v>
      </c>
      <c r="B1798" t="s">
        <v>1881</v>
      </c>
      <c r="D1798">
        <v>500</v>
      </c>
      <c r="F1798">
        <v>1</v>
      </c>
      <c r="G1798" t="s">
        <v>22</v>
      </c>
      <c r="H1798" t="s">
        <v>21</v>
      </c>
      <c r="I1798" t="s">
        <v>60</v>
      </c>
      <c r="J1798" t="s">
        <v>61</v>
      </c>
      <c r="L1798" t="s">
        <v>82</v>
      </c>
    </row>
    <row r="1799" spans="1:13">
      <c r="A1799">
        <v>45810</v>
      </c>
      <c r="B1799" t="s">
        <v>1882</v>
      </c>
      <c r="F1799">
        <v>1</v>
      </c>
      <c r="G1799" t="s">
        <v>64</v>
      </c>
      <c r="L1799" t="s">
        <v>89</v>
      </c>
      <c r="M1799" t="s">
        <v>96</v>
      </c>
    </row>
    <row r="1800" spans="1:13">
      <c r="A1800">
        <v>45810</v>
      </c>
      <c r="B1800" t="s">
        <v>1883</v>
      </c>
      <c r="D1800">
        <v>500</v>
      </c>
      <c r="F1800">
        <v>1</v>
      </c>
      <c r="G1800" t="s">
        <v>22</v>
      </c>
      <c r="H1800" t="s">
        <v>21</v>
      </c>
      <c r="I1800" t="s">
        <v>60</v>
      </c>
      <c r="J1800" t="s">
        <v>61</v>
      </c>
      <c r="L1800" t="s">
        <v>82</v>
      </c>
    </row>
    <row r="1801" spans="1:13">
      <c r="A1801">
        <v>45810</v>
      </c>
      <c r="B1801" t="s">
        <v>1884</v>
      </c>
      <c r="D1801">
        <v>500</v>
      </c>
      <c r="F1801">
        <v>1</v>
      </c>
      <c r="G1801" t="s">
        <v>22</v>
      </c>
      <c r="H1801" t="s">
        <v>21</v>
      </c>
      <c r="I1801" t="s">
        <v>60</v>
      </c>
      <c r="J1801" t="s">
        <v>61</v>
      </c>
      <c r="L1801" t="s">
        <v>89</v>
      </c>
    </row>
    <row r="1802" spans="1:13">
      <c r="A1802">
        <v>45810</v>
      </c>
      <c r="B1802" t="s">
        <v>1885</v>
      </c>
      <c r="F1802">
        <v>1</v>
      </c>
      <c r="G1802" t="s">
        <v>590</v>
      </c>
      <c r="H1802" t="s">
        <v>21</v>
      </c>
      <c r="L1802" t="s">
        <v>82</v>
      </c>
    </row>
    <row r="1803" spans="1:13">
      <c r="A1803">
        <v>45810</v>
      </c>
      <c r="B1803" t="s">
        <v>1886</v>
      </c>
      <c r="F1803">
        <v>1</v>
      </c>
      <c r="G1803" t="s">
        <v>590</v>
      </c>
      <c r="H1803" t="s">
        <v>21</v>
      </c>
      <c r="L1803" t="s">
        <v>82</v>
      </c>
    </row>
    <row r="1804" spans="1:13">
      <c r="A1804">
        <v>45810</v>
      </c>
      <c r="B1804" t="s">
        <v>1887</v>
      </c>
      <c r="F1804">
        <v>1</v>
      </c>
      <c r="G1804" t="s">
        <v>590</v>
      </c>
      <c r="H1804" t="s">
        <v>21</v>
      </c>
      <c r="L1804" t="s">
        <v>82</v>
      </c>
    </row>
    <row r="1805" spans="1:13">
      <c r="A1805">
        <v>45810</v>
      </c>
      <c r="B1805" t="s">
        <v>63</v>
      </c>
      <c r="D1805">
        <v>29500</v>
      </c>
      <c r="G1805" t="s">
        <v>70</v>
      </c>
      <c r="I1805" t="s">
        <v>60</v>
      </c>
      <c r="J1805" t="s">
        <v>61</v>
      </c>
      <c r="L1805" t="s">
        <v>62</v>
      </c>
    </row>
    <row r="1806" spans="1:13">
      <c r="A1806">
        <v>45810</v>
      </c>
      <c r="B1806" t="s">
        <v>1888</v>
      </c>
      <c r="F1806">
        <v>1</v>
      </c>
      <c r="G1806" t="s">
        <v>1889</v>
      </c>
      <c r="L1806" t="s">
        <v>89</v>
      </c>
    </row>
    <row r="1807" spans="1:13">
      <c r="A1807">
        <v>45810</v>
      </c>
      <c r="B1807" t="s">
        <v>1890</v>
      </c>
      <c r="F1807">
        <v>1</v>
      </c>
      <c r="G1807" t="s">
        <v>1889</v>
      </c>
      <c r="L1807" t="s">
        <v>86</v>
      </c>
    </row>
    <row r="1808" spans="1:13">
      <c r="A1808">
        <v>45811</v>
      </c>
      <c r="B1808" t="s">
        <v>81</v>
      </c>
      <c r="D1808">
        <v>256000</v>
      </c>
      <c r="F1808">
        <v>1</v>
      </c>
      <c r="G1808" t="s">
        <v>74</v>
      </c>
      <c r="H1808" t="s">
        <v>75</v>
      </c>
      <c r="I1808" t="s">
        <v>60</v>
      </c>
      <c r="J1808" t="s">
        <v>61</v>
      </c>
      <c r="L1808" t="s">
        <v>88</v>
      </c>
      <c r="M1808" t="s">
        <v>955</v>
      </c>
    </row>
    <row r="1809" spans="1:13">
      <c r="A1809">
        <v>45811</v>
      </c>
      <c r="B1809" t="s">
        <v>624</v>
      </c>
      <c r="D1809">
        <v>-104000</v>
      </c>
      <c r="G1809" t="s">
        <v>77</v>
      </c>
      <c r="I1809" t="s">
        <v>60</v>
      </c>
      <c r="J1809" t="s">
        <v>61</v>
      </c>
      <c r="L1809" t="s">
        <v>62</v>
      </c>
    </row>
    <row r="1810" spans="1:13">
      <c r="A1810">
        <v>45811</v>
      </c>
      <c r="B1810" t="s">
        <v>624</v>
      </c>
      <c r="E1810">
        <v>-5500</v>
      </c>
      <c r="G1810" t="s">
        <v>65</v>
      </c>
      <c r="H1810" t="s">
        <v>85</v>
      </c>
      <c r="I1810" t="s">
        <v>60</v>
      </c>
      <c r="J1810" t="s">
        <v>61</v>
      </c>
      <c r="L1810" t="s">
        <v>62</v>
      </c>
    </row>
    <row r="1811" spans="1:13">
      <c r="A1811">
        <v>45811</v>
      </c>
      <c r="B1811" t="s">
        <v>76</v>
      </c>
      <c r="D1811">
        <v>47500</v>
      </c>
      <c r="G1811" t="s">
        <v>77</v>
      </c>
      <c r="I1811" t="s">
        <v>60</v>
      </c>
      <c r="J1811" t="s">
        <v>61</v>
      </c>
      <c r="L1811" t="s">
        <v>62</v>
      </c>
    </row>
    <row r="1812" spans="1:13">
      <c r="A1812">
        <v>45811</v>
      </c>
      <c r="B1812" t="s">
        <v>1891</v>
      </c>
      <c r="F1812">
        <v>1</v>
      </c>
      <c r="G1812" t="s">
        <v>79</v>
      </c>
      <c r="H1812" t="s">
        <v>21</v>
      </c>
      <c r="L1812" t="s">
        <v>89</v>
      </c>
    </row>
    <row r="1813" spans="1:13">
      <c r="A1813">
        <v>45811</v>
      </c>
      <c r="B1813" t="s">
        <v>1892</v>
      </c>
      <c r="D1813">
        <v>500</v>
      </c>
      <c r="F1813">
        <v>1</v>
      </c>
      <c r="G1813" t="s">
        <v>22</v>
      </c>
      <c r="H1813" t="s">
        <v>21</v>
      </c>
      <c r="I1813" t="s">
        <v>60</v>
      </c>
      <c r="J1813" t="s">
        <v>61</v>
      </c>
      <c r="L1813" t="s">
        <v>82</v>
      </c>
    </row>
    <row r="1814" spans="1:13">
      <c r="A1814">
        <v>45811</v>
      </c>
      <c r="B1814" t="s">
        <v>1893</v>
      </c>
      <c r="D1814">
        <v>500</v>
      </c>
      <c r="F1814">
        <v>1</v>
      </c>
      <c r="G1814" t="s">
        <v>22</v>
      </c>
      <c r="H1814" t="s">
        <v>21</v>
      </c>
      <c r="I1814" t="s">
        <v>60</v>
      </c>
      <c r="J1814" t="s">
        <v>61</v>
      </c>
      <c r="L1814" t="s">
        <v>82</v>
      </c>
    </row>
    <row r="1815" spans="1:13">
      <c r="A1815">
        <v>45811</v>
      </c>
      <c r="B1815" t="s">
        <v>1894</v>
      </c>
      <c r="D1815">
        <v>500</v>
      </c>
      <c r="F1815">
        <v>1</v>
      </c>
      <c r="G1815" t="s">
        <v>22</v>
      </c>
      <c r="H1815" t="s">
        <v>21</v>
      </c>
      <c r="I1815" t="s">
        <v>60</v>
      </c>
      <c r="J1815" t="s">
        <v>61</v>
      </c>
      <c r="L1815" t="s">
        <v>82</v>
      </c>
    </row>
    <row r="1816" spans="1:13">
      <c r="A1816">
        <v>45811</v>
      </c>
      <c r="B1816" t="s">
        <v>1895</v>
      </c>
      <c r="F1816">
        <v>1</v>
      </c>
      <c r="G1816" t="s">
        <v>1889</v>
      </c>
      <c r="L1816" t="s">
        <v>89</v>
      </c>
    </row>
    <row r="1817" spans="1:13">
      <c r="A1817">
        <v>45812</v>
      </c>
      <c r="B1817" t="s">
        <v>81</v>
      </c>
      <c r="D1817">
        <v>101000</v>
      </c>
      <c r="F1817">
        <v>1</v>
      </c>
      <c r="G1817" t="s">
        <v>74</v>
      </c>
      <c r="H1817" t="s">
        <v>75</v>
      </c>
      <c r="I1817" t="s">
        <v>60</v>
      </c>
      <c r="J1817" t="s">
        <v>61</v>
      </c>
      <c r="L1817" t="s">
        <v>88</v>
      </c>
      <c r="M1817" t="s">
        <v>955</v>
      </c>
    </row>
    <row r="1818" spans="1:13">
      <c r="A1818">
        <v>45812</v>
      </c>
      <c r="B1818" t="s">
        <v>1896</v>
      </c>
      <c r="D1818">
        <v>500</v>
      </c>
      <c r="F1818">
        <v>1</v>
      </c>
      <c r="G1818" t="s">
        <v>22</v>
      </c>
      <c r="H1818" t="s">
        <v>21</v>
      </c>
      <c r="I1818" t="s">
        <v>60</v>
      </c>
      <c r="J1818" t="s">
        <v>61</v>
      </c>
      <c r="L1818" t="s">
        <v>86</v>
      </c>
    </row>
    <row r="1819" spans="1:13">
      <c r="A1819">
        <v>45812</v>
      </c>
      <c r="B1819" t="s">
        <v>1896</v>
      </c>
      <c r="F1819">
        <v>1</v>
      </c>
      <c r="G1819" t="s">
        <v>64</v>
      </c>
      <c r="L1819" t="s">
        <v>86</v>
      </c>
      <c r="M1819" t="s">
        <v>1159</v>
      </c>
    </row>
    <row r="1820" spans="1:13">
      <c r="A1820">
        <v>45812</v>
      </c>
      <c r="B1820" t="s">
        <v>1897</v>
      </c>
      <c r="D1820">
        <v>500</v>
      </c>
      <c r="F1820">
        <v>1</v>
      </c>
      <c r="G1820" t="s">
        <v>22</v>
      </c>
      <c r="H1820" t="s">
        <v>21</v>
      </c>
      <c r="I1820" t="s">
        <v>60</v>
      </c>
      <c r="J1820" t="s">
        <v>61</v>
      </c>
      <c r="L1820" t="s">
        <v>86</v>
      </c>
    </row>
    <row r="1821" spans="1:13">
      <c r="A1821">
        <v>45812</v>
      </c>
      <c r="B1821" t="s">
        <v>546</v>
      </c>
      <c r="F1821">
        <v>-12</v>
      </c>
      <c r="G1821" t="s">
        <v>22</v>
      </c>
      <c r="H1821" t="s">
        <v>93</v>
      </c>
      <c r="L1821" t="s">
        <v>101</v>
      </c>
    </row>
    <row r="1822" spans="1:13">
      <c r="A1822">
        <v>45812</v>
      </c>
      <c r="B1822" t="s">
        <v>63</v>
      </c>
      <c r="D1822">
        <v>23500</v>
      </c>
      <c r="G1822" t="s">
        <v>70</v>
      </c>
      <c r="I1822" t="s">
        <v>60</v>
      </c>
      <c r="J1822" t="s">
        <v>61</v>
      </c>
      <c r="L1822" t="s">
        <v>62</v>
      </c>
    </row>
    <row r="1823" spans="1:13">
      <c r="A1823">
        <v>45812</v>
      </c>
      <c r="B1823" t="s">
        <v>81</v>
      </c>
      <c r="E1823">
        <v>10500</v>
      </c>
      <c r="F1823">
        <v>1</v>
      </c>
      <c r="G1823" t="s">
        <v>74</v>
      </c>
      <c r="H1823" t="s">
        <v>75</v>
      </c>
      <c r="I1823" t="s">
        <v>60</v>
      </c>
      <c r="J1823" t="s">
        <v>61</v>
      </c>
      <c r="K1823" t="s">
        <v>111</v>
      </c>
      <c r="L1823" t="s">
        <v>87</v>
      </c>
      <c r="M1823" t="s">
        <v>92</v>
      </c>
    </row>
    <row r="1824" spans="1:13">
      <c r="A1824">
        <v>45812</v>
      </c>
      <c r="B1824" t="s">
        <v>1898</v>
      </c>
      <c r="D1824">
        <v>500</v>
      </c>
      <c r="F1824">
        <v>1</v>
      </c>
      <c r="G1824" t="s">
        <v>22</v>
      </c>
      <c r="H1824" t="s">
        <v>21</v>
      </c>
      <c r="I1824" t="s">
        <v>60</v>
      </c>
      <c r="J1824" t="s">
        <v>61</v>
      </c>
      <c r="L1824" t="s">
        <v>82</v>
      </c>
    </row>
    <row r="1825" spans="1:13">
      <c r="A1825">
        <v>45812</v>
      </c>
      <c r="B1825" t="s">
        <v>1899</v>
      </c>
      <c r="F1825">
        <v>1</v>
      </c>
      <c r="G1825" t="s">
        <v>79</v>
      </c>
      <c r="H1825" t="s">
        <v>21</v>
      </c>
      <c r="L1825" t="s">
        <v>82</v>
      </c>
    </row>
    <row r="1826" spans="1:13">
      <c r="A1826">
        <v>45812</v>
      </c>
      <c r="B1826" t="s">
        <v>1900</v>
      </c>
      <c r="D1826">
        <v>500</v>
      </c>
      <c r="F1826">
        <v>1</v>
      </c>
      <c r="G1826" t="s">
        <v>22</v>
      </c>
      <c r="H1826" t="s">
        <v>21</v>
      </c>
      <c r="I1826" t="s">
        <v>60</v>
      </c>
      <c r="J1826" t="s">
        <v>61</v>
      </c>
      <c r="L1826" t="s">
        <v>82</v>
      </c>
    </row>
    <row r="1827" spans="1:13">
      <c r="A1827">
        <v>45812</v>
      </c>
      <c r="B1827" t="s">
        <v>1901</v>
      </c>
      <c r="F1827">
        <v>1</v>
      </c>
      <c r="G1827" t="s">
        <v>1889</v>
      </c>
      <c r="L1827" t="s">
        <v>82</v>
      </c>
    </row>
    <row r="1828" spans="1:13">
      <c r="A1828">
        <v>45812</v>
      </c>
      <c r="B1828" t="s">
        <v>1901</v>
      </c>
      <c r="F1828">
        <v>1</v>
      </c>
      <c r="G1828" t="s">
        <v>1889</v>
      </c>
      <c r="L1828" t="s">
        <v>82</v>
      </c>
    </row>
    <row r="1829" spans="1:13">
      <c r="A1829">
        <v>45813</v>
      </c>
      <c r="B1829" t="s">
        <v>81</v>
      </c>
      <c r="D1829">
        <v>131000</v>
      </c>
      <c r="F1829">
        <v>1</v>
      </c>
      <c r="G1829" t="s">
        <v>74</v>
      </c>
      <c r="H1829" t="s">
        <v>75</v>
      </c>
      <c r="I1829" t="s">
        <v>60</v>
      </c>
      <c r="J1829" t="s">
        <v>61</v>
      </c>
      <c r="L1829" t="s">
        <v>88</v>
      </c>
    </row>
    <row r="1830" spans="1:13">
      <c r="A1830">
        <v>45813</v>
      </c>
      <c r="B1830" t="s">
        <v>1902</v>
      </c>
      <c r="F1830">
        <v>1</v>
      </c>
      <c r="G1830" t="s">
        <v>64</v>
      </c>
      <c r="L1830" t="s">
        <v>89</v>
      </c>
      <c r="M1830" t="s">
        <v>1789</v>
      </c>
    </row>
    <row r="1831" spans="1:13">
      <c r="A1831">
        <v>45813</v>
      </c>
      <c r="B1831" t="s">
        <v>1903</v>
      </c>
      <c r="D1831">
        <v>500</v>
      </c>
      <c r="F1831">
        <v>1</v>
      </c>
      <c r="G1831" t="s">
        <v>22</v>
      </c>
      <c r="H1831" t="s">
        <v>21</v>
      </c>
      <c r="I1831" t="s">
        <v>60</v>
      </c>
      <c r="J1831" t="s">
        <v>61</v>
      </c>
      <c r="L1831" t="s">
        <v>89</v>
      </c>
    </row>
    <row r="1832" spans="1:13">
      <c r="A1832">
        <v>45813</v>
      </c>
      <c r="B1832" t="s">
        <v>63</v>
      </c>
      <c r="D1832">
        <v>4500</v>
      </c>
      <c r="G1832" t="s">
        <v>70</v>
      </c>
      <c r="I1832" t="s">
        <v>60</v>
      </c>
      <c r="J1832" t="s">
        <v>61</v>
      </c>
      <c r="L1832" t="s">
        <v>62</v>
      </c>
    </row>
    <row r="1833" spans="1:13">
      <c r="A1833">
        <v>45813</v>
      </c>
      <c r="B1833" t="s">
        <v>63</v>
      </c>
      <c r="D1833">
        <v>7500</v>
      </c>
      <c r="F1833">
        <v>1</v>
      </c>
      <c r="G1833" t="s">
        <v>70</v>
      </c>
      <c r="I1833" t="s">
        <v>71</v>
      </c>
      <c r="J1833" t="s">
        <v>72</v>
      </c>
      <c r="K1833" t="s">
        <v>1904</v>
      </c>
      <c r="L1833" t="s">
        <v>62</v>
      </c>
      <c r="M1833" t="s">
        <v>90</v>
      </c>
    </row>
    <row r="1834" spans="1:13">
      <c r="A1834">
        <v>45813</v>
      </c>
      <c r="B1834" t="s">
        <v>1905</v>
      </c>
      <c r="F1834">
        <v>2</v>
      </c>
      <c r="G1834" t="s">
        <v>319</v>
      </c>
      <c r="H1834" t="s">
        <v>21</v>
      </c>
      <c r="L1834" t="s">
        <v>86</v>
      </c>
    </row>
    <row r="1835" spans="1:13">
      <c r="A1835">
        <v>45813</v>
      </c>
      <c r="B1835" t="s">
        <v>1906</v>
      </c>
      <c r="F1835">
        <v>1</v>
      </c>
      <c r="G1835" t="s">
        <v>377</v>
      </c>
      <c r="H1835" t="s">
        <v>21</v>
      </c>
      <c r="L1835" t="s">
        <v>89</v>
      </c>
    </row>
    <row r="1836" spans="1:13">
      <c r="A1836">
        <v>45813</v>
      </c>
      <c r="B1836" t="s">
        <v>1907</v>
      </c>
      <c r="F1836">
        <v>1</v>
      </c>
      <c r="G1836" t="s">
        <v>79</v>
      </c>
      <c r="H1836" t="s">
        <v>21</v>
      </c>
      <c r="L1836" t="s">
        <v>86</v>
      </c>
    </row>
    <row r="1837" spans="1:13">
      <c r="A1837">
        <v>45813</v>
      </c>
      <c r="B1837" t="s">
        <v>76</v>
      </c>
      <c r="D1837">
        <v>7500</v>
      </c>
      <c r="G1837" t="s">
        <v>77</v>
      </c>
      <c r="I1837" t="s">
        <v>60</v>
      </c>
      <c r="J1837" t="s">
        <v>61</v>
      </c>
      <c r="L1837" t="s">
        <v>62</v>
      </c>
    </row>
    <row r="1838" spans="1:13">
      <c r="A1838">
        <v>45813</v>
      </c>
      <c r="B1838" t="s">
        <v>63</v>
      </c>
      <c r="D1838">
        <v>300</v>
      </c>
      <c r="F1838">
        <v>3</v>
      </c>
      <c r="G1838" t="s">
        <v>22</v>
      </c>
      <c r="H1838" t="s">
        <v>93</v>
      </c>
      <c r="I1838" t="s">
        <v>60</v>
      </c>
      <c r="J1838" t="s">
        <v>61</v>
      </c>
      <c r="L1838" t="s">
        <v>62</v>
      </c>
    </row>
    <row r="1839" spans="1:13">
      <c r="A1839">
        <v>45814</v>
      </c>
      <c r="B1839" t="s">
        <v>81</v>
      </c>
      <c r="D1839">
        <v>147600</v>
      </c>
      <c r="F1839">
        <v>1</v>
      </c>
      <c r="G1839" t="s">
        <v>74</v>
      </c>
      <c r="H1839" t="s">
        <v>75</v>
      </c>
      <c r="I1839" t="s">
        <v>60</v>
      </c>
      <c r="J1839" t="s">
        <v>61</v>
      </c>
      <c r="L1839" t="s">
        <v>88</v>
      </c>
    </row>
    <row r="1840" spans="1:13">
      <c r="A1840">
        <v>45814</v>
      </c>
      <c r="B1840" t="s">
        <v>1908</v>
      </c>
      <c r="F1840">
        <v>1</v>
      </c>
      <c r="G1840" t="s">
        <v>319</v>
      </c>
      <c r="H1840" t="s">
        <v>21</v>
      </c>
      <c r="L1840" t="s">
        <v>89</v>
      </c>
    </row>
    <row r="1841" spans="1:13">
      <c r="A1841">
        <v>45814</v>
      </c>
      <c r="B1841" t="s">
        <v>1909</v>
      </c>
      <c r="F1841">
        <v>1</v>
      </c>
      <c r="G1841" t="s">
        <v>319</v>
      </c>
      <c r="H1841" t="s">
        <v>21</v>
      </c>
      <c r="L1841" t="s">
        <v>89</v>
      </c>
    </row>
    <row r="1842" spans="1:13">
      <c r="A1842">
        <v>45814</v>
      </c>
      <c r="B1842" t="s">
        <v>1910</v>
      </c>
      <c r="F1842">
        <v>1</v>
      </c>
      <c r="G1842" t="s">
        <v>319</v>
      </c>
      <c r="H1842" t="s">
        <v>21</v>
      </c>
      <c r="L1842" t="s">
        <v>89</v>
      </c>
    </row>
    <row r="1843" spans="1:13">
      <c r="A1843">
        <v>45814</v>
      </c>
      <c r="B1843" t="s">
        <v>1911</v>
      </c>
      <c r="D1843">
        <v>500</v>
      </c>
      <c r="F1843">
        <v>1</v>
      </c>
      <c r="G1843" t="s">
        <v>22</v>
      </c>
      <c r="H1843" t="s">
        <v>21</v>
      </c>
      <c r="I1843" t="s">
        <v>60</v>
      </c>
      <c r="J1843" t="s">
        <v>61</v>
      </c>
      <c r="L1843" t="s">
        <v>89</v>
      </c>
    </row>
    <row r="1844" spans="1:13">
      <c r="A1844">
        <v>45814</v>
      </c>
      <c r="B1844" t="s">
        <v>1912</v>
      </c>
      <c r="F1844">
        <v>1</v>
      </c>
      <c r="G1844" t="s">
        <v>377</v>
      </c>
      <c r="H1844" t="s">
        <v>21</v>
      </c>
      <c r="L1844" t="s">
        <v>82</v>
      </c>
    </row>
    <row r="1845" spans="1:13">
      <c r="A1845">
        <v>45814</v>
      </c>
      <c r="B1845" t="s">
        <v>1912</v>
      </c>
      <c r="D1845">
        <v>0</v>
      </c>
      <c r="F1845">
        <v>1</v>
      </c>
      <c r="G1845" t="s">
        <v>22</v>
      </c>
      <c r="H1845" t="s">
        <v>21</v>
      </c>
      <c r="I1845" t="s">
        <v>60</v>
      </c>
      <c r="J1845" t="s">
        <v>61</v>
      </c>
      <c r="L1845" t="s">
        <v>82</v>
      </c>
      <c r="M1845" t="s">
        <v>83</v>
      </c>
    </row>
    <row r="1846" spans="1:13">
      <c r="A1846">
        <v>45814</v>
      </c>
      <c r="B1846" t="s">
        <v>1913</v>
      </c>
      <c r="D1846">
        <v>500</v>
      </c>
      <c r="F1846">
        <v>1</v>
      </c>
      <c r="G1846" t="s">
        <v>22</v>
      </c>
      <c r="H1846" t="s">
        <v>21</v>
      </c>
      <c r="I1846" t="s">
        <v>60</v>
      </c>
      <c r="J1846" t="s">
        <v>61</v>
      </c>
      <c r="L1846" t="s">
        <v>82</v>
      </c>
    </row>
    <row r="1847" spans="1:13">
      <c r="A1847">
        <v>45814</v>
      </c>
      <c r="B1847" t="s">
        <v>1914</v>
      </c>
      <c r="D1847">
        <v>500</v>
      </c>
      <c r="F1847">
        <v>1</v>
      </c>
      <c r="G1847" t="s">
        <v>22</v>
      </c>
      <c r="H1847" t="s">
        <v>21</v>
      </c>
      <c r="I1847" t="s">
        <v>60</v>
      </c>
      <c r="J1847" t="s">
        <v>61</v>
      </c>
      <c r="L1847" t="s">
        <v>82</v>
      </c>
    </row>
    <row r="1848" spans="1:13">
      <c r="A1848">
        <v>45814</v>
      </c>
      <c r="B1848" t="s">
        <v>1915</v>
      </c>
      <c r="D1848">
        <v>500</v>
      </c>
      <c r="F1848">
        <v>1</v>
      </c>
      <c r="G1848" t="s">
        <v>22</v>
      </c>
      <c r="H1848" t="s">
        <v>21</v>
      </c>
      <c r="I1848" t="s">
        <v>60</v>
      </c>
      <c r="J1848" t="s">
        <v>61</v>
      </c>
      <c r="L1848" t="s">
        <v>82</v>
      </c>
    </row>
    <row r="1849" spans="1:13">
      <c r="A1849">
        <v>45814</v>
      </c>
      <c r="B1849" t="s">
        <v>248</v>
      </c>
      <c r="E1849">
        <v>24333.012299999999</v>
      </c>
      <c r="F1849">
        <v>1</v>
      </c>
      <c r="G1849" t="s">
        <v>65</v>
      </c>
      <c r="H1849" t="s">
        <v>348</v>
      </c>
      <c r="I1849" t="s">
        <v>60</v>
      </c>
      <c r="J1849" t="s">
        <v>61</v>
      </c>
      <c r="L1849" t="s">
        <v>62</v>
      </c>
    </row>
    <row r="1850" spans="1:13">
      <c r="A1850">
        <v>45815</v>
      </c>
      <c r="B1850" t="s">
        <v>559</v>
      </c>
      <c r="E1850">
        <v>10000</v>
      </c>
      <c r="F1850">
        <v>1</v>
      </c>
      <c r="G1850" t="s">
        <v>65</v>
      </c>
      <c r="H1850" t="s">
        <v>560</v>
      </c>
      <c r="I1850" t="s">
        <v>60</v>
      </c>
      <c r="J1850" t="s">
        <v>61</v>
      </c>
      <c r="L1850" t="s">
        <v>62</v>
      </c>
    </row>
    <row r="1851" spans="1:13">
      <c r="A1851">
        <v>45815</v>
      </c>
      <c r="B1851" t="s">
        <v>561</v>
      </c>
      <c r="E1851">
        <v>10000</v>
      </c>
      <c r="F1851">
        <v>1</v>
      </c>
      <c r="G1851" t="s">
        <v>65</v>
      </c>
      <c r="H1851" t="s">
        <v>560</v>
      </c>
      <c r="I1851" t="s">
        <v>60</v>
      </c>
      <c r="J1851" t="s">
        <v>61</v>
      </c>
      <c r="L1851" t="s">
        <v>62</v>
      </c>
    </row>
    <row r="1852" spans="1:13">
      <c r="A1852">
        <v>45815</v>
      </c>
      <c r="B1852" t="s">
        <v>1916</v>
      </c>
      <c r="F1852">
        <v>1</v>
      </c>
      <c r="G1852" t="s">
        <v>79</v>
      </c>
      <c r="H1852" t="s">
        <v>21</v>
      </c>
      <c r="L1852" t="s">
        <v>82</v>
      </c>
    </row>
    <row r="1853" spans="1:13">
      <c r="A1853">
        <v>45815</v>
      </c>
      <c r="B1853" t="s">
        <v>1917</v>
      </c>
      <c r="F1853">
        <v>1</v>
      </c>
      <c r="G1853" t="s">
        <v>79</v>
      </c>
      <c r="H1853" t="s">
        <v>21</v>
      </c>
      <c r="L1853" t="s">
        <v>82</v>
      </c>
    </row>
    <row r="1854" spans="1:13">
      <c r="A1854">
        <v>45815</v>
      </c>
      <c r="B1854" t="s">
        <v>1918</v>
      </c>
      <c r="F1854">
        <v>1</v>
      </c>
      <c r="G1854" t="s">
        <v>79</v>
      </c>
      <c r="H1854" t="s">
        <v>21</v>
      </c>
      <c r="L1854" t="s">
        <v>86</v>
      </c>
    </row>
    <row r="1855" spans="1:13">
      <c r="A1855">
        <v>45815</v>
      </c>
      <c r="B1855" t="s">
        <v>1919</v>
      </c>
      <c r="D1855">
        <v>500</v>
      </c>
      <c r="F1855">
        <v>1</v>
      </c>
      <c r="G1855" t="s">
        <v>22</v>
      </c>
      <c r="H1855" t="s">
        <v>21</v>
      </c>
      <c r="I1855" t="s">
        <v>60</v>
      </c>
      <c r="J1855" t="s">
        <v>61</v>
      </c>
      <c r="L1855" t="s">
        <v>62</v>
      </c>
    </row>
    <row r="1856" spans="1:13">
      <c r="A1856">
        <v>45815</v>
      </c>
      <c r="B1856" t="s">
        <v>1920</v>
      </c>
      <c r="D1856">
        <v>500</v>
      </c>
      <c r="F1856">
        <v>1</v>
      </c>
      <c r="G1856" t="s">
        <v>22</v>
      </c>
      <c r="H1856" t="s">
        <v>21</v>
      </c>
      <c r="I1856" t="s">
        <v>60</v>
      </c>
      <c r="J1856" t="s">
        <v>61</v>
      </c>
      <c r="L1856" t="s">
        <v>62</v>
      </c>
    </row>
    <row r="1857" spans="1:13">
      <c r="A1857">
        <v>45815</v>
      </c>
      <c r="B1857" t="s">
        <v>63</v>
      </c>
      <c r="D1857">
        <v>10500</v>
      </c>
      <c r="F1857">
        <v>2</v>
      </c>
      <c r="G1857" t="s">
        <v>70</v>
      </c>
      <c r="I1857" t="s">
        <v>71</v>
      </c>
      <c r="J1857" t="s">
        <v>72</v>
      </c>
      <c r="K1857" t="s">
        <v>1921</v>
      </c>
      <c r="L1857" t="s">
        <v>62</v>
      </c>
      <c r="M1857" t="s">
        <v>1532</v>
      </c>
    </row>
    <row r="1858" spans="1:13">
      <c r="A1858">
        <v>45815</v>
      </c>
      <c r="B1858" t="s">
        <v>63</v>
      </c>
      <c r="D1858">
        <v>61000</v>
      </c>
      <c r="G1858" t="s">
        <v>70</v>
      </c>
      <c r="I1858" t="s">
        <v>60</v>
      </c>
      <c r="J1858" t="s">
        <v>61</v>
      </c>
      <c r="L1858" t="s">
        <v>62</v>
      </c>
    </row>
    <row r="1859" spans="1:13">
      <c r="A1859">
        <v>45815</v>
      </c>
      <c r="B1859" t="s">
        <v>1922</v>
      </c>
      <c r="D1859">
        <v>500</v>
      </c>
      <c r="F1859">
        <v>1</v>
      </c>
      <c r="G1859" t="s">
        <v>22</v>
      </c>
      <c r="H1859" t="s">
        <v>21</v>
      </c>
      <c r="I1859" t="s">
        <v>60</v>
      </c>
      <c r="J1859" t="s">
        <v>61</v>
      </c>
      <c r="L1859" t="s">
        <v>86</v>
      </c>
    </row>
    <row r="1860" spans="1:13">
      <c r="A1860">
        <v>45815</v>
      </c>
      <c r="B1860" t="s">
        <v>1923</v>
      </c>
      <c r="D1860">
        <v>500</v>
      </c>
      <c r="F1860">
        <v>1</v>
      </c>
      <c r="G1860" t="s">
        <v>22</v>
      </c>
      <c r="H1860" t="s">
        <v>21</v>
      </c>
      <c r="I1860" t="s">
        <v>60</v>
      </c>
      <c r="J1860" t="s">
        <v>61</v>
      </c>
      <c r="L1860" t="s">
        <v>86</v>
      </c>
    </row>
    <row r="1861" spans="1:13">
      <c r="A1861">
        <v>45815</v>
      </c>
      <c r="B1861" t="s">
        <v>1924</v>
      </c>
      <c r="F1861">
        <v>1</v>
      </c>
      <c r="G1861" t="s">
        <v>64</v>
      </c>
      <c r="L1861" t="s">
        <v>86</v>
      </c>
      <c r="M1861" t="s">
        <v>96</v>
      </c>
    </row>
    <row r="1862" spans="1:13">
      <c r="A1862">
        <v>45815</v>
      </c>
      <c r="B1862" t="s">
        <v>76</v>
      </c>
      <c r="D1862">
        <v>3000</v>
      </c>
      <c r="G1862" t="s">
        <v>77</v>
      </c>
      <c r="I1862" t="s">
        <v>60</v>
      </c>
      <c r="J1862" t="s">
        <v>61</v>
      </c>
      <c r="L1862" t="s">
        <v>62</v>
      </c>
    </row>
    <row r="1863" spans="1:13">
      <c r="A1863">
        <v>45815</v>
      </c>
      <c r="B1863" t="s">
        <v>1925</v>
      </c>
      <c r="F1863">
        <v>1</v>
      </c>
      <c r="G1863" t="s">
        <v>64</v>
      </c>
      <c r="L1863" t="s">
        <v>86</v>
      </c>
      <c r="M1863" t="s">
        <v>96</v>
      </c>
    </row>
    <row r="1864" spans="1:13">
      <c r="A1864">
        <v>45815</v>
      </c>
      <c r="B1864" t="s">
        <v>81</v>
      </c>
      <c r="E1864">
        <v>32000</v>
      </c>
      <c r="F1864">
        <v>1</v>
      </c>
      <c r="G1864" t="s">
        <v>74</v>
      </c>
      <c r="H1864" t="s">
        <v>75</v>
      </c>
      <c r="I1864" t="s">
        <v>60</v>
      </c>
      <c r="J1864" t="s">
        <v>61</v>
      </c>
      <c r="K1864" t="s">
        <v>1926</v>
      </c>
      <c r="L1864" t="s">
        <v>87</v>
      </c>
      <c r="M1864" t="s">
        <v>1927</v>
      </c>
    </row>
    <row r="1865" spans="1:13">
      <c r="A1865">
        <v>45816</v>
      </c>
      <c r="B1865" t="s">
        <v>63</v>
      </c>
      <c r="D1865">
        <v>16500</v>
      </c>
      <c r="G1865" t="s">
        <v>70</v>
      </c>
      <c r="I1865" t="s">
        <v>60</v>
      </c>
      <c r="J1865" t="s">
        <v>61</v>
      </c>
      <c r="L1865" t="s">
        <v>62</v>
      </c>
    </row>
    <row r="1866" spans="1:13">
      <c r="A1866">
        <v>45816</v>
      </c>
      <c r="B1866" t="s">
        <v>1928</v>
      </c>
      <c r="F1866">
        <v>1</v>
      </c>
      <c r="G1866" t="s">
        <v>64</v>
      </c>
      <c r="L1866" t="s">
        <v>86</v>
      </c>
      <c r="M1866" t="s">
        <v>1929</v>
      </c>
    </row>
    <row r="1867" spans="1:13">
      <c r="A1867">
        <v>45816</v>
      </c>
      <c r="B1867" t="s">
        <v>1930</v>
      </c>
      <c r="D1867">
        <v>500</v>
      </c>
      <c r="F1867">
        <v>1</v>
      </c>
      <c r="G1867" t="s">
        <v>22</v>
      </c>
      <c r="H1867" t="s">
        <v>21</v>
      </c>
      <c r="I1867" t="s">
        <v>60</v>
      </c>
      <c r="J1867" t="s">
        <v>61</v>
      </c>
      <c r="L1867" t="s">
        <v>86</v>
      </c>
    </row>
    <row r="1868" spans="1:13">
      <c r="A1868">
        <v>45816</v>
      </c>
      <c r="B1868" t="s">
        <v>1931</v>
      </c>
      <c r="D1868">
        <v>500</v>
      </c>
      <c r="F1868">
        <v>1</v>
      </c>
      <c r="G1868" t="s">
        <v>22</v>
      </c>
      <c r="H1868" t="s">
        <v>21</v>
      </c>
      <c r="I1868" t="s">
        <v>60</v>
      </c>
      <c r="J1868" t="s">
        <v>61</v>
      </c>
      <c r="L1868" t="s">
        <v>86</v>
      </c>
    </row>
    <row r="1869" spans="1:13">
      <c r="A1869">
        <v>45816</v>
      </c>
      <c r="B1869" t="s">
        <v>1932</v>
      </c>
      <c r="D1869">
        <v>500</v>
      </c>
      <c r="F1869">
        <v>1</v>
      </c>
      <c r="G1869" t="s">
        <v>22</v>
      </c>
      <c r="H1869" t="s">
        <v>21</v>
      </c>
      <c r="I1869" t="s">
        <v>60</v>
      </c>
      <c r="J1869" t="s">
        <v>61</v>
      </c>
      <c r="L1869" t="s">
        <v>86</v>
      </c>
    </row>
    <row r="1870" spans="1:13">
      <c r="A1870">
        <v>45816</v>
      </c>
      <c r="B1870" t="s">
        <v>63</v>
      </c>
      <c r="D1870">
        <v>200</v>
      </c>
      <c r="F1870">
        <v>2</v>
      </c>
      <c r="G1870" t="s">
        <v>22</v>
      </c>
      <c r="H1870" t="s">
        <v>93</v>
      </c>
      <c r="I1870" t="s">
        <v>60</v>
      </c>
      <c r="J1870" t="s">
        <v>61</v>
      </c>
      <c r="L1870" t="s">
        <v>62</v>
      </c>
    </row>
    <row r="1871" spans="1:13">
      <c r="A1871">
        <v>45816</v>
      </c>
      <c r="B1871" t="s">
        <v>76</v>
      </c>
      <c r="D1871">
        <v>7500</v>
      </c>
      <c r="G1871" t="s">
        <v>77</v>
      </c>
      <c r="I1871" t="s">
        <v>60</v>
      </c>
      <c r="J1871" t="s">
        <v>61</v>
      </c>
      <c r="L1871" t="s">
        <v>62</v>
      </c>
    </row>
    <row r="1872" spans="1:13">
      <c r="A1872">
        <v>45816</v>
      </c>
      <c r="B1872" t="s">
        <v>63</v>
      </c>
      <c r="D1872">
        <v>23000</v>
      </c>
      <c r="F1872">
        <v>3</v>
      </c>
      <c r="G1872" t="s">
        <v>70</v>
      </c>
      <c r="I1872" t="s">
        <v>71</v>
      </c>
      <c r="J1872" t="s">
        <v>72</v>
      </c>
      <c r="K1872" t="s">
        <v>1933</v>
      </c>
      <c r="L1872" t="s">
        <v>62</v>
      </c>
      <c r="M1872" t="s">
        <v>90</v>
      </c>
    </row>
    <row r="1873" spans="1:13">
      <c r="A1873">
        <v>45816</v>
      </c>
      <c r="B1873" t="s">
        <v>1934</v>
      </c>
      <c r="F1873">
        <v>1</v>
      </c>
      <c r="G1873" t="s">
        <v>64</v>
      </c>
      <c r="L1873" t="s">
        <v>89</v>
      </c>
      <c r="M1873" t="s">
        <v>1935</v>
      </c>
    </row>
    <row r="1874" spans="1:13">
      <c r="A1874">
        <v>45816</v>
      </c>
      <c r="B1874" t="s">
        <v>1936</v>
      </c>
      <c r="D1874">
        <v>500</v>
      </c>
      <c r="F1874">
        <v>1</v>
      </c>
      <c r="G1874" t="s">
        <v>22</v>
      </c>
      <c r="H1874" t="s">
        <v>21</v>
      </c>
      <c r="I1874" t="s">
        <v>60</v>
      </c>
      <c r="J1874" t="s">
        <v>61</v>
      </c>
      <c r="L1874" t="s">
        <v>89</v>
      </c>
    </row>
    <row r="1875" spans="1:13">
      <c r="A1875">
        <v>45816</v>
      </c>
      <c r="B1875" t="s">
        <v>1937</v>
      </c>
      <c r="D1875">
        <v>500</v>
      </c>
      <c r="F1875">
        <v>1</v>
      </c>
      <c r="G1875" t="s">
        <v>22</v>
      </c>
      <c r="H1875" t="s">
        <v>21</v>
      </c>
      <c r="I1875" t="s">
        <v>60</v>
      </c>
      <c r="J1875" t="s">
        <v>61</v>
      </c>
      <c r="L1875" t="s">
        <v>89</v>
      </c>
    </row>
    <row r="1876" spans="1:13">
      <c r="A1876">
        <v>45816</v>
      </c>
      <c r="B1876" t="s">
        <v>1938</v>
      </c>
      <c r="D1876">
        <v>500</v>
      </c>
      <c r="F1876">
        <v>1</v>
      </c>
      <c r="G1876" t="s">
        <v>22</v>
      </c>
      <c r="H1876" t="s">
        <v>21</v>
      </c>
      <c r="I1876" t="s">
        <v>60</v>
      </c>
      <c r="J1876" t="s">
        <v>61</v>
      </c>
      <c r="L1876" t="s">
        <v>89</v>
      </c>
    </row>
    <row r="1877" spans="1:13">
      <c r="A1877">
        <v>45816</v>
      </c>
      <c r="B1877" t="s">
        <v>1939</v>
      </c>
      <c r="F1877">
        <v>1</v>
      </c>
      <c r="G1877" t="s">
        <v>79</v>
      </c>
      <c r="H1877" t="s">
        <v>21</v>
      </c>
      <c r="L1877" t="s">
        <v>89</v>
      </c>
    </row>
    <row r="1878" spans="1:13">
      <c r="A1878">
        <v>45816</v>
      </c>
      <c r="B1878" t="s">
        <v>63</v>
      </c>
      <c r="D1878">
        <v>15500</v>
      </c>
      <c r="F1878">
        <v>1</v>
      </c>
      <c r="G1878" t="s">
        <v>70</v>
      </c>
      <c r="I1878" t="s">
        <v>71</v>
      </c>
      <c r="J1878" t="s">
        <v>535</v>
      </c>
      <c r="K1878" t="s">
        <v>1828</v>
      </c>
      <c r="L1878" t="s">
        <v>62</v>
      </c>
      <c r="M1878" t="s">
        <v>90</v>
      </c>
    </row>
    <row r="1879" spans="1:13">
      <c r="A1879">
        <v>45817</v>
      </c>
      <c r="B1879" t="s">
        <v>606</v>
      </c>
      <c r="E1879">
        <v>30000</v>
      </c>
      <c r="F1879">
        <v>1</v>
      </c>
      <c r="G1879" t="s">
        <v>65</v>
      </c>
      <c r="H1879" t="s">
        <v>348</v>
      </c>
      <c r="I1879" t="s">
        <v>60</v>
      </c>
      <c r="J1879" t="s">
        <v>61</v>
      </c>
      <c r="L1879" t="s">
        <v>62</v>
      </c>
      <c r="M1879" t="s">
        <v>1940</v>
      </c>
    </row>
    <row r="1880" spans="1:13">
      <c r="A1880">
        <v>45817</v>
      </c>
      <c r="B1880" t="s">
        <v>604</v>
      </c>
      <c r="E1880">
        <v>30000</v>
      </c>
      <c r="F1880">
        <v>1</v>
      </c>
      <c r="G1880" t="s">
        <v>65</v>
      </c>
      <c r="H1880" t="s">
        <v>348</v>
      </c>
      <c r="I1880" t="s">
        <v>60</v>
      </c>
      <c r="J1880" t="s">
        <v>61</v>
      </c>
      <c r="L1880" t="s">
        <v>62</v>
      </c>
      <c r="M1880" t="s">
        <v>1940</v>
      </c>
    </row>
    <row r="1881" spans="1:13">
      <c r="A1881">
        <v>45817</v>
      </c>
      <c r="B1881" t="s">
        <v>248</v>
      </c>
      <c r="E1881">
        <v>30000</v>
      </c>
      <c r="F1881">
        <v>1</v>
      </c>
      <c r="G1881" t="s">
        <v>65</v>
      </c>
      <c r="H1881" t="s">
        <v>348</v>
      </c>
      <c r="I1881" t="s">
        <v>60</v>
      </c>
      <c r="J1881" t="s">
        <v>61</v>
      </c>
      <c r="L1881" t="s">
        <v>62</v>
      </c>
      <c r="M1881" t="s">
        <v>1940</v>
      </c>
    </row>
    <row r="1882" spans="1:13">
      <c r="A1882">
        <v>45817</v>
      </c>
      <c r="B1882" t="s">
        <v>81</v>
      </c>
      <c r="D1882">
        <v>99000</v>
      </c>
      <c r="F1882">
        <v>1</v>
      </c>
      <c r="G1882" t="s">
        <v>74</v>
      </c>
      <c r="H1882" t="s">
        <v>75</v>
      </c>
      <c r="I1882" t="s">
        <v>60</v>
      </c>
      <c r="J1882" t="s">
        <v>61</v>
      </c>
      <c r="L1882" t="s">
        <v>88</v>
      </c>
    </row>
    <row r="1883" spans="1:13">
      <c r="A1883">
        <v>45817</v>
      </c>
      <c r="B1883" t="s">
        <v>1873</v>
      </c>
      <c r="C1883" t="s">
        <v>1941</v>
      </c>
      <c r="F1883">
        <v>5</v>
      </c>
      <c r="G1883" t="s">
        <v>22</v>
      </c>
      <c r="H1883" t="s">
        <v>21</v>
      </c>
      <c r="L1883" t="s">
        <v>95</v>
      </c>
    </row>
    <row r="1884" spans="1:13">
      <c r="A1884">
        <v>45817</v>
      </c>
      <c r="B1884" t="s">
        <v>1942</v>
      </c>
      <c r="D1884">
        <v>500</v>
      </c>
      <c r="F1884">
        <v>1</v>
      </c>
      <c r="G1884" t="s">
        <v>22</v>
      </c>
      <c r="H1884" t="s">
        <v>21</v>
      </c>
      <c r="I1884" t="s">
        <v>60</v>
      </c>
      <c r="J1884" t="s">
        <v>61</v>
      </c>
      <c r="L1884" t="s">
        <v>89</v>
      </c>
    </row>
    <row r="1885" spans="1:13">
      <c r="A1885">
        <v>45817</v>
      </c>
      <c r="B1885" t="s">
        <v>1943</v>
      </c>
      <c r="D1885">
        <v>500</v>
      </c>
      <c r="F1885">
        <v>1</v>
      </c>
      <c r="G1885" t="s">
        <v>22</v>
      </c>
      <c r="H1885" t="s">
        <v>21</v>
      </c>
      <c r="I1885" t="s">
        <v>60</v>
      </c>
      <c r="J1885" t="s">
        <v>61</v>
      </c>
      <c r="L1885" t="s">
        <v>89</v>
      </c>
    </row>
    <row r="1886" spans="1:13">
      <c r="A1886">
        <v>45817</v>
      </c>
      <c r="B1886" t="s">
        <v>1944</v>
      </c>
      <c r="D1886">
        <v>500</v>
      </c>
      <c r="F1886">
        <v>1</v>
      </c>
      <c r="G1886" t="s">
        <v>22</v>
      </c>
      <c r="H1886" t="s">
        <v>21</v>
      </c>
      <c r="I1886" t="s">
        <v>60</v>
      </c>
      <c r="J1886" t="s">
        <v>61</v>
      </c>
      <c r="L1886" t="s">
        <v>82</v>
      </c>
    </row>
    <row r="1887" spans="1:13">
      <c r="A1887">
        <v>45817</v>
      </c>
      <c r="B1887" t="s">
        <v>1915</v>
      </c>
      <c r="D1887">
        <v>500</v>
      </c>
      <c r="F1887">
        <v>1</v>
      </c>
      <c r="G1887" t="s">
        <v>22</v>
      </c>
      <c r="H1887" t="s">
        <v>21</v>
      </c>
      <c r="I1887" t="s">
        <v>60</v>
      </c>
      <c r="J1887" t="s">
        <v>61</v>
      </c>
      <c r="L1887" t="s">
        <v>82</v>
      </c>
    </row>
    <row r="1888" spans="1:13">
      <c r="A1888">
        <v>45817</v>
      </c>
      <c r="B1888" t="s">
        <v>1945</v>
      </c>
      <c r="D1888">
        <v>500</v>
      </c>
      <c r="F1888">
        <v>1</v>
      </c>
      <c r="G1888" t="s">
        <v>22</v>
      </c>
      <c r="H1888" t="s">
        <v>21</v>
      </c>
      <c r="I1888" t="s">
        <v>60</v>
      </c>
      <c r="J1888" t="s">
        <v>61</v>
      </c>
      <c r="L1888" t="s">
        <v>82</v>
      </c>
    </row>
    <row r="1889" spans="1:13">
      <c r="A1889">
        <v>45817</v>
      </c>
      <c r="B1889" t="s">
        <v>63</v>
      </c>
      <c r="D1889">
        <v>33500</v>
      </c>
      <c r="G1889" t="s">
        <v>70</v>
      </c>
      <c r="I1889" t="s">
        <v>60</v>
      </c>
      <c r="J1889" t="s">
        <v>61</v>
      </c>
      <c r="L1889" t="s">
        <v>62</v>
      </c>
    </row>
    <row r="1890" spans="1:13">
      <c r="A1890">
        <v>45817</v>
      </c>
      <c r="B1890" t="s">
        <v>1946</v>
      </c>
      <c r="D1890">
        <v>500</v>
      </c>
      <c r="F1890">
        <v>1</v>
      </c>
      <c r="G1890" t="s">
        <v>22</v>
      </c>
      <c r="H1890" t="s">
        <v>21</v>
      </c>
      <c r="I1890" t="s">
        <v>60</v>
      </c>
      <c r="J1890" t="s">
        <v>61</v>
      </c>
      <c r="L1890" t="s">
        <v>82</v>
      </c>
    </row>
    <row r="1891" spans="1:13">
      <c r="A1891">
        <v>45817</v>
      </c>
      <c r="B1891" t="s">
        <v>1947</v>
      </c>
      <c r="E1891">
        <v>619000</v>
      </c>
      <c r="F1891">
        <v>1</v>
      </c>
      <c r="G1891" t="s">
        <v>65</v>
      </c>
      <c r="H1891" t="s">
        <v>348</v>
      </c>
      <c r="I1891" t="s">
        <v>60</v>
      </c>
      <c r="J1891" t="s">
        <v>61</v>
      </c>
      <c r="L1891" t="s">
        <v>0</v>
      </c>
      <c r="M1891" t="s">
        <v>1948</v>
      </c>
    </row>
    <row r="1892" spans="1:13">
      <c r="A1892">
        <v>45818</v>
      </c>
      <c r="B1892" t="s">
        <v>81</v>
      </c>
      <c r="D1892">
        <v>206000</v>
      </c>
      <c r="F1892">
        <v>1</v>
      </c>
      <c r="G1892" t="s">
        <v>74</v>
      </c>
      <c r="H1892" t="s">
        <v>75</v>
      </c>
      <c r="I1892" t="s">
        <v>60</v>
      </c>
      <c r="J1892" t="s">
        <v>61</v>
      </c>
      <c r="L1892" t="s">
        <v>88</v>
      </c>
    </row>
    <row r="1893" spans="1:13">
      <c r="A1893">
        <v>45818</v>
      </c>
      <c r="B1893" t="s">
        <v>1949</v>
      </c>
      <c r="D1893">
        <v>500</v>
      </c>
      <c r="F1893">
        <v>1</v>
      </c>
      <c r="G1893" t="s">
        <v>22</v>
      </c>
      <c r="H1893" t="s">
        <v>21</v>
      </c>
      <c r="I1893" t="s">
        <v>60</v>
      </c>
      <c r="J1893" t="s">
        <v>61</v>
      </c>
      <c r="L1893" t="s">
        <v>82</v>
      </c>
    </row>
    <row r="1894" spans="1:13">
      <c r="A1894">
        <v>45818</v>
      </c>
      <c r="B1894" t="s">
        <v>1950</v>
      </c>
      <c r="D1894">
        <v>500</v>
      </c>
      <c r="F1894">
        <v>1</v>
      </c>
      <c r="G1894" t="s">
        <v>22</v>
      </c>
      <c r="H1894" t="s">
        <v>21</v>
      </c>
      <c r="I1894" t="s">
        <v>60</v>
      </c>
      <c r="J1894" t="s">
        <v>61</v>
      </c>
      <c r="L1894" t="s">
        <v>82</v>
      </c>
    </row>
    <row r="1895" spans="1:13">
      <c r="A1895">
        <v>45818</v>
      </c>
      <c r="B1895" t="s">
        <v>1951</v>
      </c>
      <c r="F1895">
        <v>1</v>
      </c>
      <c r="G1895" t="s">
        <v>79</v>
      </c>
      <c r="H1895" t="s">
        <v>21</v>
      </c>
      <c r="L1895" t="s">
        <v>89</v>
      </c>
    </row>
    <row r="1896" spans="1:13">
      <c r="A1896">
        <v>45818</v>
      </c>
      <c r="B1896" t="s">
        <v>1951</v>
      </c>
      <c r="F1896">
        <v>1</v>
      </c>
      <c r="G1896" t="s">
        <v>64</v>
      </c>
      <c r="L1896" t="s">
        <v>89</v>
      </c>
      <c r="M1896" t="s">
        <v>1935</v>
      </c>
    </row>
    <row r="1897" spans="1:13">
      <c r="A1897">
        <v>45818</v>
      </c>
      <c r="B1897" t="s">
        <v>1952</v>
      </c>
      <c r="D1897">
        <v>500</v>
      </c>
      <c r="F1897">
        <v>1</v>
      </c>
      <c r="G1897" t="s">
        <v>22</v>
      </c>
      <c r="H1897" t="s">
        <v>21</v>
      </c>
      <c r="I1897" t="s">
        <v>60</v>
      </c>
      <c r="J1897" t="s">
        <v>61</v>
      </c>
      <c r="L1897" t="s">
        <v>82</v>
      </c>
    </row>
    <row r="1898" spans="1:13">
      <c r="A1898">
        <v>45818</v>
      </c>
      <c r="B1898" t="s">
        <v>1953</v>
      </c>
      <c r="F1898">
        <v>1</v>
      </c>
      <c r="G1898" t="s">
        <v>377</v>
      </c>
      <c r="H1898" t="s">
        <v>21</v>
      </c>
      <c r="L1898" t="s">
        <v>82</v>
      </c>
    </row>
    <row r="1899" spans="1:13">
      <c r="A1899">
        <v>45818</v>
      </c>
      <c r="B1899" t="s">
        <v>1954</v>
      </c>
      <c r="D1899">
        <v>500</v>
      </c>
      <c r="F1899">
        <v>1</v>
      </c>
      <c r="G1899" t="s">
        <v>22</v>
      </c>
      <c r="H1899" t="s">
        <v>21</v>
      </c>
      <c r="I1899" t="s">
        <v>60</v>
      </c>
      <c r="J1899" t="s">
        <v>61</v>
      </c>
      <c r="L1899" t="s">
        <v>82</v>
      </c>
    </row>
    <row r="1900" spans="1:13">
      <c r="A1900">
        <v>45818</v>
      </c>
      <c r="B1900" t="s">
        <v>1955</v>
      </c>
      <c r="D1900">
        <v>500</v>
      </c>
      <c r="F1900">
        <v>1</v>
      </c>
      <c r="G1900" t="s">
        <v>22</v>
      </c>
      <c r="H1900" t="s">
        <v>21</v>
      </c>
      <c r="I1900" t="s">
        <v>60</v>
      </c>
      <c r="J1900" t="s">
        <v>61</v>
      </c>
      <c r="L1900" t="s">
        <v>82</v>
      </c>
    </row>
    <row r="1901" spans="1:13">
      <c r="A1901">
        <v>45818</v>
      </c>
      <c r="B1901" t="s">
        <v>1956</v>
      </c>
      <c r="D1901">
        <v>500</v>
      </c>
      <c r="F1901">
        <v>1</v>
      </c>
      <c r="G1901" t="s">
        <v>22</v>
      </c>
      <c r="H1901" t="s">
        <v>21</v>
      </c>
      <c r="I1901" t="s">
        <v>60</v>
      </c>
      <c r="J1901" t="s">
        <v>61</v>
      </c>
      <c r="L1901" t="s">
        <v>82</v>
      </c>
    </row>
    <row r="1902" spans="1:13">
      <c r="A1902">
        <v>45818</v>
      </c>
      <c r="B1902" t="s">
        <v>1957</v>
      </c>
      <c r="D1902">
        <v>500</v>
      </c>
      <c r="F1902">
        <v>1</v>
      </c>
      <c r="G1902" t="s">
        <v>22</v>
      </c>
      <c r="H1902" t="s">
        <v>21</v>
      </c>
      <c r="I1902" t="s">
        <v>60</v>
      </c>
      <c r="J1902" t="s">
        <v>61</v>
      </c>
      <c r="L1902" t="s">
        <v>89</v>
      </c>
    </row>
    <row r="1903" spans="1:13">
      <c r="A1903">
        <v>45818</v>
      </c>
      <c r="B1903" t="s">
        <v>1958</v>
      </c>
      <c r="D1903">
        <v>500</v>
      </c>
      <c r="F1903">
        <v>1</v>
      </c>
      <c r="G1903" t="s">
        <v>22</v>
      </c>
      <c r="H1903" t="s">
        <v>21</v>
      </c>
      <c r="I1903" t="s">
        <v>60</v>
      </c>
      <c r="J1903" t="s">
        <v>61</v>
      </c>
      <c r="L1903" t="s">
        <v>89</v>
      </c>
    </row>
    <row r="1904" spans="1:13">
      <c r="A1904">
        <v>45818</v>
      </c>
      <c r="B1904" t="s">
        <v>1959</v>
      </c>
      <c r="D1904">
        <v>500</v>
      </c>
      <c r="F1904">
        <v>1</v>
      </c>
      <c r="G1904" t="s">
        <v>22</v>
      </c>
      <c r="H1904" t="s">
        <v>21</v>
      </c>
      <c r="I1904" t="s">
        <v>60</v>
      </c>
      <c r="J1904" t="s">
        <v>61</v>
      </c>
      <c r="L1904" t="s">
        <v>82</v>
      </c>
    </row>
    <row r="1905" spans="1:13">
      <c r="A1905">
        <v>45819</v>
      </c>
      <c r="B1905" t="s">
        <v>81</v>
      </c>
      <c r="D1905">
        <v>88000</v>
      </c>
      <c r="F1905">
        <v>1</v>
      </c>
      <c r="G1905" t="s">
        <v>74</v>
      </c>
      <c r="H1905" t="s">
        <v>75</v>
      </c>
      <c r="I1905" t="s">
        <v>60</v>
      </c>
      <c r="J1905" t="s">
        <v>61</v>
      </c>
      <c r="L1905" t="s">
        <v>88</v>
      </c>
      <c r="M1905" t="s">
        <v>955</v>
      </c>
    </row>
    <row r="1906" spans="1:13">
      <c r="A1906">
        <v>45819</v>
      </c>
      <c r="B1906" t="s">
        <v>1960</v>
      </c>
      <c r="D1906">
        <v>500</v>
      </c>
      <c r="F1906">
        <v>1</v>
      </c>
      <c r="G1906" t="s">
        <v>22</v>
      </c>
      <c r="H1906" t="s">
        <v>21</v>
      </c>
      <c r="I1906" t="s">
        <v>60</v>
      </c>
      <c r="J1906" t="s">
        <v>61</v>
      </c>
      <c r="L1906" t="s">
        <v>86</v>
      </c>
    </row>
    <row r="1907" spans="1:13">
      <c r="A1907">
        <v>45819</v>
      </c>
      <c r="B1907" t="s">
        <v>1961</v>
      </c>
      <c r="D1907">
        <v>500</v>
      </c>
      <c r="F1907">
        <v>1</v>
      </c>
      <c r="G1907" t="s">
        <v>22</v>
      </c>
      <c r="H1907" t="s">
        <v>21</v>
      </c>
      <c r="I1907" t="s">
        <v>60</v>
      </c>
      <c r="J1907" t="s">
        <v>61</v>
      </c>
      <c r="L1907" t="s">
        <v>86</v>
      </c>
    </row>
    <row r="1908" spans="1:13">
      <c r="A1908">
        <v>45819</v>
      </c>
      <c r="B1908" t="s">
        <v>1962</v>
      </c>
      <c r="C1908" t="s">
        <v>141</v>
      </c>
      <c r="E1908">
        <v>32000</v>
      </c>
      <c r="F1908">
        <v>1</v>
      </c>
      <c r="G1908" t="s">
        <v>65</v>
      </c>
      <c r="H1908" t="s">
        <v>265</v>
      </c>
      <c r="I1908" t="s">
        <v>60</v>
      </c>
      <c r="J1908" t="s">
        <v>61</v>
      </c>
      <c r="L1908" t="s">
        <v>62</v>
      </c>
    </row>
    <row r="1909" spans="1:13">
      <c r="A1909">
        <v>45819</v>
      </c>
      <c r="B1909" t="s">
        <v>1962</v>
      </c>
      <c r="C1909" t="s">
        <v>212</v>
      </c>
      <c r="E1909">
        <v>32000</v>
      </c>
      <c r="F1909">
        <v>1</v>
      </c>
      <c r="G1909" t="s">
        <v>65</v>
      </c>
      <c r="H1909" t="s">
        <v>265</v>
      </c>
      <c r="I1909" t="s">
        <v>60</v>
      </c>
      <c r="J1909" t="s">
        <v>61</v>
      </c>
      <c r="L1909" t="s">
        <v>62</v>
      </c>
      <c r="M1909" t="s">
        <v>1963</v>
      </c>
    </row>
    <row r="1910" spans="1:13">
      <c r="A1910">
        <v>45819</v>
      </c>
      <c r="B1910" t="s">
        <v>1964</v>
      </c>
      <c r="D1910">
        <v>500</v>
      </c>
      <c r="F1910">
        <v>1</v>
      </c>
      <c r="G1910" t="s">
        <v>22</v>
      </c>
      <c r="H1910" t="s">
        <v>21</v>
      </c>
      <c r="I1910" t="s">
        <v>60</v>
      </c>
      <c r="J1910" t="s">
        <v>61</v>
      </c>
      <c r="L1910" t="s">
        <v>86</v>
      </c>
    </row>
    <row r="1911" spans="1:13">
      <c r="A1911">
        <v>45819</v>
      </c>
      <c r="B1911" t="s">
        <v>1965</v>
      </c>
      <c r="D1911">
        <v>500</v>
      </c>
      <c r="F1911">
        <v>1</v>
      </c>
      <c r="G1911" t="s">
        <v>22</v>
      </c>
      <c r="H1911" t="s">
        <v>21</v>
      </c>
      <c r="I1911" t="s">
        <v>60</v>
      </c>
      <c r="J1911" t="s">
        <v>61</v>
      </c>
      <c r="L1911" t="s">
        <v>86</v>
      </c>
    </row>
    <row r="1912" spans="1:13">
      <c r="A1912">
        <v>45819</v>
      </c>
      <c r="B1912" t="s">
        <v>1966</v>
      </c>
      <c r="F1912">
        <v>1</v>
      </c>
      <c r="G1912" t="s">
        <v>64</v>
      </c>
      <c r="L1912" t="s">
        <v>82</v>
      </c>
      <c r="M1912" t="s">
        <v>1764</v>
      </c>
    </row>
    <row r="1913" spans="1:13">
      <c r="A1913">
        <v>45819</v>
      </c>
      <c r="B1913" t="s">
        <v>63</v>
      </c>
      <c r="D1913">
        <v>16226</v>
      </c>
      <c r="G1913" t="s">
        <v>70</v>
      </c>
      <c r="I1913" t="s">
        <v>60</v>
      </c>
      <c r="J1913" t="s">
        <v>61</v>
      </c>
      <c r="L1913" t="s">
        <v>62</v>
      </c>
    </row>
    <row r="1914" spans="1:13">
      <c r="A1914">
        <v>45819</v>
      </c>
      <c r="B1914" t="s">
        <v>1967</v>
      </c>
      <c r="D1914">
        <v>500</v>
      </c>
      <c r="F1914">
        <v>1</v>
      </c>
      <c r="G1914" t="s">
        <v>22</v>
      </c>
      <c r="H1914" t="s">
        <v>21</v>
      </c>
      <c r="I1914" t="s">
        <v>60</v>
      </c>
      <c r="J1914" t="s">
        <v>61</v>
      </c>
      <c r="L1914" t="s">
        <v>82</v>
      </c>
    </row>
    <row r="1915" spans="1:13">
      <c r="A1915">
        <v>45819</v>
      </c>
      <c r="B1915" t="s">
        <v>1330</v>
      </c>
      <c r="D1915">
        <v>500</v>
      </c>
      <c r="F1915">
        <v>1</v>
      </c>
      <c r="G1915" t="s">
        <v>22</v>
      </c>
      <c r="H1915" t="s">
        <v>21</v>
      </c>
      <c r="I1915" t="s">
        <v>60</v>
      </c>
      <c r="J1915" t="s">
        <v>61</v>
      </c>
      <c r="L1915" t="s">
        <v>82</v>
      </c>
    </row>
    <row r="1916" spans="1:13">
      <c r="A1916">
        <v>45819</v>
      </c>
      <c r="B1916" t="s">
        <v>1968</v>
      </c>
      <c r="D1916">
        <v>500</v>
      </c>
      <c r="F1916">
        <v>1</v>
      </c>
      <c r="G1916" t="s">
        <v>22</v>
      </c>
      <c r="H1916" t="s">
        <v>21</v>
      </c>
      <c r="I1916" t="s">
        <v>60</v>
      </c>
      <c r="J1916" t="s">
        <v>61</v>
      </c>
      <c r="L1916" t="s">
        <v>82</v>
      </c>
    </row>
    <row r="1917" spans="1:13">
      <c r="A1917">
        <v>45819</v>
      </c>
      <c r="B1917" t="s">
        <v>1969</v>
      </c>
      <c r="D1917">
        <v>500</v>
      </c>
      <c r="F1917">
        <v>1</v>
      </c>
      <c r="G1917" t="s">
        <v>22</v>
      </c>
      <c r="H1917" t="s">
        <v>21</v>
      </c>
      <c r="I1917" t="s">
        <v>60</v>
      </c>
      <c r="J1917" t="s">
        <v>61</v>
      </c>
      <c r="L1917" t="s">
        <v>82</v>
      </c>
    </row>
    <row r="1918" spans="1:13">
      <c r="A1918">
        <v>45819</v>
      </c>
      <c r="B1918" t="s">
        <v>1970</v>
      </c>
      <c r="F1918">
        <v>1</v>
      </c>
      <c r="G1918" t="s">
        <v>79</v>
      </c>
      <c r="H1918" t="s">
        <v>21</v>
      </c>
      <c r="L1918" t="s">
        <v>82</v>
      </c>
    </row>
    <row r="1919" spans="1:13">
      <c r="A1919">
        <v>45819</v>
      </c>
      <c r="B1919" t="s">
        <v>1971</v>
      </c>
      <c r="D1919">
        <v>500</v>
      </c>
      <c r="F1919">
        <v>1</v>
      </c>
      <c r="G1919" t="s">
        <v>22</v>
      </c>
      <c r="H1919" t="s">
        <v>21</v>
      </c>
      <c r="I1919" t="s">
        <v>60</v>
      </c>
      <c r="J1919" t="s">
        <v>61</v>
      </c>
      <c r="L1919" t="s">
        <v>82</v>
      </c>
    </row>
    <row r="1920" spans="1:13">
      <c r="A1920">
        <v>45819</v>
      </c>
      <c r="B1920" t="s">
        <v>1972</v>
      </c>
      <c r="D1920">
        <v>500</v>
      </c>
      <c r="F1920">
        <v>1</v>
      </c>
      <c r="G1920" t="s">
        <v>22</v>
      </c>
      <c r="H1920" t="s">
        <v>21</v>
      </c>
      <c r="I1920" t="s">
        <v>60</v>
      </c>
      <c r="J1920" t="s">
        <v>61</v>
      </c>
      <c r="L1920" t="s">
        <v>82</v>
      </c>
    </row>
    <row r="1921" spans="1:13">
      <c r="A1921">
        <v>45819</v>
      </c>
      <c r="B1921" t="s">
        <v>1973</v>
      </c>
      <c r="F1921">
        <v>1</v>
      </c>
      <c r="G1921" t="s">
        <v>79</v>
      </c>
      <c r="H1921" t="s">
        <v>21</v>
      </c>
      <c r="L1921" t="s">
        <v>82</v>
      </c>
    </row>
    <row r="1922" spans="1:13">
      <c r="A1922">
        <v>45819</v>
      </c>
      <c r="B1922" t="s">
        <v>1973</v>
      </c>
      <c r="D1922">
        <v>0</v>
      </c>
      <c r="F1922">
        <v>0</v>
      </c>
      <c r="G1922" t="s">
        <v>22</v>
      </c>
      <c r="H1922" t="s">
        <v>21</v>
      </c>
      <c r="I1922" t="s">
        <v>60</v>
      </c>
      <c r="J1922" t="s">
        <v>61</v>
      </c>
      <c r="L1922" t="s">
        <v>82</v>
      </c>
      <c r="M1922" t="s">
        <v>83</v>
      </c>
    </row>
    <row r="1923" spans="1:13">
      <c r="A1923">
        <v>45819</v>
      </c>
      <c r="B1923" t="s">
        <v>1974</v>
      </c>
      <c r="F1923">
        <v>1</v>
      </c>
      <c r="G1923" t="s">
        <v>1889</v>
      </c>
      <c r="L1923" t="s">
        <v>86</v>
      </c>
    </row>
    <row r="1924" spans="1:13">
      <c r="A1924">
        <v>45820</v>
      </c>
      <c r="B1924" t="s">
        <v>81</v>
      </c>
      <c r="E1924">
        <v>1662228</v>
      </c>
      <c r="F1924">
        <v>1</v>
      </c>
      <c r="G1924" t="s">
        <v>74</v>
      </c>
      <c r="H1924" t="s">
        <v>75</v>
      </c>
      <c r="I1924" t="s">
        <v>60</v>
      </c>
      <c r="J1924" t="s">
        <v>61</v>
      </c>
      <c r="L1924" t="s">
        <v>768</v>
      </c>
      <c r="M1924" t="s">
        <v>937</v>
      </c>
    </row>
    <row r="1925" spans="1:13">
      <c r="A1925">
        <v>45820</v>
      </c>
      <c r="B1925" t="s">
        <v>81</v>
      </c>
      <c r="D1925">
        <v>110000</v>
      </c>
      <c r="F1925">
        <v>1</v>
      </c>
      <c r="G1925" t="s">
        <v>74</v>
      </c>
      <c r="H1925" t="s">
        <v>75</v>
      </c>
      <c r="I1925" t="s">
        <v>60</v>
      </c>
      <c r="J1925" t="s">
        <v>61</v>
      </c>
      <c r="L1925" t="s">
        <v>88</v>
      </c>
    </row>
    <row r="1926" spans="1:13">
      <c r="A1926">
        <v>45820</v>
      </c>
      <c r="B1926" t="s">
        <v>63</v>
      </c>
      <c r="D1926">
        <v>10500</v>
      </c>
      <c r="F1926">
        <v>2</v>
      </c>
      <c r="G1926" t="s">
        <v>70</v>
      </c>
      <c r="I1926" t="s">
        <v>71</v>
      </c>
      <c r="J1926" t="s">
        <v>1975</v>
      </c>
      <c r="K1926" t="s">
        <v>1976</v>
      </c>
      <c r="L1926" t="s">
        <v>62</v>
      </c>
      <c r="M1926" t="s">
        <v>1977</v>
      </c>
    </row>
    <row r="1927" spans="1:13">
      <c r="A1927">
        <v>45820</v>
      </c>
      <c r="B1927" t="s">
        <v>1978</v>
      </c>
      <c r="D1927">
        <v>500</v>
      </c>
      <c r="F1927">
        <v>1</v>
      </c>
      <c r="G1927" t="s">
        <v>22</v>
      </c>
      <c r="H1927" t="s">
        <v>21</v>
      </c>
      <c r="I1927" t="s">
        <v>60</v>
      </c>
      <c r="J1927" t="s">
        <v>61</v>
      </c>
      <c r="L1927" t="s">
        <v>86</v>
      </c>
    </row>
    <row r="1928" spans="1:13">
      <c r="A1928">
        <v>45820</v>
      </c>
      <c r="B1928" t="s">
        <v>1978</v>
      </c>
      <c r="F1928">
        <v>1</v>
      </c>
      <c r="G1928" t="s">
        <v>64</v>
      </c>
      <c r="L1928" t="s">
        <v>86</v>
      </c>
      <c r="M1928" t="s">
        <v>1979</v>
      </c>
    </row>
    <row r="1929" spans="1:13">
      <c r="A1929">
        <v>45820</v>
      </c>
      <c r="B1929" t="s">
        <v>1980</v>
      </c>
      <c r="F1929">
        <v>1</v>
      </c>
      <c r="G1929" t="s">
        <v>377</v>
      </c>
      <c r="H1929" t="s">
        <v>21</v>
      </c>
      <c r="L1929" t="s">
        <v>86</v>
      </c>
    </row>
    <row r="1930" spans="1:13">
      <c r="A1930">
        <v>45820</v>
      </c>
      <c r="B1930" t="s">
        <v>1980</v>
      </c>
      <c r="D1930">
        <v>0</v>
      </c>
      <c r="F1930">
        <v>0</v>
      </c>
      <c r="G1930" t="s">
        <v>22</v>
      </c>
      <c r="H1930" t="s">
        <v>21</v>
      </c>
      <c r="I1930" t="s">
        <v>60</v>
      </c>
      <c r="J1930" t="s">
        <v>61</v>
      </c>
      <c r="L1930" t="s">
        <v>86</v>
      </c>
    </row>
    <row r="1931" spans="1:13">
      <c r="A1931">
        <v>45820</v>
      </c>
      <c r="B1931" t="s">
        <v>63</v>
      </c>
      <c r="D1931">
        <v>5500</v>
      </c>
      <c r="G1931" t="s">
        <v>70</v>
      </c>
      <c r="I1931" t="s">
        <v>60</v>
      </c>
      <c r="J1931" t="s">
        <v>61</v>
      </c>
      <c r="L1931" t="s">
        <v>62</v>
      </c>
    </row>
    <row r="1932" spans="1:13">
      <c r="A1932">
        <v>45820</v>
      </c>
      <c r="B1932" t="s">
        <v>1981</v>
      </c>
      <c r="D1932">
        <v>500</v>
      </c>
      <c r="F1932">
        <v>0</v>
      </c>
      <c r="G1932" t="s">
        <v>22</v>
      </c>
      <c r="H1932" t="s">
        <v>21</v>
      </c>
      <c r="I1932" t="s">
        <v>60</v>
      </c>
      <c r="J1932" t="s">
        <v>61</v>
      </c>
      <c r="L1932" t="s">
        <v>86</v>
      </c>
    </row>
    <row r="1933" spans="1:13">
      <c r="A1933">
        <v>45820</v>
      </c>
      <c r="B1933" t="s">
        <v>1982</v>
      </c>
      <c r="D1933">
        <v>500</v>
      </c>
      <c r="F1933">
        <v>1</v>
      </c>
      <c r="G1933" t="s">
        <v>22</v>
      </c>
      <c r="H1933" t="s">
        <v>21</v>
      </c>
      <c r="I1933" t="s">
        <v>60</v>
      </c>
      <c r="J1933" t="s">
        <v>61</v>
      </c>
      <c r="L1933" t="s">
        <v>86</v>
      </c>
    </row>
    <row r="1934" spans="1:13">
      <c r="A1934">
        <v>45820</v>
      </c>
      <c r="B1934" t="s">
        <v>1983</v>
      </c>
      <c r="D1934">
        <v>500</v>
      </c>
      <c r="F1934">
        <v>1</v>
      </c>
      <c r="G1934" t="s">
        <v>22</v>
      </c>
      <c r="H1934" t="s">
        <v>21</v>
      </c>
      <c r="I1934" t="s">
        <v>60</v>
      </c>
      <c r="J1934" t="s">
        <v>61</v>
      </c>
      <c r="L1934" t="s">
        <v>86</v>
      </c>
    </row>
    <row r="1935" spans="1:13">
      <c r="A1935">
        <v>45820</v>
      </c>
      <c r="B1935" t="s">
        <v>1984</v>
      </c>
      <c r="D1935">
        <v>500</v>
      </c>
      <c r="F1935">
        <v>1</v>
      </c>
      <c r="G1935" t="s">
        <v>22</v>
      </c>
      <c r="H1935" t="s">
        <v>21</v>
      </c>
      <c r="I1935" t="s">
        <v>60</v>
      </c>
      <c r="J1935" t="s">
        <v>61</v>
      </c>
      <c r="L1935" t="s">
        <v>86</v>
      </c>
    </row>
    <row r="1936" spans="1:13">
      <c r="A1936">
        <v>45820</v>
      </c>
      <c r="B1936" t="s">
        <v>76</v>
      </c>
      <c r="D1936">
        <v>2000</v>
      </c>
      <c r="G1936" t="s">
        <v>77</v>
      </c>
      <c r="I1936" t="s">
        <v>60</v>
      </c>
      <c r="J1936" t="s">
        <v>61</v>
      </c>
      <c r="L1936" t="s">
        <v>62</v>
      </c>
    </row>
    <row r="1937" spans="1:13">
      <c r="A1937">
        <v>45821</v>
      </c>
      <c r="B1937" t="s">
        <v>1985</v>
      </c>
      <c r="D1937">
        <v>90000</v>
      </c>
      <c r="F1937">
        <v>1</v>
      </c>
      <c r="G1937" t="s">
        <v>74</v>
      </c>
      <c r="H1937" t="s">
        <v>75</v>
      </c>
      <c r="I1937" t="s">
        <v>60</v>
      </c>
      <c r="J1937" t="s">
        <v>61</v>
      </c>
      <c r="L1937" t="s">
        <v>88</v>
      </c>
      <c r="M1937" t="s">
        <v>955</v>
      </c>
    </row>
    <row r="1938" spans="1:13">
      <c r="A1938">
        <v>45821</v>
      </c>
      <c r="B1938" t="s">
        <v>76</v>
      </c>
      <c r="D1938">
        <v>11500</v>
      </c>
      <c r="G1938" t="s">
        <v>77</v>
      </c>
      <c r="I1938" t="s">
        <v>60</v>
      </c>
      <c r="J1938" t="s">
        <v>61</v>
      </c>
      <c r="L1938" t="s">
        <v>62</v>
      </c>
    </row>
    <row r="1939" spans="1:13">
      <c r="A1939">
        <v>45821</v>
      </c>
      <c r="B1939" t="s">
        <v>1986</v>
      </c>
      <c r="D1939">
        <v>500</v>
      </c>
      <c r="F1939">
        <v>1</v>
      </c>
      <c r="G1939" t="s">
        <v>22</v>
      </c>
      <c r="H1939" t="s">
        <v>21</v>
      </c>
      <c r="I1939" t="s">
        <v>60</v>
      </c>
      <c r="J1939" t="s">
        <v>61</v>
      </c>
      <c r="L1939" t="s">
        <v>89</v>
      </c>
    </row>
    <row r="1940" spans="1:13">
      <c r="A1940">
        <v>45821</v>
      </c>
      <c r="B1940" t="s">
        <v>1987</v>
      </c>
      <c r="D1940">
        <v>500</v>
      </c>
      <c r="F1940">
        <v>1</v>
      </c>
      <c r="G1940" t="s">
        <v>22</v>
      </c>
      <c r="H1940" t="s">
        <v>21</v>
      </c>
      <c r="I1940" t="s">
        <v>60</v>
      </c>
      <c r="J1940" t="s">
        <v>61</v>
      </c>
      <c r="L1940" t="s">
        <v>89</v>
      </c>
    </row>
    <row r="1941" spans="1:13">
      <c r="A1941">
        <v>45821</v>
      </c>
      <c r="B1941" t="s">
        <v>1988</v>
      </c>
      <c r="F1941">
        <v>1</v>
      </c>
      <c r="G1941" t="s">
        <v>79</v>
      </c>
      <c r="H1941" t="s">
        <v>21</v>
      </c>
      <c r="L1941" t="s">
        <v>89</v>
      </c>
    </row>
    <row r="1942" spans="1:13">
      <c r="A1942">
        <v>45821</v>
      </c>
      <c r="B1942" t="s">
        <v>1989</v>
      </c>
      <c r="F1942">
        <v>1</v>
      </c>
      <c r="G1942" t="s">
        <v>377</v>
      </c>
      <c r="H1942" t="s">
        <v>21</v>
      </c>
      <c r="L1942" t="s">
        <v>89</v>
      </c>
    </row>
    <row r="1943" spans="1:13">
      <c r="A1943">
        <v>45821</v>
      </c>
      <c r="B1943" t="s">
        <v>1990</v>
      </c>
      <c r="D1943">
        <v>500</v>
      </c>
      <c r="F1943">
        <v>1</v>
      </c>
      <c r="G1943" t="s">
        <v>22</v>
      </c>
      <c r="H1943" t="s">
        <v>21</v>
      </c>
      <c r="I1943" t="s">
        <v>60</v>
      </c>
      <c r="J1943" t="s">
        <v>61</v>
      </c>
      <c r="L1943" t="s">
        <v>82</v>
      </c>
    </row>
    <row r="1944" spans="1:13">
      <c r="A1944">
        <v>45821</v>
      </c>
      <c r="B1944" t="s">
        <v>1991</v>
      </c>
      <c r="D1944">
        <v>500</v>
      </c>
      <c r="F1944">
        <v>1</v>
      </c>
      <c r="G1944" t="s">
        <v>22</v>
      </c>
      <c r="H1944" t="s">
        <v>21</v>
      </c>
      <c r="I1944" t="s">
        <v>60</v>
      </c>
      <c r="J1944" t="s">
        <v>61</v>
      </c>
      <c r="L1944" t="s">
        <v>89</v>
      </c>
    </row>
    <row r="1945" spans="1:13">
      <c r="A1945">
        <v>45821</v>
      </c>
      <c r="B1945" t="s">
        <v>63</v>
      </c>
      <c r="D1945">
        <v>5500</v>
      </c>
      <c r="G1945" t="s">
        <v>70</v>
      </c>
      <c r="I1945" t="s">
        <v>60</v>
      </c>
      <c r="J1945" t="s">
        <v>61</v>
      </c>
      <c r="L1945" t="s">
        <v>62</v>
      </c>
    </row>
    <row r="1946" spans="1:13">
      <c r="A1946">
        <v>45821</v>
      </c>
      <c r="B1946" t="s">
        <v>1992</v>
      </c>
      <c r="D1946">
        <v>500</v>
      </c>
      <c r="F1946">
        <v>1</v>
      </c>
      <c r="G1946" t="s">
        <v>22</v>
      </c>
      <c r="H1946" t="s">
        <v>21</v>
      </c>
      <c r="I1946" t="s">
        <v>60</v>
      </c>
      <c r="J1946" t="s">
        <v>61</v>
      </c>
      <c r="L1946" t="s">
        <v>82</v>
      </c>
    </row>
    <row r="1947" spans="1:13">
      <c r="A1947">
        <v>45821</v>
      </c>
      <c r="B1947" t="s">
        <v>1993</v>
      </c>
      <c r="D1947">
        <v>500</v>
      </c>
      <c r="F1947">
        <v>1</v>
      </c>
      <c r="G1947" t="s">
        <v>22</v>
      </c>
      <c r="H1947" t="s">
        <v>21</v>
      </c>
      <c r="I1947" t="s">
        <v>60</v>
      </c>
      <c r="J1947" t="s">
        <v>61</v>
      </c>
      <c r="L1947" t="s">
        <v>82</v>
      </c>
    </row>
    <row r="1948" spans="1:13">
      <c r="A1948">
        <v>45821</v>
      </c>
      <c r="B1948" t="s">
        <v>1994</v>
      </c>
      <c r="F1948">
        <v>1</v>
      </c>
      <c r="G1948" t="s">
        <v>1889</v>
      </c>
      <c r="L1948" t="s">
        <v>89</v>
      </c>
    </row>
    <row r="1949" spans="1:13">
      <c r="A1949">
        <v>45822</v>
      </c>
      <c r="B1949" t="s">
        <v>559</v>
      </c>
      <c r="E1949">
        <v>10000</v>
      </c>
      <c r="F1949">
        <v>1</v>
      </c>
      <c r="G1949" t="s">
        <v>65</v>
      </c>
      <c r="H1949" t="s">
        <v>560</v>
      </c>
      <c r="I1949" t="s">
        <v>60</v>
      </c>
      <c r="J1949" t="s">
        <v>61</v>
      </c>
      <c r="L1949" t="s">
        <v>62</v>
      </c>
    </row>
    <row r="1950" spans="1:13">
      <c r="A1950">
        <v>45822</v>
      </c>
      <c r="B1950" t="s">
        <v>561</v>
      </c>
      <c r="E1950">
        <v>10000</v>
      </c>
      <c r="F1950">
        <v>1</v>
      </c>
      <c r="G1950" t="s">
        <v>65</v>
      </c>
      <c r="H1950" t="s">
        <v>560</v>
      </c>
      <c r="I1950" t="s">
        <v>60</v>
      </c>
      <c r="J1950" t="s">
        <v>61</v>
      </c>
      <c r="L1950" t="s">
        <v>62</v>
      </c>
    </row>
    <row r="1951" spans="1:13">
      <c r="A1951">
        <v>45822</v>
      </c>
      <c r="B1951" t="s">
        <v>1995</v>
      </c>
      <c r="D1951">
        <v>500</v>
      </c>
      <c r="F1951">
        <v>1</v>
      </c>
      <c r="G1951" t="s">
        <v>22</v>
      </c>
      <c r="H1951" t="s">
        <v>21</v>
      </c>
      <c r="I1951" t="s">
        <v>60</v>
      </c>
      <c r="J1951" t="s">
        <v>61</v>
      </c>
      <c r="L1951" t="s">
        <v>89</v>
      </c>
    </row>
    <row r="1952" spans="1:13">
      <c r="A1952">
        <v>45822</v>
      </c>
      <c r="B1952" t="s">
        <v>1996</v>
      </c>
      <c r="F1952">
        <v>1</v>
      </c>
      <c r="G1952" t="s">
        <v>64</v>
      </c>
      <c r="L1952" t="s">
        <v>89</v>
      </c>
      <c r="M1952" t="s">
        <v>1935</v>
      </c>
    </row>
    <row r="1953" spans="1:13">
      <c r="A1953">
        <v>45822</v>
      </c>
      <c r="B1953" t="s">
        <v>1997</v>
      </c>
      <c r="F1953">
        <v>1</v>
      </c>
      <c r="G1953" t="s">
        <v>64</v>
      </c>
      <c r="L1953" t="s">
        <v>89</v>
      </c>
      <c r="M1953" t="s">
        <v>96</v>
      </c>
    </row>
    <row r="1954" spans="1:13">
      <c r="A1954">
        <v>45822</v>
      </c>
      <c r="B1954" t="s">
        <v>1998</v>
      </c>
      <c r="F1954">
        <v>1</v>
      </c>
      <c r="G1954" t="s">
        <v>79</v>
      </c>
      <c r="H1954" t="s">
        <v>21</v>
      </c>
      <c r="L1954" t="s">
        <v>89</v>
      </c>
    </row>
    <row r="1955" spans="1:13">
      <c r="A1955">
        <v>45822</v>
      </c>
      <c r="B1955" t="s">
        <v>1998</v>
      </c>
      <c r="F1955">
        <v>1</v>
      </c>
      <c r="G1955" t="s">
        <v>64</v>
      </c>
      <c r="L1955" t="s">
        <v>89</v>
      </c>
      <c r="M1955" t="s">
        <v>1999</v>
      </c>
    </row>
    <row r="1956" spans="1:13">
      <c r="A1956">
        <v>45822</v>
      </c>
      <c r="B1956" t="s">
        <v>2000</v>
      </c>
      <c r="F1956">
        <v>1</v>
      </c>
      <c r="G1956" t="s">
        <v>99</v>
      </c>
      <c r="H1956" t="s">
        <v>21</v>
      </c>
      <c r="L1956" t="s">
        <v>89</v>
      </c>
    </row>
    <row r="1957" spans="1:13">
      <c r="A1957">
        <v>45822</v>
      </c>
      <c r="B1957" t="s">
        <v>2001</v>
      </c>
      <c r="F1957">
        <v>2</v>
      </c>
      <c r="G1957" t="s">
        <v>79</v>
      </c>
      <c r="H1957" t="s">
        <v>21</v>
      </c>
      <c r="L1957" t="s">
        <v>89</v>
      </c>
    </row>
    <row r="1958" spans="1:13">
      <c r="A1958">
        <v>45822</v>
      </c>
      <c r="B1958" t="s">
        <v>2001</v>
      </c>
      <c r="F1958">
        <v>1</v>
      </c>
      <c r="G1958" t="s">
        <v>64</v>
      </c>
      <c r="L1958" t="s">
        <v>89</v>
      </c>
      <c r="M1958" t="s">
        <v>2002</v>
      </c>
    </row>
    <row r="1959" spans="1:13">
      <c r="A1959">
        <v>45822</v>
      </c>
      <c r="B1959" t="s">
        <v>2003</v>
      </c>
      <c r="F1959">
        <v>1</v>
      </c>
      <c r="G1959" t="s">
        <v>64</v>
      </c>
      <c r="L1959" t="s">
        <v>89</v>
      </c>
      <c r="M1959" t="s">
        <v>2002</v>
      </c>
    </row>
    <row r="1960" spans="1:13">
      <c r="A1960">
        <v>45822</v>
      </c>
      <c r="B1960" t="s">
        <v>1548</v>
      </c>
      <c r="D1960">
        <v>500</v>
      </c>
      <c r="F1960">
        <v>1</v>
      </c>
      <c r="G1960" t="s">
        <v>22</v>
      </c>
      <c r="H1960" t="s">
        <v>21</v>
      </c>
      <c r="I1960" t="s">
        <v>60</v>
      </c>
      <c r="J1960" t="s">
        <v>61</v>
      </c>
      <c r="L1960" t="s">
        <v>89</v>
      </c>
    </row>
    <row r="1961" spans="1:13">
      <c r="A1961">
        <v>45822</v>
      </c>
      <c r="B1961" t="s">
        <v>2004</v>
      </c>
      <c r="D1961">
        <v>500</v>
      </c>
      <c r="F1961">
        <v>1</v>
      </c>
      <c r="G1961" t="s">
        <v>22</v>
      </c>
      <c r="H1961" t="s">
        <v>21</v>
      </c>
      <c r="I1961" t="s">
        <v>60</v>
      </c>
      <c r="J1961" t="s">
        <v>61</v>
      </c>
      <c r="L1961" t="s">
        <v>89</v>
      </c>
    </row>
    <row r="1962" spans="1:13">
      <c r="A1962">
        <v>45822</v>
      </c>
      <c r="B1962" t="s">
        <v>2005</v>
      </c>
      <c r="D1962">
        <v>500</v>
      </c>
      <c r="F1962">
        <v>1</v>
      </c>
      <c r="G1962" t="s">
        <v>22</v>
      </c>
      <c r="H1962" t="s">
        <v>21</v>
      </c>
      <c r="I1962" t="s">
        <v>60</v>
      </c>
      <c r="J1962" t="s">
        <v>61</v>
      </c>
      <c r="L1962" t="s">
        <v>89</v>
      </c>
    </row>
    <row r="1963" spans="1:13">
      <c r="A1963">
        <v>45822</v>
      </c>
      <c r="B1963" t="s">
        <v>2006</v>
      </c>
      <c r="D1963">
        <v>500</v>
      </c>
      <c r="F1963">
        <v>1</v>
      </c>
      <c r="G1963" t="s">
        <v>22</v>
      </c>
      <c r="H1963" t="s">
        <v>21</v>
      </c>
      <c r="I1963" t="s">
        <v>60</v>
      </c>
      <c r="J1963" t="s">
        <v>61</v>
      </c>
      <c r="L1963" t="s">
        <v>89</v>
      </c>
    </row>
    <row r="1964" spans="1:13">
      <c r="A1964">
        <v>45822</v>
      </c>
      <c r="B1964" t="s">
        <v>2007</v>
      </c>
      <c r="F1964">
        <v>1</v>
      </c>
      <c r="G1964" t="s">
        <v>79</v>
      </c>
      <c r="H1964" t="s">
        <v>21</v>
      </c>
      <c r="L1964" t="s">
        <v>89</v>
      </c>
    </row>
    <row r="1965" spans="1:13">
      <c r="A1965">
        <v>45822</v>
      </c>
      <c r="B1965" t="s">
        <v>2007</v>
      </c>
      <c r="F1965">
        <v>1</v>
      </c>
      <c r="G1965" t="s">
        <v>64</v>
      </c>
      <c r="L1965" t="s">
        <v>89</v>
      </c>
      <c r="M1965" t="s">
        <v>2002</v>
      </c>
    </row>
    <row r="1966" spans="1:13">
      <c r="A1966">
        <v>45822</v>
      </c>
      <c r="B1966" t="s">
        <v>2008</v>
      </c>
      <c r="F1966">
        <v>1</v>
      </c>
      <c r="G1966" t="s">
        <v>79</v>
      </c>
      <c r="H1966" t="s">
        <v>21</v>
      </c>
      <c r="L1966" t="s">
        <v>86</v>
      </c>
    </row>
    <row r="1967" spans="1:13">
      <c r="A1967">
        <v>45822</v>
      </c>
      <c r="B1967" t="s">
        <v>2008</v>
      </c>
      <c r="D1967">
        <v>0</v>
      </c>
      <c r="F1967">
        <v>0</v>
      </c>
      <c r="G1967" t="s">
        <v>22</v>
      </c>
      <c r="H1967" t="s">
        <v>21</v>
      </c>
      <c r="I1967" t="s">
        <v>60</v>
      </c>
      <c r="J1967" t="s">
        <v>61</v>
      </c>
      <c r="L1967" t="s">
        <v>86</v>
      </c>
      <c r="M1967" t="s">
        <v>2009</v>
      </c>
    </row>
    <row r="1968" spans="1:13">
      <c r="A1968">
        <v>45822</v>
      </c>
      <c r="B1968" t="s">
        <v>63</v>
      </c>
      <c r="D1968">
        <v>42500</v>
      </c>
      <c r="G1968" t="s">
        <v>70</v>
      </c>
      <c r="I1968" t="s">
        <v>60</v>
      </c>
      <c r="J1968" t="s">
        <v>61</v>
      </c>
      <c r="L1968" t="s">
        <v>62</v>
      </c>
    </row>
    <row r="1969" spans="1:13">
      <c r="A1969">
        <v>45822</v>
      </c>
      <c r="B1969" t="s">
        <v>2010</v>
      </c>
      <c r="D1969">
        <v>500</v>
      </c>
      <c r="F1969">
        <v>1</v>
      </c>
      <c r="G1969" t="s">
        <v>22</v>
      </c>
      <c r="H1969" t="s">
        <v>21</v>
      </c>
      <c r="I1969" t="s">
        <v>60</v>
      </c>
      <c r="J1969" t="s">
        <v>61</v>
      </c>
      <c r="L1969" t="s">
        <v>86</v>
      </c>
    </row>
    <row r="1970" spans="1:13">
      <c r="A1970">
        <v>45822</v>
      </c>
      <c r="B1970" t="s">
        <v>2011</v>
      </c>
      <c r="F1970">
        <v>1</v>
      </c>
      <c r="G1970" t="s">
        <v>319</v>
      </c>
      <c r="H1970" t="s">
        <v>21</v>
      </c>
      <c r="L1970" t="s">
        <v>86</v>
      </c>
    </row>
    <row r="1971" spans="1:13">
      <c r="A1971">
        <v>45822</v>
      </c>
      <c r="B1971" t="s">
        <v>2012</v>
      </c>
      <c r="F1971">
        <v>1</v>
      </c>
      <c r="G1971" t="s">
        <v>319</v>
      </c>
      <c r="H1971" t="s">
        <v>21</v>
      </c>
      <c r="L1971" t="s">
        <v>86</v>
      </c>
    </row>
    <row r="1972" spans="1:13">
      <c r="A1972">
        <v>45822</v>
      </c>
      <c r="B1972" t="s">
        <v>2013</v>
      </c>
      <c r="F1972">
        <v>1</v>
      </c>
      <c r="G1972" t="s">
        <v>64</v>
      </c>
      <c r="L1972" t="s">
        <v>86</v>
      </c>
      <c r="M1972" t="s">
        <v>1999</v>
      </c>
    </row>
    <row r="1973" spans="1:13">
      <c r="A1973">
        <v>45822</v>
      </c>
      <c r="B1973" t="s">
        <v>2014</v>
      </c>
      <c r="D1973">
        <v>500</v>
      </c>
      <c r="F1973">
        <v>0</v>
      </c>
      <c r="G1973" t="s">
        <v>22</v>
      </c>
      <c r="H1973" t="s">
        <v>21</v>
      </c>
      <c r="I1973" t="s">
        <v>60</v>
      </c>
      <c r="J1973" t="s">
        <v>61</v>
      </c>
      <c r="L1973" t="s">
        <v>86</v>
      </c>
      <c r="M1973" t="s">
        <v>83</v>
      </c>
    </row>
    <row r="1974" spans="1:13">
      <c r="A1974">
        <v>45822</v>
      </c>
      <c r="B1974" t="s">
        <v>2015</v>
      </c>
      <c r="D1974">
        <v>500</v>
      </c>
      <c r="F1974">
        <v>0</v>
      </c>
      <c r="G1974" t="s">
        <v>22</v>
      </c>
      <c r="H1974" t="s">
        <v>21</v>
      </c>
      <c r="I1974" t="s">
        <v>60</v>
      </c>
      <c r="J1974" t="s">
        <v>61</v>
      </c>
      <c r="L1974" t="s">
        <v>86</v>
      </c>
      <c r="M1974" t="s">
        <v>83</v>
      </c>
    </row>
    <row r="1975" spans="1:13">
      <c r="A1975">
        <v>45822</v>
      </c>
      <c r="B1975" t="s">
        <v>2016</v>
      </c>
      <c r="D1975">
        <v>500</v>
      </c>
      <c r="F1975">
        <v>1</v>
      </c>
      <c r="G1975" t="s">
        <v>22</v>
      </c>
      <c r="H1975" t="s">
        <v>21</v>
      </c>
      <c r="I1975" t="s">
        <v>60</v>
      </c>
      <c r="J1975" t="s">
        <v>61</v>
      </c>
      <c r="L1975" t="s">
        <v>86</v>
      </c>
    </row>
    <row r="1976" spans="1:13">
      <c r="A1976">
        <v>45822</v>
      </c>
      <c r="B1976" t="s">
        <v>2017</v>
      </c>
      <c r="F1976">
        <v>1</v>
      </c>
      <c r="G1976" t="s">
        <v>79</v>
      </c>
      <c r="H1976" t="s">
        <v>21</v>
      </c>
      <c r="L1976" t="s">
        <v>86</v>
      </c>
    </row>
    <row r="1977" spans="1:13">
      <c r="A1977">
        <v>45822</v>
      </c>
      <c r="B1977" t="s">
        <v>2017</v>
      </c>
      <c r="F1977">
        <v>1</v>
      </c>
      <c r="G1977" t="s">
        <v>64</v>
      </c>
      <c r="L1977" t="s">
        <v>86</v>
      </c>
      <c r="M1977" t="s">
        <v>2018</v>
      </c>
    </row>
    <row r="1978" spans="1:13">
      <c r="A1978">
        <v>45822</v>
      </c>
      <c r="B1978" t="s">
        <v>2019</v>
      </c>
      <c r="F1978">
        <v>1</v>
      </c>
      <c r="G1978" t="s">
        <v>750</v>
      </c>
      <c r="H1978" t="s">
        <v>21</v>
      </c>
      <c r="L1978" t="s">
        <v>86</v>
      </c>
    </row>
    <row r="1979" spans="1:13">
      <c r="A1979">
        <v>45822</v>
      </c>
      <c r="B1979" t="s">
        <v>2020</v>
      </c>
      <c r="D1979">
        <v>500</v>
      </c>
      <c r="F1979">
        <v>0</v>
      </c>
      <c r="G1979" t="s">
        <v>22</v>
      </c>
      <c r="H1979" t="s">
        <v>21</v>
      </c>
      <c r="I1979" t="s">
        <v>60</v>
      </c>
      <c r="J1979" t="s">
        <v>61</v>
      </c>
      <c r="L1979" t="s">
        <v>86</v>
      </c>
      <c r="M1979" t="s">
        <v>83</v>
      </c>
    </row>
    <row r="1980" spans="1:13">
      <c r="A1980">
        <v>45822</v>
      </c>
      <c r="B1980" t="s">
        <v>2021</v>
      </c>
      <c r="D1980">
        <v>500</v>
      </c>
      <c r="F1980">
        <v>0</v>
      </c>
      <c r="G1980" t="s">
        <v>22</v>
      </c>
      <c r="H1980" t="s">
        <v>21</v>
      </c>
      <c r="I1980" t="s">
        <v>60</v>
      </c>
      <c r="J1980" t="s">
        <v>61</v>
      </c>
      <c r="L1980" t="s">
        <v>86</v>
      </c>
      <c r="M1980" t="s">
        <v>83</v>
      </c>
    </row>
    <row r="1981" spans="1:13">
      <c r="A1981">
        <v>45822</v>
      </c>
      <c r="B1981" t="s">
        <v>2022</v>
      </c>
      <c r="D1981">
        <v>500</v>
      </c>
      <c r="F1981">
        <v>0</v>
      </c>
      <c r="G1981" t="s">
        <v>22</v>
      </c>
      <c r="H1981" t="s">
        <v>21</v>
      </c>
      <c r="I1981" t="s">
        <v>60</v>
      </c>
      <c r="J1981" t="s">
        <v>61</v>
      </c>
      <c r="L1981" t="s">
        <v>86</v>
      </c>
      <c r="M1981" t="s">
        <v>83</v>
      </c>
    </row>
    <row r="1982" spans="1:13">
      <c r="A1982">
        <v>45822</v>
      </c>
      <c r="B1982" t="s">
        <v>63</v>
      </c>
      <c r="D1982">
        <v>5000</v>
      </c>
      <c r="F1982">
        <v>1</v>
      </c>
      <c r="G1982" t="s">
        <v>70</v>
      </c>
      <c r="I1982" t="s">
        <v>71</v>
      </c>
      <c r="J1982" t="s">
        <v>72</v>
      </c>
      <c r="K1982" t="s">
        <v>2023</v>
      </c>
      <c r="L1982" t="s">
        <v>62</v>
      </c>
      <c r="M1982" t="s">
        <v>90</v>
      </c>
    </row>
    <row r="1983" spans="1:13">
      <c r="A1983">
        <v>45822</v>
      </c>
      <c r="B1983" t="s">
        <v>63</v>
      </c>
      <c r="D1983">
        <v>18500</v>
      </c>
      <c r="F1983">
        <v>2</v>
      </c>
      <c r="G1983" t="s">
        <v>70</v>
      </c>
      <c r="I1983" t="s">
        <v>71</v>
      </c>
      <c r="J1983" t="s">
        <v>72</v>
      </c>
      <c r="K1983" t="s">
        <v>2024</v>
      </c>
      <c r="L1983" t="s">
        <v>62</v>
      </c>
      <c r="M1983" t="s">
        <v>2025</v>
      </c>
    </row>
    <row r="1984" spans="1:13">
      <c r="A1984">
        <v>45822</v>
      </c>
      <c r="B1984" t="s">
        <v>63</v>
      </c>
      <c r="D1984">
        <v>15000</v>
      </c>
      <c r="F1984">
        <v>2</v>
      </c>
      <c r="G1984" t="s">
        <v>70</v>
      </c>
      <c r="I1984" t="s">
        <v>71</v>
      </c>
      <c r="J1984" t="s">
        <v>72</v>
      </c>
      <c r="K1984" t="s">
        <v>2026</v>
      </c>
      <c r="L1984" t="s">
        <v>62</v>
      </c>
      <c r="M1984" t="s">
        <v>90</v>
      </c>
    </row>
    <row r="1985" spans="1:13">
      <c r="A1985">
        <v>45822</v>
      </c>
      <c r="B1985" t="s">
        <v>546</v>
      </c>
      <c r="F1985">
        <v>-14</v>
      </c>
      <c r="G1985" t="s">
        <v>22</v>
      </c>
      <c r="H1985" t="s">
        <v>93</v>
      </c>
      <c r="L1985" t="s">
        <v>101</v>
      </c>
    </row>
    <row r="1986" spans="1:13">
      <c r="A1986">
        <v>45822</v>
      </c>
      <c r="B1986" t="s">
        <v>624</v>
      </c>
      <c r="D1986">
        <v>-31200</v>
      </c>
      <c r="G1986" t="s">
        <v>77</v>
      </c>
      <c r="I1986" t="s">
        <v>60</v>
      </c>
      <c r="J1986" t="s">
        <v>61</v>
      </c>
      <c r="L1986" t="s">
        <v>62</v>
      </c>
    </row>
    <row r="1987" spans="1:13">
      <c r="A1987">
        <v>45822</v>
      </c>
      <c r="B1987" t="s">
        <v>624</v>
      </c>
      <c r="E1987">
        <v>-1650</v>
      </c>
      <c r="G1987" t="s">
        <v>65</v>
      </c>
      <c r="H1987" t="s">
        <v>85</v>
      </c>
      <c r="I1987" t="s">
        <v>60</v>
      </c>
      <c r="J1987" t="s">
        <v>61</v>
      </c>
      <c r="L1987" t="s">
        <v>62</v>
      </c>
    </row>
    <row r="1988" spans="1:13">
      <c r="A1988">
        <v>45822</v>
      </c>
      <c r="B1988" t="s">
        <v>76</v>
      </c>
      <c r="D1988">
        <v>5000</v>
      </c>
      <c r="G1988" t="s">
        <v>77</v>
      </c>
      <c r="I1988" t="s">
        <v>60</v>
      </c>
      <c r="J1988" t="s">
        <v>61</v>
      </c>
      <c r="L1988" t="s">
        <v>62</v>
      </c>
    </row>
    <row r="1989" spans="1:13">
      <c r="A1989">
        <v>45823</v>
      </c>
      <c r="B1989" t="s">
        <v>2027</v>
      </c>
      <c r="F1989">
        <v>1</v>
      </c>
      <c r="G1989" t="s">
        <v>107</v>
      </c>
      <c r="H1989" t="s">
        <v>21</v>
      </c>
      <c r="L1989" t="s">
        <v>82</v>
      </c>
    </row>
    <row r="1990" spans="1:13">
      <c r="A1990">
        <v>45823</v>
      </c>
      <c r="B1990" t="s">
        <v>63</v>
      </c>
      <c r="D1990">
        <v>52500</v>
      </c>
      <c r="G1990" t="s">
        <v>70</v>
      </c>
      <c r="I1990" t="s">
        <v>60</v>
      </c>
      <c r="J1990" t="s">
        <v>61</v>
      </c>
      <c r="L1990" t="s">
        <v>62</v>
      </c>
    </row>
    <row r="1991" spans="1:13">
      <c r="A1991">
        <v>45823</v>
      </c>
      <c r="B1991" t="s">
        <v>2028</v>
      </c>
      <c r="D1991">
        <v>500</v>
      </c>
      <c r="F1991">
        <v>1</v>
      </c>
      <c r="G1991" t="s">
        <v>22</v>
      </c>
      <c r="H1991" t="s">
        <v>21</v>
      </c>
      <c r="I1991" t="s">
        <v>60</v>
      </c>
      <c r="J1991" t="s">
        <v>61</v>
      </c>
      <c r="L1991" t="s">
        <v>82</v>
      </c>
    </row>
    <row r="1992" spans="1:13">
      <c r="A1992">
        <v>45823</v>
      </c>
      <c r="B1992" t="s">
        <v>63</v>
      </c>
      <c r="D1992">
        <v>200</v>
      </c>
      <c r="F1992">
        <v>2</v>
      </c>
      <c r="G1992" t="s">
        <v>22</v>
      </c>
      <c r="H1992" t="s">
        <v>93</v>
      </c>
      <c r="I1992" t="s">
        <v>60</v>
      </c>
      <c r="J1992" t="s">
        <v>61</v>
      </c>
      <c r="L1992" t="s">
        <v>62</v>
      </c>
    </row>
    <row r="1993" spans="1:13">
      <c r="A1993">
        <v>45823</v>
      </c>
      <c r="B1993" t="s">
        <v>2029</v>
      </c>
      <c r="D1993">
        <v>500</v>
      </c>
      <c r="F1993">
        <v>1</v>
      </c>
      <c r="G1993" t="s">
        <v>22</v>
      </c>
      <c r="H1993" t="s">
        <v>21</v>
      </c>
      <c r="I1993" t="s">
        <v>60</v>
      </c>
      <c r="J1993" t="s">
        <v>61</v>
      </c>
      <c r="L1993" t="s">
        <v>82</v>
      </c>
    </row>
    <row r="1994" spans="1:13">
      <c r="A1994">
        <v>45823</v>
      </c>
      <c r="B1994" t="s">
        <v>2030</v>
      </c>
      <c r="F1994">
        <v>1</v>
      </c>
      <c r="G1994" t="s">
        <v>64</v>
      </c>
      <c r="L1994" t="s">
        <v>82</v>
      </c>
      <c r="M1994" t="s">
        <v>2018</v>
      </c>
    </row>
    <row r="1995" spans="1:13">
      <c r="A1995">
        <v>45823</v>
      </c>
      <c r="B1995" t="s">
        <v>2031</v>
      </c>
      <c r="F1995">
        <v>1</v>
      </c>
      <c r="G1995" t="s">
        <v>377</v>
      </c>
      <c r="H1995" t="s">
        <v>21</v>
      </c>
      <c r="L1995" t="s">
        <v>86</v>
      </c>
    </row>
    <row r="1996" spans="1:13">
      <c r="A1996">
        <v>45823</v>
      </c>
      <c r="B1996" t="s">
        <v>2032</v>
      </c>
      <c r="F1996">
        <v>1</v>
      </c>
      <c r="G1996" t="s">
        <v>377</v>
      </c>
      <c r="H1996" t="s">
        <v>21</v>
      </c>
      <c r="L1996" t="s">
        <v>86</v>
      </c>
    </row>
    <row r="1997" spans="1:13">
      <c r="A1997">
        <v>45823</v>
      </c>
      <c r="B1997" t="s">
        <v>63</v>
      </c>
      <c r="D1997">
        <v>12000</v>
      </c>
      <c r="F1997">
        <v>1</v>
      </c>
      <c r="G1997" t="s">
        <v>70</v>
      </c>
      <c r="I1997" t="s">
        <v>71</v>
      </c>
      <c r="J1997" t="s">
        <v>72</v>
      </c>
      <c r="K1997" t="s">
        <v>2033</v>
      </c>
      <c r="L1997" t="s">
        <v>62</v>
      </c>
      <c r="M1997" t="s">
        <v>90</v>
      </c>
    </row>
    <row r="1998" spans="1:13">
      <c r="A1998">
        <v>45823</v>
      </c>
      <c r="B1998" t="s">
        <v>2034</v>
      </c>
      <c r="D1998">
        <v>500</v>
      </c>
      <c r="F1998">
        <v>1</v>
      </c>
      <c r="G1998" t="s">
        <v>22</v>
      </c>
      <c r="H1998" t="s">
        <v>21</v>
      </c>
      <c r="I1998" t="s">
        <v>60</v>
      </c>
      <c r="J1998" t="s">
        <v>61</v>
      </c>
      <c r="L1998" t="s">
        <v>86</v>
      </c>
    </row>
    <row r="1999" spans="1:13">
      <c r="A1999">
        <v>45823</v>
      </c>
      <c r="B1999" t="s">
        <v>2035</v>
      </c>
      <c r="F1999">
        <v>1</v>
      </c>
      <c r="G1999" t="s">
        <v>79</v>
      </c>
      <c r="H1999" t="s">
        <v>21</v>
      </c>
      <c r="L1999" t="s">
        <v>86</v>
      </c>
    </row>
    <row r="2000" spans="1:13">
      <c r="A2000">
        <v>45823</v>
      </c>
      <c r="B2000" t="s">
        <v>2035</v>
      </c>
      <c r="D2000">
        <v>0</v>
      </c>
      <c r="F2000">
        <v>0</v>
      </c>
      <c r="G2000" t="s">
        <v>22</v>
      </c>
      <c r="H2000" t="s">
        <v>21</v>
      </c>
      <c r="I2000" t="s">
        <v>60</v>
      </c>
      <c r="J2000" t="s">
        <v>61</v>
      </c>
      <c r="L2000" t="s">
        <v>86</v>
      </c>
      <c r="M2000" t="s">
        <v>2009</v>
      </c>
    </row>
    <row r="2001" spans="1:13">
      <c r="A2001">
        <v>45823</v>
      </c>
      <c r="B2001" t="s">
        <v>76</v>
      </c>
      <c r="D2001">
        <v>3000</v>
      </c>
      <c r="G2001" t="s">
        <v>77</v>
      </c>
      <c r="I2001" t="s">
        <v>60</v>
      </c>
      <c r="J2001" t="s">
        <v>61</v>
      </c>
      <c r="L2001" t="s">
        <v>62</v>
      </c>
    </row>
    <row r="2002" spans="1:13">
      <c r="A2002">
        <v>45823</v>
      </c>
      <c r="B2002" t="s">
        <v>2036</v>
      </c>
      <c r="D2002">
        <v>500</v>
      </c>
      <c r="F2002">
        <v>1</v>
      </c>
      <c r="G2002" t="s">
        <v>22</v>
      </c>
      <c r="H2002" t="s">
        <v>21</v>
      </c>
      <c r="I2002" t="s">
        <v>60</v>
      </c>
      <c r="J2002" t="s">
        <v>61</v>
      </c>
      <c r="L2002" t="s">
        <v>86</v>
      </c>
    </row>
    <row r="2003" spans="1:13">
      <c r="A2003">
        <v>45824</v>
      </c>
      <c r="B2003" t="s">
        <v>2035</v>
      </c>
      <c r="D2003">
        <v>0</v>
      </c>
      <c r="F2003">
        <v>1</v>
      </c>
      <c r="G2003" t="s">
        <v>22</v>
      </c>
      <c r="H2003" t="s">
        <v>21</v>
      </c>
      <c r="I2003" t="s">
        <v>60</v>
      </c>
      <c r="J2003" t="s">
        <v>61</v>
      </c>
      <c r="L2003" t="s">
        <v>82</v>
      </c>
      <c r="M2003" t="s">
        <v>2037</v>
      </c>
    </row>
    <row r="2004" spans="1:13">
      <c r="A2004">
        <v>45824</v>
      </c>
      <c r="B2004" t="s">
        <v>2038</v>
      </c>
      <c r="D2004">
        <v>500</v>
      </c>
      <c r="F2004">
        <v>1</v>
      </c>
      <c r="G2004" t="s">
        <v>22</v>
      </c>
      <c r="H2004" t="s">
        <v>21</v>
      </c>
      <c r="I2004" t="s">
        <v>60</v>
      </c>
      <c r="J2004" t="s">
        <v>61</v>
      </c>
      <c r="L2004" t="s">
        <v>82</v>
      </c>
    </row>
    <row r="2005" spans="1:13">
      <c r="A2005">
        <v>45824</v>
      </c>
      <c r="B2005" t="s">
        <v>2039</v>
      </c>
      <c r="D2005">
        <v>500</v>
      </c>
      <c r="F2005">
        <v>1</v>
      </c>
      <c r="G2005" t="s">
        <v>22</v>
      </c>
      <c r="H2005" t="s">
        <v>21</v>
      </c>
      <c r="I2005" t="s">
        <v>60</v>
      </c>
      <c r="J2005" t="s">
        <v>61</v>
      </c>
      <c r="L2005" t="s">
        <v>82</v>
      </c>
    </row>
    <row r="2006" spans="1:13">
      <c r="A2006">
        <v>45824</v>
      </c>
      <c r="B2006" t="s">
        <v>2040</v>
      </c>
      <c r="F2006">
        <v>1</v>
      </c>
      <c r="G2006" t="s">
        <v>79</v>
      </c>
      <c r="H2006" t="s">
        <v>21</v>
      </c>
      <c r="L2006" t="s">
        <v>82</v>
      </c>
    </row>
    <row r="2007" spans="1:13">
      <c r="A2007">
        <v>45824</v>
      </c>
      <c r="B2007" t="s">
        <v>2041</v>
      </c>
      <c r="F2007">
        <v>1</v>
      </c>
      <c r="G2007" t="s">
        <v>64</v>
      </c>
      <c r="L2007" t="s">
        <v>89</v>
      </c>
      <c r="M2007" t="s">
        <v>96</v>
      </c>
    </row>
    <row r="2008" spans="1:13">
      <c r="A2008">
        <v>45824</v>
      </c>
      <c r="B2008" t="s">
        <v>2042</v>
      </c>
      <c r="F2008">
        <v>1</v>
      </c>
      <c r="G2008" t="s">
        <v>79</v>
      </c>
      <c r="H2008" t="s">
        <v>21</v>
      </c>
      <c r="L2008" t="s">
        <v>89</v>
      </c>
    </row>
    <row r="2009" spans="1:13">
      <c r="A2009">
        <v>45824</v>
      </c>
      <c r="B2009" t="s">
        <v>2043</v>
      </c>
      <c r="F2009">
        <v>1</v>
      </c>
      <c r="G2009" t="s">
        <v>64</v>
      </c>
      <c r="L2009" t="s">
        <v>89</v>
      </c>
      <c r="M2009" t="s">
        <v>96</v>
      </c>
    </row>
    <row r="2010" spans="1:13">
      <c r="A2010">
        <v>45824</v>
      </c>
      <c r="B2010" t="s">
        <v>2044</v>
      </c>
      <c r="F2010">
        <v>1</v>
      </c>
      <c r="G2010" t="s">
        <v>79</v>
      </c>
      <c r="H2010" t="s">
        <v>21</v>
      </c>
      <c r="L2010" t="s">
        <v>89</v>
      </c>
    </row>
    <row r="2011" spans="1:13">
      <c r="A2011">
        <v>45824</v>
      </c>
      <c r="B2011" t="s">
        <v>2045</v>
      </c>
      <c r="F2011">
        <v>1</v>
      </c>
      <c r="G2011" t="s">
        <v>79</v>
      </c>
      <c r="H2011" t="s">
        <v>21</v>
      </c>
      <c r="L2011" t="s">
        <v>89</v>
      </c>
    </row>
    <row r="2012" spans="1:13">
      <c r="A2012">
        <v>45824</v>
      </c>
      <c r="B2012" t="s">
        <v>2046</v>
      </c>
      <c r="D2012">
        <v>500</v>
      </c>
      <c r="F2012">
        <v>1</v>
      </c>
      <c r="G2012" t="s">
        <v>22</v>
      </c>
      <c r="H2012" t="s">
        <v>21</v>
      </c>
      <c r="I2012" t="s">
        <v>60</v>
      </c>
      <c r="J2012" t="s">
        <v>61</v>
      </c>
      <c r="L2012" t="s">
        <v>82</v>
      </c>
    </row>
    <row r="2013" spans="1:13">
      <c r="A2013">
        <v>45824</v>
      </c>
      <c r="B2013" t="s">
        <v>2047</v>
      </c>
      <c r="D2013">
        <v>500</v>
      </c>
      <c r="F2013">
        <v>1</v>
      </c>
      <c r="G2013" t="s">
        <v>22</v>
      </c>
      <c r="H2013" t="s">
        <v>21</v>
      </c>
      <c r="I2013" t="s">
        <v>60</v>
      </c>
      <c r="J2013" t="s">
        <v>61</v>
      </c>
      <c r="L2013" t="s">
        <v>82</v>
      </c>
    </row>
    <row r="2014" spans="1:13">
      <c r="A2014">
        <v>45824</v>
      </c>
      <c r="B2014" t="s">
        <v>2048</v>
      </c>
      <c r="F2014">
        <v>1</v>
      </c>
      <c r="G2014" t="s">
        <v>79</v>
      </c>
      <c r="H2014" t="s">
        <v>21</v>
      </c>
      <c r="L2014" t="s">
        <v>89</v>
      </c>
    </row>
    <row r="2015" spans="1:13">
      <c r="A2015">
        <v>45824</v>
      </c>
      <c r="B2015" t="s">
        <v>2048</v>
      </c>
      <c r="F2015">
        <v>1</v>
      </c>
      <c r="G2015" t="s">
        <v>64</v>
      </c>
      <c r="L2015" t="s">
        <v>89</v>
      </c>
      <c r="M2015" t="s">
        <v>2018</v>
      </c>
    </row>
    <row r="2016" spans="1:13">
      <c r="A2016">
        <v>45824</v>
      </c>
      <c r="B2016" t="s">
        <v>2049</v>
      </c>
      <c r="D2016">
        <v>500</v>
      </c>
      <c r="F2016">
        <v>1</v>
      </c>
      <c r="G2016" t="s">
        <v>22</v>
      </c>
      <c r="H2016" t="s">
        <v>21</v>
      </c>
      <c r="I2016" t="s">
        <v>60</v>
      </c>
      <c r="J2016" t="s">
        <v>61</v>
      </c>
      <c r="L2016" t="s">
        <v>82</v>
      </c>
      <c r="M2016" t="s">
        <v>83</v>
      </c>
    </row>
    <row r="2017" spans="1:13">
      <c r="A2017">
        <v>45824</v>
      </c>
      <c r="B2017" t="s">
        <v>2050</v>
      </c>
      <c r="D2017">
        <v>500</v>
      </c>
      <c r="F2017">
        <v>1</v>
      </c>
      <c r="G2017" t="s">
        <v>22</v>
      </c>
      <c r="H2017" t="s">
        <v>21</v>
      </c>
      <c r="I2017" t="s">
        <v>60</v>
      </c>
      <c r="J2017" t="s">
        <v>61</v>
      </c>
      <c r="L2017" t="s">
        <v>82</v>
      </c>
    </row>
    <row r="2018" spans="1:13">
      <c r="A2018">
        <v>45824</v>
      </c>
      <c r="B2018" t="s">
        <v>63</v>
      </c>
      <c r="D2018">
        <v>28000</v>
      </c>
      <c r="G2018" t="s">
        <v>70</v>
      </c>
      <c r="I2018" t="s">
        <v>60</v>
      </c>
      <c r="J2018" t="s">
        <v>61</v>
      </c>
      <c r="L2018" t="s">
        <v>62</v>
      </c>
    </row>
    <row r="2019" spans="1:13">
      <c r="A2019">
        <v>45824</v>
      </c>
      <c r="B2019" t="s">
        <v>63</v>
      </c>
      <c r="D2019">
        <v>7500</v>
      </c>
      <c r="F2019">
        <v>1</v>
      </c>
      <c r="G2019" t="s">
        <v>70</v>
      </c>
      <c r="I2019" t="s">
        <v>71</v>
      </c>
      <c r="J2019" t="s">
        <v>72</v>
      </c>
      <c r="K2019" t="s">
        <v>2051</v>
      </c>
      <c r="L2019" t="s">
        <v>62</v>
      </c>
      <c r="M2019" t="s">
        <v>1258</v>
      </c>
    </row>
    <row r="2020" spans="1:13">
      <c r="A2020">
        <v>45824</v>
      </c>
      <c r="B2020" t="s">
        <v>63</v>
      </c>
      <c r="D2020">
        <v>14000</v>
      </c>
      <c r="F2020">
        <v>1</v>
      </c>
      <c r="G2020" t="s">
        <v>70</v>
      </c>
      <c r="I2020" t="s">
        <v>71</v>
      </c>
      <c r="J2020" t="s">
        <v>535</v>
      </c>
      <c r="K2020" t="s">
        <v>2052</v>
      </c>
      <c r="L2020" t="s">
        <v>62</v>
      </c>
      <c r="M2020" t="s">
        <v>90</v>
      </c>
    </row>
    <row r="2021" spans="1:13">
      <c r="A2021">
        <v>45824</v>
      </c>
      <c r="B2021" t="s">
        <v>2053</v>
      </c>
      <c r="D2021">
        <v>500</v>
      </c>
      <c r="F2021">
        <v>1</v>
      </c>
      <c r="G2021" t="s">
        <v>22</v>
      </c>
      <c r="H2021" t="s">
        <v>21</v>
      </c>
      <c r="I2021" t="s">
        <v>60</v>
      </c>
      <c r="J2021" t="s">
        <v>61</v>
      </c>
      <c r="L2021" t="s">
        <v>89</v>
      </c>
    </row>
    <row r="2022" spans="1:13">
      <c r="A2022">
        <v>45824</v>
      </c>
      <c r="B2022" t="s">
        <v>2054</v>
      </c>
      <c r="D2022">
        <v>500</v>
      </c>
      <c r="F2022">
        <v>1</v>
      </c>
      <c r="G2022" t="s">
        <v>22</v>
      </c>
      <c r="H2022" t="s">
        <v>21</v>
      </c>
      <c r="I2022" t="s">
        <v>60</v>
      </c>
      <c r="J2022" t="s">
        <v>61</v>
      </c>
      <c r="L2022" t="s">
        <v>82</v>
      </c>
    </row>
    <row r="2023" spans="1:13">
      <c r="A2023">
        <v>45824</v>
      </c>
      <c r="B2023" t="s">
        <v>2055</v>
      </c>
      <c r="D2023">
        <v>500</v>
      </c>
      <c r="F2023">
        <v>1</v>
      </c>
      <c r="G2023" t="s">
        <v>22</v>
      </c>
      <c r="H2023" t="s">
        <v>21</v>
      </c>
      <c r="I2023" t="s">
        <v>60</v>
      </c>
      <c r="J2023" t="s">
        <v>61</v>
      </c>
      <c r="L2023" t="s">
        <v>82</v>
      </c>
    </row>
    <row r="2024" spans="1:13">
      <c r="A2024">
        <v>45824</v>
      </c>
      <c r="B2024" t="s">
        <v>719</v>
      </c>
      <c r="E2024">
        <v>143318</v>
      </c>
      <c r="F2024">
        <v>1</v>
      </c>
      <c r="G2024" t="s">
        <v>65</v>
      </c>
      <c r="H2024" t="s">
        <v>348</v>
      </c>
      <c r="I2024" t="s">
        <v>60</v>
      </c>
      <c r="J2024" t="s">
        <v>61</v>
      </c>
      <c r="L2024" t="s">
        <v>88</v>
      </c>
      <c r="M2024" t="s">
        <v>670</v>
      </c>
    </row>
    <row r="2025" spans="1:13">
      <c r="A2025">
        <v>45824</v>
      </c>
      <c r="B2025" t="s">
        <v>2056</v>
      </c>
      <c r="E2025">
        <v>684513</v>
      </c>
      <c r="F2025">
        <v>1</v>
      </c>
      <c r="G2025" t="s">
        <v>65</v>
      </c>
      <c r="H2025" t="s">
        <v>66</v>
      </c>
      <c r="I2025" t="s">
        <v>60</v>
      </c>
      <c r="J2025" t="s">
        <v>61</v>
      </c>
      <c r="L2025" t="s">
        <v>167</v>
      </c>
    </row>
    <row r="2026" spans="1:13">
      <c r="A2026">
        <v>45824</v>
      </c>
      <c r="B2026" t="s">
        <v>76</v>
      </c>
      <c r="D2026">
        <v>5000</v>
      </c>
      <c r="G2026" t="s">
        <v>77</v>
      </c>
      <c r="I2026" t="s">
        <v>60</v>
      </c>
      <c r="J2026" t="s">
        <v>61</v>
      </c>
      <c r="L2026" t="s">
        <v>62</v>
      </c>
    </row>
    <row r="2027" spans="1:13">
      <c r="A2027">
        <v>45824</v>
      </c>
      <c r="B2027" t="s">
        <v>63</v>
      </c>
      <c r="D2027">
        <v>100</v>
      </c>
      <c r="F2027">
        <v>1</v>
      </c>
      <c r="G2027" t="s">
        <v>22</v>
      </c>
      <c r="H2027" t="s">
        <v>93</v>
      </c>
      <c r="I2027" t="s">
        <v>60</v>
      </c>
      <c r="J2027" t="s">
        <v>61</v>
      </c>
      <c r="L2027" t="s">
        <v>62</v>
      </c>
    </row>
    <row r="2028" spans="1:13">
      <c r="A2028">
        <v>45825</v>
      </c>
      <c r="B2028" t="s">
        <v>81</v>
      </c>
      <c r="D2028">
        <v>50000</v>
      </c>
      <c r="F2028">
        <v>1</v>
      </c>
      <c r="G2028" t="s">
        <v>74</v>
      </c>
      <c r="H2028" t="s">
        <v>75</v>
      </c>
      <c r="I2028" t="s">
        <v>60</v>
      </c>
      <c r="J2028" t="s">
        <v>61</v>
      </c>
      <c r="L2028" t="s">
        <v>88</v>
      </c>
      <c r="M2028" t="s">
        <v>1684</v>
      </c>
    </row>
    <row r="2029" spans="1:13">
      <c r="A2029">
        <v>45825</v>
      </c>
      <c r="B2029" t="s">
        <v>1873</v>
      </c>
      <c r="C2029" t="s">
        <v>2057</v>
      </c>
      <c r="F2029">
        <v>14</v>
      </c>
      <c r="G2029" t="s">
        <v>22</v>
      </c>
      <c r="H2029" t="s">
        <v>21</v>
      </c>
      <c r="L2029" t="s">
        <v>95</v>
      </c>
    </row>
    <row r="2030" spans="1:13">
      <c r="A2030">
        <v>45825</v>
      </c>
      <c r="B2030" t="s">
        <v>2058</v>
      </c>
      <c r="F2030">
        <v>1</v>
      </c>
      <c r="G2030" t="s">
        <v>64</v>
      </c>
      <c r="L2030" t="s">
        <v>82</v>
      </c>
      <c r="M2030" t="s">
        <v>2059</v>
      </c>
    </row>
    <row r="2031" spans="1:13">
      <c r="A2031">
        <v>45825</v>
      </c>
      <c r="B2031" t="s">
        <v>2060</v>
      </c>
      <c r="F2031">
        <v>1</v>
      </c>
      <c r="G2031" t="s">
        <v>79</v>
      </c>
      <c r="H2031" t="s">
        <v>21</v>
      </c>
      <c r="L2031" t="s">
        <v>82</v>
      </c>
    </row>
    <row r="2032" spans="1:13">
      <c r="A2032">
        <v>45825</v>
      </c>
      <c r="B2032" t="s">
        <v>2060</v>
      </c>
      <c r="D2032">
        <v>146699.01</v>
      </c>
      <c r="F2032">
        <v>1</v>
      </c>
      <c r="G2032" t="s">
        <v>64</v>
      </c>
      <c r="I2032" t="s">
        <v>60</v>
      </c>
      <c r="J2032" t="s">
        <v>61</v>
      </c>
      <c r="L2032" t="s">
        <v>82</v>
      </c>
    </row>
    <row r="2033" spans="1:13">
      <c r="A2033">
        <v>45825</v>
      </c>
      <c r="B2033" t="s">
        <v>2061</v>
      </c>
      <c r="D2033">
        <v>500</v>
      </c>
      <c r="F2033">
        <v>1</v>
      </c>
      <c r="G2033" t="s">
        <v>22</v>
      </c>
      <c r="H2033" t="s">
        <v>21</v>
      </c>
      <c r="I2033" t="s">
        <v>60</v>
      </c>
      <c r="J2033" t="s">
        <v>61</v>
      </c>
      <c r="L2033" t="s">
        <v>89</v>
      </c>
    </row>
    <row r="2034" spans="1:13">
      <c r="A2034">
        <v>45825</v>
      </c>
      <c r="B2034" t="s">
        <v>2062</v>
      </c>
      <c r="F2034">
        <v>1</v>
      </c>
      <c r="G2034" t="s">
        <v>107</v>
      </c>
      <c r="H2034" t="s">
        <v>21</v>
      </c>
      <c r="L2034" t="s">
        <v>89</v>
      </c>
    </row>
    <row r="2035" spans="1:13">
      <c r="A2035">
        <v>45825</v>
      </c>
      <c r="B2035" t="s">
        <v>2063</v>
      </c>
      <c r="D2035">
        <v>500</v>
      </c>
      <c r="F2035">
        <v>1</v>
      </c>
      <c r="G2035" t="s">
        <v>22</v>
      </c>
      <c r="H2035" t="s">
        <v>21</v>
      </c>
      <c r="I2035" t="s">
        <v>60</v>
      </c>
      <c r="J2035" t="s">
        <v>61</v>
      </c>
      <c r="L2035" t="s">
        <v>89</v>
      </c>
    </row>
    <row r="2036" spans="1:13">
      <c r="A2036">
        <v>45825</v>
      </c>
      <c r="B2036" t="s">
        <v>2063</v>
      </c>
      <c r="D2036">
        <v>500</v>
      </c>
      <c r="F2036">
        <v>1</v>
      </c>
      <c r="G2036" t="s">
        <v>22</v>
      </c>
      <c r="H2036" t="s">
        <v>21</v>
      </c>
      <c r="I2036" t="s">
        <v>60</v>
      </c>
      <c r="J2036" t="s">
        <v>61</v>
      </c>
      <c r="L2036" t="s">
        <v>89</v>
      </c>
    </row>
    <row r="2037" spans="1:13">
      <c r="A2037">
        <v>45825</v>
      </c>
      <c r="B2037" t="s">
        <v>2064</v>
      </c>
      <c r="D2037">
        <v>500</v>
      </c>
      <c r="F2037">
        <v>1</v>
      </c>
      <c r="G2037" t="s">
        <v>22</v>
      </c>
      <c r="H2037" t="s">
        <v>21</v>
      </c>
      <c r="I2037" t="s">
        <v>60</v>
      </c>
      <c r="J2037" t="s">
        <v>61</v>
      </c>
      <c r="L2037" t="s">
        <v>89</v>
      </c>
    </row>
    <row r="2038" spans="1:13">
      <c r="A2038">
        <v>45825</v>
      </c>
      <c r="B2038" t="s">
        <v>2065</v>
      </c>
      <c r="F2038">
        <v>1</v>
      </c>
      <c r="G2038" t="s">
        <v>107</v>
      </c>
      <c r="H2038" t="s">
        <v>21</v>
      </c>
      <c r="L2038" t="s">
        <v>89</v>
      </c>
    </row>
    <row r="2039" spans="1:13">
      <c r="A2039">
        <v>45825</v>
      </c>
      <c r="B2039" t="s">
        <v>2066</v>
      </c>
      <c r="F2039">
        <v>1</v>
      </c>
      <c r="G2039" t="s">
        <v>107</v>
      </c>
      <c r="H2039" t="s">
        <v>21</v>
      </c>
      <c r="L2039" t="s">
        <v>89</v>
      </c>
    </row>
    <row r="2040" spans="1:13">
      <c r="A2040">
        <v>45826</v>
      </c>
      <c r="B2040" t="s">
        <v>81</v>
      </c>
      <c r="D2040">
        <v>58000</v>
      </c>
      <c r="F2040">
        <v>1</v>
      </c>
      <c r="G2040" t="s">
        <v>74</v>
      </c>
      <c r="H2040" t="s">
        <v>75</v>
      </c>
      <c r="I2040" t="s">
        <v>60</v>
      </c>
      <c r="J2040" t="s">
        <v>61</v>
      </c>
      <c r="L2040" t="s">
        <v>88</v>
      </c>
    </row>
    <row r="2041" spans="1:13">
      <c r="A2041">
        <v>45826</v>
      </c>
      <c r="B2041" t="s">
        <v>63</v>
      </c>
      <c r="D2041">
        <v>100</v>
      </c>
      <c r="F2041">
        <v>1</v>
      </c>
      <c r="G2041" t="s">
        <v>22</v>
      </c>
      <c r="H2041" t="s">
        <v>93</v>
      </c>
      <c r="I2041" t="s">
        <v>60</v>
      </c>
      <c r="J2041" t="s">
        <v>61</v>
      </c>
      <c r="L2041" t="s">
        <v>62</v>
      </c>
    </row>
    <row r="2042" spans="1:13">
      <c r="A2042">
        <v>45826</v>
      </c>
      <c r="B2042" t="s">
        <v>2067</v>
      </c>
      <c r="D2042">
        <v>500</v>
      </c>
      <c r="F2042">
        <v>0</v>
      </c>
      <c r="G2042" t="s">
        <v>22</v>
      </c>
      <c r="H2042" t="s">
        <v>21</v>
      </c>
      <c r="I2042" t="s">
        <v>60</v>
      </c>
      <c r="J2042" t="s">
        <v>61</v>
      </c>
      <c r="L2042" t="s">
        <v>86</v>
      </c>
      <c r="M2042" t="s">
        <v>83</v>
      </c>
    </row>
    <row r="2043" spans="1:13">
      <c r="A2043">
        <v>45826</v>
      </c>
      <c r="B2043" t="s">
        <v>63</v>
      </c>
      <c r="D2043">
        <v>7500</v>
      </c>
      <c r="F2043">
        <v>1</v>
      </c>
      <c r="G2043" t="s">
        <v>70</v>
      </c>
      <c r="I2043" t="s">
        <v>71</v>
      </c>
      <c r="J2043" t="s">
        <v>72</v>
      </c>
      <c r="K2043" t="s">
        <v>2068</v>
      </c>
      <c r="L2043" t="s">
        <v>62</v>
      </c>
      <c r="M2043" t="s">
        <v>90</v>
      </c>
    </row>
    <row r="2044" spans="1:13">
      <c r="A2044">
        <v>45826</v>
      </c>
      <c r="B2044" t="s">
        <v>63</v>
      </c>
      <c r="D2044">
        <v>10000</v>
      </c>
      <c r="G2044" t="s">
        <v>70</v>
      </c>
      <c r="I2044" t="s">
        <v>60</v>
      </c>
      <c r="J2044" t="s">
        <v>61</v>
      </c>
      <c r="L2044" t="s">
        <v>62</v>
      </c>
    </row>
    <row r="2045" spans="1:13">
      <c r="A2045">
        <v>45826</v>
      </c>
      <c r="B2045" t="s">
        <v>2069</v>
      </c>
      <c r="D2045">
        <v>500</v>
      </c>
      <c r="F2045">
        <v>1</v>
      </c>
      <c r="G2045" t="s">
        <v>22</v>
      </c>
      <c r="H2045" t="s">
        <v>21</v>
      </c>
      <c r="I2045" t="s">
        <v>60</v>
      </c>
      <c r="J2045" t="s">
        <v>61</v>
      </c>
      <c r="L2045" t="s">
        <v>82</v>
      </c>
    </row>
    <row r="2046" spans="1:13">
      <c r="A2046">
        <v>45826</v>
      </c>
      <c r="B2046" t="s">
        <v>2070</v>
      </c>
      <c r="F2046">
        <v>1</v>
      </c>
      <c r="G2046" t="s">
        <v>79</v>
      </c>
      <c r="H2046" t="s">
        <v>21</v>
      </c>
      <c r="L2046" t="s">
        <v>82</v>
      </c>
    </row>
    <row r="2047" spans="1:13">
      <c r="A2047">
        <v>45826</v>
      </c>
      <c r="B2047" t="s">
        <v>2071</v>
      </c>
      <c r="D2047">
        <v>500</v>
      </c>
      <c r="F2047">
        <v>1</v>
      </c>
      <c r="G2047" t="s">
        <v>22</v>
      </c>
      <c r="H2047" t="s">
        <v>21</v>
      </c>
      <c r="I2047" t="s">
        <v>60</v>
      </c>
      <c r="J2047" t="s">
        <v>61</v>
      </c>
      <c r="L2047" t="s">
        <v>82</v>
      </c>
    </row>
    <row r="2048" spans="1:13">
      <c r="A2048">
        <v>45826</v>
      </c>
      <c r="B2048" t="s">
        <v>2072</v>
      </c>
      <c r="D2048">
        <v>500</v>
      </c>
      <c r="F2048">
        <v>1</v>
      </c>
      <c r="G2048" t="s">
        <v>22</v>
      </c>
      <c r="H2048" t="s">
        <v>21</v>
      </c>
      <c r="I2048" t="s">
        <v>60</v>
      </c>
      <c r="J2048" t="s">
        <v>61</v>
      </c>
      <c r="L2048" t="s">
        <v>82</v>
      </c>
    </row>
    <row r="2049" spans="1:13">
      <c r="A2049">
        <v>45827</v>
      </c>
      <c r="B2049" t="s">
        <v>2073</v>
      </c>
      <c r="D2049">
        <v>500</v>
      </c>
      <c r="F2049">
        <v>1</v>
      </c>
      <c r="G2049" t="s">
        <v>22</v>
      </c>
      <c r="H2049" t="s">
        <v>21</v>
      </c>
      <c r="I2049" t="s">
        <v>60</v>
      </c>
      <c r="J2049" t="s">
        <v>61</v>
      </c>
      <c r="L2049" t="s">
        <v>89</v>
      </c>
    </row>
    <row r="2050" spans="1:13">
      <c r="A2050">
        <v>45827</v>
      </c>
      <c r="B2050" t="s">
        <v>2074</v>
      </c>
      <c r="D2050">
        <v>500</v>
      </c>
      <c r="F2050">
        <v>1</v>
      </c>
      <c r="G2050" t="s">
        <v>22</v>
      </c>
      <c r="H2050" t="s">
        <v>21</v>
      </c>
      <c r="I2050" t="s">
        <v>60</v>
      </c>
      <c r="J2050" t="s">
        <v>61</v>
      </c>
      <c r="L2050" t="s">
        <v>89</v>
      </c>
    </row>
    <row r="2051" spans="1:13">
      <c r="A2051">
        <v>45827</v>
      </c>
      <c r="B2051" t="s">
        <v>81</v>
      </c>
      <c r="D2051">
        <v>49000</v>
      </c>
      <c r="F2051">
        <v>1</v>
      </c>
      <c r="G2051" t="s">
        <v>74</v>
      </c>
      <c r="H2051" t="s">
        <v>75</v>
      </c>
      <c r="I2051" t="s">
        <v>60</v>
      </c>
      <c r="J2051" t="s">
        <v>61</v>
      </c>
      <c r="L2051" t="s">
        <v>88</v>
      </c>
      <c r="M2051" t="s">
        <v>955</v>
      </c>
    </row>
    <row r="2052" spans="1:13">
      <c r="A2052">
        <v>45827</v>
      </c>
      <c r="B2052" t="s">
        <v>63</v>
      </c>
      <c r="D2052">
        <v>100</v>
      </c>
      <c r="F2052">
        <v>1</v>
      </c>
      <c r="G2052" t="s">
        <v>22</v>
      </c>
      <c r="H2052" t="s">
        <v>93</v>
      </c>
      <c r="I2052" t="s">
        <v>60</v>
      </c>
      <c r="J2052" t="s">
        <v>61</v>
      </c>
      <c r="L2052" t="s">
        <v>62</v>
      </c>
    </row>
    <row r="2053" spans="1:13">
      <c r="A2053">
        <v>45827</v>
      </c>
      <c r="B2053" t="s">
        <v>2075</v>
      </c>
      <c r="D2053">
        <v>500</v>
      </c>
      <c r="F2053">
        <v>1</v>
      </c>
      <c r="G2053" t="s">
        <v>22</v>
      </c>
      <c r="H2053" t="s">
        <v>21</v>
      </c>
      <c r="I2053" t="s">
        <v>60</v>
      </c>
      <c r="J2053" t="s">
        <v>61</v>
      </c>
      <c r="L2053" t="s">
        <v>86</v>
      </c>
    </row>
    <row r="2054" spans="1:13">
      <c r="A2054">
        <v>45827</v>
      </c>
      <c r="B2054" t="s">
        <v>2076</v>
      </c>
      <c r="D2054">
        <v>500</v>
      </c>
      <c r="F2054">
        <v>1</v>
      </c>
      <c r="G2054" t="s">
        <v>22</v>
      </c>
      <c r="H2054" t="s">
        <v>21</v>
      </c>
      <c r="I2054" t="s">
        <v>60</v>
      </c>
      <c r="J2054" t="s">
        <v>61</v>
      </c>
      <c r="L2054" t="s">
        <v>86</v>
      </c>
    </row>
    <row r="2055" spans="1:13">
      <c r="A2055">
        <v>45827</v>
      </c>
      <c r="B2055" t="s">
        <v>2077</v>
      </c>
      <c r="D2055">
        <v>500</v>
      </c>
      <c r="F2055">
        <v>1</v>
      </c>
      <c r="G2055" t="s">
        <v>22</v>
      </c>
      <c r="H2055" t="s">
        <v>21</v>
      </c>
      <c r="I2055" t="s">
        <v>60</v>
      </c>
      <c r="J2055" t="s">
        <v>61</v>
      </c>
      <c r="L2055" t="s">
        <v>86</v>
      </c>
    </row>
    <row r="2056" spans="1:13">
      <c r="A2056">
        <v>45827</v>
      </c>
      <c r="B2056" t="s">
        <v>2078</v>
      </c>
      <c r="D2056">
        <v>500</v>
      </c>
      <c r="F2056">
        <v>1</v>
      </c>
      <c r="G2056" t="s">
        <v>22</v>
      </c>
      <c r="H2056" t="s">
        <v>21</v>
      </c>
      <c r="I2056" t="s">
        <v>60</v>
      </c>
      <c r="J2056" t="s">
        <v>61</v>
      </c>
      <c r="L2056" t="s">
        <v>86</v>
      </c>
    </row>
    <row r="2057" spans="1:13">
      <c r="A2057">
        <v>45827</v>
      </c>
      <c r="B2057" t="s">
        <v>2079</v>
      </c>
      <c r="F2057">
        <v>1</v>
      </c>
      <c r="G2057" t="s">
        <v>79</v>
      </c>
      <c r="H2057" t="s">
        <v>21</v>
      </c>
      <c r="L2057" t="s">
        <v>86</v>
      </c>
    </row>
    <row r="2058" spans="1:13">
      <c r="A2058">
        <v>45827</v>
      </c>
      <c r="B2058" t="s">
        <v>2080</v>
      </c>
      <c r="F2058">
        <v>1</v>
      </c>
      <c r="G2058" t="s">
        <v>79</v>
      </c>
      <c r="H2058" t="s">
        <v>21</v>
      </c>
      <c r="L2058" t="s">
        <v>86</v>
      </c>
    </row>
    <row r="2059" spans="1:13">
      <c r="A2059">
        <v>45827</v>
      </c>
      <c r="B2059" t="s">
        <v>2081</v>
      </c>
      <c r="F2059">
        <v>1</v>
      </c>
      <c r="G2059" t="s">
        <v>1889</v>
      </c>
      <c r="L2059" t="s">
        <v>89</v>
      </c>
    </row>
    <row r="2060" spans="1:13">
      <c r="A2060">
        <v>45828</v>
      </c>
      <c r="B2060" t="s">
        <v>2082</v>
      </c>
      <c r="D2060">
        <v>500</v>
      </c>
      <c r="F2060">
        <v>1</v>
      </c>
      <c r="G2060" t="s">
        <v>22</v>
      </c>
      <c r="H2060" t="s">
        <v>21</v>
      </c>
      <c r="I2060" t="s">
        <v>60</v>
      </c>
      <c r="J2060" t="s">
        <v>61</v>
      </c>
      <c r="L2060" t="s">
        <v>82</v>
      </c>
    </row>
    <row r="2061" spans="1:13">
      <c r="A2061">
        <v>45828</v>
      </c>
      <c r="B2061" t="s">
        <v>2083</v>
      </c>
      <c r="F2061">
        <v>1</v>
      </c>
      <c r="G2061" t="s">
        <v>64</v>
      </c>
      <c r="L2061" t="s">
        <v>82</v>
      </c>
      <c r="M2061" t="s">
        <v>96</v>
      </c>
    </row>
    <row r="2062" spans="1:13">
      <c r="A2062">
        <v>45828</v>
      </c>
      <c r="B2062" t="s">
        <v>63</v>
      </c>
      <c r="D2062">
        <v>15000</v>
      </c>
      <c r="F2062">
        <v>2</v>
      </c>
      <c r="G2062" t="s">
        <v>70</v>
      </c>
      <c r="I2062" t="s">
        <v>71</v>
      </c>
      <c r="J2062" t="s">
        <v>72</v>
      </c>
      <c r="K2062" t="s">
        <v>2084</v>
      </c>
      <c r="L2062" t="s">
        <v>62</v>
      </c>
      <c r="M2062" t="s">
        <v>90</v>
      </c>
    </row>
    <row r="2063" spans="1:13">
      <c r="A2063">
        <v>45829</v>
      </c>
      <c r="B2063" t="s">
        <v>559</v>
      </c>
      <c r="E2063">
        <v>10000</v>
      </c>
      <c r="F2063">
        <v>1</v>
      </c>
      <c r="G2063" t="s">
        <v>65</v>
      </c>
      <c r="H2063" t="s">
        <v>560</v>
      </c>
      <c r="I2063" t="s">
        <v>60</v>
      </c>
      <c r="J2063" t="s">
        <v>61</v>
      </c>
      <c r="L2063" t="s">
        <v>62</v>
      </c>
    </row>
    <row r="2064" spans="1:13">
      <c r="A2064">
        <v>45829</v>
      </c>
      <c r="B2064" t="s">
        <v>561</v>
      </c>
      <c r="E2064">
        <v>10000</v>
      </c>
      <c r="F2064">
        <v>1</v>
      </c>
      <c r="G2064" t="s">
        <v>65</v>
      </c>
      <c r="H2064" t="s">
        <v>560</v>
      </c>
      <c r="I2064" t="s">
        <v>60</v>
      </c>
      <c r="J2064" t="s">
        <v>61</v>
      </c>
      <c r="L2064" t="s">
        <v>62</v>
      </c>
    </row>
    <row r="2065" spans="1:13">
      <c r="A2065">
        <v>45829</v>
      </c>
      <c r="B2065" t="s">
        <v>2085</v>
      </c>
      <c r="F2065">
        <v>1</v>
      </c>
      <c r="G2065" t="s">
        <v>64</v>
      </c>
      <c r="L2065" t="s">
        <v>82</v>
      </c>
      <c r="M2065" t="s">
        <v>1099</v>
      </c>
    </row>
    <row r="2066" spans="1:13">
      <c r="A2066">
        <v>45829</v>
      </c>
      <c r="B2066" t="s">
        <v>2086</v>
      </c>
      <c r="D2066">
        <v>500</v>
      </c>
      <c r="F2066">
        <v>1</v>
      </c>
      <c r="G2066" t="s">
        <v>22</v>
      </c>
      <c r="H2066" t="s">
        <v>21</v>
      </c>
      <c r="I2066" t="s">
        <v>60</v>
      </c>
      <c r="J2066" t="s">
        <v>61</v>
      </c>
      <c r="L2066" t="s">
        <v>82</v>
      </c>
    </row>
    <row r="2067" spans="1:13">
      <c r="A2067">
        <v>45829</v>
      </c>
      <c r="B2067" t="s">
        <v>2087</v>
      </c>
      <c r="D2067">
        <v>500</v>
      </c>
      <c r="F2067">
        <v>1</v>
      </c>
      <c r="G2067" t="s">
        <v>22</v>
      </c>
      <c r="H2067" t="s">
        <v>21</v>
      </c>
      <c r="I2067" t="s">
        <v>60</v>
      </c>
      <c r="J2067" t="s">
        <v>61</v>
      </c>
      <c r="L2067" t="s">
        <v>82</v>
      </c>
    </row>
    <row r="2068" spans="1:13">
      <c r="A2068">
        <v>45829</v>
      </c>
      <c r="B2068" t="s">
        <v>2088</v>
      </c>
      <c r="D2068">
        <v>500</v>
      </c>
      <c r="F2068">
        <v>1</v>
      </c>
      <c r="G2068" t="s">
        <v>22</v>
      </c>
      <c r="H2068" t="s">
        <v>21</v>
      </c>
      <c r="I2068" t="s">
        <v>60</v>
      </c>
      <c r="J2068" t="s">
        <v>61</v>
      </c>
      <c r="L2068" t="s">
        <v>82</v>
      </c>
    </row>
    <row r="2069" spans="1:13">
      <c r="A2069">
        <v>45829</v>
      </c>
      <c r="B2069" t="s">
        <v>2089</v>
      </c>
      <c r="D2069">
        <v>500</v>
      </c>
      <c r="F2069">
        <v>1</v>
      </c>
      <c r="G2069" t="s">
        <v>22</v>
      </c>
      <c r="H2069" t="s">
        <v>21</v>
      </c>
      <c r="I2069" t="s">
        <v>60</v>
      </c>
      <c r="J2069" t="s">
        <v>61</v>
      </c>
      <c r="L2069" t="s">
        <v>82</v>
      </c>
    </row>
    <row r="2070" spans="1:13">
      <c r="A2070">
        <v>45829</v>
      </c>
      <c r="B2070" t="s">
        <v>63</v>
      </c>
      <c r="D2070">
        <v>9500</v>
      </c>
      <c r="F2070">
        <v>1</v>
      </c>
      <c r="G2070" t="s">
        <v>70</v>
      </c>
      <c r="I2070" t="s">
        <v>71</v>
      </c>
      <c r="J2070" t="s">
        <v>72</v>
      </c>
      <c r="K2070">
        <v>586</v>
      </c>
      <c r="L2070" t="s">
        <v>62</v>
      </c>
      <c r="M2070" t="s">
        <v>2090</v>
      </c>
    </row>
    <row r="2071" spans="1:13">
      <c r="A2071">
        <v>45829</v>
      </c>
      <c r="B2071" t="s">
        <v>63</v>
      </c>
      <c r="D2071">
        <v>9500</v>
      </c>
      <c r="F2071">
        <v>1</v>
      </c>
      <c r="G2071" t="s">
        <v>70</v>
      </c>
      <c r="I2071" t="s">
        <v>71</v>
      </c>
      <c r="J2071" t="s">
        <v>72</v>
      </c>
      <c r="K2071">
        <v>587</v>
      </c>
      <c r="L2071" t="s">
        <v>62</v>
      </c>
      <c r="M2071" t="s">
        <v>90</v>
      </c>
    </row>
    <row r="2072" spans="1:13">
      <c r="A2072">
        <v>45829</v>
      </c>
      <c r="B2072" t="s">
        <v>63</v>
      </c>
      <c r="D2072">
        <v>17000</v>
      </c>
      <c r="F2072">
        <v>3</v>
      </c>
      <c r="G2072" t="s">
        <v>70</v>
      </c>
      <c r="I2072" t="s">
        <v>71</v>
      </c>
      <c r="J2072" t="s">
        <v>72</v>
      </c>
      <c r="K2072">
        <v>588</v>
      </c>
      <c r="L2072" t="s">
        <v>62</v>
      </c>
      <c r="M2072" t="s">
        <v>90</v>
      </c>
    </row>
    <row r="2073" spans="1:13">
      <c r="A2073">
        <v>45829</v>
      </c>
      <c r="B2073" t="s">
        <v>63</v>
      </c>
      <c r="D2073">
        <v>28000</v>
      </c>
      <c r="G2073" t="s">
        <v>70</v>
      </c>
      <c r="I2073" t="s">
        <v>60</v>
      </c>
      <c r="J2073" t="s">
        <v>61</v>
      </c>
      <c r="L2073" t="s">
        <v>62</v>
      </c>
    </row>
    <row r="2074" spans="1:13">
      <c r="A2074">
        <v>45829</v>
      </c>
      <c r="B2074" t="s">
        <v>2091</v>
      </c>
      <c r="D2074">
        <v>500</v>
      </c>
      <c r="F2074">
        <v>1</v>
      </c>
      <c r="G2074" t="s">
        <v>22</v>
      </c>
      <c r="H2074" t="s">
        <v>21</v>
      </c>
      <c r="I2074" t="s">
        <v>60</v>
      </c>
      <c r="J2074" t="s">
        <v>61</v>
      </c>
      <c r="L2074" t="s">
        <v>86</v>
      </c>
    </row>
    <row r="2075" spans="1:13">
      <c r="A2075">
        <v>45829</v>
      </c>
      <c r="B2075" t="s">
        <v>2092</v>
      </c>
      <c r="D2075">
        <v>500</v>
      </c>
      <c r="F2075">
        <v>0</v>
      </c>
      <c r="G2075" t="s">
        <v>22</v>
      </c>
      <c r="H2075" t="s">
        <v>21</v>
      </c>
      <c r="I2075" t="s">
        <v>60</v>
      </c>
      <c r="J2075" t="s">
        <v>61</v>
      </c>
      <c r="L2075" t="s">
        <v>86</v>
      </c>
      <c r="M2075" t="s">
        <v>548</v>
      </c>
    </row>
    <row r="2076" spans="1:13">
      <c r="A2076">
        <v>45829</v>
      </c>
      <c r="B2076" t="s">
        <v>2093</v>
      </c>
      <c r="D2076">
        <v>500</v>
      </c>
      <c r="F2076">
        <v>1</v>
      </c>
      <c r="G2076" t="s">
        <v>22</v>
      </c>
      <c r="H2076" t="s">
        <v>21</v>
      </c>
      <c r="I2076" t="s">
        <v>60</v>
      </c>
      <c r="J2076" t="s">
        <v>61</v>
      </c>
      <c r="L2076" t="s">
        <v>86</v>
      </c>
    </row>
    <row r="2077" spans="1:13">
      <c r="A2077">
        <v>45830</v>
      </c>
      <c r="B2077" t="s">
        <v>63</v>
      </c>
      <c r="D2077">
        <v>52000</v>
      </c>
      <c r="G2077" t="s">
        <v>70</v>
      </c>
      <c r="I2077" t="s">
        <v>60</v>
      </c>
      <c r="J2077" t="s">
        <v>61</v>
      </c>
      <c r="L2077" t="s">
        <v>62</v>
      </c>
    </row>
    <row r="2078" spans="1:13">
      <c r="A2078">
        <v>45830</v>
      </c>
      <c r="B2078" t="s">
        <v>2094</v>
      </c>
      <c r="D2078">
        <v>500</v>
      </c>
      <c r="F2078">
        <v>0</v>
      </c>
      <c r="G2078" t="s">
        <v>22</v>
      </c>
      <c r="H2078" t="s">
        <v>21</v>
      </c>
      <c r="I2078" t="s">
        <v>60</v>
      </c>
      <c r="J2078" t="s">
        <v>61</v>
      </c>
      <c r="L2078" t="s">
        <v>86</v>
      </c>
      <c r="M2078" t="s">
        <v>548</v>
      </c>
    </row>
    <row r="2079" spans="1:13">
      <c r="A2079">
        <v>45830</v>
      </c>
      <c r="B2079" t="s">
        <v>2095</v>
      </c>
      <c r="F2079">
        <v>1</v>
      </c>
      <c r="G2079" t="s">
        <v>107</v>
      </c>
      <c r="H2079" t="s">
        <v>21</v>
      </c>
      <c r="L2079" t="s">
        <v>86</v>
      </c>
      <c r="M2079" t="s">
        <v>2096</v>
      </c>
    </row>
    <row r="2080" spans="1:13">
      <c r="A2080">
        <v>45830</v>
      </c>
      <c r="B2080" t="s">
        <v>2097</v>
      </c>
      <c r="F2080">
        <v>1</v>
      </c>
      <c r="G2080" t="s">
        <v>564</v>
      </c>
      <c r="H2080" t="s">
        <v>21</v>
      </c>
      <c r="L2080" t="s">
        <v>86</v>
      </c>
    </row>
    <row r="2081" spans="1:13">
      <c r="A2081">
        <v>45830</v>
      </c>
      <c r="B2081" t="s">
        <v>63</v>
      </c>
      <c r="D2081">
        <v>9500</v>
      </c>
      <c r="F2081">
        <v>1</v>
      </c>
      <c r="G2081" t="s">
        <v>70</v>
      </c>
      <c r="I2081" t="s">
        <v>71</v>
      </c>
      <c r="J2081" t="s">
        <v>72</v>
      </c>
      <c r="K2081" t="s">
        <v>2098</v>
      </c>
      <c r="L2081" t="s">
        <v>62</v>
      </c>
      <c r="M2081" t="s">
        <v>90</v>
      </c>
    </row>
    <row r="2082" spans="1:13">
      <c r="A2082">
        <v>45830</v>
      </c>
      <c r="B2082" t="s">
        <v>2097</v>
      </c>
      <c r="D2082">
        <v>0</v>
      </c>
      <c r="F2082">
        <v>0</v>
      </c>
      <c r="G2082" t="s">
        <v>22</v>
      </c>
      <c r="H2082" t="s">
        <v>21</v>
      </c>
      <c r="I2082" t="s">
        <v>60</v>
      </c>
      <c r="J2082" t="s">
        <v>61</v>
      </c>
      <c r="L2082" t="s">
        <v>86</v>
      </c>
      <c r="M2082" t="s">
        <v>2009</v>
      </c>
    </row>
    <row r="2083" spans="1:13">
      <c r="A2083">
        <v>45830</v>
      </c>
      <c r="B2083" t="s">
        <v>259</v>
      </c>
      <c r="D2083">
        <v>500</v>
      </c>
      <c r="F2083">
        <v>0</v>
      </c>
      <c r="G2083" t="s">
        <v>22</v>
      </c>
      <c r="H2083" t="s">
        <v>21</v>
      </c>
      <c r="I2083" t="s">
        <v>60</v>
      </c>
      <c r="J2083" t="s">
        <v>61</v>
      </c>
      <c r="L2083" t="s">
        <v>86</v>
      </c>
      <c r="M2083" t="s">
        <v>548</v>
      </c>
    </row>
    <row r="2084" spans="1:13">
      <c r="A2084">
        <v>45830</v>
      </c>
      <c r="B2084" t="s">
        <v>2099</v>
      </c>
      <c r="D2084">
        <v>500</v>
      </c>
      <c r="F2084">
        <v>0</v>
      </c>
      <c r="G2084" t="s">
        <v>22</v>
      </c>
      <c r="H2084" t="s">
        <v>21</v>
      </c>
      <c r="I2084" t="s">
        <v>60</v>
      </c>
      <c r="J2084" t="s">
        <v>61</v>
      </c>
      <c r="L2084" t="s">
        <v>89</v>
      </c>
      <c r="M2084" t="s">
        <v>548</v>
      </c>
    </row>
    <row r="2085" spans="1:13">
      <c r="A2085">
        <v>45830</v>
      </c>
      <c r="B2085" t="s">
        <v>1667</v>
      </c>
      <c r="D2085">
        <v>500</v>
      </c>
      <c r="F2085">
        <v>1</v>
      </c>
      <c r="G2085" t="s">
        <v>22</v>
      </c>
      <c r="H2085" t="s">
        <v>21</v>
      </c>
      <c r="I2085" t="s">
        <v>60</v>
      </c>
      <c r="J2085" t="s">
        <v>61</v>
      </c>
      <c r="L2085" t="s">
        <v>89</v>
      </c>
    </row>
    <row r="2086" spans="1:13">
      <c r="A2086">
        <v>45830</v>
      </c>
      <c r="B2086" t="s">
        <v>2100</v>
      </c>
      <c r="D2086">
        <v>500</v>
      </c>
      <c r="F2086">
        <v>1</v>
      </c>
      <c r="G2086" t="s">
        <v>22</v>
      </c>
      <c r="H2086" t="s">
        <v>21</v>
      </c>
      <c r="I2086" t="s">
        <v>60</v>
      </c>
      <c r="J2086" t="s">
        <v>61</v>
      </c>
      <c r="L2086" t="s">
        <v>89</v>
      </c>
    </row>
    <row r="2087" spans="1:13">
      <c r="A2087">
        <v>45830</v>
      </c>
      <c r="B2087" t="s">
        <v>1444</v>
      </c>
      <c r="D2087">
        <v>500</v>
      </c>
      <c r="F2087">
        <v>1</v>
      </c>
      <c r="G2087" t="s">
        <v>22</v>
      </c>
      <c r="H2087" t="s">
        <v>21</v>
      </c>
      <c r="I2087" t="s">
        <v>60</v>
      </c>
      <c r="J2087" t="s">
        <v>61</v>
      </c>
      <c r="L2087" t="s">
        <v>89</v>
      </c>
    </row>
    <row r="2088" spans="1:13">
      <c r="A2088">
        <v>45830</v>
      </c>
      <c r="B2088" t="s">
        <v>2101</v>
      </c>
      <c r="F2088">
        <v>1</v>
      </c>
      <c r="G2088" t="s">
        <v>79</v>
      </c>
      <c r="H2088" t="s">
        <v>21</v>
      </c>
      <c r="L2088" t="s">
        <v>89</v>
      </c>
    </row>
    <row r="2089" spans="1:13">
      <c r="A2089">
        <v>45830</v>
      </c>
      <c r="B2089" t="s">
        <v>2102</v>
      </c>
      <c r="D2089">
        <v>500</v>
      </c>
      <c r="F2089">
        <v>1</v>
      </c>
      <c r="G2089" t="s">
        <v>22</v>
      </c>
      <c r="H2089" t="s">
        <v>21</v>
      </c>
      <c r="I2089" t="s">
        <v>60</v>
      </c>
      <c r="J2089" t="s">
        <v>61</v>
      </c>
      <c r="L2089" t="s">
        <v>89</v>
      </c>
    </row>
    <row r="2090" spans="1:13">
      <c r="A2090">
        <v>45830</v>
      </c>
      <c r="B2090" t="s">
        <v>2103</v>
      </c>
      <c r="D2090">
        <v>500</v>
      </c>
      <c r="F2090">
        <v>1</v>
      </c>
      <c r="G2090" t="s">
        <v>22</v>
      </c>
      <c r="H2090" t="s">
        <v>21</v>
      </c>
      <c r="I2090" t="s">
        <v>60</v>
      </c>
      <c r="J2090" t="s">
        <v>61</v>
      </c>
      <c r="L2090" t="s">
        <v>89</v>
      </c>
    </row>
    <row r="2091" spans="1:13">
      <c r="A2091">
        <v>45830</v>
      </c>
      <c r="B2091" t="s">
        <v>2104</v>
      </c>
      <c r="F2091">
        <v>1</v>
      </c>
      <c r="G2091" t="s">
        <v>79</v>
      </c>
      <c r="H2091" t="s">
        <v>21</v>
      </c>
      <c r="L2091" t="s">
        <v>89</v>
      </c>
    </row>
    <row r="2092" spans="1:13">
      <c r="A2092">
        <v>45830</v>
      </c>
      <c r="B2092" t="s">
        <v>2105</v>
      </c>
      <c r="D2092">
        <v>500</v>
      </c>
      <c r="F2092">
        <v>1</v>
      </c>
      <c r="G2092" t="s">
        <v>22</v>
      </c>
      <c r="H2092" t="s">
        <v>21</v>
      </c>
      <c r="I2092" t="s">
        <v>60</v>
      </c>
      <c r="J2092" t="s">
        <v>61</v>
      </c>
      <c r="L2092" t="s">
        <v>89</v>
      </c>
    </row>
    <row r="2093" spans="1:13">
      <c r="A2093">
        <v>45831</v>
      </c>
      <c r="B2093" t="s">
        <v>2106</v>
      </c>
      <c r="D2093">
        <v>500</v>
      </c>
      <c r="F2093">
        <v>1</v>
      </c>
      <c r="G2093" t="s">
        <v>22</v>
      </c>
      <c r="H2093" t="s">
        <v>21</v>
      </c>
      <c r="I2093" t="s">
        <v>60</v>
      </c>
      <c r="J2093" t="s">
        <v>61</v>
      </c>
      <c r="L2093" t="s">
        <v>89</v>
      </c>
    </row>
    <row r="2094" spans="1:13">
      <c r="A2094">
        <v>45831</v>
      </c>
      <c r="B2094" t="s">
        <v>2107</v>
      </c>
      <c r="D2094">
        <v>500</v>
      </c>
      <c r="F2094">
        <v>1</v>
      </c>
      <c r="G2094" t="s">
        <v>22</v>
      </c>
      <c r="H2094" t="s">
        <v>21</v>
      </c>
      <c r="I2094" t="s">
        <v>60</v>
      </c>
      <c r="J2094" t="s">
        <v>61</v>
      </c>
      <c r="L2094" t="s">
        <v>89</v>
      </c>
    </row>
    <row r="2095" spans="1:13">
      <c r="A2095">
        <v>45831</v>
      </c>
      <c r="B2095" t="s">
        <v>2108</v>
      </c>
      <c r="F2095">
        <v>1</v>
      </c>
      <c r="G2095" t="s">
        <v>79</v>
      </c>
      <c r="H2095" t="s">
        <v>21</v>
      </c>
      <c r="L2095" t="s">
        <v>82</v>
      </c>
    </row>
    <row r="2096" spans="1:13">
      <c r="A2096">
        <v>45831</v>
      </c>
      <c r="B2096" t="s">
        <v>76</v>
      </c>
      <c r="D2096">
        <v>10000</v>
      </c>
      <c r="G2096" t="s">
        <v>77</v>
      </c>
      <c r="I2096" t="s">
        <v>60</v>
      </c>
      <c r="J2096" t="s">
        <v>61</v>
      </c>
      <c r="L2096" t="s">
        <v>62</v>
      </c>
    </row>
    <row r="2097" spans="1:13">
      <c r="A2097">
        <v>45831</v>
      </c>
      <c r="B2097" t="s">
        <v>81</v>
      </c>
      <c r="D2097">
        <v>166000</v>
      </c>
      <c r="F2097">
        <v>1</v>
      </c>
      <c r="G2097" t="s">
        <v>74</v>
      </c>
      <c r="H2097" t="s">
        <v>75</v>
      </c>
      <c r="I2097" t="s">
        <v>60</v>
      </c>
      <c r="J2097" t="s">
        <v>61</v>
      </c>
      <c r="L2097" t="s">
        <v>88</v>
      </c>
    </row>
    <row r="2098" spans="1:13">
      <c r="A2098">
        <v>45831</v>
      </c>
      <c r="B2098" t="s">
        <v>773</v>
      </c>
      <c r="E2098">
        <v>144823.76999999999</v>
      </c>
      <c r="F2098">
        <v>1</v>
      </c>
      <c r="G2098" t="s">
        <v>65</v>
      </c>
      <c r="H2098" t="s">
        <v>265</v>
      </c>
      <c r="I2098" t="s">
        <v>60</v>
      </c>
      <c r="J2098" t="s">
        <v>61</v>
      </c>
      <c r="L2098" t="s">
        <v>62</v>
      </c>
    </row>
    <row r="2099" spans="1:13">
      <c r="A2099">
        <v>45831</v>
      </c>
      <c r="B2099" t="s">
        <v>63</v>
      </c>
      <c r="D2099">
        <v>16000</v>
      </c>
      <c r="F2099">
        <v>2</v>
      </c>
      <c r="G2099" t="s">
        <v>70</v>
      </c>
      <c r="I2099" t="s">
        <v>71</v>
      </c>
      <c r="J2099" t="s">
        <v>72</v>
      </c>
      <c r="K2099" t="s">
        <v>2109</v>
      </c>
      <c r="L2099" t="s">
        <v>62</v>
      </c>
      <c r="M2099" t="s">
        <v>90</v>
      </c>
    </row>
    <row r="2100" spans="1:13">
      <c r="A2100">
        <v>45831</v>
      </c>
      <c r="B2100" t="s">
        <v>2110</v>
      </c>
      <c r="D2100">
        <v>500</v>
      </c>
      <c r="F2100">
        <v>1</v>
      </c>
      <c r="G2100" t="s">
        <v>22</v>
      </c>
      <c r="H2100" t="s">
        <v>21</v>
      </c>
      <c r="I2100" t="s">
        <v>60</v>
      </c>
      <c r="J2100" t="s">
        <v>61</v>
      </c>
      <c r="L2100" t="s">
        <v>89</v>
      </c>
    </row>
    <row r="2101" spans="1:13">
      <c r="A2101">
        <v>45831</v>
      </c>
      <c r="B2101" t="s">
        <v>2111</v>
      </c>
      <c r="D2101">
        <v>500</v>
      </c>
      <c r="F2101">
        <v>1</v>
      </c>
      <c r="G2101" t="s">
        <v>22</v>
      </c>
      <c r="H2101" t="s">
        <v>21</v>
      </c>
      <c r="I2101" t="s">
        <v>60</v>
      </c>
      <c r="J2101" t="s">
        <v>61</v>
      </c>
      <c r="L2101" t="s">
        <v>82</v>
      </c>
    </row>
    <row r="2102" spans="1:13">
      <c r="A2102">
        <v>45831</v>
      </c>
      <c r="B2102" t="s">
        <v>2112</v>
      </c>
      <c r="D2102">
        <v>500</v>
      </c>
      <c r="F2102">
        <v>1</v>
      </c>
      <c r="G2102" t="s">
        <v>22</v>
      </c>
      <c r="H2102" t="s">
        <v>21</v>
      </c>
      <c r="I2102" t="s">
        <v>60</v>
      </c>
      <c r="J2102" t="s">
        <v>61</v>
      </c>
      <c r="L2102" t="s">
        <v>89</v>
      </c>
    </row>
    <row r="2103" spans="1:13">
      <c r="A2103">
        <v>45831</v>
      </c>
      <c r="B2103" t="s">
        <v>63</v>
      </c>
      <c r="D2103">
        <v>12500</v>
      </c>
      <c r="G2103" t="s">
        <v>70</v>
      </c>
      <c r="I2103" t="s">
        <v>60</v>
      </c>
      <c r="J2103" t="s">
        <v>61</v>
      </c>
      <c r="L2103" t="s">
        <v>62</v>
      </c>
    </row>
    <row r="2104" spans="1:13">
      <c r="A2104">
        <v>45832</v>
      </c>
      <c r="B2104" t="s">
        <v>81</v>
      </c>
      <c r="D2104">
        <v>75000</v>
      </c>
      <c r="F2104">
        <v>1</v>
      </c>
      <c r="G2104" t="s">
        <v>74</v>
      </c>
      <c r="H2104" t="s">
        <v>75</v>
      </c>
      <c r="I2104" t="s">
        <v>60</v>
      </c>
      <c r="J2104" t="s">
        <v>61</v>
      </c>
      <c r="L2104" t="s">
        <v>88</v>
      </c>
    </row>
    <row r="2105" spans="1:13">
      <c r="A2105">
        <v>45832</v>
      </c>
      <c r="B2105" t="s">
        <v>2113</v>
      </c>
      <c r="D2105">
        <v>500</v>
      </c>
      <c r="F2105">
        <v>1</v>
      </c>
      <c r="G2105" t="s">
        <v>22</v>
      </c>
      <c r="H2105" t="s">
        <v>21</v>
      </c>
      <c r="I2105" t="s">
        <v>60</v>
      </c>
      <c r="J2105" t="s">
        <v>61</v>
      </c>
      <c r="L2105" t="s">
        <v>89</v>
      </c>
    </row>
    <row r="2106" spans="1:13">
      <c r="A2106">
        <v>45832</v>
      </c>
      <c r="B2106" t="s">
        <v>2114</v>
      </c>
      <c r="F2106">
        <v>1</v>
      </c>
      <c r="G2106" t="s">
        <v>377</v>
      </c>
      <c r="H2106" t="s">
        <v>21</v>
      </c>
      <c r="L2106" t="s">
        <v>89</v>
      </c>
    </row>
    <row r="2107" spans="1:13">
      <c r="A2107">
        <v>45832</v>
      </c>
      <c r="B2107" t="s">
        <v>2115</v>
      </c>
      <c r="D2107">
        <v>500</v>
      </c>
      <c r="F2107">
        <v>1</v>
      </c>
      <c r="G2107" t="s">
        <v>22</v>
      </c>
      <c r="H2107" t="s">
        <v>21</v>
      </c>
      <c r="I2107" t="s">
        <v>60</v>
      </c>
      <c r="J2107" t="s">
        <v>61</v>
      </c>
      <c r="L2107" t="s">
        <v>89</v>
      </c>
    </row>
    <row r="2108" spans="1:13">
      <c r="A2108">
        <v>45832</v>
      </c>
      <c r="B2108" t="s">
        <v>2116</v>
      </c>
      <c r="D2108">
        <v>500</v>
      </c>
      <c r="F2108">
        <v>1</v>
      </c>
      <c r="G2108" t="s">
        <v>22</v>
      </c>
      <c r="H2108" t="s">
        <v>21</v>
      </c>
      <c r="I2108" t="s">
        <v>60</v>
      </c>
      <c r="J2108" t="s">
        <v>61</v>
      </c>
      <c r="L2108" t="s">
        <v>89</v>
      </c>
    </row>
    <row r="2109" spans="1:13">
      <c r="A2109">
        <v>45832</v>
      </c>
      <c r="B2109" t="s">
        <v>2117</v>
      </c>
      <c r="D2109">
        <v>500</v>
      </c>
      <c r="F2109">
        <v>1</v>
      </c>
      <c r="G2109" t="s">
        <v>22</v>
      </c>
      <c r="H2109" t="s">
        <v>21</v>
      </c>
      <c r="I2109" t="s">
        <v>60</v>
      </c>
      <c r="J2109" t="s">
        <v>61</v>
      </c>
      <c r="L2109" t="s">
        <v>89</v>
      </c>
    </row>
    <row r="2110" spans="1:13">
      <c r="A2110">
        <v>45832</v>
      </c>
      <c r="B2110" t="s">
        <v>2117</v>
      </c>
      <c r="F2110">
        <v>1</v>
      </c>
      <c r="G2110" t="s">
        <v>64</v>
      </c>
      <c r="L2110" t="s">
        <v>89</v>
      </c>
      <c r="M2110" t="s">
        <v>1764</v>
      </c>
    </row>
    <row r="2111" spans="1:13">
      <c r="A2111">
        <v>45832</v>
      </c>
      <c r="B2111" t="s">
        <v>2118</v>
      </c>
      <c r="F2111">
        <v>1</v>
      </c>
      <c r="G2111" t="s">
        <v>79</v>
      </c>
      <c r="H2111" t="s">
        <v>21</v>
      </c>
      <c r="L2111" t="s">
        <v>82</v>
      </c>
    </row>
    <row r="2112" spans="1:13">
      <c r="A2112">
        <v>45832</v>
      </c>
      <c r="B2112" t="s">
        <v>2119</v>
      </c>
      <c r="F2112">
        <v>1</v>
      </c>
      <c r="G2112" t="s">
        <v>64</v>
      </c>
      <c r="L2112" t="s">
        <v>82</v>
      </c>
      <c r="M2112" t="s">
        <v>2120</v>
      </c>
    </row>
    <row r="2113" spans="1:13">
      <c r="A2113">
        <v>45832</v>
      </c>
      <c r="B2113" t="s">
        <v>2121</v>
      </c>
      <c r="F2113">
        <v>1</v>
      </c>
      <c r="G2113" t="s">
        <v>564</v>
      </c>
      <c r="H2113" t="s">
        <v>21</v>
      </c>
      <c r="L2113" t="s">
        <v>82</v>
      </c>
    </row>
    <row r="2114" spans="1:13">
      <c r="A2114">
        <v>45832</v>
      </c>
      <c r="B2114" t="s">
        <v>2121</v>
      </c>
      <c r="F2114">
        <v>1</v>
      </c>
      <c r="G2114" t="s">
        <v>64</v>
      </c>
      <c r="L2114" t="s">
        <v>82</v>
      </c>
      <c r="M2114" t="s">
        <v>1764</v>
      </c>
    </row>
    <row r="2115" spans="1:13">
      <c r="A2115">
        <v>45832</v>
      </c>
      <c r="B2115" t="s">
        <v>63</v>
      </c>
      <c r="D2115">
        <v>15000</v>
      </c>
      <c r="G2115" t="s">
        <v>70</v>
      </c>
      <c r="I2115" t="s">
        <v>60</v>
      </c>
      <c r="J2115" t="s">
        <v>61</v>
      </c>
      <c r="L2115" t="s">
        <v>62</v>
      </c>
    </row>
    <row r="2116" spans="1:13">
      <c r="A2116">
        <v>45832</v>
      </c>
      <c r="B2116" t="s">
        <v>63</v>
      </c>
      <c r="D2116">
        <v>12000</v>
      </c>
      <c r="F2116">
        <v>2</v>
      </c>
      <c r="G2116" t="s">
        <v>70</v>
      </c>
      <c r="I2116" t="s">
        <v>71</v>
      </c>
      <c r="J2116" t="s">
        <v>72</v>
      </c>
      <c r="K2116">
        <v>591</v>
      </c>
      <c r="L2116" t="s">
        <v>62</v>
      </c>
      <c r="M2116" t="s">
        <v>90</v>
      </c>
    </row>
    <row r="2117" spans="1:13">
      <c r="A2117">
        <v>45832</v>
      </c>
      <c r="B2117" t="s">
        <v>2122</v>
      </c>
      <c r="D2117">
        <v>5000</v>
      </c>
      <c r="G2117" t="s">
        <v>77</v>
      </c>
      <c r="I2117" t="s">
        <v>60</v>
      </c>
      <c r="J2117" t="s">
        <v>61</v>
      </c>
      <c r="L2117" t="s">
        <v>62</v>
      </c>
    </row>
    <row r="2118" spans="1:13">
      <c r="A2118">
        <v>45833</v>
      </c>
      <c r="B2118" t="s">
        <v>81</v>
      </c>
      <c r="D2118">
        <v>68000</v>
      </c>
      <c r="F2118">
        <v>1</v>
      </c>
      <c r="G2118" t="s">
        <v>74</v>
      </c>
      <c r="H2118" t="s">
        <v>75</v>
      </c>
      <c r="I2118" t="s">
        <v>60</v>
      </c>
      <c r="J2118" t="s">
        <v>61</v>
      </c>
      <c r="L2118" t="s">
        <v>88</v>
      </c>
    </row>
    <row r="2119" spans="1:13">
      <c r="A2119">
        <v>45833</v>
      </c>
      <c r="B2119" t="s">
        <v>2123</v>
      </c>
      <c r="D2119">
        <v>500</v>
      </c>
      <c r="F2119">
        <v>1</v>
      </c>
      <c r="G2119" t="s">
        <v>22</v>
      </c>
      <c r="H2119" t="s">
        <v>21</v>
      </c>
      <c r="I2119" t="s">
        <v>60</v>
      </c>
      <c r="J2119" t="s">
        <v>61</v>
      </c>
      <c r="L2119" t="s">
        <v>86</v>
      </c>
    </row>
    <row r="2120" spans="1:13">
      <c r="A2120">
        <v>45833</v>
      </c>
      <c r="B2120" t="s">
        <v>2124</v>
      </c>
      <c r="D2120">
        <v>500</v>
      </c>
      <c r="F2120">
        <v>1</v>
      </c>
      <c r="G2120" t="s">
        <v>22</v>
      </c>
      <c r="H2120" t="s">
        <v>21</v>
      </c>
      <c r="I2120" t="s">
        <v>60</v>
      </c>
      <c r="J2120" t="s">
        <v>61</v>
      </c>
      <c r="L2120" t="s">
        <v>82</v>
      </c>
    </row>
    <row r="2121" spans="1:13">
      <c r="A2121">
        <v>45833</v>
      </c>
      <c r="B2121" t="s">
        <v>63</v>
      </c>
      <c r="D2121">
        <v>5500</v>
      </c>
      <c r="G2121" t="s">
        <v>70</v>
      </c>
      <c r="I2121" t="s">
        <v>60</v>
      </c>
      <c r="J2121" t="s">
        <v>61</v>
      </c>
      <c r="L2121" t="s">
        <v>62</v>
      </c>
    </row>
    <row r="2122" spans="1:13">
      <c r="A2122">
        <v>45833</v>
      </c>
      <c r="B2122" t="s">
        <v>2125</v>
      </c>
      <c r="F2122">
        <v>1</v>
      </c>
      <c r="G2122" t="s">
        <v>1889</v>
      </c>
      <c r="L2122" t="s">
        <v>89</v>
      </c>
    </row>
    <row r="2123" spans="1:13">
      <c r="A2123">
        <v>45833</v>
      </c>
      <c r="B2123" t="s">
        <v>2126</v>
      </c>
      <c r="F2123">
        <v>1</v>
      </c>
      <c r="G2123" t="s">
        <v>1889</v>
      </c>
      <c r="L2123" t="s">
        <v>82</v>
      </c>
    </row>
    <row r="2124" spans="1:13">
      <c r="A2124">
        <v>45834</v>
      </c>
      <c r="B2124" t="s">
        <v>81</v>
      </c>
      <c r="D2124">
        <v>121000</v>
      </c>
      <c r="F2124">
        <v>1</v>
      </c>
      <c r="G2124" t="s">
        <v>74</v>
      </c>
      <c r="H2124" t="s">
        <v>75</v>
      </c>
      <c r="I2124" t="s">
        <v>60</v>
      </c>
      <c r="J2124" t="s">
        <v>61</v>
      </c>
      <c r="L2124" t="s">
        <v>88</v>
      </c>
      <c r="M2124" t="s">
        <v>955</v>
      </c>
    </row>
    <row r="2125" spans="1:13">
      <c r="A2125">
        <v>45834</v>
      </c>
      <c r="B2125" t="s">
        <v>233</v>
      </c>
      <c r="E2125">
        <v>150000</v>
      </c>
      <c r="F2125">
        <v>1</v>
      </c>
      <c r="G2125" t="s">
        <v>65</v>
      </c>
      <c r="H2125" t="s">
        <v>348</v>
      </c>
      <c r="I2125" t="s">
        <v>60</v>
      </c>
      <c r="J2125" t="s">
        <v>61</v>
      </c>
      <c r="L2125" t="s">
        <v>0</v>
      </c>
      <c r="M2125" t="s">
        <v>2127</v>
      </c>
    </row>
    <row r="2126" spans="1:13">
      <c r="A2126">
        <v>45834</v>
      </c>
      <c r="B2126" t="s">
        <v>643</v>
      </c>
      <c r="E2126">
        <v>17500</v>
      </c>
      <c r="F2126">
        <v>1</v>
      </c>
      <c r="G2126" t="s">
        <v>65</v>
      </c>
      <c r="H2126" t="s">
        <v>348</v>
      </c>
      <c r="I2126" t="s">
        <v>60</v>
      </c>
      <c r="J2126" t="s">
        <v>61</v>
      </c>
      <c r="L2126" t="s">
        <v>0</v>
      </c>
      <c r="M2126" t="s">
        <v>2127</v>
      </c>
    </row>
    <row r="2127" spans="1:13">
      <c r="A2127">
        <v>45834</v>
      </c>
      <c r="B2127" t="s">
        <v>2128</v>
      </c>
      <c r="E2127">
        <v>45000</v>
      </c>
      <c r="F2127">
        <v>1</v>
      </c>
      <c r="G2127" t="s">
        <v>65</v>
      </c>
      <c r="H2127" t="s">
        <v>348</v>
      </c>
      <c r="I2127" t="s">
        <v>60</v>
      </c>
      <c r="J2127" t="s">
        <v>61</v>
      </c>
      <c r="L2127" t="s">
        <v>0</v>
      </c>
      <c r="M2127" t="s">
        <v>2127</v>
      </c>
    </row>
    <row r="2128" spans="1:13">
      <c r="A2128">
        <v>45834</v>
      </c>
      <c r="B2128" t="s">
        <v>2129</v>
      </c>
      <c r="E2128">
        <v>56750</v>
      </c>
      <c r="F2128">
        <v>1</v>
      </c>
      <c r="G2128" t="s">
        <v>65</v>
      </c>
      <c r="H2128" t="s">
        <v>348</v>
      </c>
      <c r="I2128" t="s">
        <v>60</v>
      </c>
      <c r="J2128" t="s">
        <v>61</v>
      </c>
      <c r="L2128" t="s">
        <v>0</v>
      </c>
      <c r="M2128" t="s">
        <v>2127</v>
      </c>
    </row>
    <row r="2129" spans="1:13">
      <c r="A2129">
        <v>45834</v>
      </c>
      <c r="B2129" t="s">
        <v>2130</v>
      </c>
      <c r="E2129">
        <v>163000</v>
      </c>
      <c r="F2129">
        <v>1</v>
      </c>
      <c r="G2129" t="s">
        <v>65</v>
      </c>
      <c r="H2129" t="s">
        <v>348</v>
      </c>
      <c r="I2129" t="s">
        <v>60</v>
      </c>
      <c r="J2129" t="s">
        <v>61</v>
      </c>
      <c r="L2129" t="s">
        <v>0</v>
      </c>
      <c r="M2129" t="s">
        <v>2127</v>
      </c>
    </row>
    <row r="2130" spans="1:13">
      <c r="A2130">
        <v>45834</v>
      </c>
      <c r="B2130" t="s">
        <v>719</v>
      </c>
      <c r="E2130">
        <v>71659</v>
      </c>
      <c r="F2130">
        <v>1</v>
      </c>
      <c r="G2130" t="s">
        <v>65</v>
      </c>
      <c r="H2130" t="s">
        <v>348</v>
      </c>
      <c r="I2130" t="s">
        <v>60</v>
      </c>
      <c r="J2130" t="s">
        <v>61</v>
      </c>
      <c r="L2130" t="s">
        <v>88</v>
      </c>
      <c r="M2130" t="s">
        <v>2127</v>
      </c>
    </row>
    <row r="2131" spans="1:13">
      <c r="A2131">
        <v>45834</v>
      </c>
      <c r="B2131" t="s">
        <v>606</v>
      </c>
      <c r="E2131">
        <v>15000</v>
      </c>
      <c r="F2131">
        <v>1</v>
      </c>
      <c r="G2131" t="s">
        <v>65</v>
      </c>
      <c r="H2131" t="s">
        <v>348</v>
      </c>
      <c r="I2131" t="s">
        <v>60</v>
      </c>
      <c r="J2131" t="s">
        <v>61</v>
      </c>
      <c r="L2131" t="s">
        <v>62</v>
      </c>
      <c r="M2131" t="s">
        <v>2127</v>
      </c>
    </row>
    <row r="2132" spans="1:13">
      <c r="A2132">
        <v>45834</v>
      </c>
      <c r="B2132" t="s">
        <v>604</v>
      </c>
      <c r="E2132">
        <v>15000</v>
      </c>
      <c r="F2132">
        <v>1</v>
      </c>
      <c r="G2132" t="s">
        <v>65</v>
      </c>
      <c r="H2132" t="s">
        <v>348</v>
      </c>
      <c r="I2132" t="s">
        <v>60</v>
      </c>
      <c r="J2132" t="s">
        <v>61</v>
      </c>
      <c r="L2132" t="s">
        <v>62</v>
      </c>
      <c r="M2132" t="s">
        <v>2127</v>
      </c>
    </row>
    <row r="2133" spans="1:13">
      <c r="A2133">
        <v>45834</v>
      </c>
      <c r="B2133" t="s">
        <v>248</v>
      </c>
      <c r="E2133">
        <v>15000</v>
      </c>
      <c r="F2133">
        <v>1</v>
      </c>
      <c r="G2133" t="s">
        <v>65</v>
      </c>
      <c r="H2133" t="s">
        <v>348</v>
      </c>
      <c r="I2133" t="s">
        <v>60</v>
      </c>
      <c r="J2133" t="s">
        <v>61</v>
      </c>
      <c r="L2133" t="s">
        <v>62</v>
      </c>
      <c r="M2133" t="s">
        <v>2127</v>
      </c>
    </row>
    <row r="2134" spans="1:13">
      <c r="A2134">
        <v>45834</v>
      </c>
      <c r="B2134" t="s">
        <v>290</v>
      </c>
      <c r="C2134" t="s">
        <v>2131</v>
      </c>
      <c r="E2134">
        <v>64732.27</v>
      </c>
      <c r="F2134">
        <v>1</v>
      </c>
      <c r="G2134" t="s">
        <v>65</v>
      </c>
      <c r="H2134" t="s">
        <v>66</v>
      </c>
      <c r="I2134" t="s">
        <v>60</v>
      </c>
      <c r="J2134" t="s">
        <v>61</v>
      </c>
      <c r="L2134" t="s">
        <v>62</v>
      </c>
      <c r="M2134" t="s">
        <v>2132</v>
      </c>
    </row>
    <row r="2135" spans="1:13">
      <c r="A2135">
        <v>45834</v>
      </c>
      <c r="B2135" t="s">
        <v>2133</v>
      </c>
      <c r="F2135">
        <v>1</v>
      </c>
      <c r="G2135" t="s">
        <v>564</v>
      </c>
      <c r="H2135" t="s">
        <v>21</v>
      </c>
      <c r="L2135" t="s">
        <v>89</v>
      </c>
    </row>
    <row r="2136" spans="1:13">
      <c r="A2136">
        <v>45834</v>
      </c>
      <c r="B2136" t="s">
        <v>2134</v>
      </c>
      <c r="D2136">
        <v>500</v>
      </c>
      <c r="F2136">
        <v>1</v>
      </c>
      <c r="G2136" t="s">
        <v>22</v>
      </c>
      <c r="H2136" t="s">
        <v>21</v>
      </c>
      <c r="I2136" t="s">
        <v>60</v>
      </c>
      <c r="J2136" t="s">
        <v>61</v>
      </c>
      <c r="L2136" t="s">
        <v>89</v>
      </c>
    </row>
    <row r="2137" spans="1:13">
      <c r="A2137">
        <v>45834</v>
      </c>
      <c r="B2137" t="s">
        <v>2135</v>
      </c>
      <c r="F2137">
        <v>1</v>
      </c>
      <c r="G2137" t="s">
        <v>377</v>
      </c>
      <c r="H2137" t="s">
        <v>21</v>
      </c>
      <c r="L2137" t="s">
        <v>82</v>
      </c>
    </row>
    <row r="2138" spans="1:13">
      <c r="A2138">
        <v>45834</v>
      </c>
      <c r="B2138" t="s">
        <v>63</v>
      </c>
      <c r="D2138">
        <v>14000</v>
      </c>
      <c r="G2138" t="s">
        <v>70</v>
      </c>
      <c r="I2138" t="s">
        <v>60</v>
      </c>
      <c r="J2138" t="s">
        <v>61</v>
      </c>
      <c r="L2138" t="s">
        <v>62</v>
      </c>
    </row>
    <row r="2139" spans="1:13">
      <c r="A2139">
        <v>45834</v>
      </c>
      <c r="B2139" t="s">
        <v>2136</v>
      </c>
      <c r="D2139">
        <v>500</v>
      </c>
      <c r="F2139">
        <v>1</v>
      </c>
      <c r="G2139" t="s">
        <v>22</v>
      </c>
      <c r="H2139" t="s">
        <v>21</v>
      </c>
      <c r="I2139" t="s">
        <v>60</v>
      </c>
      <c r="J2139" t="s">
        <v>61</v>
      </c>
      <c r="L2139" t="s">
        <v>82</v>
      </c>
    </row>
    <row r="2140" spans="1:13">
      <c r="A2140">
        <v>45834</v>
      </c>
      <c r="B2140" t="s">
        <v>2136</v>
      </c>
      <c r="F2140">
        <v>1</v>
      </c>
      <c r="G2140" t="s">
        <v>64</v>
      </c>
      <c r="L2140" t="s">
        <v>82</v>
      </c>
      <c r="M2140" t="s">
        <v>1035</v>
      </c>
    </row>
    <row r="2141" spans="1:13">
      <c r="A2141">
        <v>45834</v>
      </c>
      <c r="B2141" t="s">
        <v>2137</v>
      </c>
      <c r="D2141">
        <v>500</v>
      </c>
      <c r="F2141">
        <v>1</v>
      </c>
      <c r="G2141" t="s">
        <v>22</v>
      </c>
      <c r="H2141" t="s">
        <v>21</v>
      </c>
      <c r="I2141" t="s">
        <v>60</v>
      </c>
      <c r="J2141" t="s">
        <v>61</v>
      </c>
      <c r="L2141" t="s">
        <v>89</v>
      </c>
    </row>
    <row r="2142" spans="1:13">
      <c r="A2142">
        <v>45834</v>
      </c>
      <c r="B2142" t="s">
        <v>2138</v>
      </c>
      <c r="D2142">
        <v>500</v>
      </c>
      <c r="F2142">
        <v>1</v>
      </c>
      <c r="G2142" t="s">
        <v>22</v>
      </c>
      <c r="H2142" t="s">
        <v>21</v>
      </c>
      <c r="I2142" t="s">
        <v>60</v>
      </c>
      <c r="J2142" t="s">
        <v>61</v>
      </c>
      <c r="L2142" t="s">
        <v>89</v>
      </c>
    </row>
    <row r="2143" spans="1:13">
      <c r="A2143">
        <v>45834</v>
      </c>
      <c r="B2143" t="s">
        <v>2139</v>
      </c>
      <c r="D2143">
        <v>500</v>
      </c>
      <c r="F2143">
        <v>1</v>
      </c>
      <c r="G2143" t="s">
        <v>22</v>
      </c>
      <c r="H2143" t="s">
        <v>21</v>
      </c>
      <c r="I2143" t="s">
        <v>60</v>
      </c>
      <c r="J2143" t="s">
        <v>61</v>
      </c>
      <c r="L2143" t="s">
        <v>82</v>
      </c>
    </row>
    <row r="2144" spans="1:13">
      <c r="A2144">
        <v>45834</v>
      </c>
      <c r="B2144" t="s">
        <v>2140</v>
      </c>
      <c r="F2144">
        <v>1</v>
      </c>
      <c r="G2144" t="s">
        <v>79</v>
      </c>
      <c r="H2144" t="s">
        <v>21</v>
      </c>
      <c r="L2144" t="s">
        <v>82</v>
      </c>
    </row>
    <row r="2145" spans="1:13">
      <c r="A2145">
        <v>45834</v>
      </c>
      <c r="B2145" t="s">
        <v>2141</v>
      </c>
      <c r="F2145">
        <v>1</v>
      </c>
      <c r="G2145" t="s">
        <v>79</v>
      </c>
      <c r="H2145" t="s">
        <v>21</v>
      </c>
      <c r="L2145" t="s">
        <v>82</v>
      </c>
    </row>
    <row r="2146" spans="1:13">
      <c r="A2146">
        <v>45835</v>
      </c>
      <c r="B2146" t="s">
        <v>2142</v>
      </c>
      <c r="D2146">
        <v>500</v>
      </c>
      <c r="F2146">
        <v>1</v>
      </c>
      <c r="G2146" t="s">
        <v>22</v>
      </c>
      <c r="H2146" t="s">
        <v>21</v>
      </c>
      <c r="I2146" t="s">
        <v>60</v>
      </c>
      <c r="J2146" t="s">
        <v>61</v>
      </c>
      <c r="L2146" t="s">
        <v>89</v>
      </c>
    </row>
    <row r="2147" spans="1:13">
      <c r="A2147">
        <v>45835</v>
      </c>
      <c r="B2147" t="s">
        <v>2143</v>
      </c>
      <c r="F2147">
        <v>1</v>
      </c>
      <c r="G2147" t="s">
        <v>79</v>
      </c>
      <c r="H2147" t="s">
        <v>21</v>
      </c>
      <c r="L2147" t="s">
        <v>89</v>
      </c>
    </row>
    <row r="2148" spans="1:13">
      <c r="A2148">
        <v>45835</v>
      </c>
      <c r="B2148" t="s">
        <v>2144</v>
      </c>
      <c r="D2148">
        <v>500</v>
      </c>
      <c r="F2148">
        <v>1</v>
      </c>
      <c r="G2148" t="s">
        <v>22</v>
      </c>
      <c r="H2148" t="s">
        <v>21</v>
      </c>
      <c r="I2148" t="s">
        <v>60</v>
      </c>
      <c r="J2148" t="s">
        <v>61</v>
      </c>
      <c r="L2148" t="s">
        <v>89</v>
      </c>
    </row>
    <row r="2149" spans="1:13">
      <c r="A2149">
        <v>45835</v>
      </c>
      <c r="B2149" t="s">
        <v>2145</v>
      </c>
      <c r="D2149">
        <v>500</v>
      </c>
      <c r="F2149">
        <v>1</v>
      </c>
      <c r="G2149" t="s">
        <v>22</v>
      </c>
      <c r="H2149" t="s">
        <v>21</v>
      </c>
      <c r="I2149" t="s">
        <v>60</v>
      </c>
      <c r="J2149" t="s">
        <v>61</v>
      </c>
      <c r="L2149" t="s">
        <v>89</v>
      </c>
    </row>
    <row r="2150" spans="1:13">
      <c r="A2150">
        <v>45835</v>
      </c>
      <c r="B2150" t="s">
        <v>2146</v>
      </c>
      <c r="D2150">
        <v>500</v>
      </c>
      <c r="F2150">
        <v>0</v>
      </c>
      <c r="G2150" t="s">
        <v>22</v>
      </c>
      <c r="H2150" t="s">
        <v>21</v>
      </c>
      <c r="I2150" t="s">
        <v>60</v>
      </c>
      <c r="J2150" t="s">
        <v>61</v>
      </c>
      <c r="L2150" t="s">
        <v>89</v>
      </c>
      <c r="M2150" t="s">
        <v>83</v>
      </c>
    </row>
    <row r="2151" spans="1:13">
      <c r="A2151">
        <v>45835</v>
      </c>
      <c r="B2151" t="s">
        <v>81</v>
      </c>
      <c r="D2151">
        <v>91400</v>
      </c>
      <c r="F2151">
        <v>1</v>
      </c>
      <c r="G2151" t="s">
        <v>74</v>
      </c>
      <c r="H2151" t="s">
        <v>75</v>
      </c>
      <c r="I2151" t="s">
        <v>60</v>
      </c>
      <c r="J2151" t="s">
        <v>61</v>
      </c>
      <c r="L2151" t="s">
        <v>88</v>
      </c>
    </row>
    <row r="2152" spans="1:13">
      <c r="A2152">
        <v>45835</v>
      </c>
      <c r="B2152" t="s">
        <v>2147</v>
      </c>
      <c r="D2152">
        <v>500</v>
      </c>
      <c r="F2152">
        <v>1</v>
      </c>
      <c r="G2152" t="s">
        <v>22</v>
      </c>
      <c r="H2152" t="s">
        <v>21</v>
      </c>
      <c r="I2152" t="s">
        <v>60</v>
      </c>
      <c r="J2152" t="s">
        <v>61</v>
      </c>
      <c r="L2152" t="s">
        <v>86</v>
      </c>
    </row>
    <row r="2153" spans="1:13">
      <c r="A2153">
        <v>45835</v>
      </c>
      <c r="B2153" t="s">
        <v>2148</v>
      </c>
      <c r="F2153">
        <v>1</v>
      </c>
      <c r="G2153" t="s">
        <v>79</v>
      </c>
      <c r="H2153" t="s">
        <v>21</v>
      </c>
      <c r="L2153" t="s">
        <v>89</v>
      </c>
    </row>
    <row r="2154" spans="1:13">
      <c r="A2154">
        <v>45835</v>
      </c>
      <c r="B2154" t="s">
        <v>2148</v>
      </c>
      <c r="F2154">
        <v>1</v>
      </c>
      <c r="G2154" t="s">
        <v>64</v>
      </c>
      <c r="L2154" t="s">
        <v>89</v>
      </c>
      <c r="M2154" t="s">
        <v>1099</v>
      </c>
    </row>
    <row r="2155" spans="1:13">
      <c r="A2155">
        <v>45835</v>
      </c>
      <c r="B2155" t="s">
        <v>2149</v>
      </c>
      <c r="D2155">
        <v>500</v>
      </c>
      <c r="F2155">
        <v>1</v>
      </c>
      <c r="G2155" t="s">
        <v>22</v>
      </c>
      <c r="H2155" t="s">
        <v>21</v>
      </c>
      <c r="I2155" t="s">
        <v>60</v>
      </c>
      <c r="J2155" t="s">
        <v>61</v>
      </c>
      <c r="L2155" t="s">
        <v>86</v>
      </c>
    </row>
    <row r="2156" spans="1:13">
      <c r="A2156">
        <v>45835</v>
      </c>
      <c r="B2156" t="s">
        <v>2150</v>
      </c>
      <c r="D2156">
        <v>500</v>
      </c>
      <c r="F2156">
        <v>0</v>
      </c>
      <c r="G2156" t="s">
        <v>22</v>
      </c>
      <c r="H2156" t="s">
        <v>21</v>
      </c>
      <c r="I2156" t="s">
        <v>60</v>
      </c>
      <c r="J2156" t="s">
        <v>61</v>
      </c>
      <c r="L2156" t="s">
        <v>86</v>
      </c>
      <c r="M2156" t="s">
        <v>83</v>
      </c>
    </row>
    <row r="2157" spans="1:13">
      <c r="A2157">
        <v>45835</v>
      </c>
      <c r="B2157" t="s">
        <v>2151</v>
      </c>
      <c r="F2157">
        <v>1</v>
      </c>
      <c r="G2157" t="s">
        <v>1889</v>
      </c>
      <c r="L2157" t="s">
        <v>89</v>
      </c>
    </row>
    <row r="2158" spans="1:13">
      <c r="A2158">
        <v>45835</v>
      </c>
      <c r="B2158" t="s">
        <v>2152</v>
      </c>
      <c r="F2158">
        <v>1</v>
      </c>
      <c r="G2158" t="s">
        <v>1889</v>
      </c>
      <c r="L2158" t="s">
        <v>82</v>
      </c>
    </row>
    <row r="2159" spans="1:13">
      <c r="A2159">
        <v>45836</v>
      </c>
      <c r="B2159" t="s">
        <v>2153</v>
      </c>
      <c r="D2159">
        <v>500</v>
      </c>
      <c r="F2159">
        <v>0</v>
      </c>
      <c r="G2159" t="s">
        <v>22</v>
      </c>
      <c r="H2159" t="s">
        <v>21</v>
      </c>
      <c r="I2159" t="s">
        <v>60</v>
      </c>
      <c r="J2159" t="s">
        <v>61</v>
      </c>
      <c r="L2159" t="s">
        <v>89</v>
      </c>
    </row>
    <row r="2160" spans="1:13">
      <c r="A2160">
        <v>45836</v>
      </c>
      <c r="B2160" t="s">
        <v>559</v>
      </c>
      <c r="E2160">
        <v>10000</v>
      </c>
      <c r="F2160">
        <v>1</v>
      </c>
      <c r="G2160" t="s">
        <v>65</v>
      </c>
      <c r="H2160" t="s">
        <v>560</v>
      </c>
      <c r="I2160" t="s">
        <v>60</v>
      </c>
      <c r="J2160" t="s">
        <v>61</v>
      </c>
      <c r="L2160" t="s">
        <v>62</v>
      </c>
    </row>
    <row r="2161" spans="1:13">
      <c r="A2161">
        <v>45836</v>
      </c>
      <c r="B2161" t="s">
        <v>561</v>
      </c>
      <c r="E2161">
        <v>10000</v>
      </c>
      <c r="F2161">
        <v>1</v>
      </c>
      <c r="G2161" t="s">
        <v>65</v>
      </c>
      <c r="H2161" t="s">
        <v>560</v>
      </c>
      <c r="I2161" t="s">
        <v>60</v>
      </c>
      <c r="J2161" t="s">
        <v>61</v>
      </c>
      <c r="L2161" t="s">
        <v>62</v>
      </c>
    </row>
    <row r="2162" spans="1:13">
      <c r="A2162">
        <v>45836</v>
      </c>
      <c r="B2162" t="s">
        <v>76</v>
      </c>
      <c r="D2162">
        <v>14000</v>
      </c>
      <c r="G2162" t="s">
        <v>77</v>
      </c>
      <c r="I2162" t="s">
        <v>60</v>
      </c>
      <c r="J2162" t="s">
        <v>61</v>
      </c>
      <c r="L2162" t="s">
        <v>62</v>
      </c>
    </row>
    <row r="2163" spans="1:13">
      <c r="A2163">
        <v>45836</v>
      </c>
      <c r="B2163" t="s">
        <v>2154</v>
      </c>
      <c r="F2163">
        <v>1</v>
      </c>
      <c r="G2163" t="s">
        <v>79</v>
      </c>
      <c r="H2163" t="s">
        <v>21</v>
      </c>
      <c r="L2163" t="s">
        <v>89</v>
      </c>
    </row>
    <row r="2164" spans="1:13">
      <c r="A2164">
        <v>45836</v>
      </c>
      <c r="B2164" t="s">
        <v>2155</v>
      </c>
      <c r="D2164">
        <v>500</v>
      </c>
      <c r="F2164">
        <v>1</v>
      </c>
      <c r="G2164" t="s">
        <v>22</v>
      </c>
      <c r="H2164" t="s">
        <v>21</v>
      </c>
      <c r="I2164" t="s">
        <v>60</v>
      </c>
      <c r="J2164" t="s">
        <v>61</v>
      </c>
      <c r="L2164" t="s">
        <v>86</v>
      </c>
    </row>
    <row r="2165" spans="1:13">
      <c r="A2165">
        <v>45836</v>
      </c>
      <c r="B2165" t="s">
        <v>2156</v>
      </c>
      <c r="D2165">
        <v>500</v>
      </c>
      <c r="F2165">
        <v>1</v>
      </c>
      <c r="G2165" t="s">
        <v>22</v>
      </c>
      <c r="H2165" t="s">
        <v>21</v>
      </c>
      <c r="I2165" t="s">
        <v>60</v>
      </c>
      <c r="J2165" t="s">
        <v>61</v>
      </c>
      <c r="L2165" t="s">
        <v>86</v>
      </c>
    </row>
    <row r="2166" spans="1:13">
      <c r="A2166">
        <v>45836</v>
      </c>
      <c r="B2166" t="s">
        <v>63</v>
      </c>
      <c r="D2166">
        <v>7500</v>
      </c>
      <c r="F2166">
        <v>1</v>
      </c>
      <c r="G2166" t="s">
        <v>70</v>
      </c>
      <c r="I2166" t="s">
        <v>71</v>
      </c>
      <c r="J2166" t="s">
        <v>535</v>
      </c>
      <c r="K2166" t="s">
        <v>2157</v>
      </c>
      <c r="L2166" t="s">
        <v>62</v>
      </c>
      <c r="M2166" t="s">
        <v>90</v>
      </c>
    </row>
    <row r="2167" spans="1:13">
      <c r="A2167">
        <v>45836</v>
      </c>
      <c r="B2167" t="s">
        <v>2158</v>
      </c>
      <c r="F2167">
        <v>1</v>
      </c>
      <c r="G2167" t="s">
        <v>590</v>
      </c>
      <c r="H2167" t="s">
        <v>21</v>
      </c>
      <c r="L2167" t="s">
        <v>86</v>
      </c>
      <c r="M2167" t="s">
        <v>2159</v>
      </c>
    </row>
    <row r="2168" spans="1:13">
      <c r="A2168">
        <v>45836</v>
      </c>
      <c r="B2168" t="s">
        <v>2160</v>
      </c>
      <c r="D2168">
        <v>500</v>
      </c>
      <c r="F2168">
        <v>1</v>
      </c>
      <c r="G2168" t="s">
        <v>22</v>
      </c>
      <c r="H2168" t="s">
        <v>21</v>
      </c>
      <c r="I2168" t="s">
        <v>60</v>
      </c>
      <c r="J2168" t="s">
        <v>61</v>
      </c>
      <c r="L2168" t="s">
        <v>86</v>
      </c>
    </row>
    <row r="2169" spans="1:13">
      <c r="A2169">
        <v>45837</v>
      </c>
      <c r="B2169" t="s">
        <v>63</v>
      </c>
      <c r="D2169">
        <v>39000</v>
      </c>
      <c r="G2169" t="s">
        <v>70</v>
      </c>
      <c r="I2169" t="s">
        <v>60</v>
      </c>
      <c r="J2169" t="s">
        <v>61</v>
      </c>
      <c r="L2169" t="s">
        <v>62</v>
      </c>
    </row>
    <row r="2170" spans="1:13">
      <c r="A2170">
        <v>45837</v>
      </c>
      <c r="B2170" t="s">
        <v>76</v>
      </c>
      <c r="D2170">
        <v>18610</v>
      </c>
      <c r="G2170" t="s">
        <v>77</v>
      </c>
      <c r="I2170" t="s">
        <v>60</v>
      </c>
      <c r="J2170" t="s">
        <v>61</v>
      </c>
      <c r="L2170" t="s">
        <v>62</v>
      </c>
    </row>
    <row r="2171" spans="1:13">
      <c r="A2171">
        <v>45837</v>
      </c>
      <c r="B2171" t="s">
        <v>2161</v>
      </c>
      <c r="F2171">
        <v>1</v>
      </c>
      <c r="G2171" t="s">
        <v>590</v>
      </c>
      <c r="H2171" t="s">
        <v>21</v>
      </c>
      <c r="L2171" t="s">
        <v>82</v>
      </c>
      <c r="M2171" t="s">
        <v>2159</v>
      </c>
    </row>
    <row r="2172" spans="1:13">
      <c r="A2172">
        <v>45837</v>
      </c>
      <c r="B2172" t="s">
        <v>2162</v>
      </c>
      <c r="F2172">
        <v>1</v>
      </c>
      <c r="G2172" t="s">
        <v>79</v>
      </c>
      <c r="H2172" t="s">
        <v>21</v>
      </c>
      <c r="L2172" t="s">
        <v>86</v>
      </c>
    </row>
    <row r="2173" spans="1:13">
      <c r="A2173">
        <v>45837</v>
      </c>
      <c r="B2173" t="s">
        <v>2163</v>
      </c>
      <c r="F2173">
        <v>1</v>
      </c>
      <c r="G2173" t="s">
        <v>64</v>
      </c>
      <c r="L2173" t="s">
        <v>86</v>
      </c>
      <c r="M2173" t="s">
        <v>96</v>
      </c>
    </row>
    <row r="2174" spans="1:13">
      <c r="A2174">
        <v>45837</v>
      </c>
      <c r="B2174" t="s">
        <v>63</v>
      </c>
      <c r="D2174">
        <v>300</v>
      </c>
      <c r="F2174">
        <v>3</v>
      </c>
      <c r="G2174" t="s">
        <v>22</v>
      </c>
      <c r="H2174" t="s">
        <v>93</v>
      </c>
      <c r="I2174" t="s">
        <v>60</v>
      </c>
      <c r="J2174" t="s">
        <v>61</v>
      </c>
      <c r="L2174" t="s">
        <v>62</v>
      </c>
    </row>
    <row r="2175" spans="1:13">
      <c r="A2175">
        <v>45837</v>
      </c>
      <c r="B2175" t="s">
        <v>2164</v>
      </c>
      <c r="D2175">
        <v>500</v>
      </c>
      <c r="F2175">
        <v>1</v>
      </c>
      <c r="G2175" t="s">
        <v>22</v>
      </c>
      <c r="H2175" t="s">
        <v>21</v>
      </c>
      <c r="I2175" t="s">
        <v>60</v>
      </c>
      <c r="J2175" t="s">
        <v>61</v>
      </c>
      <c r="L2175" t="s">
        <v>86</v>
      </c>
    </row>
    <row r="2176" spans="1:13">
      <c r="A2176">
        <v>45837</v>
      </c>
      <c r="B2176" t="s">
        <v>2165</v>
      </c>
      <c r="D2176">
        <v>500</v>
      </c>
      <c r="F2176">
        <v>1</v>
      </c>
      <c r="G2176" t="s">
        <v>22</v>
      </c>
      <c r="H2176" t="s">
        <v>21</v>
      </c>
      <c r="I2176" t="s">
        <v>60</v>
      </c>
      <c r="J2176" t="s">
        <v>61</v>
      </c>
      <c r="L2176" t="s">
        <v>86</v>
      </c>
    </row>
    <row r="2177" spans="1:13">
      <c r="A2177">
        <v>45837</v>
      </c>
      <c r="B2177" t="s">
        <v>2166</v>
      </c>
      <c r="D2177">
        <v>500</v>
      </c>
      <c r="F2177">
        <v>1</v>
      </c>
      <c r="G2177" t="s">
        <v>22</v>
      </c>
      <c r="H2177" t="s">
        <v>21</v>
      </c>
      <c r="I2177" t="s">
        <v>60</v>
      </c>
      <c r="J2177" t="s">
        <v>61</v>
      </c>
      <c r="L2177" t="s">
        <v>86</v>
      </c>
    </row>
    <row r="2178" spans="1:13">
      <c r="A2178">
        <v>45837</v>
      </c>
      <c r="B2178" t="s">
        <v>2167</v>
      </c>
      <c r="D2178">
        <v>500</v>
      </c>
      <c r="F2178">
        <v>1</v>
      </c>
      <c r="G2178" t="s">
        <v>22</v>
      </c>
      <c r="H2178" t="s">
        <v>21</v>
      </c>
      <c r="I2178" t="s">
        <v>60</v>
      </c>
      <c r="J2178" t="s">
        <v>61</v>
      </c>
      <c r="L2178" t="s">
        <v>86</v>
      </c>
    </row>
    <row r="2179" spans="1:13">
      <c r="A2179">
        <v>45837</v>
      </c>
      <c r="B2179" t="s">
        <v>63</v>
      </c>
      <c r="D2179">
        <v>25500</v>
      </c>
      <c r="F2179">
        <v>3</v>
      </c>
      <c r="G2179" t="s">
        <v>70</v>
      </c>
      <c r="I2179" t="s">
        <v>71</v>
      </c>
      <c r="J2179" t="s">
        <v>72</v>
      </c>
      <c r="K2179" t="s">
        <v>2168</v>
      </c>
      <c r="L2179" t="s">
        <v>86</v>
      </c>
    </row>
    <row r="2180" spans="1:13">
      <c r="A2180">
        <v>45838</v>
      </c>
      <c r="B2180" t="s">
        <v>81</v>
      </c>
      <c r="D2180">
        <v>107000</v>
      </c>
      <c r="F2180">
        <v>1</v>
      </c>
      <c r="G2180" t="s">
        <v>74</v>
      </c>
      <c r="H2180" t="s">
        <v>75</v>
      </c>
      <c r="I2180" t="s">
        <v>60</v>
      </c>
      <c r="J2180" t="s">
        <v>61</v>
      </c>
      <c r="L2180" t="s">
        <v>88</v>
      </c>
    </row>
    <row r="2181" spans="1:13">
      <c r="A2181">
        <v>45838</v>
      </c>
      <c r="B2181" t="s">
        <v>76</v>
      </c>
      <c r="D2181">
        <v>14500</v>
      </c>
      <c r="G2181" t="s">
        <v>77</v>
      </c>
      <c r="I2181" t="s">
        <v>60</v>
      </c>
      <c r="J2181" t="s">
        <v>61</v>
      </c>
      <c r="L2181" t="s">
        <v>62</v>
      </c>
    </row>
    <row r="2182" spans="1:13">
      <c r="A2182">
        <v>45838</v>
      </c>
      <c r="B2182" t="s">
        <v>624</v>
      </c>
      <c r="D2182">
        <v>-41600</v>
      </c>
      <c r="G2182" t="s">
        <v>77</v>
      </c>
      <c r="I2182" t="s">
        <v>60</v>
      </c>
      <c r="J2182" t="s">
        <v>61</v>
      </c>
      <c r="L2182" t="s">
        <v>62</v>
      </c>
    </row>
    <row r="2183" spans="1:13">
      <c r="A2183">
        <v>45838</v>
      </c>
      <c r="B2183" t="s">
        <v>624</v>
      </c>
      <c r="E2183">
        <v>-2200</v>
      </c>
      <c r="G2183" t="s">
        <v>65</v>
      </c>
      <c r="H2183" t="s">
        <v>85</v>
      </c>
      <c r="I2183" t="s">
        <v>60</v>
      </c>
      <c r="J2183" t="s">
        <v>61</v>
      </c>
      <c r="L2183" t="s">
        <v>62</v>
      </c>
    </row>
    <row r="2184" spans="1:13">
      <c r="A2184">
        <v>45838</v>
      </c>
      <c r="B2184" t="s">
        <v>2169</v>
      </c>
      <c r="D2184">
        <v>500</v>
      </c>
      <c r="F2184">
        <v>1</v>
      </c>
      <c r="G2184" t="s">
        <v>22</v>
      </c>
      <c r="H2184" t="s">
        <v>21</v>
      </c>
      <c r="I2184" t="s">
        <v>60</v>
      </c>
      <c r="J2184" t="s">
        <v>61</v>
      </c>
      <c r="L2184" t="s">
        <v>89</v>
      </c>
    </row>
    <row r="2185" spans="1:13">
      <c r="A2185">
        <v>45838</v>
      </c>
      <c r="B2185" t="s">
        <v>2170</v>
      </c>
      <c r="F2185">
        <v>1</v>
      </c>
      <c r="G2185" t="s">
        <v>98</v>
      </c>
      <c r="H2185" t="s">
        <v>21</v>
      </c>
      <c r="L2185" t="s">
        <v>82</v>
      </c>
    </row>
    <row r="2186" spans="1:13">
      <c r="A2186">
        <v>45838</v>
      </c>
      <c r="B2186" t="s">
        <v>2170</v>
      </c>
      <c r="D2186">
        <v>0</v>
      </c>
      <c r="F2186">
        <v>0</v>
      </c>
      <c r="G2186" t="s">
        <v>22</v>
      </c>
      <c r="H2186" t="s">
        <v>21</v>
      </c>
      <c r="I2186" t="s">
        <v>60</v>
      </c>
      <c r="J2186" t="s">
        <v>61</v>
      </c>
      <c r="L2186" t="s">
        <v>82</v>
      </c>
      <c r="M2186" t="s">
        <v>83</v>
      </c>
    </row>
    <row r="2187" spans="1:13">
      <c r="A2187">
        <v>45838</v>
      </c>
      <c r="B2187" t="s">
        <v>2171</v>
      </c>
      <c r="F2187">
        <v>1</v>
      </c>
      <c r="G2187" t="s">
        <v>1889</v>
      </c>
      <c r="L2187" t="s">
        <v>82</v>
      </c>
    </row>
    <row r="2188" spans="1:13">
      <c r="A2188">
        <v>45838</v>
      </c>
      <c r="B2188" t="s">
        <v>63</v>
      </c>
      <c r="D2188">
        <v>5710</v>
      </c>
      <c r="G2188" t="s">
        <v>70</v>
      </c>
      <c r="I2188" t="s">
        <v>60</v>
      </c>
      <c r="J2188" t="s">
        <v>61</v>
      </c>
      <c r="L2188" t="s">
        <v>62</v>
      </c>
    </row>
    <row r="2189" spans="1:13">
      <c r="A2189">
        <v>45838</v>
      </c>
      <c r="B2189" t="s">
        <v>2172</v>
      </c>
      <c r="E2189">
        <v>5710</v>
      </c>
      <c r="F2189">
        <v>1</v>
      </c>
      <c r="G2189" t="s">
        <v>65</v>
      </c>
      <c r="H2189" t="s">
        <v>66</v>
      </c>
      <c r="I2189" t="s">
        <v>60</v>
      </c>
      <c r="J2189" t="s">
        <v>61</v>
      </c>
      <c r="L2189" t="s">
        <v>1889</v>
      </c>
    </row>
    <row r="2190" spans="1:13">
      <c r="A2190">
        <v>45839</v>
      </c>
      <c r="B2190" t="s">
        <v>81</v>
      </c>
      <c r="D2190">
        <v>17000</v>
      </c>
      <c r="F2190">
        <v>1</v>
      </c>
      <c r="G2190" t="s">
        <v>74</v>
      </c>
      <c r="H2190" t="s">
        <v>75</v>
      </c>
      <c r="I2190" t="s">
        <v>60</v>
      </c>
      <c r="J2190" t="s">
        <v>61</v>
      </c>
      <c r="L2190" t="s">
        <v>88</v>
      </c>
    </row>
    <row r="2191" spans="1:13">
      <c r="A2191">
        <v>45839</v>
      </c>
      <c r="B2191" t="s">
        <v>2173</v>
      </c>
      <c r="D2191">
        <v>500</v>
      </c>
      <c r="F2191">
        <v>1</v>
      </c>
      <c r="G2191" t="s">
        <v>22</v>
      </c>
      <c r="H2191" t="s">
        <v>21</v>
      </c>
      <c r="I2191" t="s">
        <v>60</v>
      </c>
      <c r="J2191" t="s">
        <v>61</v>
      </c>
      <c r="L2191" t="s">
        <v>89</v>
      </c>
    </row>
    <row r="2192" spans="1:13">
      <c r="A2192">
        <v>45839</v>
      </c>
      <c r="B2192" t="s">
        <v>2174</v>
      </c>
      <c r="D2192">
        <v>500</v>
      </c>
      <c r="F2192">
        <v>1</v>
      </c>
      <c r="G2192" t="s">
        <v>22</v>
      </c>
      <c r="H2192" t="s">
        <v>21</v>
      </c>
      <c r="I2192" t="s">
        <v>60</v>
      </c>
      <c r="J2192" t="s">
        <v>61</v>
      </c>
      <c r="L2192" t="s">
        <v>89</v>
      </c>
    </row>
    <row r="2193" spans="1:13">
      <c r="A2193">
        <v>45839</v>
      </c>
      <c r="B2193" t="s">
        <v>2175</v>
      </c>
      <c r="D2193">
        <v>500</v>
      </c>
      <c r="F2193">
        <v>1</v>
      </c>
      <c r="G2193" t="s">
        <v>22</v>
      </c>
      <c r="H2193" t="s">
        <v>21</v>
      </c>
      <c r="I2193" t="s">
        <v>60</v>
      </c>
      <c r="J2193" t="s">
        <v>61</v>
      </c>
      <c r="L2193" t="s">
        <v>89</v>
      </c>
    </row>
    <row r="2194" spans="1:13">
      <c r="A2194">
        <v>45839</v>
      </c>
      <c r="B2194" t="s">
        <v>2176</v>
      </c>
      <c r="F2194">
        <v>1</v>
      </c>
      <c r="G2194" t="s">
        <v>22</v>
      </c>
      <c r="H2194" t="s">
        <v>21</v>
      </c>
      <c r="L2194" t="s">
        <v>101</v>
      </c>
      <c r="M2194" t="s">
        <v>2177</v>
      </c>
    </row>
    <row r="2195" spans="1:13">
      <c r="A2195">
        <v>45839</v>
      </c>
      <c r="B2195" t="s">
        <v>2178</v>
      </c>
      <c r="D2195">
        <v>500</v>
      </c>
      <c r="F2195">
        <v>1</v>
      </c>
      <c r="G2195" t="s">
        <v>22</v>
      </c>
      <c r="H2195" t="s">
        <v>21</v>
      </c>
      <c r="I2195" t="s">
        <v>60</v>
      </c>
      <c r="J2195" t="s">
        <v>61</v>
      </c>
      <c r="L2195" t="s">
        <v>89</v>
      </c>
    </row>
    <row r="2196" spans="1:13">
      <c r="A2196">
        <v>45839</v>
      </c>
      <c r="B2196" t="s">
        <v>2179</v>
      </c>
      <c r="F2196">
        <v>1</v>
      </c>
      <c r="G2196" t="s">
        <v>564</v>
      </c>
      <c r="H2196" t="s">
        <v>21</v>
      </c>
      <c r="L2196" t="s">
        <v>89</v>
      </c>
    </row>
    <row r="2197" spans="1:13">
      <c r="A2197">
        <v>45839</v>
      </c>
      <c r="B2197" t="s">
        <v>862</v>
      </c>
      <c r="D2197">
        <v>500</v>
      </c>
      <c r="F2197">
        <v>1</v>
      </c>
      <c r="G2197" t="s">
        <v>22</v>
      </c>
      <c r="H2197" t="s">
        <v>21</v>
      </c>
      <c r="I2197" t="s">
        <v>60</v>
      </c>
      <c r="J2197" t="s">
        <v>61</v>
      </c>
      <c r="L2197" t="s">
        <v>89</v>
      </c>
    </row>
    <row r="2198" spans="1:13">
      <c r="A2198">
        <v>45839</v>
      </c>
      <c r="B2198" t="s">
        <v>76</v>
      </c>
      <c r="D2198">
        <v>500</v>
      </c>
      <c r="G2198" t="s">
        <v>77</v>
      </c>
      <c r="I2198" t="s">
        <v>60</v>
      </c>
      <c r="J2198" t="s">
        <v>61</v>
      </c>
      <c r="L2198" t="s">
        <v>62</v>
      </c>
    </row>
    <row r="2199" spans="1:13">
      <c r="A2199">
        <v>45839</v>
      </c>
      <c r="B2199" t="s">
        <v>546</v>
      </c>
      <c r="C2199" t="s">
        <v>2180</v>
      </c>
      <c r="F2199">
        <v>-500</v>
      </c>
      <c r="G2199" t="s">
        <v>22</v>
      </c>
      <c r="H2199" t="s">
        <v>21</v>
      </c>
      <c r="L2199" t="s">
        <v>2181</v>
      </c>
    </row>
    <row r="2200" spans="1:13">
      <c r="A2200">
        <v>45840</v>
      </c>
      <c r="B2200" t="s">
        <v>875</v>
      </c>
      <c r="D2200">
        <v>45000</v>
      </c>
      <c r="F2200">
        <v>1</v>
      </c>
      <c r="G2200" t="s">
        <v>74</v>
      </c>
      <c r="H2200" t="s">
        <v>75</v>
      </c>
      <c r="I2200" t="s">
        <v>60</v>
      </c>
      <c r="J2200" t="s">
        <v>61</v>
      </c>
      <c r="L2200" t="s">
        <v>88</v>
      </c>
    </row>
    <row r="2201" spans="1:13">
      <c r="A2201">
        <v>45840</v>
      </c>
      <c r="B2201" t="s">
        <v>63</v>
      </c>
      <c r="D2201">
        <v>17994</v>
      </c>
      <c r="G2201" t="s">
        <v>70</v>
      </c>
      <c r="I2201" t="s">
        <v>60</v>
      </c>
      <c r="J2201" t="s">
        <v>61</v>
      </c>
      <c r="L2201" t="s">
        <v>62</v>
      </c>
    </row>
    <row r="2202" spans="1:13">
      <c r="A2202">
        <v>45840</v>
      </c>
      <c r="B2202" t="s">
        <v>2182</v>
      </c>
      <c r="F2202">
        <v>1</v>
      </c>
      <c r="G2202" t="s">
        <v>22</v>
      </c>
      <c r="H2202" t="s">
        <v>21</v>
      </c>
      <c r="L2202" t="s">
        <v>101</v>
      </c>
      <c r="M2202" t="s">
        <v>1684</v>
      </c>
    </row>
    <row r="2203" spans="1:13">
      <c r="A2203">
        <v>45840</v>
      </c>
      <c r="B2203" t="s">
        <v>2183</v>
      </c>
      <c r="F2203">
        <v>2</v>
      </c>
      <c r="G2203" t="s">
        <v>22</v>
      </c>
      <c r="H2203" t="s">
        <v>21</v>
      </c>
      <c r="L2203" t="s">
        <v>101</v>
      </c>
      <c r="M2203" t="s">
        <v>1684</v>
      </c>
    </row>
    <row r="2204" spans="1:13">
      <c r="A2204">
        <v>45840</v>
      </c>
      <c r="B2204" t="s">
        <v>2184</v>
      </c>
      <c r="E2204">
        <v>494</v>
      </c>
      <c r="F2204">
        <v>1</v>
      </c>
      <c r="G2204" t="s">
        <v>65</v>
      </c>
      <c r="H2204" t="s">
        <v>66</v>
      </c>
      <c r="I2204" t="s">
        <v>60</v>
      </c>
      <c r="J2204" t="s">
        <v>61</v>
      </c>
      <c r="L2204" t="s">
        <v>88</v>
      </c>
    </row>
    <row r="2205" spans="1:13">
      <c r="A2205">
        <v>45840</v>
      </c>
      <c r="B2205" t="s">
        <v>76</v>
      </c>
      <c r="D2205">
        <v>3000</v>
      </c>
      <c r="G2205" t="s">
        <v>77</v>
      </c>
      <c r="I2205" t="s">
        <v>60</v>
      </c>
      <c r="J2205" t="s">
        <v>61</v>
      </c>
      <c r="L2205" t="s">
        <v>1343</v>
      </c>
    </row>
    <row r="2206" spans="1:13">
      <c r="A2206">
        <v>45840</v>
      </c>
      <c r="B2206" t="s">
        <v>248</v>
      </c>
      <c r="E2206">
        <v>48467</v>
      </c>
      <c r="F2206">
        <v>1</v>
      </c>
      <c r="G2206" t="s">
        <v>65</v>
      </c>
      <c r="H2206" t="s">
        <v>348</v>
      </c>
      <c r="I2206" t="s">
        <v>60</v>
      </c>
      <c r="J2206" t="s">
        <v>61</v>
      </c>
      <c r="L2206" t="s">
        <v>1343</v>
      </c>
      <c r="M2206" t="s">
        <v>2185</v>
      </c>
    </row>
    <row r="2207" spans="1:13">
      <c r="A2207">
        <v>45840</v>
      </c>
      <c r="B2207" t="s">
        <v>2186</v>
      </c>
      <c r="D2207">
        <v>500</v>
      </c>
      <c r="F2207">
        <v>1</v>
      </c>
      <c r="G2207" t="s">
        <v>22</v>
      </c>
      <c r="H2207" t="s">
        <v>21</v>
      </c>
      <c r="I2207" t="s">
        <v>60</v>
      </c>
      <c r="J2207" t="s">
        <v>61</v>
      </c>
      <c r="L2207" t="s">
        <v>86</v>
      </c>
    </row>
    <row r="2208" spans="1:13">
      <c r="A2208">
        <v>45840</v>
      </c>
      <c r="B2208" t="s">
        <v>2187</v>
      </c>
      <c r="D2208">
        <v>500</v>
      </c>
      <c r="F2208">
        <v>1</v>
      </c>
      <c r="G2208" t="s">
        <v>22</v>
      </c>
      <c r="H2208" t="s">
        <v>21</v>
      </c>
      <c r="I2208" t="s">
        <v>60</v>
      </c>
      <c r="J2208" t="s">
        <v>61</v>
      </c>
      <c r="L2208" t="s">
        <v>89</v>
      </c>
    </row>
    <row r="2209" spans="1:13">
      <c r="A2209">
        <v>45840</v>
      </c>
      <c r="B2209" t="s">
        <v>930</v>
      </c>
      <c r="F2209">
        <v>1</v>
      </c>
      <c r="G2209" t="s">
        <v>64</v>
      </c>
      <c r="L2209" t="s">
        <v>89</v>
      </c>
      <c r="M2209" t="s">
        <v>96</v>
      </c>
    </row>
    <row r="2210" spans="1:13">
      <c r="A2210">
        <v>45840</v>
      </c>
      <c r="B2210" t="s">
        <v>2188</v>
      </c>
      <c r="D2210">
        <v>500</v>
      </c>
      <c r="F2210">
        <v>1</v>
      </c>
      <c r="G2210" t="s">
        <v>22</v>
      </c>
      <c r="H2210" t="s">
        <v>21</v>
      </c>
      <c r="I2210" t="s">
        <v>60</v>
      </c>
      <c r="J2210" t="s">
        <v>61</v>
      </c>
      <c r="L2210" t="s">
        <v>89</v>
      </c>
    </row>
    <row r="2211" spans="1:13">
      <c r="A2211">
        <v>45840</v>
      </c>
      <c r="B2211" t="s">
        <v>63</v>
      </c>
      <c r="D2211">
        <v>27500</v>
      </c>
      <c r="F2211">
        <v>2</v>
      </c>
      <c r="G2211" t="s">
        <v>70</v>
      </c>
      <c r="I2211" t="s">
        <v>71</v>
      </c>
      <c r="J2211" t="s">
        <v>72</v>
      </c>
      <c r="K2211" t="s">
        <v>2189</v>
      </c>
      <c r="L2211" t="s">
        <v>62</v>
      </c>
      <c r="M2211" t="s">
        <v>2190</v>
      </c>
    </row>
    <row r="2212" spans="1:13">
      <c r="A2212">
        <v>45840</v>
      </c>
      <c r="B2212" t="s">
        <v>2191</v>
      </c>
      <c r="D2212">
        <v>-20800</v>
      </c>
      <c r="G2212" t="s">
        <v>77</v>
      </c>
      <c r="I2212" t="s">
        <v>60</v>
      </c>
      <c r="J2212" t="s">
        <v>61</v>
      </c>
      <c r="L2212" t="s">
        <v>62</v>
      </c>
    </row>
    <row r="2213" spans="1:13">
      <c r="A2213">
        <v>45840</v>
      </c>
      <c r="B2213" t="s">
        <v>2191</v>
      </c>
      <c r="E2213">
        <v>-1100</v>
      </c>
      <c r="G2213" t="s">
        <v>65</v>
      </c>
      <c r="H2213" t="s">
        <v>85</v>
      </c>
      <c r="I2213" t="s">
        <v>60</v>
      </c>
      <c r="J2213" t="s">
        <v>61</v>
      </c>
      <c r="L2213" t="s">
        <v>62</v>
      </c>
    </row>
    <row r="2214" spans="1:13">
      <c r="A2214">
        <v>45841</v>
      </c>
      <c r="B2214" t="s">
        <v>81</v>
      </c>
      <c r="D2214">
        <v>55000</v>
      </c>
      <c r="F2214">
        <v>1</v>
      </c>
      <c r="G2214" t="s">
        <v>74</v>
      </c>
      <c r="H2214" t="s">
        <v>75</v>
      </c>
      <c r="I2214" t="s">
        <v>60</v>
      </c>
      <c r="J2214" t="s">
        <v>61</v>
      </c>
      <c r="L2214" t="s">
        <v>88</v>
      </c>
    </row>
    <row r="2215" spans="1:13">
      <c r="A2215">
        <v>45841</v>
      </c>
      <c r="B2215" t="s">
        <v>2192</v>
      </c>
      <c r="D2215">
        <v>500</v>
      </c>
      <c r="F2215">
        <v>1</v>
      </c>
      <c r="G2215" t="s">
        <v>22</v>
      </c>
      <c r="H2215" t="s">
        <v>21</v>
      </c>
      <c r="I2215" t="s">
        <v>60</v>
      </c>
      <c r="J2215" t="s">
        <v>61</v>
      </c>
      <c r="L2215" t="s">
        <v>89</v>
      </c>
    </row>
    <row r="2216" spans="1:13">
      <c r="A2216">
        <v>45841</v>
      </c>
      <c r="B2216" t="s">
        <v>2193</v>
      </c>
      <c r="D2216">
        <v>500</v>
      </c>
      <c r="F2216">
        <v>1</v>
      </c>
      <c r="G2216" t="s">
        <v>22</v>
      </c>
      <c r="H2216" t="s">
        <v>21</v>
      </c>
      <c r="I2216" t="s">
        <v>60</v>
      </c>
      <c r="J2216" t="s">
        <v>61</v>
      </c>
      <c r="L2216" t="s">
        <v>89</v>
      </c>
    </row>
    <row r="2217" spans="1:13">
      <c r="A2217">
        <v>45841</v>
      </c>
      <c r="B2217" t="s">
        <v>2194</v>
      </c>
      <c r="D2217">
        <v>500</v>
      </c>
      <c r="F2217">
        <v>1</v>
      </c>
      <c r="G2217" t="s">
        <v>22</v>
      </c>
      <c r="H2217" t="s">
        <v>21</v>
      </c>
      <c r="I2217" t="s">
        <v>60</v>
      </c>
      <c r="J2217" t="s">
        <v>61</v>
      </c>
      <c r="L2217" t="s">
        <v>86</v>
      </c>
    </row>
    <row r="2218" spans="1:13">
      <c r="A2218">
        <v>45841</v>
      </c>
      <c r="B2218" t="s">
        <v>1330</v>
      </c>
      <c r="D2218">
        <v>500</v>
      </c>
      <c r="F2218">
        <v>0</v>
      </c>
      <c r="G2218" t="s">
        <v>22</v>
      </c>
      <c r="H2218" t="s">
        <v>21</v>
      </c>
      <c r="I2218" t="s">
        <v>60</v>
      </c>
      <c r="J2218" t="s">
        <v>61</v>
      </c>
      <c r="L2218" t="s">
        <v>86</v>
      </c>
      <c r="M2218" t="s">
        <v>83</v>
      </c>
    </row>
    <row r="2219" spans="1:13">
      <c r="A2219">
        <v>45842</v>
      </c>
      <c r="B2219" t="s">
        <v>2195</v>
      </c>
      <c r="D2219">
        <v>500</v>
      </c>
      <c r="F2219">
        <v>1</v>
      </c>
      <c r="G2219" t="s">
        <v>22</v>
      </c>
      <c r="H2219" t="s">
        <v>21</v>
      </c>
      <c r="I2219" t="s">
        <v>60</v>
      </c>
      <c r="J2219" t="s">
        <v>61</v>
      </c>
      <c r="L2219" t="s">
        <v>82</v>
      </c>
    </row>
    <row r="2220" spans="1:13">
      <c r="A2220">
        <v>45842</v>
      </c>
      <c r="B2220" t="s">
        <v>2196</v>
      </c>
      <c r="D2220">
        <v>500</v>
      </c>
      <c r="F2220">
        <v>0</v>
      </c>
      <c r="G2220" t="s">
        <v>22</v>
      </c>
      <c r="H2220" t="s">
        <v>21</v>
      </c>
      <c r="I2220" t="s">
        <v>60</v>
      </c>
      <c r="J2220" t="s">
        <v>61</v>
      </c>
      <c r="L2220" t="s">
        <v>86</v>
      </c>
      <c r="M2220" t="s">
        <v>83</v>
      </c>
    </row>
    <row r="2221" spans="1:13">
      <c r="A2221">
        <v>45842</v>
      </c>
      <c r="B2221" t="s">
        <v>63</v>
      </c>
      <c r="D2221">
        <v>18500</v>
      </c>
      <c r="G2221" t="s">
        <v>70</v>
      </c>
      <c r="I2221" t="s">
        <v>60</v>
      </c>
      <c r="J2221" t="s">
        <v>61</v>
      </c>
      <c r="L2221" t="s">
        <v>62</v>
      </c>
    </row>
    <row r="2222" spans="1:13">
      <c r="A2222">
        <v>45842</v>
      </c>
      <c r="B2222" t="s">
        <v>76</v>
      </c>
      <c r="D2222">
        <v>5000</v>
      </c>
      <c r="G2222" t="s">
        <v>77</v>
      </c>
      <c r="I2222" t="s">
        <v>60</v>
      </c>
      <c r="J2222" t="s">
        <v>61</v>
      </c>
      <c r="L2222" t="s">
        <v>62</v>
      </c>
    </row>
    <row r="2223" spans="1:13">
      <c r="A2223">
        <v>45843</v>
      </c>
      <c r="B2223" t="s">
        <v>559</v>
      </c>
      <c r="E2223">
        <v>10000</v>
      </c>
      <c r="F2223">
        <v>1</v>
      </c>
      <c r="G2223" t="s">
        <v>65</v>
      </c>
      <c r="H2223" t="s">
        <v>560</v>
      </c>
      <c r="I2223" t="s">
        <v>60</v>
      </c>
      <c r="J2223" t="s">
        <v>61</v>
      </c>
      <c r="L2223" t="s">
        <v>62</v>
      </c>
    </row>
    <row r="2224" spans="1:13">
      <c r="A2224">
        <v>45843</v>
      </c>
      <c r="B2224" t="s">
        <v>561</v>
      </c>
      <c r="E2224">
        <v>11000</v>
      </c>
      <c r="F2224">
        <v>1</v>
      </c>
      <c r="G2224" t="s">
        <v>65</v>
      </c>
      <c r="H2224" t="s">
        <v>560</v>
      </c>
      <c r="I2224" t="s">
        <v>60</v>
      </c>
      <c r="J2224" t="s">
        <v>61</v>
      </c>
      <c r="L2224" t="s">
        <v>62</v>
      </c>
    </row>
    <row r="2225" spans="1:13">
      <c r="A2225">
        <v>45843</v>
      </c>
      <c r="B2225" t="s">
        <v>63</v>
      </c>
      <c r="D2225">
        <v>200</v>
      </c>
      <c r="F2225">
        <v>1</v>
      </c>
      <c r="G2225" t="s">
        <v>22</v>
      </c>
      <c r="H2225" t="s">
        <v>93</v>
      </c>
      <c r="I2225" t="s">
        <v>60</v>
      </c>
      <c r="J2225" t="s">
        <v>61</v>
      </c>
      <c r="L2225" t="s">
        <v>62</v>
      </c>
    </row>
    <row r="2226" spans="1:13">
      <c r="A2226">
        <v>45843</v>
      </c>
      <c r="B2226" t="s">
        <v>63</v>
      </c>
      <c r="D2226">
        <v>25000</v>
      </c>
      <c r="G2226" t="s">
        <v>70</v>
      </c>
      <c r="I2226" t="s">
        <v>60</v>
      </c>
      <c r="J2226" t="s">
        <v>61</v>
      </c>
      <c r="L2226" t="s">
        <v>62</v>
      </c>
    </row>
    <row r="2227" spans="1:13">
      <c r="A2227">
        <v>45843</v>
      </c>
      <c r="B2227" t="s">
        <v>80</v>
      </c>
      <c r="E2227">
        <v>13864</v>
      </c>
      <c r="F2227">
        <v>1</v>
      </c>
      <c r="G2227" t="s">
        <v>74</v>
      </c>
      <c r="H2227" t="s">
        <v>75</v>
      </c>
      <c r="I2227" t="s">
        <v>60</v>
      </c>
      <c r="J2227" t="s">
        <v>61</v>
      </c>
      <c r="L2227" t="s">
        <v>87</v>
      </c>
    </row>
    <row r="2228" spans="1:13">
      <c r="A2228">
        <v>45843</v>
      </c>
      <c r="B2228" t="s">
        <v>80</v>
      </c>
      <c r="E2228">
        <v>136</v>
      </c>
      <c r="F2228">
        <v>1</v>
      </c>
      <c r="G2228" t="s">
        <v>65</v>
      </c>
      <c r="H2228" t="s">
        <v>66</v>
      </c>
      <c r="I2228" t="s">
        <v>60</v>
      </c>
      <c r="J2228" t="s">
        <v>61</v>
      </c>
      <c r="L2228" t="s">
        <v>62</v>
      </c>
    </row>
    <row r="2229" spans="1:13">
      <c r="A2229">
        <v>45843</v>
      </c>
      <c r="B2229" t="s">
        <v>290</v>
      </c>
      <c r="C2229" t="s">
        <v>2197</v>
      </c>
      <c r="E2229">
        <v>3394.3</v>
      </c>
      <c r="F2229">
        <v>1</v>
      </c>
      <c r="G2229" t="s">
        <v>65</v>
      </c>
      <c r="H2229" t="s">
        <v>292</v>
      </c>
      <c r="I2229" t="s">
        <v>60</v>
      </c>
      <c r="J2229" t="s">
        <v>61</v>
      </c>
      <c r="L2229" t="s">
        <v>62</v>
      </c>
      <c r="M2229" t="s">
        <v>2198</v>
      </c>
    </row>
    <row r="2230" spans="1:13">
      <c r="A2230">
        <v>45843</v>
      </c>
      <c r="B2230" t="s">
        <v>2199</v>
      </c>
      <c r="D2230">
        <v>500</v>
      </c>
      <c r="F2230">
        <v>1</v>
      </c>
      <c r="G2230" t="s">
        <v>22</v>
      </c>
      <c r="H2230" t="s">
        <v>21</v>
      </c>
      <c r="I2230" t="s">
        <v>60</v>
      </c>
      <c r="J2230" t="s">
        <v>61</v>
      </c>
      <c r="L2230" t="s">
        <v>82</v>
      </c>
    </row>
    <row r="2231" spans="1:13">
      <c r="A2231">
        <v>45843</v>
      </c>
      <c r="B2231" t="s">
        <v>2200</v>
      </c>
      <c r="D2231">
        <v>500</v>
      </c>
      <c r="F2231">
        <v>1</v>
      </c>
      <c r="G2231" t="s">
        <v>22</v>
      </c>
      <c r="H2231" t="s">
        <v>21</v>
      </c>
      <c r="I2231" t="s">
        <v>60</v>
      </c>
      <c r="J2231" t="s">
        <v>61</v>
      </c>
      <c r="L2231" t="s">
        <v>82</v>
      </c>
    </row>
    <row r="2232" spans="1:13">
      <c r="A2232">
        <v>45843</v>
      </c>
      <c r="B2232" t="s">
        <v>2201</v>
      </c>
      <c r="F2232">
        <v>1</v>
      </c>
      <c r="G2232" t="s">
        <v>64</v>
      </c>
      <c r="L2232" t="s">
        <v>82</v>
      </c>
      <c r="M2232" t="s">
        <v>2202</v>
      </c>
    </row>
    <row r="2233" spans="1:13">
      <c r="A2233">
        <v>45843</v>
      </c>
      <c r="B2233" t="s">
        <v>2203</v>
      </c>
      <c r="F2233">
        <v>1</v>
      </c>
      <c r="G2233" t="s">
        <v>79</v>
      </c>
      <c r="H2233" t="s">
        <v>21</v>
      </c>
      <c r="L2233" t="s">
        <v>86</v>
      </c>
    </row>
    <row r="2234" spans="1:13">
      <c r="A2234">
        <v>45843</v>
      </c>
      <c r="B2234" t="s">
        <v>2204</v>
      </c>
      <c r="D2234">
        <v>500</v>
      </c>
      <c r="F2234">
        <v>1</v>
      </c>
      <c r="G2234" t="s">
        <v>22</v>
      </c>
      <c r="H2234" t="s">
        <v>21</v>
      </c>
      <c r="I2234" t="s">
        <v>60</v>
      </c>
      <c r="J2234" t="s">
        <v>61</v>
      </c>
      <c r="L2234" t="s">
        <v>86</v>
      </c>
    </row>
    <row r="2235" spans="1:13">
      <c r="A2235">
        <v>45843</v>
      </c>
      <c r="B2235" t="s">
        <v>2205</v>
      </c>
      <c r="D2235">
        <v>500</v>
      </c>
      <c r="F2235">
        <v>1</v>
      </c>
      <c r="G2235" t="s">
        <v>22</v>
      </c>
      <c r="H2235" t="s">
        <v>21</v>
      </c>
      <c r="I2235" t="s">
        <v>60</v>
      </c>
      <c r="J2235" t="s">
        <v>61</v>
      </c>
      <c r="L2235" t="s">
        <v>86</v>
      </c>
    </row>
    <row r="2236" spans="1:13">
      <c r="A2236">
        <v>45843</v>
      </c>
      <c r="B2236" t="s">
        <v>76</v>
      </c>
      <c r="D2236">
        <v>34100</v>
      </c>
      <c r="G2236" t="s">
        <v>77</v>
      </c>
      <c r="I2236" t="s">
        <v>60</v>
      </c>
      <c r="J2236" t="s">
        <v>61</v>
      </c>
      <c r="L2236" t="s">
        <v>62</v>
      </c>
    </row>
    <row r="2237" spans="1:13">
      <c r="A2237">
        <v>45844</v>
      </c>
      <c r="B2237" t="s">
        <v>63</v>
      </c>
      <c r="D2237">
        <v>200</v>
      </c>
      <c r="F2237">
        <v>0</v>
      </c>
      <c r="G2237" t="s">
        <v>22</v>
      </c>
      <c r="H2237" t="s">
        <v>93</v>
      </c>
      <c r="I2237" t="s">
        <v>60</v>
      </c>
      <c r="J2237" t="s">
        <v>61</v>
      </c>
      <c r="L2237" t="s">
        <v>62</v>
      </c>
    </row>
    <row r="2238" spans="1:13">
      <c r="A2238">
        <v>45844</v>
      </c>
      <c r="B2238" t="s">
        <v>2206</v>
      </c>
      <c r="D2238">
        <v>500</v>
      </c>
      <c r="F2238">
        <v>1</v>
      </c>
      <c r="G2238" t="s">
        <v>22</v>
      </c>
      <c r="H2238" t="s">
        <v>21</v>
      </c>
      <c r="I2238" t="s">
        <v>60</v>
      </c>
      <c r="J2238" t="s">
        <v>61</v>
      </c>
      <c r="L2238" t="s">
        <v>89</v>
      </c>
    </row>
    <row r="2239" spans="1:13">
      <c r="A2239">
        <v>45844</v>
      </c>
      <c r="B2239" t="s">
        <v>2207</v>
      </c>
      <c r="D2239">
        <v>500</v>
      </c>
      <c r="F2239">
        <v>1</v>
      </c>
      <c r="G2239" t="s">
        <v>22</v>
      </c>
      <c r="H2239" t="s">
        <v>21</v>
      </c>
      <c r="I2239" t="s">
        <v>60</v>
      </c>
      <c r="J2239" t="s">
        <v>61</v>
      </c>
      <c r="L2239" t="s">
        <v>89</v>
      </c>
    </row>
    <row r="2240" spans="1:13">
      <c r="A2240">
        <v>45844</v>
      </c>
      <c r="B2240" t="s">
        <v>2208</v>
      </c>
      <c r="D2240">
        <v>500</v>
      </c>
      <c r="F2240">
        <v>1</v>
      </c>
      <c r="G2240" t="s">
        <v>22</v>
      </c>
      <c r="H2240" t="s">
        <v>21</v>
      </c>
      <c r="I2240" t="s">
        <v>60</v>
      </c>
      <c r="J2240" t="s">
        <v>61</v>
      </c>
      <c r="L2240" t="s">
        <v>89</v>
      </c>
    </row>
    <row r="2241" spans="1:13">
      <c r="A2241">
        <v>45844</v>
      </c>
      <c r="B2241" t="s">
        <v>2209</v>
      </c>
      <c r="D2241">
        <v>500</v>
      </c>
      <c r="F2241">
        <v>1</v>
      </c>
      <c r="G2241" t="s">
        <v>22</v>
      </c>
      <c r="H2241" t="s">
        <v>21</v>
      </c>
      <c r="I2241" t="s">
        <v>60</v>
      </c>
      <c r="J2241" t="s">
        <v>61</v>
      </c>
      <c r="L2241" t="s">
        <v>89</v>
      </c>
    </row>
    <row r="2242" spans="1:13">
      <c r="A2242">
        <v>45844</v>
      </c>
      <c r="B2242" t="s">
        <v>2210</v>
      </c>
      <c r="D2242">
        <v>500</v>
      </c>
      <c r="F2242">
        <v>1</v>
      </c>
      <c r="G2242" t="s">
        <v>22</v>
      </c>
      <c r="H2242" t="s">
        <v>21</v>
      </c>
      <c r="I2242" t="s">
        <v>60</v>
      </c>
      <c r="J2242" t="s">
        <v>61</v>
      </c>
      <c r="L2242" t="s">
        <v>89</v>
      </c>
    </row>
    <row r="2243" spans="1:13">
      <c r="A2243">
        <v>45844</v>
      </c>
      <c r="B2243" t="s">
        <v>2211</v>
      </c>
      <c r="F2243">
        <v>1</v>
      </c>
      <c r="G2243" t="s">
        <v>64</v>
      </c>
      <c r="L2243" t="s">
        <v>89</v>
      </c>
      <c r="M2243" t="s">
        <v>1099</v>
      </c>
    </row>
    <row r="2244" spans="1:13">
      <c r="A2244">
        <v>45844</v>
      </c>
      <c r="B2244" t="s">
        <v>2212</v>
      </c>
      <c r="D2244">
        <v>500</v>
      </c>
      <c r="F2244">
        <v>1</v>
      </c>
      <c r="G2244" t="s">
        <v>22</v>
      </c>
      <c r="H2244" t="s">
        <v>21</v>
      </c>
      <c r="I2244" t="s">
        <v>60</v>
      </c>
      <c r="J2244" t="s">
        <v>61</v>
      </c>
      <c r="L2244" t="s">
        <v>89</v>
      </c>
    </row>
    <row r="2245" spans="1:13">
      <c r="A2245">
        <v>45844</v>
      </c>
      <c r="B2245" t="s">
        <v>63</v>
      </c>
      <c r="D2245">
        <v>24000</v>
      </c>
      <c r="G2245" t="s">
        <v>70</v>
      </c>
      <c r="I2245" t="s">
        <v>60</v>
      </c>
      <c r="J2245" t="s">
        <v>61</v>
      </c>
      <c r="L2245" t="s">
        <v>62</v>
      </c>
    </row>
    <row r="2246" spans="1:13">
      <c r="A2246">
        <v>45844</v>
      </c>
      <c r="B2246" t="s">
        <v>76</v>
      </c>
      <c r="D2246">
        <v>6000</v>
      </c>
      <c r="G2246" t="s">
        <v>77</v>
      </c>
      <c r="I2246" t="s">
        <v>60</v>
      </c>
      <c r="J2246" t="s">
        <v>61</v>
      </c>
      <c r="L2246" t="s">
        <v>62</v>
      </c>
    </row>
    <row r="2247" spans="1:13">
      <c r="A2247">
        <v>45845</v>
      </c>
      <c r="B2247" t="s">
        <v>81</v>
      </c>
      <c r="D2247">
        <v>72000</v>
      </c>
      <c r="F2247">
        <v>1</v>
      </c>
      <c r="G2247" t="s">
        <v>74</v>
      </c>
      <c r="H2247" t="s">
        <v>75</v>
      </c>
      <c r="I2247" t="s">
        <v>60</v>
      </c>
      <c r="J2247" t="s">
        <v>61</v>
      </c>
      <c r="L2247" t="s">
        <v>88</v>
      </c>
    </row>
    <row r="2248" spans="1:13">
      <c r="A2248">
        <v>45845</v>
      </c>
      <c r="B2248" t="s">
        <v>1873</v>
      </c>
      <c r="C2248" t="s">
        <v>2213</v>
      </c>
      <c r="F2248">
        <v>9</v>
      </c>
      <c r="G2248" t="s">
        <v>22</v>
      </c>
      <c r="H2248" t="s">
        <v>21</v>
      </c>
      <c r="L2248" t="s">
        <v>95</v>
      </c>
    </row>
    <row r="2249" spans="1:13">
      <c r="A2249">
        <v>45845</v>
      </c>
      <c r="B2249" t="s">
        <v>2214</v>
      </c>
      <c r="F2249">
        <v>1</v>
      </c>
      <c r="G2249" t="s">
        <v>98</v>
      </c>
      <c r="H2249" t="s">
        <v>21</v>
      </c>
      <c r="L2249" t="s">
        <v>82</v>
      </c>
    </row>
    <row r="2250" spans="1:13">
      <c r="A2250">
        <v>45845</v>
      </c>
      <c r="B2250" t="s">
        <v>2214</v>
      </c>
      <c r="D2250">
        <v>0</v>
      </c>
      <c r="F2250">
        <v>0</v>
      </c>
      <c r="G2250" t="s">
        <v>22</v>
      </c>
      <c r="H2250" t="s">
        <v>21</v>
      </c>
      <c r="I2250" t="s">
        <v>60</v>
      </c>
      <c r="J2250" t="s">
        <v>61</v>
      </c>
      <c r="L2250" t="s">
        <v>82</v>
      </c>
    </row>
    <row r="2251" spans="1:13">
      <c r="A2251">
        <v>45845</v>
      </c>
      <c r="B2251" t="s">
        <v>2215</v>
      </c>
      <c r="F2251">
        <v>1</v>
      </c>
      <c r="G2251" t="s">
        <v>587</v>
      </c>
      <c r="H2251" t="s">
        <v>21</v>
      </c>
      <c r="L2251" t="s">
        <v>82</v>
      </c>
    </row>
    <row r="2252" spans="1:13">
      <c r="A2252">
        <v>45845</v>
      </c>
      <c r="B2252" t="s">
        <v>2215</v>
      </c>
      <c r="D2252">
        <v>0</v>
      </c>
      <c r="F2252">
        <v>0</v>
      </c>
      <c r="G2252" t="s">
        <v>22</v>
      </c>
      <c r="H2252" t="s">
        <v>21</v>
      </c>
      <c r="I2252" t="s">
        <v>60</v>
      </c>
      <c r="J2252" t="s">
        <v>61</v>
      </c>
      <c r="L2252" t="s">
        <v>82</v>
      </c>
    </row>
    <row r="2253" spans="1:13">
      <c r="A2253">
        <v>45845</v>
      </c>
      <c r="B2253" t="s">
        <v>2191</v>
      </c>
      <c r="D2253">
        <v>-52000</v>
      </c>
      <c r="G2253" t="s">
        <v>77</v>
      </c>
      <c r="I2253" t="s">
        <v>60</v>
      </c>
      <c r="J2253" t="s">
        <v>61</v>
      </c>
      <c r="L2253" t="s">
        <v>62</v>
      </c>
    </row>
    <row r="2254" spans="1:13">
      <c r="A2254">
        <v>45845</v>
      </c>
      <c r="B2254" t="s">
        <v>63</v>
      </c>
      <c r="D2254">
        <v>7000</v>
      </c>
      <c r="G2254" t="s">
        <v>70</v>
      </c>
      <c r="I2254" t="s">
        <v>60</v>
      </c>
      <c r="J2254" t="s">
        <v>61</v>
      </c>
      <c r="L2254" t="s">
        <v>62</v>
      </c>
    </row>
    <row r="2255" spans="1:13">
      <c r="A2255">
        <v>45845</v>
      </c>
      <c r="B2255" t="s">
        <v>2216</v>
      </c>
      <c r="D2255">
        <v>500</v>
      </c>
      <c r="F2255">
        <v>1</v>
      </c>
      <c r="G2255" t="s">
        <v>22</v>
      </c>
      <c r="H2255" t="s">
        <v>21</v>
      </c>
      <c r="I2255" t="s">
        <v>60</v>
      </c>
      <c r="J2255" t="s">
        <v>61</v>
      </c>
      <c r="L2255" t="s">
        <v>89</v>
      </c>
    </row>
    <row r="2256" spans="1:13">
      <c r="A2256">
        <v>45845</v>
      </c>
      <c r="B2256" t="s">
        <v>2191</v>
      </c>
      <c r="E2256">
        <v>-2750</v>
      </c>
      <c r="G2256" t="s">
        <v>65</v>
      </c>
      <c r="H2256" t="s">
        <v>85</v>
      </c>
      <c r="I2256" t="s">
        <v>60</v>
      </c>
      <c r="J2256" t="s">
        <v>61</v>
      </c>
      <c r="L2256" t="s">
        <v>62</v>
      </c>
    </row>
    <row r="2257" spans="1:13">
      <c r="A2257">
        <v>45845</v>
      </c>
      <c r="B2257" t="s">
        <v>2217</v>
      </c>
      <c r="F2257">
        <v>1</v>
      </c>
      <c r="G2257" t="s">
        <v>0</v>
      </c>
      <c r="L2257" t="s">
        <v>89</v>
      </c>
    </row>
    <row r="2258" spans="1:13">
      <c r="A2258">
        <v>45846</v>
      </c>
      <c r="B2258" t="s">
        <v>81</v>
      </c>
      <c r="D2258">
        <v>166600</v>
      </c>
      <c r="F2258">
        <v>1</v>
      </c>
      <c r="G2258" t="s">
        <v>74</v>
      </c>
      <c r="H2258" t="s">
        <v>75</v>
      </c>
      <c r="I2258" t="s">
        <v>60</v>
      </c>
      <c r="J2258" t="s">
        <v>61</v>
      </c>
      <c r="L2258" t="s">
        <v>88</v>
      </c>
    </row>
    <row r="2259" spans="1:13">
      <c r="A2259">
        <v>45846</v>
      </c>
      <c r="B2259" t="s">
        <v>2218</v>
      </c>
      <c r="F2259">
        <v>1</v>
      </c>
      <c r="G2259" t="s">
        <v>64</v>
      </c>
      <c r="L2259" t="s">
        <v>82</v>
      </c>
      <c r="M2259" t="s">
        <v>96</v>
      </c>
    </row>
    <row r="2260" spans="1:13">
      <c r="A2260">
        <v>45846</v>
      </c>
      <c r="B2260" t="s">
        <v>63</v>
      </c>
      <c r="D2260">
        <v>7000</v>
      </c>
      <c r="F2260">
        <v>1</v>
      </c>
      <c r="G2260" t="s">
        <v>70</v>
      </c>
      <c r="I2260" t="s">
        <v>71</v>
      </c>
      <c r="J2260" t="s">
        <v>72</v>
      </c>
      <c r="K2260">
        <v>597</v>
      </c>
      <c r="L2260" t="s">
        <v>62</v>
      </c>
      <c r="M2260" t="s">
        <v>780</v>
      </c>
    </row>
    <row r="2261" spans="1:13">
      <c r="A2261">
        <v>45846</v>
      </c>
      <c r="B2261" t="s">
        <v>2191</v>
      </c>
      <c r="D2261">
        <v>-31200</v>
      </c>
      <c r="G2261" t="s">
        <v>77</v>
      </c>
      <c r="I2261" t="s">
        <v>60</v>
      </c>
      <c r="J2261" t="s">
        <v>61</v>
      </c>
      <c r="L2261" t="s">
        <v>62</v>
      </c>
    </row>
    <row r="2262" spans="1:13">
      <c r="A2262">
        <v>45846</v>
      </c>
      <c r="B2262" t="s">
        <v>2191</v>
      </c>
      <c r="E2262">
        <v>-1650</v>
      </c>
      <c r="G2262" t="s">
        <v>65</v>
      </c>
      <c r="H2262" t="s">
        <v>85</v>
      </c>
      <c r="I2262" t="s">
        <v>60</v>
      </c>
      <c r="J2262" t="s">
        <v>61</v>
      </c>
      <c r="L2262" t="s">
        <v>62</v>
      </c>
    </row>
    <row r="2263" spans="1:13">
      <c r="A2263">
        <v>45846</v>
      </c>
      <c r="B2263" t="s">
        <v>63</v>
      </c>
      <c r="D2263">
        <v>5500</v>
      </c>
      <c r="G2263" t="s">
        <v>70</v>
      </c>
      <c r="I2263" t="s">
        <v>60</v>
      </c>
      <c r="J2263" t="s">
        <v>61</v>
      </c>
      <c r="L2263" t="s">
        <v>62</v>
      </c>
    </row>
    <row r="2264" spans="1:13">
      <c r="A2264">
        <v>45846</v>
      </c>
      <c r="B2264" t="s">
        <v>2219</v>
      </c>
      <c r="F2264">
        <v>1</v>
      </c>
      <c r="G2264" t="s">
        <v>587</v>
      </c>
      <c r="H2264" t="s">
        <v>21</v>
      </c>
      <c r="L2264" t="s">
        <v>82</v>
      </c>
    </row>
    <row r="2265" spans="1:13">
      <c r="A2265">
        <v>45846</v>
      </c>
      <c r="B2265" t="s">
        <v>2220</v>
      </c>
      <c r="F2265">
        <v>1</v>
      </c>
      <c r="G2265" t="s">
        <v>79</v>
      </c>
      <c r="H2265" t="s">
        <v>21</v>
      </c>
      <c r="L2265" t="s">
        <v>89</v>
      </c>
    </row>
    <row r="2266" spans="1:13">
      <c r="A2266">
        <v>45846</v>
      </c>
      <c r="B2266" t="s">
        <v>2072</v>
      </c>
      <c r="D2266">
        <v>500</v>
      </c>
      <c r="F2266">
        <v>1</v>
      </c>
      <c r="G2266" t="s">
        <v>22</v>
      </c>
      <c r="H2266" t="s">
        <v>21</v>
      </c>
      <c r="I2266" t="s">
        <v>60</v>
      </c>
      <c r="J2266" t="s">
        <v>61</v>
      </c>
      <c r="L2266" t="s">
        <v>89</v>
      </c>
    </row>
    <row r="2267" spans="1:13">
      <c r="A2267">
        <v>45846</v>
      </c>
      <c r="B2267" t="s">
        <v>2221</v>
      </c>
      <c r="D2267">
        <v>500</v>
      </c>
      <c r="F2267">
        <v>1</v>
      </c>
      <c r="G2267" t="s">
        <v>22</v>
      </c>
      <c r="H2267" t="s">
        <v>21</v>
      </c>
      <c r="I2267" t="s">
        <v>60</v>
      </c>
      <c r="J2267" t="s">
        <v>61</v>
      </c>
      <c r="L2267" t="s">
        <v>89</v>
      </c>
    </row>
    <row r="2268" spans="1:13">
      <c r="A2268">
        <v>45846</v>
      </c>
      <c r="B2268" t="s">
        <v>2222</v>
      </c>
      <c r="F2268">
        <v>1</v>
      </c>
      <c r="G2268" t="s">
        <v>79</v>
      </c>
      <c r="H2268" t="s">
        <v>21</v>
      </c>
      <c r="L2268" t="s">
        <v>89</v>
      </c>
    </row>
    <row r="2269" spans="1:13">
      <c r="A2269">
        <v>45846</v>
      </c>
      <c r="B2269" t="s">
        <v>76</v>
      </c>
      <c r="D2269">
        <v>5000</v>
      </c>
      <c r="G2269" t="s">
        <v>77</v>
      </c>
      <c r="I2269" t="s">
        <v>60</v>
      </c>
      <c r="J2269" t="s">
        <v>61</v>
      </c>
      <c r="L2269" t="s">
        <v>62</v>
      </c>
    </row>
    <row r="2270" spans="1:13">
      <c r="A2270">
        <v>45846</v>
      </c>
      <c r="B2270" t="s">
        <v>2223</v>
      </c>
      <c r="F2270">
        <v>1</v>
      </c>
      <c r="G2270" t="s">
        <v>0</v>
      </c>
      <c r="L2270" t="s">
        <v>89</v>
      </c>
    </row>
    <row r="2271" spans="1:13">
      <c r="A2271">
        <v>45847</v>
      </c>
      <c r="B2271" t="s">
        <v>2224</v>
      </c>
      <c r="F2271">
        <v>1</v>
      </c>
      <c r="G2271" t="s">
        <v>590</v>
      </c>
      <c r="H2271" t="s">
        <v>21</v>
      </c>
      <c r="L2271" t="s">
        <v>82</v>
      </c>
    </row>
    <row r="2272" spans="1:13">
      <c r="A2272">
        <v>45847</v>
      </c>
      <c r="B2272" t="s">
        <v>2225</v>
      </c>
      <c r="D2272">
        <v>500</v>
      </c>
      <c r="F2272">
        <v>1</v>
      </c>
      <c r="G2272" t="s">
        <v>22</v>
      </c>
      <c r="H2272" t="s">
        <v>21</v>
      </c>
      <c r="I2272" t="s">
        <v>60</v>
      </c>
      <c r="J2272" t="s">
        <v>61</v>
      </c>
      <c r="L2272" t="s">
        <v>82</v>
      </c>
    </row>
    <row r="2273" spans="1:13">
      <c r="A2273">
        <v>45847</v>
      </c>
      <c r="B2273" t="s">
        <v>2226</v>
      </c>
      <c r="D2273">
        <v>500</v>
      </c>
      <c r="F2273">
        <v>1</v>
      </c>
      <c r="G2273" t="s">
        <v>22</v>
      </c>
      <c r="H2273" t="s">
        <v>21</v>
      </c>
      <c r="I2273" t="s">
        <v>60</v>
      </c>
      <c r="J2273" t="s">
        <v>61</v>
      </c>
      <c r="L2273" t="s">
        <v>82</v>
      </c>
    </row>
    <row r="2274" spans="1:13">
      <c r="A2274">
        <v>45847</v>
      </c>
      <c r="B2274" t="s">
        <v>63</v>
      </c>
      <c r="D2274">
        <v>600</v>
      </c>
      <c r="F2274">
        <v>6</v>
      </c>
      <c r="G2274" t="s">
        <v>22</v>
      </c>
      <c r="H2274" t="s">
        <v>93</v>
      </c>
      <c r="I2274" t="s">
        <v>60</v>
      </c>
      <c r="J2274" t="s">
        <v>61</v>
      </c>
      <c r="L2274" t="s">
        <v>62</v>
      </c>
    </row>
    <row r="2275" spans="1:13">
      <c r="A2275">
        <v>45847</v>
      </c>
      <c r="B2275" t="s">
        <v>2227</v>
      </c>
      <c r="F2275">
        <v>1</v>
      </c>
      <c r="G2275" t="s">
        <v>64</v>
      </c>
      <c r="L2275" t="s">
        <v>82</v>
      </c>
      <c r="M2275" t="s">
        <v>96</v>
      </c>
    </row>
    <row r="2276" spans="1:13">
      <c r="A2276">
        <v>45847</v>
      </c>
      <c r="B2276" t="s">
        <v>2227</v>
      </c>
      <c r="D2276">
        <v>500</v>
      </c>
      <c r="F2276">
        <v>1</v>
      </c>
      <c r="G2276" t="s">
        <v>22</v>
      </c>
      <c r="H2276" t="s">
        <v>21</v>
      </c>
      <c r="I2276" t="s">
        <v>60</v>
      </c>
      <c r="J2276" t="s">
        <v>61</v>
      </c>
      <c r="L2276" t="s">
        <v>82</v>
      </c>
    </row>
    <row r="2277" spans="1:13">
      <c r="A2277">
        <v>45847</v>
      </c>
      <c r="B2277" t="s">
        <v>2228</v>
      </c>
      <c r="F2277">
        <v>1</v>
      </c>
      <c r="G2277" t="s">
        <v>79</v>
      </c>
      <c r="H2277" t="s">
        <v>21</v>
      </c>
      <c r="L2277" t="s">
        <v>86</v>
      </c>
    </row>
    <row r="2278" spans="1:13">
      <c r="A2278">
        <v>45847</v>
      </c>
      <c r="B2278" t="s">
        <v>2228</v>
      </c>
      <c r="F2278">
        <v>1</v>
      </c>
      <c r="G2278" t="s">
        <v>64</v>
      </c>
      <c r="L2278" t="s">
        <v>86</v>
      </c>
      <c r="M2278" t="s">
        <v>2229</v>
      </c>
    </row>
    <row r="2279" spans="1:13">
      <c r="A2279">
        <v>45847</v>
      </c>
      <c r="B2279" t="s">
        <v>2230</v>
      </c>
      <c r="D2279">
        <v>500</v>
      </c>
      <c r="F2279">
        <v>1</v>
      </c>
      <c r="G2279" t="s">
        <v>22</v>
      </c>
      <c r="H2279" t="s">
        <v>21</v>
      </c>
      <c r="I2279" t="s">
        <v>60</v>
      </c>
      <c r="J2279" t="s">
        <v>61</v>
      </c>
      <c r="L2279" t="s">
        <v>86</v>
      </c>
    </row>
    <row r="2280" spans="1:13">
      <c r="A2280">
        <v>45847</v>
      </c>
      <c r="B2280" t="s">
        <v>2231</v>
      </c>
      <c r="D2280">
        <v>500</v>
      </c>
      <c r="F2280">
        <v>1</v>
      </c>
      <c r="G2280" t="s">
        <v>22</v>
      </c>
      <c r="H2280" t="s">
        <v>21</v>
      </c>
      <c r="I2280" t="s">
        <v>60</v>
      </c>
      <c r="J2280" t="s">
        <v>61</v>
      </c>
      <c r="L2280" t="s">
        <v>86</v>
      </c>
    </row>
    <row r="2281" spans="1:13">
      <c r="A2281">
        <v>45847</v>
      </c>
      <c r="B2281" t="s">
        <v>63</v>
      </c>
      <c r="D2281">
        <v>10500</v>
      </c>
      <c r="F2281">
        <v>1</v>
      </c>
      <c r="G2281" t="s">
        <v>70</v>
      </c>
      <c r="I2281" t="s">
        <v>71</v>
      </c>
      <c r="J2281" t="s">
        <v>72</v>
      </c>
      <c r="K2281" t="s">
        <v>2232</v>
      </c>
      <c r="L2281" t="s">
        <v>62</v>
      </c>
      <c r="M2281" t="s">
        <v>90</v>
      </c>
    </row>
    <row r="2282" spans="1:13">
      <c r="A2282">
        <v>45847</v>
      </c>
      <c r="B2282" t="s">
        <v>63</v>
      </c>
      <c r="D2282">
        <v>10500</v>
      </c>
      <c r="F2282">
        <v>2</v>
      </c>
      <c r="G2282" t="s">
        <v>70</v>
      </c>
      <c r="I2282" t="s">
        <v>71</v>
      </c>
      <c r="J2282" t="s">
        <v>535</v>
      </c>
      <c r="K2282" t="s">
        <v>2233</v>
      </c>
      <c r="L2282" t="s">
        <v>62</v>
      </c>
      <c r="M2282" t="s">
        <v>2234</v>
      </c>
    </row>
    <row r="2283" spans="1:13">
      <c r="A2283">
        <v>45847</v>
      </c>
      <c r="B2283" t="s">
        <v>2235</v>
      </c>
      <c r="D2283">
        <v>500</v>
      </c>
      <c r="F2283">
        <v>1</v>
      </c>
      <c r="G2283" t="s">
        <v>22</v>
      </c>
      <c r="H2283" t="s">
        <v>21</v>
      </c>
      <c r="I2283" t="s">
        <v>60</v>
      </c>
      <c r="J2283" t="s">
        <v>61</v>
      </c>
      <c r="L2283" t="s">
        <v>86</v>
      </c>
    </row>
    <row r="2284" spans="1:13">
      <c r="A2284">
        <v>45847</v>
      </c>
      <c r="B2284" t="s">
        <v>2236</v>
      </c>
      <c r="D2284">
        <v>500</v>
      </c>
      <c r="F2284">
        <v>1</v>
      </c>
      <c r="G2284" t="s">
        <v>22</v>
      </c>
      <c r="H2284" t="s">
        <v>21</v>
      </c>
      <c r="I2284" t="s">
        <v>60</v>
      </c>
      <c r="J2284" t="s">
        <v>61</v>
      </c>
      <c r="L2284" t="s">
        <v>86</v>
      </c>
    </row>
    <row r="2285" spans="1:13">
      <c r="A2285">
        <v>45847</v>
      </c>
      <c r="B2285" t="s">
        <v>63</v>
      </c>
      <c r="D2285">
        <v>3000</v>
      </c>
      <c r="G2285" t="s">
        <v>70</v>
      </c>
      <c r="I2285" t="s">
        <v>60</v>
      </c>
      <c r="J2285" t="s">
        <v>61</v>
      </c>
      <c r="L2285" t="s">
        <v>62</v>
      </c>
    </row>
    <row r="2286" spans="1:13">
      <c r="A2286">
        <v>45847</v>
      </c>
      <c r="B2286" t="s">
        <v>76</v>
      </c>
      <c r="D2286">
        <v>500</v>
      </c>
      <c r="G2286" t="s">
        <v>77</v>
      </c>
      <c r="I2286" t="s">
        <v>60</v>
      </c>
      <c r="J2286" t="s">
        <v>61</v>
      </c>
      <c r="L2286" t="s">
        <v>62</v>
      </c>
    </row>
    <row r="2287" spans="1:13">
      <c r="A2287">
        <v>45848</v>
      </c>
      <c r="B2287" t="s">
        <v>81</v>
      </c>
      <c r="D2287">
        <v>141000</v>
      </c>
      <c r="F2287">
        <v>1</v>
      </c>
      <c r="G2287" t="s">
        <v>74</v>
      </c>
      <c r="H2287" t="s">
        <v>75</v>
      </c>
      <c r="I2287" t="s">
        <v>60</v>
      </c>
      <c r="J2287" t="s">
        <v>61</v>
      </c>
      <c r="L2287" t="s">
        <v>88</v>
      </c>
    </row>
    <row r="2288" spans="1:13">
      <c r="A2288">
        <v>45848</v>
      </c>
      <c r="B2288" t="s">
        <v>1724</v>
      </c>
      <c r="E2288">
        <v>744796</v>
      </c>
      <c r="F2288">
        <v>1</v>
      </c>
      <c r="G2288" t="s">
        <v>74</v>
      </c>
      <c r="H2288" t="s">
        <v>75</v>
      </c>
      <c r="I2288" t="s">
        <v>60</v>
      </c>
      <c r="J2288" t="s">
        <v>61</v>
      </c>
      <c r="L2288" t="s">
        <v>104</v>
      </c>
      <c r="M2288" t="s">
        <v>937</v>
      </c>
    </row>
    <row r="2289" spans="1:13">
      <c r="A2289">
        <v>45848</v>
      </c>
      <c r="B2289" t="s">
        <v>727</v>
      </c>
      <c r="C2289" t="s">
        <v>2237</v>
      </c>
      <c r="E2289">
        <v>32000</v>
      </c>
      <c r="F2289">
        <v>1</v>
      </c>
      <c r="G2289" t="s">
        <v>65</v>
      </c>
      <c r="H2289" t="s">
        <v>265</v>
      </c>
      <c r="I2289" t="s">
        <v>60</v>
      </c>
      <c r="J2289" t="s">
        <v>61</v>
      </c>
      <c r="L2289" t="s">
        <v>62</v>
      </c>
      <c r="M2289" t="s">
        <v>2238</v>
      </c>
    </row>
    <row r="2290" spans="1:13">
      <c r="A2290">
        <v>45848</v>
      </c>
      <c r="B2290" t="s">
        <v>2239</v>
      </c>
      <c r="C2290" t="s">
        <v>2240</v>
      </c>
      <c r="E2290">
        <v>32000</v>
      </c>
      <c r="F2290">
        <v>1</v>
      </c>
      <c r="G2290" t="s">
        <v>65</v>
      </c>
      <c r="H2290" t="s">
        <v>265</v>
      </c>
      <c r="I2290" t="s">
        <v>60</v>
      </c>
      <c r="J2290" t="s">
        <v>61</v>
      </c>
      <c r="L2290" t="s">
        <v>62</v>
      </c>
    </row>
    <row r="2291" spans="1:13">
      <c r="A2291">
        <v>45848</v>
      </c>
      <c r="B2291" t="s">
        <v>2241</v>
      </c>
      <c r="D2291">
        <v>500</v>
      </c>
      <c r="F2291">
        <v>1</v>
      </c>
      <c r="G2291" t="s">
        <v>22</v>
      </c>
      <c r="H2291" t="s">
        <v>21</v>
      </c>
      <c r="I2291" t="s">
        <v>60</v>
      </c>
      <c r="J2291" t="s">
        <v>61</v>
      </c>
      <c r="L2291" t="s">
        <v>86</v>
      </c>
    </row>
    <row r="2292" spans="1:13">
      <c r="A2292">
        <v>45848</v>
      </c>
      <c r="B2292" t="s">
        <v>2242</v>
      </c>
      <c r="D2292">
        <v>500</v>
      </c>
      <c r="F2292">
        <v>1</v>
      </c>
      <c r="G2292" t="s">
        <v>22</v>
      </c>
      <c r="H2292" t="s">
        <v>21</v>
      </c>
      <c r="I2292" t="s">
        <v>60</v>
      </c>
      <c r="J2292" t="s">
        <v>61</v>
      </c>
      <c r="L2292" t="s">
        <v>86</v>
      </c>
    </row>
    <row r="2293" spans="1:13">
      <c r="A2293">
        <v>45848</v>
      </c>
      <c r="B2293" t="s">
        <v>2243</v>
      </c>
      <c r="D2293">
        <v>500</v>
      </c>
      <c r="F2293">
        <v>1</v>
      </c>
      <c r="G2293" t="s">
        <v>22</v>
      </c>
      <c r="H2293" t="s">
        <v>21</v>
      </c>
      <c r="I2293" t="s">
        <v>60</v>
      </c>
      <c r="J2293" t="s">
        <v>61</v>
      </c>
      <c r="L2293" t="s">
        <v>86</v>
      </c>
    </row>
    <row r="2294" spans="1:13">
      <c r="A2294">
        <v>45848</v>
      </c>
      <c r="B2294" t="s">
        <v>2244</v>
      </c>
      <c r="D2294">
        <v>500</v>
      </c>
      <c r="F2294">
        <v>1</v>
      </c>
      <c r="G2294" t="s">
        <v>22</v>
      </c>
      <c r="H2294" t="s">
        <v>21</v>
      </c>
      <c r="I2294" t="s">
        <v>60</v>
      </c>
      <c r="J2294" t="s">
        <v>61</v>
      </c>
      <c r="L2294" t="s">
        <v>86</v>
      </c>
    </row>
    <row r="2295" spans="1:13">
      <c r="A2295">
        <v>45848</v>
      </c>
      <c r="B2295" t="s">
        <v>63</v>
      </c>
      <c r="D2295">
        <v>13500</v>
      </c>
      <c r="G2295" t="s">
        <v>70</v>
      </c>
      <c r="I2295" t="s">
        <v>60</v>
      </c>
      <c r="J2295" t="s">
        <v>61</v>
      </c>
      <c r="L2295" t="s">
        <v>62</v>
      </c>
    </row>
    <row r="2296" spans="1:13">
      <c r="A2296">
        <v>45848</v>
      </c>
      <c r="B2296" t="s">
        <v>63</v>
      </c>
      <c r="D2296">
        <v>300</v>
      </c>
      <c r="F2296">
        <v>3</v>
      </c>
      <c r="G2296" t="s">
        <v>22</v>
      </c>
      <c r="H2296" t="s">
        <v>93</v>
      </c>
      <c r="I2296" t="s">
        <v>60</v>
      </c>
      <c r="J2296" t="s">
        <v>61</v>
      </c>
      <c r="L2296" t="s">
        <v>62</v>
      </c>
    </row>
    <row r="2297" spans="1:13">
      <c r="A2297">
        <v>45848</v>
      </c>
      <c r="B2297" t="s">
        <v>2245</v>
      </c>
      <c r="F2297">
        <v>1</v>
      </c>
      <c r="G2297" t="s">
        <v>22</v>
      </c>
      <c r="H2297" t="s">
        <v>21</v>
      </c>
      <c r="L2297" t="s">
        <v>101</v>
      </c>
      <c r="M2297" t="s">
        <v>2246</v>
      </c>
    </row>
    <row r="2298" spans="1:13">
      <c r="A2298">
        <v>45848</v>
      </c>
      <c r="B2298" t="s">
        <v>76</v>
      </c>
      <c r="D2298">
        <v>8100</v>
      </c>
      <c r="G2298" t="s">
        <v>77</v>
      </c>
      <c r="I2298" t="s">
        <v>60</v>
      </c>
      <c r="J2298" t="s">
        <v>61</v>
      </c>
      <c r="L2298" t="s">
        <v>62</v>
      </c>
    </row>
    <row r="2299" spans="1:13">
      <c r="A2299">
        <v>45848</v>
      </c>
      <c r="B2299" t="s">
        <v>2247</v>
      </c>
      <c r="F2299">
        <v>1</v>
      </c>
      <c r="G2299" t="s">
        <v>0</v>
      </c>
      <c r="L2299" t="s">
        <v>89</v>
      </c>
    </row>
    <row r="2300" spans="1:13">
      <c r="A2300">
        <v>45848</v>
      </c>
      <c r="B2300" t="s">
        <v>2248</v>
      </c>
      <c r="F2300">
        <v>1</v>
      </c>
      <c r="G2300" t="s">
        <v>0</v>
      </c>
      <c r="L2300" t="s">
        <v>86</v>
      </c>
    </row>
    <row r="2301" spans="1:13">
      <c r="A2301">
        <v>45849</v>
      </c>
      <c r="B2301" t="s">
        <v>81</v>
      </c>
      <c r="D2301">
        <v>121000</v>
      </c>
      <c r="F2301">
        <v>1</v>
      </c>
      <c r="G2301" t="s">
        <v>74</v>
      </c>
      <c r="H2301" t="s">
        <v>75</v>
      </c>
      <c r="I2301" t="s">
        <v>60</v>
      </c>
      <c r="J2301" t="s">
        <v>61</v>
      </c>
      <c r="L2301" t="s">
        <v>88</v>
      </c>
    </row>
    <row r="2302" spans="1:13">
      <c r="A2302">
        <v>45849</v>
      </c>
      <c r="B2302" t="s">
        <v>1853</v>
      </c>
      <c r="D2302">
        <v>500</v>
      </c>
      <c r="F2302">
        <v>1</v>
      </c>
      <c r="G2302" t="s">
        <v>22</v>
      </c>
      <c r="H2302" t="s">
        <v>21</v>
      </c>
      <c r="I2302" t="s">
        <v>60</v>
      </c>
      <c r="J2302" t="s">
        <v>61</v>
      </c>
      <c r="L2302" t="s">
        <v>89</v>
      </c>
    </row>
    <row r="2303" spans="1:13">
      <c r="A2303">
        <v>45849</v>
      </c>
      <c r="B2303" t="s">
        <v>2249</v>
      </c>
      <c r="D2303">
        <v>500</v>
      </c>
      <c r="F2303">
        <v>1</v>
      </c>
      <c r="G2303" t="s">
        <v>22</v>
      </c>
      <c r="H2303" t="s">
        <v>21</v>
      </c>
      <c r="I2303" t="s">
        <v>60</v>
      </c>
      <c r="J2303" t="s">
        <v>61</v>
      </c>
      <c r="L2303" t="s">
        <v>89</v>
      </c>
    </row>
    <row r="2304" spans="1:13">
      <c r="A2304">
        <v>45849</v>
      </c>
      <c r="B2304" t="s">
        <v>2250</v>
      </c>
      <c r="D2304">
        <v>500</v>
      </c>
      <c r="F2304">
        <v>1</v>
      </c>
      <c r="G2304" t="s">
        <v>22</v>
      </c>
      <c r="H2304" t="s">
        <v>21</v>
      </c>
      <c r="I2304" t="s">
        <v>60</v>
      </c>
      <c r="J2304" t="s">
        <v>61</v>
      </c>
      <c r="L2304" t="s">
        <v>82</v>
      </c>
    </row>
    <row r="2305" spans="1:13">
      <c r="A2305">
        <v>45849</v>
      </c>
      <c r="B2305" t="s">
        <v>2251</v>
      </c>
      <c r="D2305">
        <v>500</v>
      </c>
      <c r="F2305">
        <v>1</v>
      </c>
      <c r="G2305" t="s">
        <v>22</v>
      </c>
      <c r="H2305" t="s">
        <v>21</v>
      </c>
      <c r="I2305" t="s">
        <v>60</v>
      </c>
      <c r="J2305" t="s">
        <v>61</v>
      </c>
      <c r="L2305" t="s">
        <v>82</v>
      </c>
    </row>
    <row r="2306" spans="1:13">
      <c r="A2306">
        <v>45849</v>
      </c>
      <c r="B2306" t="s">
        <v>76</v>
      </c>
      <c r="D2306">
        <v>17200</v>
      </c>
      <c r="G2306" t="s">
        <v>77</v>
      </c>
      <c r="I2306" t="s">
        <v>60</v>
      </c>
      <c r="J2306" t="s">
        <v>61</v>
      </c>
      <c r="L2306" t="s">
        <v>62</v>
      </c>
    </row>
    <row r="2307" spans="1:13">
      <c r="A2307">
        <v>45849</v>
      </c>
      <c r="B2307" t="s">
        <v>2252</v>
      </c>
      <c r="F2307">
        <v>1</v>
      </c>
      <c r="G2307" t="s">
        <v>0</v>
      </c>
      <c r="L2307" t="s">
        <v>82</v>
      </c>
    </row>
    <row r="2308" spans="1:13">
      <c r="A2308">
        <v>45849</v>
      </c>
      <c r="B2308" t="s">
        <v>249</v>
      </c>
      <c r="F2308">
        <v>1</v>
      </c>
      <c r="G2308" t="s">
        <v>0</v>
      </c>
      <c r="L2308" t="s">
        <v>86</v>
      </c>
    </row>
    <row r="2309" spans="1:13">
      <c r="A2309">
        <v>45850</v>
      </c>
      <c r="B2309" t="s">
        <v>559</v>
      </c>
      <c r="E2309">
        <v>10000</v>
      </c>
      <c r="F2309">
        <v>1</v>
      </c>
      <c r="G2309" t="s">
        <v>65</v>
      </c>
      <c r="H2309" t="s">
        <v>560</v>
      </c>
      <c r="I2309" t="s">
        <v>60</v>
      </c>
      <c r="J2309" t="s">
        <v>61</v>
      </c>
      <c r="L2309" t="s">
        <v>62</v>
      </c>
    </row>
    <row r="2310" spans="1:13">
      <c r="A2310">
        <v>45850</v>
      </c>
      <c r="B2310" t="s">
        <v>561</v>
      </c>
      <c r="E2310">
        <v>11000</v>
      </c>
      <c r="F2310">
        <v>1</v>
      </c>
      <c r="G2310" t="s">
        <v>65</v>
      </c>
      <c r="H2310" t="s">
        <v>560</v>
      </c>
      <c r="I2310" t="s">
        <v>60</v>
      </c>
      <c r="J2310" t="s">
        <v>61</v>
      </c>
      <c r="L2310" t="s">
        <v>62</v>
      </c>
    </row>
    <row r="2311" spans="1:13">
      <c r="A2311">
        <v>45850</v>
      </c>
      <c r="B2311" t="s">
        <v>2253</v>
      </c>
      <c r="D2311">
        <v>500</v>
      </c>
      <c r="F2311">
        <v>1</v>
      </c>
      <c r="G2311" t="s">
        <v>22</v>
      </c>
      <c r="H2311" t="s">
        <v>21</v>
      </c>
      <c r="I2311" t="s">
        <v>60</v>
      </c>
      <c r="J2311" t="s">
        <v>61</v>
      </c>
      <c r="L2311" t="s">
        <v>86</v>
      </c>
    </row>
    <row r="2312" spans="1:13">
      <c r="A2312">
        <v>45850</v>
      </c>
      <c r="B2312" t="s">
        <v>2254</v>
      </c>
      <c r="F2312">
        <v>1</v>
      </c>
      <c r="G2312" t="s">
        <v>64</v>
      </c>
      <c r="L2312" t="s">
        <v>86</v>
      </c>
      <c r="M2312" t="s">
        <v>96</v>
      </c>
    </row>
    <row r="2313" spans="1:13">
      <c r="A2313">
        <v>45850</v>
      </c>
      <c r="B2313" t="s">
        <v>2255</v>
      </c>
      <c r="F2313">
        <v>1</v>
      </c>
      <c r="G2313" t="s">
        <v>79</v>
      </c>
      <c r="H2313" t="s">
        <v>21</v>
      </c>
      <c r="L2313" t="s">
        <v>86</v>
      </c>
    </row>
    <row r="2314" spans="1:13">
      <c r="A2314">
        <v>45850</v>
      </c>
      <c r="B2314" t="s">
        <v>2256</v>
      </c>
      <c r="D2314">
        <v>500</v>
      </c>
      <c r="F2314">
        <v>1</v>
      </c>
      <c r="G2314" t="s">
        <v>22</v>
      </c>
      <c r="H2314" t="s">
        <v>21</v>
      </c>
      <c r="I2314" t="s">
        <v>60</v>
      </c>
      <c r="J2314" t="s">
        <v>61</v>
      </c>
      <c r="L2314" t="s">
        <v>86</v>
      </c>
    </row>
    <row r="2315" spans="1:13">
      <c r="A2315">
        <v>45850</v>
      </c>
      <c r="B2315" t="s">
        <v>2257</v>
      </c>
      <c r="D2315">
        <v>500</v>
      </c>
      <c r="F2315">
        <v>1</v>
      </c>
      <c r="G2315" t="s">
        <v>22</v>
      </c>
      <c r="H2315" t="s">
        <v>21</v>
      </c>
      <c r="I2315" t="s">
        <v>60</v>
      </c>
      <c r="J2315" t="s">
        <v>61</v>
      </c>
      <c r="L2315" t="s">
        <v>86</v>
      </c>
    </row>
    <row r="2316" spans="1:13">
      <c r="A2316">
        <v>45850</v>
      </c>
      <c r="B2316" t="s">
        <v>2258</v>
      </c>
      <c r="F2316">
        <v>4</v>
      </c>
      <c r="G2316" t="s">
        <v>79</v>
      </c>
      <c r="H2316" t="s">
        <v>21</v>
      </c>
      <c r="L2316" t="s">
        <v>86</v>
      </c>
    </row>
    <row r="2317" spans="1:13">
      <c r="A2317">
        <v>45850</v>
      </c>
      <c r="B2317" t="s">
        <v>2258</v>
      </c>
      <c r="D2317">
        <v>0</v>
      </c>
      <c r="F2317">
        <v>0</v>
      </c>
      <c r="G2317" t="s">
        <v>22</v>
      </c>
      <c r="H2317" t="s">
        <v>21</v>
      </c>
      <c r="I2317" t="s">
        <v>60</v>
      </c>
      <c r="J2317" t="s">
        <v>61</v>
      </c>
      <c r="L2317" t="s">
        <v>86</v>
      </c>
      <c r="M2317" t="s">
        <v>2259</v>
      </c>
    </row>
    <row r="2318" spans="1:13">
      <c r="A2318">
        <v>45850</v>
      </c>
      <c r="B2318" t="s">
        <v>2260</v>
      </c>
      <c r="D2318">
        <v>0</v>
      </c>
      <c r="F2318">
        <v>0</v>
      </c>
      <c r="G2318" t="s">
        <v>22</v>
      </c>
      <c r="H2318" t="s">
        <v>21</v>
      </c>
      <c r="I2318" t="s">
        <v>60</v>
      </c>
      <c r="J2318" t="s">
        <v>61</v>
      </c>
      <c r="L2318" t="s">
        <v>86</v>
      </c>
      <c r="M2318" t="s">
        <v>2259</v>
      </c>
    </row>
    <row r="2319" spans="1:13">
      <c r="A2319">
        <v>45850</v>
      </c>
      <c r="B2319" t="s">
        <v>2261</v>
      </c>
      <c r="D2319">
        <v>500</v>
      </c>
      <c r="F2319">
        <v>1</v>
      </c>
      <c r="G2319" t="s">
        <v>22</v>
      </c>
      <c r="H2319" t="s">
        <v>21</v>
      </c>
      <c r="I2319" t="s">
        <v>60</v>
      </c>
      <c r="J2319" t="s">
        <v>61</v>
      </c>
      <c r="L2319" t="s">
        <v>86</v>
      </c>
    </row>
    <row r="2320" spans="1:13">
      <c r="A2320">
        <v>45850</v>
      </c>
      <c r="B2320" t="s">
        <v>2262</v>
      </c>
      <c r="D2320">
        <v>500</v>
      </c>
      <c r="F2320">
        <v>1</v>
      </c>
      <c r="G2320" t="s">
        <v>22</v>
      </c>
      <c r="H2320" t="s">
        <v>21</v>
      </c>
      <c r="I2320" t="s">
        <v>60</v>
      </c>
      <c r="J2320" t="s">
        <v>61</v>
      </c>
      <c r="L2320" t="s">
        <v>82</v>
      </c>
    </row>
    <row r="2321" spans="1:13">
      <c r="A2321">
        <v>45850</v>
      </c>
      <c r="B2321" t="s">
        <v>2263</v>
      </c>
      <c r="D2321">
        <v>500</v>
      </c>
      <c r="F2321">
        <v>1</v>
      </c>
      <c r="G2321" t="s">
        <v>22</v>
      </c>
      <c r="H2321" t="s">
        <v>21</v>
      </c>
      <c r="I2321" t="s">
        <v>60</v>
      </c>
      <c r="J2321" t="s">
        <v>61</v>
      </c>
      <c r="L2321" t="s">
        <v>82</v>
      </c>
    </row>
    <row r="2322" spans="1:13">
      <c r="A2322">
        <v>45850</v>
      </c>
      <c r="B2322" t="s">
        <v>2264</v>
      </c>
      <c r="F2322">
        <v>1</v>
      </c>
      <c r="G2322" t="s">
        <v>79</v>
      </c>
      <c r="H2322" t="s">
        <v>21</v>
      </c>
      <c r="L2322" t="s">
        <v>82</v>
      </c>
    </row>
    <row r="2323" spans="1:13">
      <c r="A2323">
        <v>45850</v>
      </c>
      <c r="B2323" t="s">
        <v>63</v>
      </c>
      <c r="D2323">
        <v>31000</v>
      </c>
      <c r="G2323" t="s">
        <v>70</v>
      </c>
      <c r="I2323" t="s">
        <v>60</v>
      </c>
      <c r="J2323" t="s">
        <v>61</v>
      </c>
      <c r="L2323" t="s">
        <v>62</v>
      </c>
    </row>
    <row r="2324" spans="1:13">
      <c r="A2324">
        <v>45850</v>
      </c>
      <c r="B2324" t="s">
        <v>80</v>
      </c>
      <c r="E2324">
        <v>2476</v>
      </c>
      <c r="F2324">
        <v>1</v>
      </c>
      <c r="G2324" t="s">
        <v>74</v>
      </c>
      <c r="H2324" t="s">
        <v>75</v>
      </c>
      <c r="I2324" t="s">
        <v>60</v>
      </c>
      <c r="J2324" t="s">
        <v>61</v>
      </c>
      <c r="L2324" t="s">
        <v>87</v>
      </c>
    </row>
    <row r="2325" spans="1:13">
      <c r="A2325">
        <v>45850</v>
      </c>
      <c r="B2325" t="s">
        <v>80</v>
      </c>
      <c r="E2325">
        <v>24</v>
      </c>
      <c r="F2325">
        <v>1</v>
      </c>
      <c r="G2325" t="s">
        <v>65</v>
      </c>
      <c r="H2325" t="s">
        <v>66</v>
      </c>
      <c r="I2325" t="s">
        <v>60</v>
      </c>
      <c r="J2325" t="s">
        <v>61</v>
      </c>
      <c r="L2325" t="s">
        <v>62</v>
      </c>
    </row>
    <row r="2326" spans="1:13">
      <c r="A2326">
        <v>45850</v>
      </c>
      <c r="B2326" t="s">
        <v>2265</v>
      </c>
      <c r="D2326">
        <v>500</v>
      </c>
      <c r="F2326">
        <v>1</v>
      </c>
      <c r="G2326" t="s">
        <v>22</v>
      </c>
      <c r="H2326" t="s">
        <v>21</v>
      </c>
      <c r="I2326" t="s">
        <v>60</v>
      </c>
      <c r="J2326" t="s">
        <v>61</v>
      </c>
      <c r="L2326" t="s">
        <v>82</v>
      </c>
    </row>
    <row r="2327" spans="1:13">
      <c r="A2327">
        <v>45850</v>
      </c>
      <c r="B2327" t="s">
        <v>2266</v>
      </c>
      <c r="D2327">
        <v>500</v>
      </c>
      <c r="F2327">
        <v>1</v>
      </c>
      <c r="G2327" t="s">
        <v>22</v>
      </c>
      <c r="H2327" t="s">
        <v>21</v>
      </c>
      <c r="I2327" t="s">
        <v>60</v>
      </c>
      <c r="J2327" t="s">
        <v>61</v>
      </c>
      <c r="L2327" t="s">
        <v>82</v>
      </c>
    </row>
    <row r="2328" spans="1:13">
      <c r="A2328">
        <v>45851</v>
      </c>
      <c r="B2328" t="s">
        <v>2267</v>
      </c>
      <c r="F2328">
        <v>1</v>
      </c>
      <c r="G2328" t="s">
        <v>64</v>
      </c>
      <c r="L2328" t="s">
        <v>89</v>
      </c>
      <c r="M2328" t="s">
        <v>1121</v>
      </c>
    </row>
    <row r="2329" spans="1:13">
      <c r="A2329">
        <v>45851</v>
      </c>
      <c r="B2329" t="s">
        <v>63</v>
      </c>
      <c r="D2329">
        <v>35500</v>
      </c>
      <c r="G2329" t="s">
        <v>70</v>
      </c>
      <c r="I2329" t="s">
        <v>60</v>
      </c>
      <c r="J2329" t="s">
        <v>61</v>
      </c>
      <c r="L2329" t="s">
        <v>62</v>
      </c>
    </row>
    <row r="2330" spans="1:13">
      <c r="A2330">
        <v>45851</v>
      </c>
      <c r="B2330" t="s">
        <v>2268</v>
      </c>
      <c r="D2330">
        <v>500</v>
      </c>
      <c r="F2330">
        <v>1</v>
      </c>
      <c r="G2330" t="s">
        <v>22</v>
      </c>
      <c r="H2330" t="s">
        <v>21</v>
      </c>
      <c r="I2330" t="s">
        <v>60</v>
      </c>
      <c r="J2330" t="s">
        <v>61</v>
      </c>
      <c r="L2330" t="s">
        <v>89</v>
      </c>
    </row>
    <row r="2331" spans="1:13">
      <c r="A2331">
        <v>45851</v>
      </c>
      <c r="B2331" t="s">
        <v>2269</v>
      </c>
      <c r="F2331">
        <v>1</v>
      </c>
      <c r="G2331" t="s">
        <v>64</v>
      </c>
      <c r="L2331" t="s">
        <v>86</v>
      </c>
      <c r="M2331" t="s">
        <v>1099</v>
      </c>
    </row>
    <row r="2332" spans="1:13">
      <c r="A2332">
        <v>45851</v>
      </c>
      <c r="B2332" t="s">
        <v>2270</v>
      </c>
      <c r="D2332">
        <v>500</v>
      </c>
      <c r="F2332">
        <v>1</v>
      </c>
      <c r="G2332" t="s">
        <v>22</v>
      </c>
      <c r="H2332" t="s">
        <v>21</v>
      </c>
      <c r="I2332" t="s">
        <v>60</v>
      </c>
      <c r="J2332" t="s">
        <v>61</v>
      </c>
      <c r="L2332" t="s">
        <v>86</v>
      </c>
    </row>
    <row r="2333" spans="1:13">
      <c r="A2333">
        <v>45851</v>
      </c>
      <c r="B2333" t="s">
        <v>2078</v>
      </c>
      <c r="D2333">
        <v>500</v>
      </c>
      <c r="F2333">
        <v>1</v>
      </c>
      <c r="G2333" t="s">
        <v>22</v>
      </c>
      <c r="H2333" t="s">
        <v>21</v>
      </c>
      <c r="I2333" t="s">
        <v>60</v>
      </c>
      <c r="J2333" t="s">
        <v>61</v>
      </c>
      <c r="L2333" t="s">
        <v>86</v>
      </c>
    </row>
    <row r="2334" spans="1:13">
      <c r="A2334">
        <v>45851</v>
      </c>
      <c r="B2334" t="s">
        <v>2271</v>
      </c>
      <c r="F2334">
        <v>1</v>
      </c>
      <c r="G2334" t="s">
        <v>98</v>
      </c>
      <c r="H2334" t="s">
        <v>21</v>
      </c>
      <c r="L2334" t="s">
        <v>86</v>
      </c>
    </row>
    <row r="2335" spans="1:13">
      <c r="A2335">
        <v>45851</v>
      </c>
      <c r="B2335" t="s">
        <v>2272</v>
      </c>
      <c r="D2335">
        <v>0</v>
      </c>
      <c r="F2335">
        <v>0</v>
      </c>
      <c r="G2335" t="s">
        <v>22</v>
      </c>
      <c r="H2335" t="s">
        <v>21</v>
      </c>
      <c r="I2335" t="s">
        <v>60</v>
      </c>
      <c r="J2335" t="s">
        <v>61</v>
      </c>
      <c r="L2335" t="s">
        <v>86</v>
      </c>
      <c r="M2335" t="s">
        <v>2259</v>
      </c>
    </row>
    <row r="2336" spans="1:13">
      <c r="A2336">
        <v>45851</v>
      </c>
      <c r="B2336" t="s">
        <v>63</v>
      </c>
      <c r="D2336">
        <v>27000</v>
      </c>
      <c r="F2336">
        <v>1</v>
      </c>
      <c r="G2336" t="s">
        <v>70</v>
      </c>
      <c r="I2336" t="s">
        <v>71</v>
      </c>
      <c r="J2336" t="s">
        <v>72</v>
      </c>
      <c r="K2336" t="s">
        <v>2273</v>
      </c>
      <c r="L2336" t="s">
        <v>62</v>
      </c>
      <c r="M2336" t="s">
        <v>90</v>
      </c>
    </row>
    <row r="2337" spans="1:13">
      <c r="A2337">
        <v>45851</v>
      </c>
      <c r="B2337" t="s">
        <v>2274</v>
      </c>
      <c r="D2337">
        <v>500</v>
      </c>
      <c r="F2337">
        <v>0</v>
      </c>
      <c r="G2337" t="s">
        <v>22</v>
      </c>
      <c r="H2337" t="s">
        <v>21</v>
      </c>
      <c r="I2337" t="s">
        <v>60</v>
      </c>
      <c r="J2337" t="s">
        <v>61</v>
      </c>
      <c r="L2337" t="s">
        <v>86</v>
      </c>
      <c r="M2337" t="s">
        <v>83</v>
      </c>
    </row>
    <row r="2338" spans="1:13">
      <c r="A2338">
        <v>45851</v>
      </c>
      <c r="B2338" t="s">
        <v>2275</v>
      </c>
      <c r="D2338">
        <v>500</v>
      </c>
      <c r="F2338">
        <v>1</v>
      </c>
      <c r="G2338" t="s">
        <v>22</v>
      </c>
      <c r="H2338" t="s">
        <v>21</v>
      </c>
      <c r="I2338" t="s">
        <v>60</v>
      </c>
      <c r="J2338" t="s">
        <v>61</v>
      </c>
      <c r="L2338" t="s">
        <v>86</v>
      </c>
    </row>
    <row r="2339" spans="1:13">
      <c r="A2339">
        <v>45851</v>
      </c>
      <c r="B2339" t="s">
        <v>2276</v>
      </c>
      <c r="D2339">
        <v>500</v>
      </c>
      <c r="F2339">
        <v>1</v>
      </c>
      <c r="G2339" t="s">
        <v>22</v>
      </c>
      <c r="H2339" t="s">
        <v>21</v>
      </c>
      <c r="I2339" t="s">
        <v>60</v>
      </c>
      <c r="J2339" t="s">
        <v>61</v>
      </c>
      <c r="L2339" t="s">
        <v>86</v>
      </c>
    </row>
    <row r="2340" spans="1:13">
      <c r="A2340">
        <v>45851</v>
      </c>
      <c r="B2340" t="s">
        <v>2277</v>
      </c>
      <c r="D2340">
        <v>500</v>
      </c>
      <c r="F2340">
        <v>1</v>
      </c>
      <c r="G2340" t="s">
        <v>22</v>
      </c>
      <c r="H2340" t="s">
        <v>21</v>
      </c>
      <c r="I2340" t="s">
        <v>60</v>
      </c>
      <c r="J2340" t="s">
        <v>61</v>
      </c>
      <c r="L2340" t="s">
        <v>86</v>
      </c>
    </row>
    <row r="2341" spans="1:13">
      <c r="A2341">
        <v>45851</v>
      </c>
      <c r="B2341" t="s">
        <v>76</v>
      </c>
      <c r="D2341">
        <v>5000</v>
      </c>
      <c r="G2341" t="s">
        <v>77</v>
      </c>
      <c r="I2341" t="s">
        <v>60</v>
      </c>
      <c r="J2341" t="s">
        <v>61</v>
      </c>
      <c r="L2341" t="s">
        <v>62</v>
      </c>
    </row>
    <row r="2342" spans="1:13">
      <c r="A2342">
        <v>45852</v>
      </c>
      <c r="B2342" t="s">
        <v>81</v>
      </c>
      <c r="D2342">
        <v>5000</v>
      </c>
      <c r="F2342">
        <v>1</v>
      </c>
      <c r="G2342" t="s">
        <v>74</v>
      </c>
      <c r="H2342" t="s">
        <v>75</v>
      </c>
      <c r="I2342" t="s">
        <v>60</v>
      </c>
      <c r="J2342" t="s">
        <v>61</v>
      </c>
      <c r="L2342" t="s">
        <v>88</v>
      </c>
    </row>
    <row r="2343" spans="1:13">
      <c r="A2343">
        <v>45852</v>
      </c>
      <c r="B2343" t="s">
        <v>2278</v>
      </c>
      <c r="D2343">
        <v>500</v>
      </c>
      <c r="F2343">
        <v>1</v>
      </c>
      <c r="G2343" t="s">
        <v>22</v>
      </c>
      <c r="H2343" t="s">
        <v>21</v>
      </c>
      <c r="I2343" t="s">
        <v>60</v>
      </c>
      <c r="J2343" t="s">
        <v>61</v>
      </c>
      <c r="L2343" t="s">
        <v>89</v>
      </c>
    </row>
    <row r="2344" spans="1:13">
      <c r="A2344">
        <v>45852</v>
      </c>
      <c r="B2344" t="s">
        <v>2279</v>
      </c>
      <c r="D2344">
        <v>500</v>
      </c>
      <c r="F2344">
        <v>1</v>
      </c>
      <c r="G2344" t="s">
        <v>22</v>
      </c>
      <c r="H2344" t="s">
        <v>21</v>
      </c>
      <c r="I2344" t="s">
        <v>60</v>
      </c>
      <c r="J2344" t="s">
        <v>61</v>
      </c>
      <c r="L2344" t="s">
        <v>89</v>
      </c>
    </row>
    <row r="2345" spans="1:13">
      <c r="A2345">
        <v>45852</v>
      </c>
      <c r="B2345" t="s">
        <v>2280</v>
      </c>
      <c r="D2345">
        <v>500</v>
      </c>
      <c r="F2345">
        <v>1</v>
      </c>
      <c r="G2345" t="s">
        <v>22</v>
      </c>
      <c r="H2345" t="s">
        <v>21</v>
      </c>
      <c r="I2345" t="s">
        <v>60</v>
      </c>
      <c r="J2345" t="s">
        <v>61</v>
      </c>
      <c r="L2345" t="s">
        <v>89</v>
      </c>
    </row>
    <row r="2346" spans="1:13">
      <c r="A2346">
        <v>45852</v>
      </c>
      <c r="B2346" t="s">
        <v>2281</v>
      </c>
      <c r="D2346">
        <v>500</v>
      </c>
      <c r="F2346">
        <v>1</v>
      </c>
      <c r="G2346" t="s">
        <v>22</v>
      </c>
      <c r="H2346" t="s">
        <v>21</v>
      </c>
      <c r="I2346" t="s">
        <v>60</v>
      </c>
      <c r="J2346" t="s">
        <v>61</v>
      </c>
      <c r="L2346" t="s">
        <v>89</v>
      </c>
    </row>
    <row r="2347" spans="1:13">
      <c r="A2347">
        <v>45852</v>
      </c>
      <c r="B2347" t="s">
        <v>2282</v>
      </c>
      <c r="D2347">
        <v>500</v>
      </c>
      <c r="F2347">
        <v>1</v>
      </c>
      <c r="G2347" t="s">
        <v>22</v>
      </c>
      <c r="H2347" t="s">
        <v>21</v>
      </c>
      <c r="I2347" t="s">
        <v>60</v>
      </c>
      <c r="J2347" t="s">
        <v>61</v>
      </c>
      <c r="L2347" t="s">
        <v>89</v>
      </c>
    </row>
    <row r="2348" spans="1:13">
      <c r="A2348">
        <v>45852</v>
      </c>
      <c r="B2348" t="s">
        <v>2283</v>
      </c>
      <c r="F2348">
        <v>1</v>
      </c>
      <c r="G2348" t="s">
        <v>22</v>
      </c>
      <c r="H2348" t="s">
        <v>21</v>
      </c>
      <c r="L2348" t="s">
        <v>101</v>
      </c>
      <c r="M2348" t="s">
        <v>2284</v>
      </c>
    </row>
    <row r="2349" spans="1:13">
      <c r="A2349">
        <v>45852</v>
      </c>
      <c r="B2349" t="s">
        <v>2285</v>
      </c>
      <c r="D2349">
        <v>0</v>
      </c>
      <c r="F2349">
        <v>1</v>
      </c>
      <c r="G2349" t="s">
        <v>22</v>
      </c>
      <c r="H2349" t="s">
        <v>21</v>
      </c>
      <c r="I2349" t="s">
        <v>60</v>
      </c>
      <c r="J2349" t="s">
        <v>61</v>
      </c>
      <c r="L2349" t="s">
        <v>89</v>
      </c>
      <c r="M2349" t="s">
        <v>2286</v>
      </c>
    </row>
    <row r="2350" spans="1:13">
      <c r="A2350">
        <v>45852</v>
      </c>
      <c r="B2350" t="s">
        <v>2287</v>
      </c>
      <c r="D2350">
        <v>500</v>
      </c>
      <c r="F2350">
        <v>1</v>
      </c>
      <c r="G2350" t="s">
        <v>22</v>
      </c>
      <c r="H2350" t="s">
        <v>21</v>
      </c>
      <c r="I2350" t="s">
        <v>60</v>
      </c>
      <c r="J2350" t="s">
        <v>61</v>
      </c>
      <c r="L2350" t="s">
        <v>89</v>
      </c>
    </row>
    <row r="2351" spans="1:13">
      <c r="A2351">
        <v>45852</v>
      </c>
      <c r="B2351" t="s">
        <v>2288</v>
      </c>
      <c r="F2351">
        <v>1</v>
      </c>
      <c r="G2351" t="s">
        <v>0</v>
      </c>
      <c r="L2351" t="s">
        <v>82</v>
      </c>
    </row>
    <row r="2352" spans="1:13">
      <c r="A2352">
        <v>45852</v>
      </c>
      <c r="B2352" t="s">
        <v>2289</v>
      </c>
      <c r="F2352">
        <v>1</v>
      </c>
      <c r="G2352" t="s">
        <v>0</v>
      </c>
      <c r="L2352" t="s">
        <v>89</v>
      </c>
    </row>
    <row r="2353" spans="1:12">
      <c r="A2353">
        <v>45853</v>
      </c>
      <c r="B2353" t="s">
        <v>2290</v>
      </c>
      <c r="D2353">
        <v>500</v>
      </c>
      <c r="F2353">
        <v>1</v>
      </c>
      <c r="G2353" t="s">
        <v>22</v>
      </c>
      <c r="H2353" t="s">
        <v>21</v>
      </c>
      <c r="I2353" t="s">
        <v>60</v>
      </c>
      <c r="J2353" t="s">
        <v>61</v>
      </c>
      <c r="L2353" t="s">
        <v>86</v>
      </c>
    </row>
    <row r="2354" spans="1:12">
      <c r="A2354">
        <v>45853</v>
      </c>
      <c r="B2354" t="s">
        <v>63</v>
      </c>
      <c r="D2354">
        <v>33000</v>
      </c>
      <c r="G2354" t="s">
        <v>70</v>
      </c>
      <c r="I2354" t="s">
        <v>60</v>
      </c>
      <c r="J2354" t="s">
        <v>61</v>
      </c>
      <c r="L2354" t="s">
        <v>62</v>
      </c>
    </row>
    <row r="2355" spans="1:12">
      <c r="A2355">
        <v>45853</v>
      </c>
      <c r="B2355" t="s">
        <v>2291</v>
      </c>
      <c r="F2355">
        <v>1</v>
      </c>
      <c r="G2355" t="s">
        <v>590</v>
      </c>
      <c r="H2355" t="s">
        <v>21</v>
      </c>
      <c r="L2355" t="s">
        <v>89</v>
      </c>
    </row>
    <row r="2356" spans="1:12">
      <c r="A2356">
        <v>45853</v>
      </c>
      <c r="B2356" t="s">
        <v>2292</v>
      </c>
      <c r="F2356">
        <v>1</v>
      </c>
      <c r="G2356" t="s">
        <v>79</v>
      </c>
      <c r="H2356" t="s">
        <v>21</v>
      </c>
      <c r="L2356" t="s">
        <v>89</v>
      </c>
    </row>
    <row r="2357" spans="1:12">
      <c r="A2357">
        <v>45853</v>
      </c>
      <c r="B2357" t="s">
        <v>2293</v>
      </c>
      <c r="D2357">
        <v>500</v>
      </c>
      <c r="F2357">
        <v>1</v>
      </c>
      <c r="G2357" t="s">
        <v>22</v>
      </c>
      <c r="H2357" t="s">
        <v>21</v>
      </c>
      <c r="I2357" t="s">
        <v>60</v>
      </c>
      <c r="J2357" t="s">
        <v>61</v>
      </c>
      <c r="L2357" t="s">
        <v>89</v>
      </c>
    </row>
    <row r="2358" spans="1:12">
      <c r="A2358">
        <v>45853</v>
      </c>
      <c r="B2358" t="s">
        <v>2294</v>
      </c>
      <c r="D2358">
        <v>500</v>
      </c>
      <c r="F2358">
        <v>1</v>
      </c>
      <c r="G2358" t="s">
        <v>22</v>
      </c>
      <c r="H2358" t="s">
        <v>21</v>
      </c>
      <c r="I2358" t="s">
        <v>60</v>
      </c>
      <c r="J2358" t="s">
        <v>61</v>
      </c>
      <c r="L2358" t="s">
        <v>89</v>
      </c>
    </row>
    <row r="2359" spans="1:12">
      <c r="A2359">
        <v>45853</v>
      </c>
      <c r="B2359" t="s">
        <v>2295</v>
      </c>
      <c r="D2359">
        <v>500</v>
      </c>
      <c r="F2359">
        <v>1</v>
      </c>
      <c r="G2359" t="s">
        <v>22</v>
      </c>
      <c r="H2359" t="s">
        <v>21</v>
      </c>
      <c r="I2359" t="s">
        <v>60</v>
      </c>
      <c r="J2359" t="s">
        <v>61</v>
      </c>
      <c r="L2359" t="s">
        <v>86</v>
      </c>
    </row>
    <row r="2360" spans="1:12">
      <c r="A2360">
        <v>45853</v>
      </c>
      <c r="B2360" t="s">
        <v>2295</v>
      </c>
      <c r="F2360">
        <v>1</v>
      </c>
      <c r="G2360" t="s">
        <v>79</v>
      </c>
      <c r="H2360" t="s">
        <v>21</v>
      </c>
      <c r="L2360" t="s">
        <v>86</v>
      </c>
    </row>
    <row r="2361" spans="1:12">
      <c r="A2361">
        <v>45853</v>
      </c>
      <c r="B2361" t="s">
        <v>2296</v>
      </c>
      <c r="D2361">
        <v>500</v>
      </c>
      <c r="F2361">
        <v>1</v>
      </c>
      <c r="G2361" t="s">
        <v>22</v>
      </c>
      <c r="H2361" t="s">
        <v>21</v>
      </c>
      <c r="I2361" t="s">
        <v>60</v>
      </c>
      <c r="J2361" t="s">
        <v>61</v>
      </c>
      <c r="L2361" t="s">
        <v>89</v>
      </c>
    </row>
    <row r="2362" spans="1:12">
      <c r="A2362">
        <v>45853</v>
      </c>
      <c r="B2362" t="s">
        <v>2297</v>
      </c>
      <c r="D2362">
        <v>500</v>
      </c>
      <c r="F2362">
        <v>1</v>
      </c>
      <c r="G2362" t="s">
        <v>22</v>
      </c>
      <c r="H2362" t="s">
        <v>21</v>
      </c>
      <c r="I2362" t="s">
        <v>60</v>
      </c>
      <c r="J2362" t="s">
        <v>61</v>
      </c>
      <c r="L2362" t="s">
        <v>89</v>
      </c>
    </row>
    <row r="2363" spans="1:12">
      <c r="A2363">
        <v>45853</v>
      </c>
      <c r="B2363" t="s">
        <v>2298</v>
      </c>
      <c r="F2363">
        <v>1</v>
      </c>
      <c r="G2363" t="s">
        <v>79</v>
      </c>
      <c r="H2363" t="s">
        <v>21</v>
      </c>
      <c r="L2363" t="s">
        <v>89</v>
      </c>
    </row>
    <row r="2364" spans="1:12">
      <c r="A2364">
        <v>45853</v>
      </c>
      <c r="B2364" t="s">
        <v>2298</v>
      </c>
      <c r="D2364">
        <v>0</v>
      </c>
      <c r="F2364">
        <v>1</v>
      </c>
      <c r="G2364" t="s">
        <v>22</v>
      </c>
      <c r="H2364" t="s">
        <v>21</v>
      </c>
      <c r="I2364" t="s">
        <v>60</v>
      </c>
      <c r="J2364" t="s">
        <v>61</v>
      </c>
      <c r="L2364" t="s">
        <v>89</v>
      </c>
    </row>
    <row r="2365" spans="1:12">
      <c r="A2365">
        <v>45853</v>
      </c>
      <c r="B2365" t="s">
        <v>2299</v>
      </c>
      <c r="F2365">
        <v>1</v>
      </c>
      <c r="G2365" t="s">
        <v>377</v>
      </c>
      <c r="H2365" t="s">
        <v>21</v>
      </c>
      <c r="L2365" t="s">
        <v>89</v>
      </c>
    </row>
    <row r="2366" spans="1:12">
      <c r="A2366">
        <v>45853</v>
      </c>
      <c r="B2366" t="s">
        <v>2300</v>
      </c>
      <c r="F2366">
        <v>1</v>
      </c>
      <c r="G2366" t="s">
        <v>0</v>
      </c>
      <c r="L2366" t="s">
        <v>89</v>
      </c>
    </row>
    <row r="2367" spans="1:12">
      <c r="A2367">
        <v>45854</v>
      </c>
      <c r="B2367" t="s">
        <v>1873</v>
      </c>
      <c r="C2367" t="s">
        <v>2301</v>
      </c>
      <c r="F2367">
        <v>12</v>
      </c>
      <c r="G2367" t="s">
        <v>22</v>
      </c>
      <c r="H2367" t="s">
        <v>21</v>
      </c>
      <c r="L2367" t="s">
        <v>95</v>
      </c>
    </row>
    <row r="2368" spans="1:12">
      <c r="A2368">
        <v>45854</v>
      </c>
      <c r="B2368" t="s">
        <v>76</v>
      </c>
      <c r="D2368">
        <v>19000</v>
      </c>
      <c r="G2368" t="s">
        <v>77</v>
      </c>
      <c r="I2368" t="s">
        <v>60</v>
      </c>
      <c r="J2368" t="s">
        <v>61</v>
      </c>
      <c r="L2368" t="s">
        <v>62</v>
      </c>
    </row>
    <row r="2369" spans="1:13">
      <c r="A2369">
        <v>45854</v>
      </c>
      <c r="B2369" t="s">
        <v>63</v>
      </c>
      <c r="D2369">
        <v>31000</v>
      </c>
      <c r="F2369">
        <v>3</v>
      </c>
      <c r="G2369" t="s">
        <v>70</v>
      </c>
      <c r="I2369" t="s">
        <v>71</v>
      </c>
      <c r="J2369" t="s">
        <v>72</v>
      </c>
      <c r="K2369" t="s">
        <v>2302</v>
      </c>
      <c r="L2369" t="s">
        <v>62</v>
      </c>
      <c r="M2369" t="s">
        <v>2303</v>
      </c>
    </row>
    <row r="2370" spans="1:13">
      <c r="A2370">
        <v>45854</v>
      </c>
      <c r="B2370" t="s">
        <v>2304</v>
      </c>
      <c r="D2370">
        <v>500</v>
      </c>
      <c r="F2370">
        <v>1</v>
      </c>
      <c r="G2370" t="s">
        <v>22</v>
      </c>
      <c r="H2370" t="s">
        <v>21</v>
      </c>
      <c r="I2370" t="s">
        <v>60</v>
      </c>
      <c r="J2370" t="s">
        <v>61</v>
      </c>
      <c r="L2370" t="s">
        <v>86</v>
      </c>
    </row>
    <row r="2371" spans="1:13">
      <c r="A2371">
        <v>45854</v>
      </c>
      <c r="B2371" t="s">
        <v>2305</v>
      </c>
      <c r="D2371">
        <v>500</v>
      </c>
      <c r="F2371">
        <v>1</v>
      </c>
      <c r="G2371" t="s">
        <v>22</v>
      </c>
      <c r="H2371" t="s">
        <v>21</v>
      </c>
      <c r="I2371" t="s">
        <v>60</v>
      </c>
      <c r="J2371" t="s">
        <v>61</v>
      </c>
      <c r="L2371" t="s">
        <v>86</v>
      </c>
    </row>
    <row r="2372" spans="1:13">
      <c r="A2372">
        <v>45854</v>
      </c>
      <c r="B2372" t="s">
        <v>2306</v>
      </c>
      <c r="F2372">
        <v>1</v>
      </c>
      <c r="G2372" t="s">
        <v>98</v>
      </c>
      <c r="H2372" t="s">
        <v>21</v>
      </c>
      <c r="L2372" t="s">
        <v>89</v>
      </c>
    </row>
    <row r="2373" spans="1:13">
      <c r="A2373">
        <v>45854</v>
      </c>
      <c r="B2373" t="s">
        <v>2307</v>
      </c>
      <c r="F2373">
        <v>1</v>
      </c>
      <c r="G2373" t="s">
        <v>79</v>
      </c>
      <c r="H2373" t="s">
        <v>21</v>
      </c>
      <c r="L2373" t="s">
        <v>89</v>
      </c>
    </row>
    <row r="2374" spans="1:13">
      <c r="A2374">
        <v>45854</v>
      </c>
      <c r="B2374" t="s">
        <v>63</v>
      </c>
      <c r="D2374">
        <v>18000</v>
      </c>
      <c r="G2374" t="s">
        <v>70</v>
      </c>
      <c r="I2374" t="s">
        <v>60</v>
      </c>
      <c r="J2374" t="s">
        <v>61</v>
      </c>
      <c r="L2374" t="s">
        <v>62</v>
      </c>
    </row>
    <row r="2375" spans="1:13">
      <c r="A2375">
        <v>45854</v>
      </c>
      <c r="B2375" t="s">
        <v>2308</v>
      </c>
      <c r="D2375">
        <v>500</v>
      </c>
      <c r="F2375">
        <v>0</v>
      </c>
      <c r="G2375" t="s">
        <v>22</v>
      </c>
      <c r="H2375" t="s">
        <v>21</v>
      </c>
      <c r="I2375" t="s">
        <v>60</v>
      </c>
      <c r="J2375" t="s">
        <v>61</v>
      </c>
      <c r="L2375" t="s">
        <v>89</v>
      </c>
      <c r="M2375" t="s">
        <v>83</v>
      </c>
    </row>
    <row r="2376" spans="1:13">
      <c r="A2376">
        <v>45854</v>
      </c>
      <c r="B2376" t="s">
        <v>2309</v>
      </c>
      <c r="D2376">
        <v>500</v>
      </c>
      <c r="F2376">
        <v>0</v>
      </c>
      <c r="G2376" t="s">
        <v>22</v>
      </c>
      <c r="H2376" t="s">
        <v>21</v>
      </c>
      <c r="I2376" t="s">
        <v>60</v>
      </c>
      <c r="J2376" t="s">
        <v>61</v>
      </c>
      <c r="L2376" t="s">
        <v>89</v>
      </c>
      <c r="M2376" t="s">
        <v>83</v>
      </c>
    </row>
    <row r="2377" spans="1:13">
      <c r="A2377">
        <v>45855</v>
      </c>
      <c r="B2377" t="s">
        <v>2310</v>
      </c>
      <c r="D2377">
        <v>500</v>
      </c>
      <c r="F2377">
        <v>0</v>
      </c>
      <c r="G2377" t="s">
        <v>22</v>
      </c>
      <c r="H2377" t="s">
        <v>21</v>
      </c>
      <c r="I2377" t="s">
        <v>60</v>
      </c>
      <c r="J2377" t="s">
        <v>61</v>
      </c>
      <c r="L2377" t="s">
        <v>89</v>
      </c>
      <c r="M2377" t="s">
        <v>83</v>
      </c>
    </row>
    <row r="2378" spans="1:13">
      <c r="A2378">
        <v>45855</v>
      </c>
      <c r="B2378" t="s">
        <v>2311</v>
      </c>
      <c r="F2378">
        <v>1</v>
      </c>
      <c r="G2378" t="s">
        <v>377</v>
      </c>
      <c r="H2378" t="s">
        <v>21</v>
      </c>
      <c r="L2378" t="s">
        <v>89</v>
      </c>
    </row>
    <row r="2379" spans="1:13">
      <c r="A2379">
        <v>45855</v>
      </c>
      <c r="B2379" t="s">
        <v>2312</v>
      </c>
      <c r="D2379">
        <v>500</v>
      </c>
      <c r="F2379">
        <v>1</v>
      </c>
      <c r="G2379" t="s">
        <v>22</v>
      </c>
      <c r="H2379" t="s">
        <v>21</v>
      </c>
      <c r="I2379" t="s">
        <v>60</v>
      </c>
      <c r="J2379" t="s">
        <v>61</v>
      </c>
      <c r="L2379" t="s">
        <v>86</v>
      </c>
    </row>
    <row r="2380" spans="1:13">
      <c r="A2380">
        <v>45855</v>
      </c>
      <c r="B2380" t="s">
        <v>63</v>
      </c>
      <c r="D2380">
        <v>47500</v>
      </c>
      <c r="G2380" t="s">
        <v>70</v>
      </c>
      <c r="I2380" t="s">
        <v>60</v>
      </c>
      <c r="J2380" t="s">
        <v>61</v>
      </c>
      <c r="L2380" t="s">
        <v>62</v>
      </c>
    </row>
    <row r="2381" spans="1:13">
      <c r="A2381">
        <v>45855</v>
      </c>
      <c r="B2381" t="s">
        <v>63</v>
      </c>
      <c r="D2381">
        <v>7500</v>
      </c>
      <c r="F2381">
        <v>1</v>
      </c>
      <c r="G2381" t="s">
        <v>70</v>
      </c>
      <c r="I2381" t="s">
        <v>71</v>
      </c>
      <c r="J2381" t="s">
        <v>72</v>
      </c>
      <c r="K2381" t="s">
        <v>2313</v>
      </c>
      <c r="L2381" t="s">
        <v>62</v>
      </c>
      <c r="M2381" t="s">
        <v>2314</v>
      </c>
    </row>
    <row r="2382" spans="1:13">
      <c r="A2382">
        <v>45855</v>
      </c>
      <c r="B2382" t="s">
        <v>63</v>
      </c>
      <c r="D2382">
        <v>9500</v>
      </c>
      <c r="F2382">
        <v>1</v>
      </c>
      <c r="G2382" t="s">
        <v>70</v>
      </c>
      <c r="I2382" t="s">
        <v>71</v>
      </c>
      <c r="J2382" t="s">
        <v>72</v>
      </c>
      <c r="K2382" t="s">
        <v>2315</v>
      </c>
      <c r="L2382" t="s">
        <v>62</v>
      </c>
      <c r="M2382" t="s">
        <v>90</v>
      </c>
    </row>
    <row r="2383" spans="1:13">
      <c r="A2383">
        <v>45855</v>
      </c>
      <c r="B2383" t="s">
        <v>2316</v>
      </c>
      <c r="D2383">
        <v>500</v>
      </c>
      <c r="F2383">
        <v>0</v>
      </c>
      <c r="G2383" t="s">
        <v>22</v>
      </c>
      <c r="H2383" t="s">
        <v>21</v>
      </c>
      <c r="I2383" t="s">
        <v>60</v>
      </c>
      <c r="J2383" t="s">
        <v>61</v>
      </c>
      <c r="L2383" t="s">
        <v>86</v>
      </c>
      <c r="M2383" t="s">
        <v>83</v>
      </c>
    </row>
    <row r="2384" spans="1:13">
      <c r="A2384">
        <v>45855</v>
      </c>
      <c r="B2384" t="s">
        <v>2317</v>
      </c>
      <c r="D2384">
        <v>500</v>
      </c>
      <c r="F2384">
        <v>0</v>
      </c>
      <c r="G2384" t="s">
        <v>22</v>
      </c>
      <c r="H2384" t="s">
        <v>21</v>
      </c>
      <c r="I2384" t="s">
        <v>60</v>
      </c>
      <c r="J2384" t="s">
        <v>61</v>
      </c>
      <c r="L2384" t="s">
        <v>86</v>
      </c>
      <c r="M2384" t="s">
        <v>83</v>
      </c>
    </row>
    <row r="2385" spans="1:13">
      <c r="A2385">
        <v>45855</v>
      </c>
      <c r="B2385" t="s">
        <v>2318</v>
      </c>
      <c r="D2385">
        <v>500</v>
      </c>
      <c r="F2385">
        <v>0</v>
      </c>
      <c r="G2385" t="s">
        <v>22</v>
      </c>
      <c r="H2385" t="s">
        <v>21</v>
      </c>
      <c r="I2385" t="s">
        <v>60</v>
      </c>
      <c r="J2385" t="s">
        <v>61</v>
      </c>
      <c r="L2385" t="s">
        <v>86</v>
      </c>
      <c r="M2385" t="s">
        <v>83</v>
      </c>
    </row>
    <row r="2386" spans="1:13">
      <c r="A2386">
        <v>45855</v>
      </c>
      <c r="B2386" t="s">
        <v>63</v>
      </c>
      <c r="D2386">
        <v>100</v>
      </c>
      <c r="F2386">
        <v>1</v>
      </c>
      <c r="G2386" t="s">
        <v>22</v>
      </c>
      <c r="H2386" t="s">
        <v>93</v>
      </c>
      <c r="I2386" t="s">
        <v>60</v>
      </c>
      <c r="J2386" t="s">
        <v>61</v>
      </c>
      <c r="L2386" t="s">
        <v>62</v>
      </c>
    </row>
    <row r="2387" spans="1:13">
      <c r="A2387">
        <v>45855</v>
      </c>
      <c r="B2387" t="s">
        <v>2319</v>
      </c>
      <c r="F2387">
        <v>1</v>
      </c>
      <c r="G2387" t="s">
        <v>0</v>
      </c>
      <c r="L2387" t="s">
        <v>89</v>
      </c>
    </row>
    <row r="2388" spans="1:13">
      <c r="A2388">
        <v>45856</v>
      </c>
      <c r="B2388" t="s">
        <v>63</v>
      </c>
      <c r="D2388">
        <v>9500</v>
      </c>
      <c r="G2388" t="s">
        <v>70</v>
      </c>
      <c r="I2388" t="s">
        <v>60</v>
      </c>
      <c r="J2388" t="s">
        <v>61</v>
      </c>
      <c r="L2388" t="s">
        <v>62</v>
      </c>
    </row>
    <row r="2389" spans="1:13">
      <c r="A2389">
        <v>45856</v>
      </c>
      <c r="B2389" t="s">
        <v>63</v>
      </c>
      <c r="D2389">
        <v>8500</v>
      </c>
      <c r="F2389">
        <v>1</v>
      </c>
      <c r="G2389" t="s">
        <v>70</v>
      </c>
      <c r="I2389" t="s">
        <v>71</v>
      </c>
      <c r="J2389" t="s">
        <v>72</v>
      </c>
      <c r="K2389" t="s">
        <v>2320</v>
      </c>
      <c r="L2389" t="s">
        <v>62</v>
      </c>
      <c r="M2389" t="s">
        <v>90</v>
      </c>
    </row>
    <row r="2390" spans="1:13">
      <c r="A2390">
        <v>45856</v>
      </c>
      <c r="B2390" t="s">
        <v>2321</v>
      </c>
      <c r="D2390">
        <v>500</v>
      </c>
      <c r="F2390">
        <v>1</v>
      </c>
      <c r="G2390" t="s">
        <v>22</v>
      </c>
      <c r="H2390" t="s">
        <v>21</v>
      </c>
      <c r="I2390" t="s">
        <v>60</v>
      </c>
      <c r="J2390" t="s">
        <v>61</v>
      </c>
      <c r="L2390" t="s">
        <v>89</v>
      </c>
    </row>
    <row r="2391" spans="1:13">
      <c r="A2391">
        <v>45856</v>
      </c>
      <c r="B2391" t="s">
        <v>2322</v>
      </c>
      <c r="F2391">
        <v>1</v>
      </c>
      <c r="G2391" t="s">
        <v>79</v>
      </c>
      <c r="H2391" t="s">
        <v>21</v>
      </c>
      <c r="L2391" t="s">
        <v>89</v>
      </c>
    </row>
    <row r="2392" spans="1:13">
      <c r="A2392">
        <v>45856</v>
      </c>
      <c r="B2392" t="s">
        <v>2323</v>
      </c>
      <c r="D2392">
        <v>500</v>
      </c>
      <c r="F2392">
        <v>1</v>
      </c>
      <c r="G2392" t="s">
        <v>22</v>
      </c>
      <c r="H2392" t="s">
        <v>21</v>
      </c>
      <c r="I2392" t="s">
        <v>60</v>
      </c>
      <c r="J2392" t="s">
        <v>61</v>
      </c>
      <c r="L2392" t="s">
        <v>89</v>
      </c>
    </row>
    <row r="2393" spans="1:13">
      <c r="A2393">
        <v>45856</v>
      </c>
      <c r="B2393" t="s">
        <v>2324</v>
      </c>
      <c r="F2393">
        <v>1</v>
      </c>
      <c r="G2393" t="s">
        <v>79</v>
      </c>
      <c r="H2393" t="s">
        <v>21</v>
      </c>
      <c r="L2393" t="s">
        <v>89</v>
      </c>
    </row>
    <row r="2394" spans="1:13">
      <c r="A2394">
        <v>45856</v>
      </c>
      <c r="B2394" t="s">
        <v>2325</v>
      </c>
      <c r="F2394">
        <v>1</v>
      </c>
      <c r="G2394" t="s">
        <v>64</v>
      </c>
      <c r="L2394" t="s">
        <v>89</v>
      </c>
      <c r="M2394" t="s">
        <v>1099</v>
      </c>
    </row>
    <row r="2395" spans="1:13">
      <c r="A2395">
        <v>45856</v>
      </c>
      <c r="B2395" t="s">
        <v>2326</v>
      </c>
      <c r="F2395">
        <v>1</v>
      </c>
      <c r="G2395" t="s">
        <v>79</v>
      </c>
      <c r="H2395" t="s">
        <v>21</v>
      </c>
      <c r="L2395" t="s">
        <v>89</v>
      </c>
    </row>
    <row r="2396" spans="1:13">
      <c r="A2396">
        <v>45856</v>
      </c>
      <c r="B2396" t="s">
        <v>2327</v>
      </c>
      <c r="D2396">
        <v>500</v>
      </c>
      <c r="F2396">
        <v>1</v>
      </c>
      <c r="G2396" t="s">
        <v>22</v>
      </c>
      <c r="H2396" t="s">
        <v>21</v>
      </c>
      <c r="I2396" t="s">
        <v>60</v>
      </c>
      <c r="J2396" t="s">
        <v>61</v>
      </c>
      <c r="L2396" t="s">
        <v>89</v>
      </c>
    </row>
    <row r="2397" spans="1:13">
      <c r="A2397">
        <v>45856</v>
      </c>
      <c r="B2397" t="s">
        <v>76</v>
      </c>
      <c r="D2397">
        <v>19600</v>
      </c>
      <c r="G2397" t="s">
        <v>77</v>
      </c>
      <c r="I2397" t="s">
        <v>60</v>
      </c>
      <c r="J2397" t="s">
        <v>61</v>
      </c>
      <c r="L2397" t="s">
        <v>62</v>
      </c>
    </row>
    <row r="2398" spans="1:13">
      <c r="A2398">
        <v>45856</v>
      </c>
      <c r="B2398" t="s">
        <v>2328</v>
      </c>
      <c r="F2398">
        <v>1</v>
      </c>
      <c r="G2398" t="s">
        <v>0</v>
      </c>
      <c r="L2398" t="s">
        <v>89</v>
      </c>
    </row>
    <row r="2399" spans="1:13">
      <c r="A2399">
        <v>45857</v>
      </c>
      <c r="B2399" t="s">
        <v>559</v>
      </c>
      <c r="E2399">
        <v>10000</v>
      </c>
      <c r="F2399">
        <v>1</v>
      </c>
      <c r="G2399" t="s">
        <v>65</v>
      </c>
      <c r="H2399" t="s">
        <v>560</v>
      </c>
      <c r="I2399" t="s">
        <v>60</v>
      </c>
      <c r="J2399" t="s">
        <v>61</v>
      </c>
      <c r="L2399" t="s">
        <v>62</v>
      </c>
    </row>
    <row r="2400" spans="1:13">
      <c r="A2400">
        <v>45857</v>
      </c>
      <c r="B2400" t="s">
        <v>561</v>
      </c>
      <c r="E2400">
        <v>11000</v>
      </c>
      <c r="F2400">
        <v>1</v>
      </c>
      <c r="G2400" t="s">
        <v>65</v>
      </c>
      <c r="H2400" t="s">
        <v>560</v>
      </c>
      <c r="I2400" t="s">
        <v>60</v>
      </c>
      <c r="J2400" t="s">
        <v>61</v>
      </c>
      <c r="L2400" t="s">
        <v>62</v>
      </c>
    </row>
    <row r="2401" spans="1:13">
      <c r="A2401">
        <v>45857</v>
      </c>
      <c r="B2401" t="s">
        <v>63</v>
      </c>
      <c r="D2401">
        <v>44500</v>
      </c>
      <c r="F2401">
        <v>4</v>
      </c>
      <c r="G2401" t="s">
        <v>70</v>
      </c>
      <c r="I2401" t="s">
        <v>71</v>
      </c>
      <c r="J2401" t="s">
        <v>72</v>
      </c>
      <c r="K2401" t="s">
        <v>2329</v>
      </c>
      <c r="L2401" t="s">
        <v>62</v>
      </c>
      <c r="M2401" t="s">
        <v>2330</v>
      </c>
    </row>
    <row r="2402" spans="1:13">
      <c r="A2402">
        <v>45857</v>
      </c>
      <c r="B2402" t="s">
        <v>1216</v>
      </c>
      <c r="F2402">
        <v>1</v>
      </c>
      <c r="G2402" t="s">
        <v>64</v>
      </c>
      <c r="L2402" t="s">
        <v>86</v>
      </c>
      <c r="M2402" t="s">
        <v>1099</v>
      </c>
    </row>
    <row r="2403" spans="1:13">
      <c r="A2403">
        <v>45857</v>
      </c>
      <c r="B2403" t="s">
        <v>63</v>
      </c>
      <c r="D2403">
        <v>42500</v>
      </c>
      <c r="G2403" t="s">
        <v>70</v>
      </c>
      <c r="I2403" t="s">
        <v>60</v>
      </c>
      <c r="J2403" t="s">
        <v>61</v>
      </c>
      <c r="L2403" t="s">
        <v>62</v>
      </c>
    </row>
    <row r="2404" spans="1:13">
      <c r="A2404">
        <v>45857</v>
      </c>
      <c r="B2404" t="s">
        <v>2331</v>
      </c>
      <c r="F2404">
        <v>1</v>
      </c>
      <c r="G2404" t="s">
        <v>64</v>
      </c>
      <c r="L2404" t="s">
        <v>86</v>
      </c>
      <c r="M2404" t="s">
        <v>2120</v>
      </c>
    </row>
    <row r="2405" spans="1:13">
      <c r="A2405">
        <v>45857</v>
      </c>
      <c r="B2405" t="s">
        <v>2332</v>
      </c>
      <c r="D2405">
        <v>100000</v>
      </c>
      <c r="F2405">
        <v>1</v>
      </c>
      <c r="G2405" t="s">
        <v>64</v>
      </c>
      <c r="I2405" t="s">
        <v>60</v>
      </c>
      <c r="J2405" t="s">
        <v>61</v>
      </c>
      <c r="L2405" t="s">
        <v>86</v>
      </c>
      <c r="M2405" t="s">
        <v>2333</v>
      </c>
    </row>
    <row r="2406" spans="1:13">
      <c r="A2406">
        <v>45857</v>
      </c>
      <c r="B2406" t="s">
        <v>2334</v>
      </c>
      <c r="D2406">
        <v>500</v>
      </c>
      <c r="F2406">
        <v>1</v>
      </c>
      <c r="G2406" t="s">
        <v>22</v>
      </c>
      <c r="H2406" t="s">
        <v>21</v>
      </c>
      <c r="I2406" t="s">
        <v>60</v>
      </c>
      <c r="J2406" t="s">
        <v>61</v>
      </c>
      <c r="L2406" t="s">
        <v>86</v>
      </c>
    </row>
    <row r="2407" spans="1:13">
      <c r="A2407">
        <v>45857</v>
      </c>
      <c r="B2407" t="s">
        <v>2335</v>
      </c>
      <c r="F2407">
        <v>1</v>
      </c>
      <c r="G2407" t="s">
        <v>64</v>
      </c>
      <c r="I2407" t="s">
        <v>60</v>
      </c>
      <c r="J2407" t="s">
        <v>61</v>
      </c>
      <c r="L2407" t="s">
        <v>86</v>
      </c>
      <c r="M2407" t="s">
        <v>1282</v>
      </c>
    </row>
    <row r="2408" spans="1:13">
      <c r="A2408">
        <v>45857</v>
      </c>
      <c r="B2408" t="s">
        <v>2336</v>
      </c>
      <c r="D2408">
        <v>500</v>
      </c>
      <c r="F2408">
        <v>1</v>
      </c>
      <c r="G2408" t="s">
        <v>22</v>
      </c>
      <c r="H2408" t="s">
        <v>21</v>
      </c>
      <c r="I2408" t="s">
        <v>60</v>
      </c>
      <c r="J2408" t="s">
        <v>61</v>
      </c>
      <c r="L2408" t="s">
        <v>86</v>
      </c>
    </row>
    <row r="2409" spans="1:13">
      <c r="A2409">
        <v>45857</v>
      </c>
      <c r="B2409" t="s">
        <v>2337</v>
      </c>
      <c r="D2409">
        <v>500</v>
      </c>
      <c r="F2409">
        <v>0</v>
      </c>
      <c r="G2409" t="s">
        <v>22</v>
      </c>
      <c r="H2409" t="s">
        <v>21</v>
      </c>
      <c r="I2409" t="s">
        <v>60</v>
      </c>
      <c r="J2409" t="s">
        <v>61</v>
      </c>
      <c r="L2409" t="s">
        <v>86</v>
      </c>
      <c r="M2409" t="s">
        <v>83</v>
      </c>
    </row>
    <row r="2410" spans="1:13">
      <c r="A2410">
        <v>45857</v>
      </c>
      <c r="B2410" t="s">
        <v>2338</v>
      </c>
      <c r="F2410">
        <v>1</v>
      </c>
      <c r="G2410" t="s">
        <v>64</v>
      </c>
      <c r="L2410" t="s">
        <v>86</v>
      </c>
      <c r="M2410" t="s">
        <v>2339</v>
      </c>
    </row>
    <row r="2411" spans="1:13">
      <c r="A2411">
        <v>45857</v>
      </c>
      <c r="B2411" t="s">
        <v>2340</v>
      </c>
      <c r="F2411">
        <v>1</v>
      </c>
      <c r="G2411" t="s">
        <v>98</v>
      </c>
      <c r="H2411" t="s">
        <v>21</v>
      </c>
      <c r="L2411" t="s">
        <v>86</v>
      </c>
    </row>
    <row r="2412" spans="1:13">
      <c r="A2412">
        <v>45857</v>
      </c>
      <c r="B2412" t="s">
        <v>84</v>
      </c>
      <c r="D2412">
        <v>-41600</v>
      </c>
      <c r="G2412" t="s">
        <v>77</v>
      </c>
      <c r="I2412" t="s">
        <v>60</v>
      </c>
      <c r="J2412" t="s">
        <v>61</v>
      </c>
      <c r="L2412" t="s">
        <v>62</v>
      </c>
    </row>
    <row r="2413" spans="1:13">
      <c r="A2413">
        <v>45857</v>
      </c>
      <c r="B2413" t="s">
        <v>84</v>
      </c>
      <c r="E2413">
        <v>-2200</v>
      </c>
      <c r="G2413" t="s">
        <v>65</v>
      </c>
      <c r="H2413" t="s">
        <v>85</v>
      </c>
      <c r="I2413" t="s">
        <v>60</v>
      </c>
      <c r="J2413" t="s">
        <v>61</v>
      </c>
      <c r="L2413" t="s">
        <v>62</v>
      </c>
    </row>
    <row r="2414" spans="1:13">
      <c r="A2414">
        <v>45858</v>
      </c>
      <c r="B2414" t="s">
        <v>63</v>
      </c>
      <c r="D2414">
        <v>400</v>
      </c>
      <c r="F2414">
        <v>4</v>
      </c>
      <c r="G2414" t="s">
        <v>22</v>
      </c>
      <c r="H2414" t="s">
        <v>93</v>
      </c>
      <c r="I2414" t="s">
        <v>60</v>
      </c>
      <c r="J2414" t="s">
        <v>61</v>
      </c>
      <c r="L2414" t="s">
        <v>62</v>
      </c>
    </row>
    <row r="2415" spans="1:13">
      <c r="A2415">
        <v>45858</v>
      </c>
      <c r="B2415" t="s">
        <v>76</v>
      </c>
      <c r="D2415">
        <v>23960</v>
      </c>
      <c r="G2415" t="s">
        <v>77</v>
      </c>
      <c r="I2415" t="s">
        <v>60</v>
      </c>
      <c r="J2415" t="s">
        <v>61</v>
      </c>
      <c r="L2415" t="s">
        <v>62</v>
      </c>
    </row>
    <row r="2416" spans="1:13">
      <c r="A2416">
        <v>45858</v>
      </c>
      <c r="B2416" t="s">
        <v>63</v>
      </c>
      <c r="D2416">
        <v>13000</v>
      </c>
      <c r="G2416" t="s">
        <v>70</v>
      </c>
      <c r="I2416" t="s">
        <v>60</v>
      </c>
      <c r="J2416" t="s">
        <v>61</v>
      </c>
      <c r="L2416" t="s">
        <v>62</v>
      </c>
    </row>
    <row r="2417" spans="1:13">
      <c r="A2417">
        <v>45858</v>
      </c>
      <c r="B2417" t="s">
        <v>2341</v>
      </c>
      <c r="F2417">
        <v>1</v>
      </c>
      <c r="G2417" t="s">
        <v>79</v>
      </c>
      <c r="H2417" t="s">
        <v>21</v>
      </c>
      <c r="L2417" t="s">
        <v>86</v>
      </c>
    </row>
    <row r="2418" spans="1:13">
      <c r="A2418">
        <v>45858</v>
      </c>
      <c r="B2418" t="s">
        <v>2342</v>
      </c>
      <c r="D2418">
        <v>500</v>
      </c>
      <c r="F2418">
        <v>1</v>
      </c>
      <c r="G2418" t="s">
        <v>22</v>
      </c>
      <c r="H2418" t="s">
        <v>21</v>
      </c>
      <c r="I2418" t="s">
        <v>60</v>
      </c>
      <c r="J2418" t="s">
        <v>61</v>
      </c>
      <c r="L2418" t="s">
        <v>86</v>
      </c>
    </row>
    <row r="2419" spans="1:13">
      <c r="A2419">
        <v>45858</v>
      </c>
      <c r="B2419" t="s">
        <v>2343</v>
      </c>
      <c r="D2419">
        <v>500</v>
      </c>
      <c r="F2419">
        <v>1</v>
      </c>
      <c r="G2419" t="s">
        <v>22</v>
      </c>
      <c r="H2419" t="s">
        <v>21</v>
      </c>
      <c r="I2419" t="s">
        <v>60</v>
      </c>
      <c r="J2419" t="s">
        <v>61</v>
      </c>
      <c r="L2419" t="s">
        <v>86</v>
      </c>
    </row>
    <row r="2420" spans="1:13">
      <c r="A2420">
        <v>45858</v>
      </c>
      <c r="B2420" t="s">
        <v>2344</v>
      </c>
      <c r="D2420">
        <v>500</v>
      </c>
      <c r="F2420">
        <v>1</v>
      </c>
      <c r="G2420" t="s">
        <v>22</v>
      </c>
      <c r="H2420" t="s">
        <v>21</v>
      </c>
      <c r="I2420" t="s">
        <v>60</v>
      </c>
      <c r="J2420" t="s">
        <v>61</v>
      </c>
      <c r="L2420" t="s">
        <v>86</v>
      </c>
    </row>
    <row r="2421" spans="1:13">
      <c r="A2421">
        <v>45858</v>
      </c>
      <c r="B2421" t="s">
        <v>2344</v>
      </c>
      <c r="F2421">
        <v>1</v>
      </c>
      <c r="G2421" t="s">
        <v>64</v>
      </c>
      <c r="L2421" t="s">
        <v>86</v>
      </c>
      <c r="M2421" t="s">
        <v>1282</v>
      </c>
    </row>
    <row r="2422" spans="1:13">
      <c r="A2422">
        <v>45859</v>
      </c>
      <c r="B2422" t="s">
        <v>81</v>
      </c>
      <c r="D2422">
        <v>53600</v>
      </c>
      <c r="F2422">
        <v>1</v>
      </c>
      <c r="G2422" t="s">
        <v>74</v>
      </c>
      <c r="H2422" t="s">
        <v>75</v>
      </c>
      <c r="I2422" t="s">
        <v>60</v>
      </c>
      <c r="J2422" t="s">
        <v>61</v>
      </c>
      <c r="L2422" t="s">
        <v>88</v>
      </c>
    </row>
    <row r="2423" spans="1:13">
      <c r="A2423">
        <v>45859</v>
      </c>
      <c r="B2423" t="s">
        <v>1873</v>
      </c>
      <c r="C2423" t="s">
        <v>2345</v>
      </c>
      <c r="F2423">
        <v>7</v>
      </c>
      <c r="G2423" t="s">
        <v>22</v>
      </c>
      <c r="H2423" t="s">
        <v>21</v>
      </c>
      <c r="L2423" t="s">
        <v>95</v>
      </c>
    </row>
    <row r="2424" spans="1:13">
      <c r="A2424">
        <v>45859</v>
      </c>
      <c r="B2424" t="s">
        <v>2346</v>
      </c>
      <c r="D2424">
        <v>500</v>
      </c>
      <c r="F2424">
        <v>1</v>
      </c>
      <c r="G2424" t="s">
        <v>22</v>
      </c>
      <c r="H2424" t="s">
        <v>21</v>
      </c>
      <c r="I2424" t="s">
        <v>60</v>
      </c>
      <c r="J2424" t="s">
        <v>61</v>
      </c>
      <c r="L2424" t="s">
        <v>89</v>
      </c>
    </row>
    <row r="2425" spans="1:13">
      <c r="A2425">
        <v>45859</v>
      </c>
      <c r="B2425" t="s">
        <v>2347</v>
      </c>
      <c r="F2425">
        <v>1</v>
      </c>
      <c r="G2425" t="s">
        <v>79</v>
      </c>
      <c r="H2425" t="s">
        <v>21</v>
      </c>
      <c r="L2425" t="s">
        <v>89</v>
      </c>
    </row>
    <row r="2426" spans="1:13">
      <c r="A2426">
        <v>45859</v>
      </c>
      <c r="B2426" t="s">
        <v>63</v>
      </c>
      <c r="D2426">
        <v>5500</v>
      </c>
      <c r="G2426" t="s">
        <v>70</v>
      </c>
      <c r="I2426" t="s">
        <v>60</v>
      </c>
      <c r="J2426" t="s">
        <v>61</v>
      </c>
      <c r="L2426" t="s">
        <v>62</v>
      </c>
    </row>
    <row r="2427" spans="1:13">
      <c r="A2427">
        <v>45859</v>
      </c>
      <c r="B2427" t="s">
        <v>2348</v>
      </c>
      <c r="F2427">
        <v>1</v>
      </c>
      <c r="G2427" t="s">
        <v>64</v>
      </c>
      <c r="L2427" t="s">
        <v>82</v>
      </c>
      <c r="M2427" t="s">
        <v>96</v>
      </c>
    </row>
    <row r="2428" spans="1:13">
      <c r="A2428">
        <v>45859</v>
      </c>
      <c r="B2428" t="s">
        <v>2349</v>
      </c>
      <c r="F2428">
        <v>1</v>
      </c>
      <c r="G2428" t="s">
        <v>22</v>
      </c>
      <c r="H2428" t="s">
        <v>21</v>
      </c>
      <c r="L2428" t="s">
        <v>101</v>
      </c>
    </row>
    <row r="2429" spans="1:13">
      <c r="A2429">
        <v>45859</v>
      </c>
      <c r="B2429" t="s">
        <v>2350</v>
      </c>
      <c r="F2429">
        <v>1</v>
      </c>
      <c r="G2429" t="s">
        <v>98</v>
      </c>
      <c r="H2429" t="s">
        <v>21</v>
      </c>
      <c r="L2429" t="s">
        <v>89</v>
      </c>
    </row>
    <row r="2430" spans="1:13">
      <c r="A2430">
        <v>45859</v>
      </c>
      <c r="B2430" t="s">
        <v>2351</v>
      </c>
      <c r="F2430">
        <v>1</v>
      </c>
      <c r="G2430" t="s">
        <v>601</v>
      </c>
      <c r="H2430" t="s">
        <v>21</v>
      </c>
      <c r="L2430" t="s">
        <v>82</v>
      </c>
    </row>
    <row r="2431" spans="1:13">
      <c r="A2431">
        <v>45859</v>
      </c>
      <c r="B2431" t="s">
        <v>2352</v>
      </c>
      <c r="F2431">
        <v>1</v>
      </c>
      <c r="G2431" t="s">
        <v>750</v>
      </c>
      <c r="H2431" t="s">
        <v>21</v>
      </c>
      <c r="L2431" t="s">
        <v>82</v>
      </c>
    </row>
    <row r="2432" spans="1:13">
      <c r="A2432">
        <v>45859</v>
      </c>
      <c r="B2432" t="s">
        <v>2353</v>
      </c>
      <c r="F2432">
        <v>20</v>
      </c>
      <c r="G2432" t="s">
        <v>22</v>
      </c>
      <c r="H2432" t="s">
        <v>21</v>
      </c>
      <c r="L2432" t="s">
        <v>101</v>
      </c>
      <c r="M2432" t="s">
        <v>2354</v>
      </c>
    </row>
    <row r="2433" spans="1:13">
      <c r="A2433">
        <v>45860</v>
      </c>
      <c r="B2433" t="s">
        <v>81</v>
      </c>
      <c r="D2433">
        <v>27700</v>
      </c>
      <c r="F2433">
        <v>1</v>
      </c>
      <c r="G2433" t="s">
        <v>74</v>
      </c>
      <c r="H2433" t="s">
        <v>75</v>
      </c>
      <c r="I2433" t="s">
        <v>60</v>
      </c>
      <c r="J2433" t="s">
        <v>61</v>
      </c>
      <c r="L2433" t="s">
        <v>88</v>
      </c>
    </row>
    <row r="2434" spans="1:13">
      <c r="A2434">
        <v>45860</v>
      </c>
      <c r="B2434" t="s">
        <v>2355</v>
      </c>
      <c r="D2434">
        <v>500</v>
      </c>
      <c r="F2434">
        <v>1</v>
      </c>
      <c r="G2434" t="s">
        <v>22</v>
      </c>
      <c r="H2434" t="s">
        <v>21</v>
      </c>
      <c r="I2434" t="s">
        <v>60</v>
      </c>
      <c r="J2434" t="s">
        <v>61</v>
      </c>
      <c r="L2434" t="s">
        <v>82</v>
      </c>
    </row>
    <row r="2435" spans="1:13">
      <c r="A2435">
        <v>45860</v>
      </c>
      <c r="B2435" t="s">
        <v>2356</v>
      </c>
      <c r="F2435">
        <v>1</v>
      </c>
      <c r="G2435" t="s">
        <v>64</v>
      </c>
      <c r="L2435" t="s">
        <v>89</v>
      </c>
      <c r="M2435" t="s">
        <v>1099</v>
      </c>
    </row>
    <row r="2436" spans="1:13">
      <c r="A2436">
        <v>45860</v>
      </c>
      <c r="B2436" t="s">
        <v>63</v>
      </c>
      <c r="D2436">
        <v>71500</v>
      </c>
      <c r="G2436" t="s">
        <v>70</v>
      </c>
      <c r="I2436" t="s">
        <v>60</v>
      </c>
      <c r="J2436" t="s">
        <v>61</v>
      </c>
      <c r="L2436" t="s">
        <v>62</v>
      </c>
    </row>
    <row r="2437" spans="1:13">
      <c r="A2437">
        <v>45860</v>
      </c>
      <c r="B2437" t="s">
        <v>80</v>
      </c>
      <c r="E2437">
        <v>10398</v>
      </c>
      <c r="F2437">
        <v>1</v>
      </c>
      <c r="G2437" t="s">
        <v>74</v>
      </c>
      <c r="H2437" t="s">
        <v>75</v>
      </c>
      <c r="I2437" t="s">
        <v>60</v>
      </c>
      <c r="J2437" t="s">
        <v>61</v>
      </c>
      <c r="L2437" t="s">
        <v>87</v>
      </c>
    </row>
    <row r="2438" spans="1:13">
      <c r="A2438">
        <v>45860</v>
      </c>
      <c r="B2438" t="s">
        <v>80</v>
      </c>
      <c r="E2438">
        <v>102</v>
      </c>
      <c r="F2438">
        <v>1</v>
      </c>
      <c r="G2438" t="s">
        <v>65</v>
      </c>
      <c r="H2438" t="s">
        <v>66</v>
      </c>
      <c r="I2438" t="s">
        <v>60</v>
      </c>
      <c r="J2438" t="s">
        <v>61</v>
      </c>
      <c r="L2438" t="s">
        <v>62</v>
      </c>
    </row>
    <row r="2439" spans="1:13">
      <c r="A2439">
        <v>45860</v>
      </c>
      <c r="B2439" t="s">
        <v>2357</v>
      </c>
      <c r="D2439">
        <v>500</v>
      </c>
      <c r="F2439">
        <v>1</v>
      </c>
      <c r="G2439" t="s">
        <v>22</v>
      </c>
      <c r="H2439" t="s">
        <v>21</v>
      </c>
      <c r="I2439" t="s">
        <v>60</v>
      </c>
      <c r="J2439" t="s">
        <v>61</v>
      </c>
      <c r="L2439" t="s">
        <v>89</v>
      </c>
    </row>
    <row r="2440" spans="1:13">
      <c r="A2440">
        <v>45860</v>
      </c>
      <c r="B2440" t="s">
        <v>2358</v>
      </c>
      <c r="D2440">
        <v>500</v>
      </c>
      <c r="F2440">
        <v>1</v>
      </c>
      <c r="G2440" t="s">
        <v>22</v>
      </c>
      <c r="H2440" t="s">
        <v>21</v>
      </c>
      <c r="I2440" t="s">
        <v>60</v>
      </c>
      <c r="J2440" t="s">
        <v>61</v>
      </c>
      <c r="L2440" t="s">
        <v>82</v>
      </c>
    </row>
    <row r="2441" spans="1:13">
      <c r="A2441">
        <v>45860</v>
      </c>
      <c r="B2441" t="s">
        <v>2359</v>
      </c>
      <c r="D2441">
        <v>500</v>
      </c>
      <c r="F2441">
        <v>1</v>
      </c>
      <c r="G2441" t="s">
        <v>22</v>
      </c>
      <c r="H2441" t="s">
        <v>21</v>
      </c>
      <c r="I2441" t="s">
        <v>60</v>
      </c>
      <c r="J2441" t="s">
        <v>61</v>
      </c>
      <c r="L2441" t="s">
        <v>82</v>
      </c>
    </row>
    <row r="2442" spans="1:13">
      <c r="A2442">
        <v>45860</v>
      </c>
      <c r="B2442" t="s">
        <v>2360</v>
      </c>
      <c r="F2442">
        <v>1</v>
      </c>
      <c r="G2442" t="s">
        <v>64</v>
      </c>
      <c r="L2442" t="s">
        <v>82</v>
      </c>
      <c r="M2442" t="s">
        <v>96</v>
      </c>
    </row>
    <row r="2443" spans="1:13">
      <c r="A2443">
        <v>45860</v>
      </c>
      <c r="B2443" t="s">
        <v>2361</v>
      </c>
      <c r="F2443">
        <v>1</v>
      </c>
      <c r="G2443" t="s">
        <v>79</v>
      </c>
      <c r="H2443" t="s">
        <v>21</v>
      </c>
      <c r="L2443" t="s">
        <v>89</v>
      </c>
    </row>
    <row r="2444" spans="1:13">
      <c r="A2444">
        <v>45860</v>
      </c>
      <c r="B2444" t="s">
        <v>2361</v>
      </c>
      <c r="F2444">
        <v>1</v>
      </c>
      <c r="G2444" t="s">
        <v>64</v>
      </c>
      <c r="L2444" t="s">
        <v>89</v>
      </c>
      <c r="M2444" t="s">
        <v>2229</v>
      </c>
    </row>
    <row r="2445" spans="1:13">
      <c r="A2445">
        <v>45860</v>
      </c>
      <c r="B2445" t="s">
        <v>2362</v>
      </c>
      <c r="F2445">
        <v>1</v>
      </c>
      <c r="G2445" t="s">
        <v>0</v>
      </c>
      <c r="L2445" t="s">
        <v>82</v>
      </c>
    </row>
    <row r="2446" spans="1:13">
      <c r="A2446">
        <v>45861</v>
      </c>
      <c r="B2446" t="s">
        <v>81</v>
      </c>
      <c r="D2446">
        <v>53000</v>
      </c>
      <c r="F2446">
        <v>1</v>
      </c>
      <c r="G2446" t="s">
        <v>74</v>
      </c>
      <c r="H2446" t="s">
        <v>75</v>
      </c>
      <c r="I2446" t="s">
        <v>60</v>
      </c>
      <c r="J2446" t="s">
        <v>61</v>
      </c>
      <c r="L2446" t="s">
        <v>88</v>
      </c>
    </row>
    <row r="2447" spans="1:13">
      <c r="A2447">
        <v>45861</v>
      </c>
      <c r="B2447" t="s">
        <v>105</v>
      </c>
      <c r="E2447">
        <v>717984</v>
      </c>
      <c r="F2447">
        <v>1</v>
      </c>
      <c r="G2447" t="s">
        <v>65</v>
      </c>
      <c r="H2447" t="s">
        <v>66</v>
      </c>
      <c r="I2447" t="s">
        <v>60</v>
      </c>
      <c r="J2447" t="s">
        <v>61</v>
      </c>
      <c r="L2447" t="s">
        <v>104</v>
      </c>
    </row>
    <row r="2448" spans="1:13">
      <c r="A2448">
        <v>45861</v>
      </c>
      <c r="B2448" t="s">
        <v>2363</v>
      </c>
      <c r="D2448">
        <v>500</v>
      </c>
      <c r="F2448">
        <v>1</v>
      </c>
      <c r="G2448" t="s">
        <v>22</v>
      </c>
      <c r="H2448" t="s">
        <v>21</v>
      </c>
      <c r="I2448" t="s">
        <v>60</v>
      </c>
      <c r="J2448" t="s">
        <v>61</v>
      </c>
      <c r="L2448" t="s">
        <v>86</v>
      </c>
    </row>
    <row r="2449" spans="1:13">
      <c r="A2449">
        <v>45861</v>
      </c>
      <c r="B2449" t="s">
        <v>2364</v>
      </c>
      <c r="F2449">
        <v>1</v>
      </c>
      <c r="G2449" t="s">
        <v>79</v>
      </c>
      <c r="H2449" t="s">
        <v>21</v>
      </c>
      <c r="L2449" t="s">
        <v>86</v>
      </c>
    </row>
    <row r="2450" spans="1:13">
      <c r="A2450">
        <v>45861</v>
      </c>
      <c r="B2450" t="s">
        <v>2365</v>
      </c>
      <c r="D2450">
        <v>500</v>
      </c>
      <c r="F2450">
        <v>1</v>
      </c>
      <c r="G2450" t="s">
        <v>22</v>
      </c>
      <c r="H2450" t="s">
        <v>21</v>
      </c>
      <c r="I2450" t="s">
        <v>60</v>
      </c>
      <c r="J2450" t="s">
        <v>61</v>
      </c>
      <c r="L2450" t="s">
        <v>86</v>
      </c>
    </row>
    <row r="2451" spans="1:13">
      <c r="A2451">
        <v>45861</v>
      </c>
      <c r="B2451" t="s">
        <v>2366</v>
      </c>
      <c r="D2451">
        <v>500</v>
      </c>
      <c r="F2451">
        <v>1</v>
      </c>
      <c r="G2451" t="s">
        <v>22</v>
      </c>
      <c r="H2451" t="s">
        <v>21</v>
      </c>
      <c r="I2451" t="s">
        <v>60</v>
      </c>
      <c r="J2451" t="s">
        <v>61</v>
      </c>
      <c r="L2451" t="s">
        <v>82</v>
      </c>
    </row>
    <row r="2452" spans="1:13">
      <c r="A2452">
        <v>45861</v>
      </c>
      <c r="B2452" t="s">
        <v>2367</v>
      </c>
      <c r="F2452">
        <v>1</v>
      </c>
      <c r="G2452" t="s">
        <v>79</v>
      </c>
      <c r="H2452" t="s">
        <v>21</v>
      </c>
      <c r="L2452" t="s">
        <v>82</v>
      </c>
    </row>
    <row r="2453" spans="1:13">
      <c r="A2453">
        <v>45861</v>
      </c>
      <c r="B2453" t="s">
        <v>2368</v>
      </c>
      <c r="F2453">
        <v>1</v>
      </c>
      <c r="G2453" t="s">
        <v>64</v>
      </c>
      <c r="L2453" t="s">
        <v>82</v>
      </c>
      <c r="M2453" t="s">
        <v>96</v>
      </c>
    </row>
    <row r="2454" spans="1:13">
      <c r="A2454">
        <v>45861</v>
      </c>
      <c r="B2454" t="s">
        <v>2369</v>
      </c>
      <c r="D2454">
        <v>500</v>
      </c>
      <c r="F2454">
        <v>1</v>
      </c>
      <c r="G2454" t="s">
        <v>22</v>
      </c>
      <c r="H2454" t="s">
        <v>21</v>
      </c>
      <c r="I2454" t="s">
        <v>60</v>
      </c>
      <c r="J2454" t="s">
        <v>61</v>
      </c>
      <c r="L2454" t="s">
        <v>82</v>
      </c>
    </row>
    <row r="2455" spans="1:13">
      <c r="A2455">
        <v>45861</v>
      </c>
      <c r="B2455" t="s">
        <v>63</v>
      </c>
      <c r="D2455">
        <v>9500</v>
      </c>
      <c r="G2455" t="s">
        <v>70</v>
      </c>
      <c r="I2455" t="s">
        <v>60</v>
      </c>
      <c r="J2455" t="s">
        <v>61</v>
      </c>
      <c r="L2455" t="s">
        <v>82</v>
      </c>
    </row>
    <row r="2456" spans="1:13">
      <c r="A2456">
        <v>45862</v>
      </c>
      <c r="B2456" t="s">
        <v>81</v>
      </c>
      <c r="D2456">
        <v>28000</v>
      </c>
      <c r="F2456">
        <v>1</v>
      </c>
      <c r="G2456" t="s">
        <v>74</v>
      </c>
      <c r="H2456" t="s">
        <v>75</v>
      </c>
      <c r="I2456" t="s">
        <v>60</v>
      </c>
      <c r="J2456" t="s">
        <v>61</v>
      </c>
      <c r="L2456" t="s">
        <v>88</v>
      </c>
    </row>
    <row r="2457" spans="1:13">
      <c r="A2457">
        <v>45862</v>
      </c>
      <c r="B2457" t="s">
        <v>76</v>
      </c>
      <c r="D2457">
        <v>8100</v>
      </c>
      <c r="G2457" t="s">
        <v>77</v>
      </c>
      <c r="I2457" t="s">
        <v>60</v>
      </c>
      <c r="J2457" t="s">
        <v>61</v>
      </c>
      <c r="L2457" t="s">
        <v>62</v>
      </c>
    </row>
    <row r="2458" spans="1:13">
      <c r="A2458">
        <v>45862</v>
      </c>
      <c r="B2458" t="s">
        <v>2370</v>
      </c>
      <c r="F2458">
        <v>1</v>
      </c>
      <c r="G2458" t="s">
        <v>79</v>
      </c>
      <c r="H2458" t="s">
        <v>21</v>
      </c>
      <c r="L2458" t="s">
        <v>82</v>
      </c>
    </row>
    <row r="2459" spans="1:13">
      <c r="A2459">
        <v>45862</v>
      </c>
      <c r="B2459" t="s">
        <v>2371</v>
      </c>
      <c r="D2459">
        <v>500</v>
      </c>
      <c r="F2459">
        <v>1</v>
      </c>
      <c r="G2459" t="s">
        <v>22</v>
      </c>
      <c r="H2459" t="s">
        <v>21</v>
      </c>
      <c r="I2459" t="s">
        <v>60</v>
      </c>
      <c r="J2459" t="s">
        <v>61</v>
      </c>
      <c r="L2459" t="s">
        <v>89</v>
      </c>
    </row>
    <row r="2460" spans="1:13">
      <c r="A2460">
        <v>45862</v>
      </c>
      <c r="B2460" t="s">
        <v>2372</v>
      </c>
      <c r="F2460">
        <v>1</v>
      </c>
      <c r="G2460" t="s">
        <v>79</v>
      </c>
      <c r="H2460" t="s">
        <v>21</v>
      </c>
      <c r="L2460" t="s">
        <v>89</v>
      </c>
    </row>
    <row r="2461" spans="1:13">
      <c r="A2461">
        <v>45862</v>
      </c>
      <c r="B2461" t="s">
        <v>63</v>
      </c>
      <c r="D2461">
        <v>40000</v>
      </c>
      <c r="G2461" t="s">
        <v>70</v>
      </c>
      <c r="I2461" t="s">
        <v>60</v>
      </c>
      <c r="J2461" t="s">
        <v>61</v>
      </c>
      <c r="L2461" t="s">
        <v>62</v>
      </c>
    </row>
    <row r="2462" spans="1:13">
      <c r="A2462">
        <v>45862</v>
      </c>
      <c r="B2462" t="s">
        <v>2373</v>
      </c>
      <c r="F2462">
        <v>1</v>
      </c>
      <c r="G2462" t="s">
        <v>98</v>
      </c>
      <c r="H2462" t="s">
        <v>21</v>
      </c>
      <c r="L2462" t="s">
        <v>82</v>
      </c>
    </row>
    <row r="2463" spans="1:13">
      <c r="A2463">
        <v>45862</v>
      </c>
      <c r="B2463" t="s">
        <v>2374</v>
      </c>
      <c r="D2463">
        <v>500</v>
      </c>
      <c r="F2463">
        <v>1</v>
      </c>
      <c r="G2463" t="s">
        <v>22</v>
      </c>
      <c r="H2463" t="s">
        <v>21</v>
      </c>
      <c r="I2463" t="s">
        <v>60</v>
      </c>
      <c r="J2463" t="s">
        <v>61</v>
      </c>
      <c r="L2463" t="s">
        <v>82</v>
      </c>
    </row>
    <row r="2464" spans="1:13">
      <c r="A2464">
        <v>45862</v>
      </c>
      <c r="B2464" t="s">
        <v>2375</v>
      </c>
      <c r="D2464">
        <v>500</v>
      </c>
      <c r="F2464">
        <v>1</v>
      </c>
      <c r="G2464" t="s">
        <v>22</v>
      </c>
      <c r="H2464" t="s">
        <v>21</v>
      </c>
      <c r="I2464" t="s">
        <v>60</v>
      </c>
      <c r="J2464" t="s">
        <v>61</v>
      </c>
      <c r="L2464" t="s">
        <v>82</v>
      </c>
    </row>
    <row r="2465" spans="1:13">
      <c r="A2465">
        <v>45862</v>
      </c>
      <c r="B2465" t="s">
        <v>2376</v>
      </c>
      <c r="F2465">
        <v>1</v>
      </c>
      <c r="G2465" t="s">
        <v>79</v>
      </c>
      <c r="H2465" t="s">
        <v>21</v>
      </c>
      <c r="L2465" t="s">
        <v>82</v>
      </c>
    </row>
    <row r="2466" spans="1:13">
      <c r="A2466">
        <v>45863</v>
      </c>
      <c r="B2466" t="s">
        <v>719</v>
      </c>
      <c r="E2466">
        <v>185000</v>
      </c>
      <c r="F2466">
        <v>1</v>
      </c>
      <c r="G2466" t="s">
        <v>65</v>
      </c>
      <c r="H2466" t="s">
        <v>348</v>
      </c>
      <c r="I2466" t="s">
        <v>60</v>
      </c>
      <c r="J2466" t="s">
        <v>61</v>
      </c>
      <c r="L2466" t="s">
        <v>88</v>
      </c>
      <c r="M2466" t="s">
        <v>670</v>
      </c>
    </row>
    <row r="2467" spans="1:13">
      <c r="A2467">
        <v>45863</v>
      </c>
      <c r="B2467" t="s">
        <v>63</v>
      </c>
      <c r="D2467">
        <v>29500</v>
      </c>
      <c r="G2467" t="s">
        <v>70</v>
      </c>
      <c r="I2467" t="s">
        <v>60</v>
      </c>
      <c r="J2467" t="s">
        <v>61</v>
      </c>
      <c r="L2467" t="s">
        <v>62</v>
      </c>
    </row>
    <row r="2468" spans="1:13">
      <c r="A2468">
        <v>45863</v>
      </c>
      <c r="B2468" t="s">
        <v>2377</v>
      </c>
      <c r="D2468">
        <v>500</v>
      </c>
      <c r="F2468">
        <v>1</v>
      </c>
      <c r="G2468" t="s">
        <v>22</v>
      </c>
      <c r="H2468" t="s">
        <v>21</v>
      </c>
      <c r="I2468" t="s">
        <v>60</v>
      </c>
      <c r="J2468" t="s">
        <v>61</v>
      </c>
      <c r="L2468" t="s">
        <v>86</v>
      </c>
    </row>
    <row r="2469" spans="1:13">
      <c r="A2469">
        <v>45863</v>
      </c>
      <c r="B2469" t="s">
        <v>2378</v>
      </c>
      <c r="F2469">
        <v>1</v>
      </c>
      <c r="G2469" t="s">
        <v>64</v>
      </c>
      <c r="L2469" t="s">
        <v>86</v>
      </c>
      <c r="M2469" t="s">
        <v>2379</v>
      </c>
    </row>
    <row r="2470" spans="1:13">
      <c r="A2470">
        <v>45863</v>
      </c>
      <c r="B2470" t="s">
        <v>2380</v>
      </c>
      <c r="D2470">
        <v>500</v>
      </c>
      <c r="F2470">
        <v>0</v>
      </c>
      <c r="G2470" t="s">
        <v>22</v>
      </c>
      <c r="H2470" t="s">
        <v>21</v>
      </c>
      <c r="I2470" t="s">
        <v>60</v>
      </c>
      <c r="J2470" t="s">
        <v>61</v>
      </c>
      <c r="L2470" t="s">
        <v>86</v>
      </c>
    </row>
    <row r="2471" spans="1:13">
      <c r="A2471">
        <v>45863</v>
      </c>
      <c r="B2471" t="s">
        <v>76</v>
      </c>
      <c r="D2471">
        <v>5000</v>
      </c>
      <c r="G2471" t="s">
        <v>77</v>
      </c>
      <c r="I2471" t="s">
        <v>60</v>
      </c>
      <c r="J2471" t="s">
        <v>61</v>
      </c>
      <c r="L2471" t="s">
        <v>62</v>
      </c>
    </row>
    <row r="2472" spans="1:13">
      <c r="A2472">
        <v>45863</v>
      </c>
      <c r="B2472" t="s">
        <v>63</v>
      </c>
      <c r="D2472">
        <v>200</v>
      </c>
      <c r="F2472">
        <v>1</v>
      </c>
      <c r="G2472" t="s">
        <v>22</v>
      </c>
      <c r="H2472" t="s">
        <v>93</v>
      </c>
      <c r="I2472" t="s">
        <v>60</v>
      </c>
      <c r="J2472" t="s">
        <v>61</v>
      </c>
      <c r="L2472" t="s">
        <v>62</v>
      </c>
    </row>
    <row r="2473" spans="1:13">
      <c r="A2473">
        <v>45863</v>
      </c>
      <c r="B2473" t="s">
        <v>2381</v>
      </c>
      <c r="D2473">
        <v>500</v>
      </c>
      <c r="F2473">
        <v>1</v>
      </c>
      <c r="G2473" t="s">
        <v>22</v>
      </c>
      <c r="H2473" t="s">
        <v>21</v>
      </c>
      <c r="I2473" t="s">
        <v>60</v>
      </c>
      <c r="J2473" t="s">
        <v>61</v>
      </c>
      <c r="L2473" t="s">
        <v>86</v>
      </c>
    </row>
    <row r="2474" spans="1:13">
      <c r="A2474">
        <v>45863</v>
      </c>
      <c r="B2474" t="s">
        <v>2382</v>
      </c>
      <c r="F2474">
        <v>1</v>
      </c>
      <c r="G2474" t="s">
        <v>107</v>
      </c>
      <c r="H2474" t="s">
        <v>21</v>
      </c>
      <c r="L2474" t="s">
        <v>82</v>
      </c>
    </row>
    <row r="2475" spans="1:13">
      <c r="A2475">
        <v>45864</v>
      </c>
      <c r="B2475" t="s">
        <v>81</v>
      </c>
      <c r="D2475">
        <v>25000</v>
      </c>
      <c r="F2475">
        <v>1</v>
      </c>
      <c r="G2475" t="s">
        <v>74</v>
      </c>
      <c r="H2475" t="s">
        <v>75</v>
      </c>
      <c r="I2475" t="s">
        <v>60</v>
      </c>
      <c r="J2475" t="s">
        <v>61</v>
      </c>
      <c r="L2475" t="s">
        <v>88</v>
      </c>
    </row>
    <row r="2476" spans="1:13">
      <c r="A2476">
        <v>45864</v>
      </c>
      <c r="B2476" t="s">
        <v>559</v>
      </c>
      <c r="E2476">
        <v>10000</v>
      </c>
      <c r="F2476">
        <v>1</v>
      </c>
      <c r="G2476" t="s">
        <v>65</v>
      </c>
      <c r="H2476" t="s">
        <v>560</v>
      </c>
      <c r="I2476" t="s">
        <v>60</v>
      </c>
      <c r="J2476" t="s">
        <v>61</v>
      </c>
      <c r="L2476" t="s">
        <v>62</v>
      </c>
    </row>
    <row r="2477" spans="1:13">
      <c r="A2477">
        <v>45864</v>
      </c>
      <c r="B2477" t="s">
        <v>561</v>
      </c>
      <c r="E2477">
        <v>11000</v>
      </c>
      <c r="F2477">
        <v>1</v>
      </c>
      <c r="G2477" t="s">
        <v>65</v>
      </c>
      <c r="H2477" t="s">
        <v>560</v>
      </c>
      <c r="I2477" t="s">
        <v>60</v>
      </c>
      <c r="J2477" t="s">
        <v>61</v>
      </c>
      <c r="L2477" t="s">
        <v>62</v>
      </c>
    </row>
    <row r="2478" spans="1:13">
      <c r="A2478">
        <v>45864</v>
      </c>
      <c r="B2478" t="s">
        <v>63</v>
      </c>
      <c r="D2478">
        <v>15000</v>
      </c>
      <c r="G2478" t="s">
        <v>70</v>
      </c>
      <c r="I2478" t="s">
        <v>60</v>
      </c>
      <c r="J2478" t="s">
        <v>61</v>
      </c>
      <c r="L2478" t="s">
        <v>62</v>
      </c>
    </row>
    <row r="2479" spans="1:13">
      <c r="A2479">
        <v>45864</v>
      </c>
      <c r="B2479" t="s">
        <v>2383</v>
      </c>
      <c r="F2479">
        <v>1</v>
      </c>
      <c r="G2479" t="s">
        <v>79</v>
      </c>
      <c r="H2479" t="s">
        <v>21</v>
      </c>
      <c r="L2479" t="s">
        <v>86</v>
      </c>
    </row>
    <row r="2480" spans="1:13">
      <c r="A2480">
        <v>45864</v>
      </c>
      <c r="B2480" t="s">
        <v>2384</v>
      </c>
      <c r="F2480">
        <v>1</v>
      </c>
      <c r="G2480" t="s">
        <v>64</v>
      </c>
      <c r="L2480" t="s">
        <v>86</v>
      </c>
      <c r="M2480" t="s">
        <v>2385</v>
      </c>
    </row>
    <row r="2481" spans="1:13">
      <c r="A2481">
        <v>45864</v>
      </c>
      <c r="B2481" t="s">
        <v>76</v>
      </c>
      <c r="D2481">
        <v>2500</v>
      </c>
      <c r="G2481" t="s">
        <v>77</v>
      </c>
      <c r="I2481" t="s">
        <v>60</v>
      </c>
      <c r="J2481" t="s">
        <v>61</v>
      </c>
      <c r="L2481" t="s">
        <v>62</v>
      </c>
    </row>
    <row r="2482" spans="1:13">
      <c r="A2482">
        <v>45864</v>
      </c>
      <c r="B2482" t="s">
        <v>63</v>
      </c>
      <c r="D2482">
        <v>200</v>
      </c>
      <c r="F2482">
        <v>2</v>
      </c>
      <c r="G2482" t="s">
        <v>22</v>
      </c>
      <c r="H2482" t="s">
        <v>21</v>
      </c>
      <c r="I2482" t="s">
        <v>60</v>
      </c>
      <c r="J2482" t="s">
        <v>61</v>
      </c>
      <c r="L2482" t="s">
        <v>62</v>
      </c>
    </row>
    <row r="2483" spans="1:13">
      <c r="A2483">
        <v>45864</v>
      </c>
      <c r="B2483" t="s">
        <v>1793</v>
      </c>
      <c r="D2483">
        <v>500</v>
      </c>
      <c r="F2483">
        <v>1</v>
      </c>
      <c r="G2483" t="s">
        <v>22</v>
      </c>
      <c r="H2483" t="s">
        <v>21</v>
      </c>
      <c r="I2483" t="s">
        <v>60</v>
      </c>
      <c r="J2483" t="s">
        <v>61</v>
      </c>
      <c r="L2483" t="s">
        <v>89</v>
      </c>
    </row>
    <row r="2484" spans="1:13">
      <c r="A2484">
        <v>45864</v>
      </c>
      <c r="B2484" t="s">
        <v>546</v>
      </c>
      <c r="F2484">
        <v>-10</v>
      </c>
      <c r="G2484" t="s">
        <v>22</v>
      </c>
      <c r="H2484" t="s">
        <v>93</v>
      </c>
      <c r="L2484" t="s">
        <v>101</v>
      </c>
    </row>
    <row r="2485" spans="1:13">
      <c r="A2485">
        <v>45864</v>
      </c>
      <c r="B2485" t="s">
        <v>2386</v>
      </c>
      <c r="D2485">
        <v>500</v>
      </c>
      <c r="F2485">
        <v>1</v>
      </c>
      <c r="G2485" t="s">
        <v>22</v>
      </c>
      <c r="H2485" t="s">
        <v>21</v>
      </c>
      <c r="I2485" t="s">
        <v>60</v>
      </c>
      <c r="J2485" t="s">
        <v>61</v>
      </c>
      <c r="L2485" t="s">
        <v>89</v>
      </c>
    </row>
    <row r="2486" spans="1:13">
      <c r="A2486">
        <v>45864</v>
      </c>
      <c r="B2486" t="s">
        <v>2387</v>
      </c>
      <c r="F2486">
        <v>1</v>
      </c>
      <c r="G2486" t="s">
        <v>590</v>
      </c>
      <c r="H2486" t="s">
        <v>21</v>
      </c>
      <c r="L2486" t="s">
        <v>89</v>
      </c>
    </row>
    <row r="2487" spans="1:13">
      <c r="A2487">
        <v>45864</v>
      </c>
      <c r="B2487" t="s">
        <v>2388</v>
      </c>
      <c r="F2487">
        <v>1</v>
      </c>
      <c r="G2487" t="s">
        <v>590</v>
      </c>
      <c r="H2487" t="s">
        <v>21</v>
      </c>
      <c r="L2487" t="s">
        <v>89</v>
      </c>
    </row>
    <row r="2488" spans="1:13">
      <c r="A2488">
        <v>45864</v>
      </c>
      <c r="B2488" t="s">
        <v>2191</v>
      </c>
      <c r="D2488">
        <v>-20800</v>
      </c>
      <c r="G2488" t="s">
        <v>77</v>
      </c>
      <c r="I2488" t="s">
        <v>60</v>
      </c>
      <c r="J2488" t="s">
        <v>61</v>
      </c>
      <c r="L2488" t="s">
        <v>62</v>
      </c>
    </row>
    <row r="2489" spans="1:13">
      <c r="A2489">
        <v>45864</v>
      </c>
      <c r="B2489" t="s">
        <v>2191</v>
      </c>
      <c r="E2489">
        <v>-1100</v>
      </c>
      <c r="G2489" t="s">
        <v>65</v>
      </c>
      <c r="H2489" t="s">
        <v>85</v>
      </c>
      <c r="I2489" t="s">
        <v>60</v>
      </c>
      <c r="J2489" t="s">
        <v>61</v>
      </c>
      <c r="L2489" t="s">
        <v>62</v>
      </c>
    </row>
    <row r="2490" spans="1:13">
      <c r="A2490">
        <v>45864</v>
      </c>
      <c r="B2490" t="s">
        <v>2389</v>
      </c>
      <c r="F2490">
        <v>1</v>
      </c>
      <c r="G2490" t="s">
        <v>0</v>
      </c>
      <c r="L2490" t="s">
        <v>89</v>
      </c>
    </row>
    <row r="2491" spans="1:13">
      <c r="A2491">
        <v>45865</v>
      </c>
      <c r="B2491" t="s">
        <v>63</v>
      </c>
      <c r="D2491">
        <v>18000</v>
      </c>
      <c r="G2491" t="s">
        <v>70</v>
      </c>
      <c r="I2491" t="s">
        <v>60</v>
      </c>
      <c r="J2491" t="s">
        <v>61</v>
      </c>
      <c r="L2491" t="s">
        <v>62</v>
      </c>
    </row>
    <row r="2492" spans="1:13">
      <c r="A2492">
        <v>45865</v>
      </c>
      <c r="B2492" t="s">
        <v>2390</v>
      </c>
      <c r="F2492">
        <v>1</v>
      </c>
      <c r="G2492" t="s">
        <v>377</v>
      </c>
      <c r="H2492" t="s">
        <v>21</v>
      </c>
      <c r="L2492" t="s">
        <v>86</v>
      </c>
    </row>
    <row r="2493" spans="1:13">
      <c r="A2493">
        <v>45865</v>
      </c>
      <c r="B2493" t="s">
        <v>2391</v>
      </c>
      <c r="D2493">
        <v>500</v>
      </c>
      <c r="F2493">
        <v>1</v>
      </c>
      <c r="G2493" t="s">
        <v>22</v>
      </c>
      <c r="H2493" t="s">
        <v>21</v>
      </c>
      <c r="I2493" t="s">
        <v>60</v>
      </c>
      <c r="J2493" t="s">
        <v>61</v>
      </c>
      <c r="L2493" t="s">
        <v>86</v>
      </c>
    </row>
    <row r="2494" spans="1:13">
      <c r="A2494">
        <v>45865</v>
      </c>
      <c r="B2494" t="s">
        <v>2392</v>
      </c>
      <c r="D2494">
        <v>500</v>
      </c>
      <c r="F2494">
        <v>0</v>
      </c>
      <c r="G2494" t="s">
        <v>22</v>
      </c>
      <c r="H2494" t="s">
        <v>21</v>
      </c>
      <c r="I2494" t="s">
        <v>60</v>
      </c>
      <c r="J2494" t="s">
        <v>61</v>
      </c>
      <c r="L2494" t="s">
        <v>86</v>
      </c>
      <c r="M2494" t="s">
        <v>83</v>
      </c>
    </row>
    <row r="2495" spans="1:13">
      <c r="A2495">
        <v>45865</v>
      </c>
      <c r="B2495" t="s">
        <v>2393</v>
      </c>
      <c r="D2495">
        <v>500</v>
      </c>
      <c r="F2495">
        <v>1</v>
      </c>
      <c r="G2495" t="s">
        <v>22</v>
      </c>
      <c r="H2495" t="s">
        <v>21</v>
      </c>
      <c r="I2495" t="s">
        <v>60</v>
      </c>
      <c r="J2495" t="s">
        <v>61</v>
      </c>
      <c r="L2495" t="s">
        <v>82</v>
      </c>
    </row>
    <row r="2496" spans="1:13">
      <c r="A2496">
        <v>45865</v>
      </c>
      <c r="B2496" t="s">
        <v>606</v>
      </c>
      <c r="E2496">
        <v>20000</v>
      </c>
      <c r="F2496">
        <v>1</v>
      </c>
      <c r="G2496" t="s">
        <v>65</v>
      </c>
      <c r="H2496" t="s">
        <v>348</v>
      </c>
      <c r="I2496" t="s">
        <v>60</v>
      </c>
      <c r="J2496" t="s">
        <v>61</v>
      </c>
      <c r="L2496" t="s">
        <v>62</v>
      </c>
      <c r="M2496" t="s">
        <v>2394</v>
      </c>
    </row>
    <row r="2497" spans="1:13">
      <c r="A2497">
        <v>45865</v>
      </c>
      <c r="B2497" t="s">
        <v>604</v>
      </c>
      <c r="E2497">
        <v>20000</v>
      </c>
      <c r="F2497">
        <v>1</v>
      </c>
      <c r="G2497" t="s">
        <v>65</v>
      </c>
      <c r="H2497" t="s">
        <v>348</v>
      </c>
      <c r="I2497" t="s">
        <v>60</v>
      </c>
      <c r="J2497" t="s">
        <v>61</v>
      </c>
      <c r="L2497" t="s">
        <v>62</v>
      </c>
      <c r="M2497" t="s">
        <v>2394</v>
      </c>
    </row>
    <row r="2498" spans="1:13">
      <c r="A2498">
        <v>45865</v>
      </c>
      <c r="B2498" t="s">
        <v>248</v>
      </c>
      <c r="E2498">
        <v>20000</v>
      </c>
      <c r="F2498">
        <v>1</v>
      </c>
      <c r="G2498" t="s">
        <v>65</v>
      </c>
      <c r="H2498" t="s">
        <v>348</v>
      </c>
      <c r="I2498" t="s">
        <v>60</v>
      </c>
      <c r="J2498" t="s">
        <v>61</v>
      </c>
      <c r="L2498" t="s">
        <v>62</v>
      </c>
      <c r="M2498" t="s">
        <v>2394</v>
      </c>
    </row>
    <row r="2499" spans="1:13">
      <c r="A2499">
        <v>45865</v>
      </c>
      <c r="B2499" t="s">
        <v>2395</v>
      </c>
      <c r="D2499">
        <v>500</v>
      </c>
      <c r="F2499">
        <v>1</v>
      </c>
      <c r="G2499" t="s">
        <v>22</v>
      </c>
      <c r="H2499" t="s">
        <v>21</v>
      </c>
      <c r="I2499" t="s">
        <v>60</v>
      </c>
      <c r="J2499" t="s">
        <v>61</v>
      </c>
      <c r="L2499" t="s">
        <v>82</v>
      </c>
    </row>
    <row r="2500" spans="1:13">
      <c r="A2500">
        <v>45865</v>
      </c>
      <c r="B2500" t="s">
        <v>2395</v>
      </c>
      <c r="F2500">
        <v>1</v>
      </c>
      <c r="G2500" t="s">
        <v>64</v>
      </c>
      <c r="L2500" t="s">
        <v>82</v>
      </c>
      <c r="M2500" t="s">
        <v>1282</v>
      </c>
    </row>
    <row r="2501" spans="1:13">
      <c r="A2501">
        <v>45865</v>
      </c>
      <c r="B2501" t="s">
        <v>2396</v>
      </c>
      <c r="D2501">
        <v>500</v>
      </c>
      <c r="F2501">
        <v>1</v>
      </c>
      <c r="G2501" t="s">
        <v>22</v>
      </c>
      <c r="H2501" t="s">
        <v>21</v>
      </c>
      <c r="I2501" t="s">
        <v>60</v>
      </c>
      <c r="J2501" t="s">
        <v>61</v>
      </c>
      <c r="L2501" t="s">
        <v>82</v>
      </c>
    </row>
    <row r="2502" spans="1:13">
      <c r="A2502">
        <v>45865</v>
      </c>
      <c r="B2502" t="s">
        <v>2397</v>
      </c>
      <c r="F2502">
        <v>1</v>
      </c>
      <c r="G2502" t="s">
        <v>64</v>
      </c>
      <c r="L2502" t="s">
        <v>82</v>
      </c>
      <c r="M2502" t="s">
        <v>2398</v>
      </c>
    </row>
    <row r="2503" spans="1:13">
      <c r="A2503">
        <v>45865</v>
      </c>
      <c r="B2503" t="s">
        <v>2399</v>
      </c>
      <c r="F2503">
        <v>1</v>
      </c>
      <c r="G2503" t="s">
        <v>79</v>
      </c>
      <c r="H2503" t="s">
        <v>21</v>
      </c>
      <c r="L2503" t="s">
        <v>82</v>
      </c>
    </row>
    <row r="2504" spans="1:13">
      <c r="A2504">
        <v>45866</v>
      </c>
      <c r="B2504" t="s">
        <v>63</v>
      </c>
      <c r="D2504">
        <v>17500</v>
      </c>
      <c r="G2504" t="s">
        <v>70</v>
      </c>
      <c r="I2504" t="s">
        <v>60</v>
      </c>
      <c r="J2504" t="s">
        <v>61</v>
      </c>
      <c r="L2504" t="s">
        <v>62</v>
      </c>
    </row>
    <row r="2505" spans="1:13">
      <c r="A2505">
        <v>45866</v>
      </c>
      <c r="B2505" t="s">
        <v>63</v>
      </c>
      <c r="D2505">
        <v>200</v>
      </c>
      <c r="F2505">
        <v>2</v>
      </c>
      <c r="G2505" t="s">
        <v>22</v>
      </c>
      <c r="H2505" t="s">
        <v>93</v>
      </c>
      <c r="I2505" t="s">
        <v>60</v>
      </c>
      <c r="J2505" t="s">
        <v>61</v>
      </c>
      <c r="L2505" t="s">
        <v>62</v>
      </c>
    </row>
    <row r="2506" spans="1:13">
      <c r="A2506">
        <v>45866</v>
      </c>
      <c r="B2506" t="s">
        <v>81</v>
      </c>
      <c r="D2506">
        <v>151000</v>
      </c>
      <c r="F2506">
        <v>1</v>
      </c>
      <c r="G2506" t="s">
        <v>74</v>
      </c>
      <c r="H2506" t="s">
        <v>75</v>
      </c>
      <c r="I2506" t="s">
        <v>60</v>
      </c>
      <c r="J2506" t="s">
        <v>61</v>
      </c>
      <c r="L2506" t="s">
        <v>88</v>
      </c>
    </row>
    <row r="2507" spans="1:13">
      <c r="A2507">
        <v>45866</v>
      </c>
      <c r="B2507" t="s">
        <v>2400</v>
      </c>
      <c r="F2507">
        <v>1</v>
      </c>
      <c r="G2507" t="s">
        <v>64</v>
      </c>
      <c r="L2507" t="s">
        <v>82</v>
      </c>
      <c r="M2507" t="s">
        <v>96</v>
      </c>
    </row>
    <row r="2508" spans="1:13">
      <c r="A2508">
        <v>45866</v>
      </c>
      <c r="B2508" t="s">
        <v>2401</v>
      </c>
      <c r="F2508">
        <v>1</v>
      </c>
      <c r="G2508" t="s">
        <v>79</v>
      </c>
      <c r="H2508" t="s">
        <v>21</v>
      </c>
      <c r="L2508" t="s">
        <v>89</v>
      </c>
    </row>
    <row r="2509" spans="1:13">
      <c r="A2509">
        <v>45866</v>
      </c>
      <c r="B2509" t="s">
        <v>2402</v>
      </c>
      <c r="D2509">
        <v>500</v>
      </c>
      <c r="F2509">
        <v>1</v>
      </c>
      <c r="G2509" t="s">
        <v>22</v>
      </c>
      <c r="H2509" t="s">
        <v>21</v>
      </c>
      <c r="I2509" t="s">
        <v>60</v>
      </c>
      <c r="J2509" t="s">
        <v>61</v>
      </c>
      <c r="L2509" t="s">
        <v>82</v>
      </c>
    </row>
    <row r="2510" spans="1:13">
      <c r="A2510">
        <v>45866</v>
      </c>
      <c r="B2510" t="s">
        <v>2403</v>
      </c>
      <c r="F2510">
        <v>1</v>
      </c>
      <c r="G2510" t="s">
        <v>79</v>
      </c>
      <c r="H2510" t="s">
        <v>21</v>
      </c>
      <c r="L2510" t="s">
        <v>89</v>
      </c>
    </row>
    <row r="2511" spans="1:13">
      <c r="A2511">
        <v>45866</v>
      </c>
      <c r="B2511" t="s">
        <v>2404</v>
      </c>
      <c r="F2511">
        <v>1</v>
      </c>
      <c r="G2511" t="s">
        <v>79</v>
      </c>
      <c r="H2511" t="s">
        <v>21</v>
      </c>
      <c r="L2511" t="s">
        <v>89</v>
      </c>
    </row>
    <row r="2512" spans="1:13">
      <c r="A2512">
        <v>45866</v>
      </c>
      <c r="B2512" t="s">
        <v>2405</v>
      </c>
      <c r="D2512">
        <v>500</v>
      </c>
      <c r="F2512">
        <v>1</v>
      </c>
      <c r="G2512" t="s">
        <v>22</v>
      </c>
      <c r="H2512" t="s">
        <v>21</v>
      </c>
      <c r="I2512" t="s">
        <v>60</v>
      </c>
      <c r="J2512" t="s">
        <v>61</v>
      </c>
      <c r="L2512" t="s">
        <v>89</v>
      </c>
    </row>
    <row r="2513" spans="1:13">
      <c r="A2513">
        <v>45866</v>
      </c>
      <c r="B2513" t="s">
        <v>2406</v>
      </c>
      <c r="D2513">
        <v>500</v>
      </c>
      <c r="F2513">
        <v>1</v>
      </c>
      <c r="G2513" t="s">
        <v>22</v>
      </c>
      <c r="H2513" t="s">
        <v>21</v>
      </c>
      <c r="I2513" t="s">
        <v>60</v>
      </c>
      <c r="J2513" t="s">
        <v>61</v>
      </c>
      <c r="L2513" t="s">
        <v>89</v>
      </c>
    </row>
    <row r="2514" spans="1:13">
      <c r="A2514">
        <v>45867</v>
      </c>
      <c r="B2514" t="s">
        <v>81</v>
      </c>
      <c r="D2514">
        <v>63000</v>
      </c>
      <c r="F2514">
        <v>1</v>
      </c>
      <c r="G2514" t="s">
        <v>74</v>
      </c>
      <c r="H2514" t="s">
        <v>75</v>
      </c>
      <c r="I2514" t="s">
        <v>60</v>
      </c>
      <c r="J2514" t="s">
        <v>61</v>
      </c>
      <c r="L2514" t="s">
        <v>88</v>
      </c>
    </row>
    <row r="2515" spans="1:13">
      <c r="A2515">
        <v>45867</v>
      </c>
      <c r="B2515" t="s">
        <v>2407</v>
      </c>
      <c r="F2515">
        <v>1</v>
      </c>
      <c r="G2515" t="s">
        <v>64</v>
      </c>
      <c r="L2515" t="s">
        <v>82</v>
      </c>
      <c r="M2515" t="s">
        <v>2408</v>
      </c>
    </row>
    <row r="2516" spans="1:13">
      <c r="A2516">
        <v>45867</v>
      </c>
      <c r="B2516" t="s">
        <v>2409</v>
      </c>
      <c r="D2516">
        <v>500</v>
      </c>
      <c r="F2516">
        <v>1</v>
      </c>
      <c r="G2516" t="s">
        <v>22</v>
      </c>
      <c r="H2516" t="s">
        <v>21</v>
      </c>
      <c r="I2516" t="s">
        <v>60</v>
      </c>
      <c r="J2516" t="s">
        <v>61</v>
      </c>
      <c r="L2516" t="s">
        <v>89</v>
      </c>
    </row>
    <row r="2517" spans="1:13">
      <c r="A2517">
        <v>45867</v>
      </c>
      <c r="B2517" t="s">
        <v>2410</v>
      </c>
      <c r="D2517">
        <v>500</v>
      </c>
      <c r="F2517">
        <v>1</v>
      </c>
      <c r="G2517" t="s">
        <v>22</v>
      </c>
      <c r="H2517" t="s">
        <v>21</v>
      </c>
      <c r="I2517" t="s">
        <v>60</v>
      </c>
      <c r="J2517" t="s">
        <v>61</v>
      </c>
      <c r="L2517" t="s">
        <v>89</v>
      </c>
    </row>
    <row r="2518" spans="1:13">
      <c r="A2518">
        <v>45867</v>
      </c>
      <c r="B2518" t="s">
        <v>2410</v>
      </c>
      <c r="F2518">
        <v>1</v>
      </c>
      <c r="G2518" t="s">
        <v>64</v>
      </c>
      <c r="L2518" t="s">
        <v>89</v>
      </c>
      <c r="M2518" t="s">
        <v>2411</v>
      </c>
    </row>
    <row r="2519" spans="1:13">
      <c r="A2519">
        <v>45867</v>
      </c>
      <c r="B2519" t="s">
        <v>63</v>
      </c>
      <c r="D2519">
        <v>10500</v>
      </c>
      <c r="F2519">
        <v>2</v>
      </c>
      <c r="G2519" t="s">
        <v>70</v>
      </c>
      <c r="I2519" t="s">
        <v>71</v>
      </c>
      <c r="J2519" t="s">
        <v>72</v>
      </c>
      <c r="K2519" t="s">
        <v>2412</v>
      </c>
      <c r="L2519" t="s">
        <v>62</v>
      </c>
      <c r="M2519" t="s">
        <v>90</v>
      </c>
    </row>
    <row r="2520" spans="1:13">
      <c r="A2520">
        <v>45867</v>
      </c>
      <c r="B2520" t="s">
        <v>63</v>
      </c>
      <c r="D2520">
        <v>2350</v>
      </c>
      <c r="F2520">
        <v>2</v>
      </c>
      <c r="G2520" t="s">
        <v>70</v>
      </c>
      <c r="I2520" t="s">
        <v>71</v>
      </c>
      <c r="J2520" t="s">
        <v>72</v>
      </c>
      <c r="K2520" t="s">
        <v>2413</v>
      </c>
      <c r="L2520" t="s">
        <v>62</v>
      </c>
      <c r="M2520" t="s">
        <v>90</v>
      </c>
    </row>
    <row r="2521" spans="1:13">
      <c r="A2521">
        <v>45867</v>
      </c>
      <c r="B2521" t="s">
        <v>63</v>
      </c>
      <c r="D2521">
        <v>21150</v>
      </c>
      <c r="F2521">
        <v>2</v>
      </c>
      <c r="G2521" t="s">
        <v>70</v>
      </c>
      <c r="I2521" t="s">
        <v>71</v>
      </c>
      <c r="J2521" t="s">
        <v>72</v>
      </c>
      <c r="K2521" t="s">
        <v>2414</v>
      </c>
      <c r="L2521" t="s">
        <v>62</v>
      </c>
      <c r="M2521" t="s">
        <v>90</v>
      </c>
    </row>
    <row r="2522" spans="1:13">
      <c r="A2522">
        <v>45867</v>
      </c>
      <c r="B2522" t="s">
        <v>63</v>
      </c>
      <c r="D2522">
        <v>22000</v>
      </c>
      <c r="F2522">
        <v>3</v>
      </c>
      <c r="G2522" t="s">
        <v>70</v>
      </c>
      <c r="I2522" t="s">
        <v>71</v>
      </c>
      <c r="J2522" t="s">
        <v>72</v>
      </c>
      <c r="K2522" t="s">
        <v>2415</v>
      </c>
      <c r="L2522" t="s">
        <v>62</v>
      </c>
      <c r="M2522" t="s">
        <v>90</v>
      </c>
    </row>
    <row r="2523" spans="1:13">
      <c r="A2523">
        <v>45867</v>
      </c>
      <c r="B2523" t="s">
        <v>2416</v>
      </c>
      <c r="F2523">
        <v>1</v>
      </c>
      <c r="G2523" t="s">
        <v>64</v>
      </c>
      <c r="L2523" t="s">
        <v>89</v>
      </c>
      <c r="M2523" t="s">
        <v>2411</v>
      </c>
    </row>
    <row r="2524" spans="1:13">
      <c r="A2524">
        <v>45867</v>
      </c>
      <c r="B2524" t="s">
        <v>2417</v>
      </c>
      <c r="F2524">
        <v>1</v>
      </c>
      <c r="G2524" t="s">
        <v>590</v>
      </c>
      <c r="H2524" t="s">
        <v>21</v>
      </c>
      <c r="L2524" t="s">
        <v>82</v>
      </c>
    </row>
    <row r="2525" spans="1:13">
      <c r="A2525">
        <v>45867</v>
      </c>
      <c r="B2525" t="s">
        <v>63</v>
      </c>
      <c r="D2525">
        <v>20000</v>
      </c>
      <c r="G2525" t="s">
        <v>70</v>
      </c>
      <c r="I2525" t="s">
        <v>60</v>
      </c>
      <c r="J2525" t="s">
        <v>61</v>
      </c>
      <c r="L2525" t="s">
        <v>62</v>
      </c>
    </row>
    <row r="2526" spans="1:13">
      <c r="A2526">
        <v>45867</v>
      </c>
      <c r="B2526" t="s">
        <v>2418</v>
      </c>
      <c r="F2526">
        <v>1</v>
      </c>
      <c r="G2526" t="s">
        <v>64</v>
      </c>
      <c r="L2526" t="s">
        <v>89</v>
      </c>
      <c r="M2526" t="s">
        <v>2419</v>
      </c>
    </row>
    <row r="2527" spans="1:13">
      <c r="A2527">
        <v>45867</v>
      </c>
      <c r="B2527" t="s">
        <v>2420</v>
      </c>
      <c r="F2527">
        <v>1</v>
      </c>
      <c r="G2527" t="s">
        <v>64</v>
      </c>
      <c r="L2527" t="s">
        <v>89</v>
      </c>
      <c r="M2527" t="s">
        <v>2421</v>
      </c>
    </row>
    <row r="2528" spans="1:13">
      <c r="A2528">
        <v>45867</v>
      </c>
      <c r="B2528" t="s">
        <v>2422</v>
      </c>
      <c r="D2528">
        <v>500</v>
      </c>
      <c r="F2528">
        <v>1</v>
      </c>
      <c r="G2528" t="s">
        <v>22</v>
      </c>
      <c r="H2528" t="s">
        <v>21</v>
      </c>
      <c r="I2528" t="s">
        <v>60</v>
      </c>
      <c r="J2528" t="s">
        <v>61</v>
      </c>
      <c r="L2528" t="s">
        <v>89</v>
      </c>
    </row>
    <row r="2529" spans="1:13">
      <c r="A2529">
        <v>45867</v>
      </c>
      <c r="B2529" t="s">
        <v>2423</v>
      </c>
      <c r="D2529">
        <v>500</v>
      </c>
      <c r="F2529">
        <v>1</v>
      </c>
      <c r="G2529" t="s">
        <v>22</v>
      </c>
      <c r="H2529" t="s">
        <v>21</v>
      </c>
      <c r="I2529" t="s">
        <v>60</v>
      </c>
      <c r="J2529" t="s">
        <v>61</v>
      </c>
      <c r="L2529" t="s">
        <v>89</v>
      </c>
    </row>
    <row r="2530" spans="1:13">
      <c r="A2530">
        <v>45867</v>
      </c>
      <c r="B2530" t="s">
        <v>2201</v>
      </c>
      <c r="D2530">
        <v>500</v>
      </c>
      <c r="F2530">
        <v>1</v>
      </c>
      <c r="G2530" t="s">
        <v>22</v>
      </c>
      <c r="H2530" t="s">
        <v>21</v>
      </c>
      <c r="I2530" t="s">
        <v>60</v>
      </c>
      <c r="J2530" t="s">
        <v>61</v>
      </c>
      <c r="L2530" t="s">
        <v>89</v>
      </c>
    </row>
    <row r="2531" spans="1:13">
      <c r="A2531">
        <v>45867</v>
      </c>
      <c r="B2531" t="s">
        <v>2424</v>
      </c>
      <c r="D2531">
        <v>160000</v>
      </c>
      <c r="F2531">
        <v>1</v>
      </c>
      <c r="G2531" t="s">
        <v>64</v>
      </c>
      <c r="I2531" t="s">
        <v>60</v>
      </c>
      <c r="J2531" t="s">
        <v>61</v>
      </c>
      <c r="L2531" t="s">
        <v>89</v>
      </c>
      <c r="M2531" t="s">
        <v>2425</v>
      </c>
    </row>
    <row r="2532" spans="1:13">
      <c r="A2532">
        <v>45868</v>
      </c>
      <c r="B2532" t="s">
        <v>81</v>
      </c>
      <c r="D2532">
        <v>105200</v>
      </c>
      <c r="F2532">
        <v>1</v>
      </c>
      <c r="G2532" t="s">
        <v>74</v>
      </c>
      <c r="H2532" t="s">
        <v>75</v>
      </c>
      <c r="I2532" t="s">
        <v>60</v>
      </c>
      <c r="J2532" t="s">
        <v>61</v>
      </c>
      <c r="L2532" t="s">
        <v>88</v>
      </c>
    </row>
    <row r="2533" spans="1:13">
      <c r="A2533">
        <v>45868</v>
      </c>
      <c r="B2533" t="s">
        <v>2426</v>
      </c>
      <c r="D2533">
        <v>500</v>
      </c>
      <c r="F2533">
        <v>0</v>
      </c>
      <c r="G2533" t="s">
        <v>22</v>
      </c>
      <c r="H2533" t="s">
        <v>21</v>
      </c>
      <c r="I2533" t="s">
        <v>60</v>
      </c>
      <c r="J2533" t="s">
        <v>61</v>
      </c>
      <c r="L2533" t="s">
        <v>86</v>
      </c>
      <c r="M2533" t="s">
        <v>83</v>
      </c>
    </row>
    <row r="2534" spans="1:13">
      <c r="A2534">
        <v>45868</v>
      </c>
      <c r="B2534" t="s">
        <v>2427</v>
      </c>
      <c r="D2534">
        <v>500</v>
      </c>
      <c r="F2534">
        <v>0</v>
      </c>
      <c r="G2534" t="s">
        <v>22</v>
      </c>
      <c r="H2534" t="s">
        <v>21</v>
      </c>
      <c r="I2534" t="s">
        <v>60</v>
      </c>
      <c r="J2534" t="s">
        <v>61</v>
      </c>
      <c r="L2534" t="s">
        <v>86</v>
      </c>
      <c r="M2534" t="s">
        <v>83</v>
      </c>
    </row>
    <row r="2535" spans="1:13">
      <c r="A2535">
        <v>45868</v>
      </c>
      <c r="B2535" t="s">
        <v>2428</v>
      </c>
      <c r="F2535">
        <v>1</v>
      </c>
      <c r="G2535" t="s">
        <v>750</v>
      </c>
      <c r="H2535" t="s">
        <v>21</v>
      </c>
      <c r="L2535" t="s">
        <v>86</v>
      </c>
    </row>
    <row r="2536" spans="1:13">
      <c r="A2536">
        <v>45868</v>
      </c>
      <c r="B2536" t="s">
        <v>290</v>
      </c>
      <c r="C2536" t="s">
        <v>2429</v>
      </c>
      <c r="E2536">
        <v>47965.85</v>
      </c>
      <c r="F2536">
        <v>1</v>
      </c>
      <c r="G2536" t="s">
        <v>65</v>
      </c>
      <c r="H2536" t="s">
        <v>66</v>
      </c>
      <c r="I2536" t="s">
        <v>60</v>
      </c>
      <c r="J2536" t="s">
        <v>61</v>
      </c>
      <c r="L2536" t="s">
        <v>62</v>
      </c>
      <c r="M2536" t="s">
        <v>1044</v>
      </c>
    </row>
    <row r="2537" spans="1:13">
      <c r="A2537">
        <v>45868</v>
      </c>
      <c r="B2537" t="s">
        <v>63</v>
      </c>
      <c r="D2537">
        <v>100</v>
      </c>
      <c r="F2537">
        <v>1</v>
      </c>
      <c r="G2537" t="s">
        <v>22</v>
      </c>
      <c r="H2537" t="s">
        <v>93</v>
      </c>
      <c r="I2537" t="s">
        <v>60</v>
      </c>
      <c r="J2537" t="s">
        <v>61</v>
      </c>
      <c r="L2537" t="s">
        <v>62</v>
      </c>
    </row>
    <row r="2538" spans="1:13">
      <c r="A2538">
        <v>45868</v>
      </c>
      <c r="B2538" t="s">
        <v>2430</v>
      </c>
      <c r="D2538">
        <v>500</v>
      </c>
      <c r="F2538">
        <v>1</v>
      </c>
      <c r="G2538" t="s">
        <v>22</v>
      </c>
      <c r="H2538" t="s">
        <v>21</v>
      </c>
      <c r="I2538" t="s">
        <v>60</v>
      </c>
      <c r="J2538" t="s">
        <v>61</v>
      </c>
      <c r="L2538" t="s">
        <v>82</v>
      </c>
    </row>
    <row r="2539" spans="1:13">
      <c r="A2539">
        <v>45869</v>
      </c>
      <c r="B2539" t="s">
        <v>81</v>
      </c>
      <c r="D2539">
        <v>158000</v>
      </c>
      <c r="F2539">
        <v>1</v>
      </c>
      <c r="G2539" t="s">
        <v>74</v>
      </c>
      <c r="H2539" t="s">
        <v>75</v>
      </c>
      <c r="I2539" t="s">
        <v>60</v>
      </c>
      <c r="J2539" t="s">
        <v>61</v>
      </c>
      <c r="L2539" t="s">
        <v>88</v>
      </c>
    </row>
    <row r="2540" spans="1:13">
      <c r="A2540">
        <v>45869</v>
      </c>
      <c r="B2540" t="s">
        <v>2431</v>
      </c>
      <c r="F2540">
        <v>1</v>
      </c>
      <c r="G2540" t="s">
        <v>79</v>
      </c>
      <c r="H2540" t="s">
        <v>21</v>
      </c>
      <c r="L2540" t="s">
        <v>89</v>
      </c>
    </row>
    <row r="2541" spans="1:13">
      <c r="A2541">
        <v>45869</v>
      </c>
      <c r="B2541" t="s">
        <v>63</v>
      </c>
      <c r="D2541">
        <v>12744</v>
      </c>
      <c r="F2541">
        <v>1</v>
      </c>
      <c r="G2541" t="s">
        <v>70</v>
      </c>
      <c r="I2541" t="s">
        <v>60</v>
      </c>
      <c r="J2541" t="s">
        <v>61</v>
      </c>
      <c r="L2541" t="s">
        <v>62</v>
      </c>
    </row>
    <row r="2542" spans="1:13">
      <c r="A2542">
        <v>45869</v>
      </c>
      <c r="B2542" t="s">
        <v>80</v>
      </c>
      <c r="E2542">
        <v>7427</v>
      </c>
      <c r="F2542">
        <v>1</v>
      </c>
      <c r="G2542" t="s">
        <v>74</v>
      </c>
      <c r="H2542" t="s">
        <v>75</v>
      </c>
      <c r="I2542" t="s">
        <v>60</v>
      </c>
      <c r="J2542" t="s">
        <v>61</v>
      </c>
      <c r="L2542" t="s">
        <v>87</v>
      </c>
    </row>
    <row r="2543" spans="1:13">
      <c r="A2543">
        <v>45869</v>
      </c>
      <c r="B2543" t="s">
        <v>80</v>
      </c>
      <c r="E2543">
        <v>73</v>
      </c>
      <c r="F2543">
        <v>1</v>
      </c>
      <c r="G2543" t="s">
        <v>65</v>
      </c>
      <c r="H2543" t="s">
        <v>66</v>
      </c>
      <c r="I2543" t="s">
        <v>60</v>
      </c>
      <c r="J2543" t="s">
        <v>61</v>
      </c>
      <c r="L2543" t="s">
        <v>62</v>
      </c>
    </row>
    <row r="2544" spans="1:13">
      <c r="A2544">
        <v>45869</v>
      </c>
      <c r="B2544" t="s">
        <v>2432</v>
      </c>
      <c r="F2544">
        <v>1</v>
      </c>
      <c r="G2544" t="s">
        <v>99</v>
      </c>
      <c r="H2544" t="s">
        <v>21</v>
      </c>
      <c r="I2544" t="s">
        <v>60</v>
      </c>
      <c r="J2544" t="s">
        <v>61</v>
      </c>
      <c r="L2544" t="s">
        <v>82</v>
      </c>
    </row>
    <row r="2545" spans="1:13">
      <c r="A2545">
        <v>45869</v>
      </c>
      <c r="B2545" t="s">
        <v>2433</v>
      </c>
      <c r="F2545">
        <v>1</v>
      </c>
      <c r="G2545" t="s">
        <v>0</v>
      </c>
      <c r="L2545" t="s">
        <v>82</v>
      </c>
    </row>
    <row r="2546" spans="1:13">
      <c r="A2546">
        <v>45869</v>
      </c>
      <c r="B2546" t="s">
        <v>2434</v>
      </c>
      <c r="D2546">
        <v>500</v>
      </c>
      <c r="F2546">
        <v>1</v>
      </c>
      <c r="G2546" t="s">
        <v>22</v>
      </c>
      <c r="H2546" t="s">
        <v>21</v>
      </c>
      <c r="I2546" t="s">
        <v>60</v>
      </c>
      <c r="J2546" t="s">
        <v>61</v>
      </c>
      <c r="L2546" t="s">
        <v>82</v>
      </c>
    </row>
    <row r="2547" spans="1:13">
      <c r="A2547">
        <v>45870</v>
      </c>
      <c r="B2547" t="s">
        <v>2435</v>
      </c>
      <c r="E2547">
        <v>311148.53000000003</v>
      </c>
      <c r="F2547">
        <v>1</v>
      </c>
      <c r="G2547" t="s">
        <v>65</v>
      </c>
      <c r="H2547" t="s">
        <v>348</v>
      </c>
      <c r="I2547" t="s">
        <v>60</v>
      </c>
      <c r="J2547" t="s">
        <v>61</v>
      </c>
      <c r="L2547" t="s">
        <v>62</v>
      </c>
    </row>
    <row r="2548" spans="1:13">
      <c r="A2548">
        <v>45870</v>
      </c>
      <c r="B2548" t="s">
        <v>81</v>
      </c>
      <c r="D2548">
        <v>102000</v>
      </c>
      <c r="F2548">
        <v>1</v>
      </c>
      <c r="G2548" t="s">
        <v>74</v>
      </c>
      <c r="H2548" t="s">
        <v>75</v>
      </c>
      <c r="I2548" t="s">
        <v>60</v>
      </c>
      <c r="J2548" t="s">
        <v>61</v>
      </c>
      <c r="L2548" t="s">
        <v>88</v>
      </c>
    </row>
    <row r="2549" spans="1:13">
      <c r="A2549">
        <v>45870</v>
      </c>
      <c r="B2549" t="s">
        <v>2436</v>
      </c>
      <c r="D2549">
        <v>500</v>
      </c>
      <c r="F2549">
        <v>1</v>
      </c>
      <c r="G2549" t="s">
        <v>22</v>
      </c>
      <c r="H2549" t="s">
        <v>21</v>
      </c>
      <c r="I2549" t="s">
        <v>60</v>
      </c>
      <c r="J2549" t="s">
        <v>61</v>
      </c>
      <c r="L2549" t="s">
        <v>89</v>
      </c>
    </row>
    <row r="2550" spans="1:13">
      <c r="A2550">
        <v>45870</v>
      </c>
      <c r="B2550" t="s">
        <v>2437</v>
      </c>
      <c r="F2550">
        <v>1</v>
      </c>
      <c r="G2550" t="s">
        <v>22</v>
      </c>
      <c r="H2550" t="s">
        <v>21</v>
      </c>
      <c r="L2550" t="s">
        <v>101</v>
      </c>
      <c r="M2550" t="s">
        <v>941</v>
      </c>
    </row>
    <row r="2551" spans="1:13">
      <c r="A2551">
        <v>45870</v>
      </c>
      <c r="B2551" t="s">
        <v>2438</v>
      </c>
      <c r="D2551">
        <v>500</v>
      </c>
      <c r="F2551">
        <v>1</v>
      </c>
      <c r="G2551" t="s">
        <v>22</v>
      </c>
      <c r="H2551" t="s">
        <v>21</v>
      </c>
      <c r="I2551" t="s">
        <v>60</v>
      </c>
      <c r="J2551" t="s">
        <v>61</v>
      </c>
      <c r="L2551" t="s">
        <v>89</v>
      </c>
    </row>
    <row r="2552" spans="1:13">
      <c r="A2552">
        <v>45870</v>
      </c>
      <c r="B2552" t="s">
        <v>2439</v>
      </c>
      <c r="D2552">
        <v>500</v>
      </c>
      <c r="F2552">
        <v>1</v>
      </c>
      <c r="G2552" t="s">
        <v>22</v>
      </c>
      <c r="H2552" t="s">
        <v>21</v>
      </c>
      <c r="I2552" t="s">
        <v>60</v>
      </c>
      <c r="J2552" t="s">
        <v>61</v>
      </c>
      <c r="L2552" t="s">
        <v>89</v>
      </c>
    </row>
    <row r="2553" spans="1:13">
      <c r="A2553">
        <v>45870</v>
      </c>
      <c r="B2553" t="s">
        <v>63</v>
      </c>
      <c r="D2553">
        <v>13000</v>
      </c>
      <c r="G2553" t="s">
        <v>70</v>
      </c>
      <c r="I2553" t="s">
        <v>60</v>
      </c>
      <c r="J2553" t="s">
        <v>61</v>
      </c>
      <c r="L2553" t="s">
        <v>62</v>
      </c>
    </row>
    <row r="2554" spans="1:13">
      <c r="A2554">
        <v>45870</v>
      </c>
      <c r="B2554" t="s">
        <v>76</v>
      </c>
      <c r="D2554">
        <v>8000</v>
      </c>
      <c r="G2554" t="s">
        <v>77</v>
      </c>
      <c r="I2554" t="s">
        <v>60</v>
      </c>
      <c r="J2554" t="s">
        <v>61</v>
      </c>
      <c r="L2554" t="s">
        <v>62</v>
      </c>
    </row>
    <row r="2555" spans="1:13">
      <c r="A2555">
        <v>45870</v>
      </c>
      <c r="B2555" t="s">
        <v>2440</v>
      </c>
      <c r="F2555">
        <v>1</v>
      </c>
      <c r="G2555" t="s">
        <v>98</v>
      </c>
      <c r="H2555" t="s">
        <v>21</v>
      </c>
      <c r="L2555" t="s">
        <v>89</v>
      </c>
    </row>
    <row r="2556" spans="1:13">
      <c r="A2556">
        <v>45870</v>
      </c>
      <c r="B2556" t="s">
        <v>63</v>
      </c>
      <c r="D2556">
        <v>9500</v>
      </c>
      <c r="F2556">
        <v>1</v>
      </c>
      <c r="G2556" t="s">
        <v>70</v>
      </c>
      <c r="I2556" t="s">
        <v>71</v>
      </c>
      <c r="J2556" t="s">
        <v>535</v>
      </c>
      <c r="K2556" t="s">
        <v>2441</v>
      </c>
      <c r="L2556" t="s">
        <v>62</v>
      </c>
      <c r="M2556" t="s">
        <v>90</v>
      </c>
    </row>
    <row r="2557" spans="1:13">
      <c r="A2557">
        <v>45870</v>
      </c>
      <c r="B2557" t="s">
        <v>63</v>
      </c>
      <c r="D2557">
        <v>100</v>
      </c>
      <c r="F2557">
        <v>1</v>
      </c>
      <c r="G2557" t="s">
        <v>22</v>
      </c>
      <c r="H2557" t="s">
        <v>93</v>
      </c>
      <c r="I2557" t="s">
        <v>60</v>
      </c>
      <c r="J2557" t="s">
        <v>61</v>
      </c>
      <c r="L2557" t="s">
        <v>62</v>
      </c>
    </row>
    <row r="2558" spans="1:13">
      <c r="A2558">
        <v>45870</v>
      </c>
      <c r="B2558" t="s">
        <v>63</v>
      </c>
      <c r="D2558">
        <v>44500</v>
      </c>
      <c r="F2558">
        <v>2</v>
      </c>
      <c r="G2558" t="s">
        <v>70</v>
      </c>
      <c r="I2558" t="s">
        <v>71</v>
      </c>
      <c r="J2558" t="s">
        <v>72</v>
      </c>
      <c r="K2558" t="s">
        <v>2442</v>
      </c>
      <c r="L2558" t="s">
        <v>62</v>
      </c>
      <c r="M2558" t="s">
        <v>90</v>
      </c>
    </row>
    <row r="2559" spans="1:13">
      <c r="A2559">
        <v>45871</v>
      </c>
      <c r="B2559" t="s">
        <v>559</v>
      </c>
      <c r="E2559">
        <v>10000</v>
      </c>
      <c r="F2559">
        <v>1</v>
      </c>
      <c r="G2559" t="s">
        <v>65</v>
      </c>
      <c r="H2559" t="s">
        <v>560</v>
      </c>
      <c r="I2559" t="s">
        <v>60</v>
      </c>
      <c r="J2559" t="s">
        <v>61</v>
      </c>
      <c r="L2559" t="s">
        <v>62</v>
      </c>
    </row>
    <row r="2560" spans="1:13">
      <c r="A2560">
        <v>45871</v>
      </c>
      <c r="B2560" t="s">
        <v>561</v>
      </c>
      <c r="E2560">
        <v>11000</v>
      </c>
      <c r="F2560">
        <v>1</v>
      </c>
      <c r="G2560" t="s">
        <v>65</v>
      </c>
      <c r="H2560" t="s">
        <v>560</v>
      </c>
      <c r="I2560" t="s">
        <v>60</v>
      </c>
      <c r="J2560" t="s">
        <v>61</v>
      </c>
      <c r="L2560" t="s">
        <v>62</v>
      </c>
    </row>
    <row r="2561" spans="1:13">
      <c r="A2561">
        <v>45871</v>
      </c>
      <c r="B2561" t="s">
        <v>2191</v>
      </c>
      <c r="D2561">
        <v>-31200</v>
      </c>
      <c r="G2561" t="s">
        <v>77</v>
      </c>
      <c r="I2561" t="s">
        <v>60</v>
      </c>
      <c r="J2561" t="s">
        <v>61</v>
      </c>
      <c r="L2561" t="s">
        <v>62</v>
      </c>
    </row>
    <row r="2562" spans="1:13">
      <c r="A2562">
        <v>45871</v>
      </c>
      <c r="B2562" t="s">
        <v>2191</v>
      </c>
      <c r="E2562">
        <v>-1650</v>
      </c>
      <c r="G2562" t="s">
        <v>65</v>
      </c>
      <c r="H2562" t="s">
        <v>85</v>
      </c>
      <c r="I2562" t="s">
        <v>60</v>
      </c>
      <c r="J2562" t="s">
        <v>61</v>
      </c>
      <c r="L2562" t="s">
        <v>62</v>
      </c>
    </row>
    <row r="2563" spans="1:13">
      <c r="A2563">
        <v>45871</v>
      </c>
      <c r="B2563" t="s">
        <v>2443</v>
      </c>
      <c r="D2563">
        <v>500</v>
      </c>
      <c r="F2563">
        <v>1</v>
      </c>
      <c r="G2563" t="s">
        <v>22</v>
      </c>
      <c r="H2563" t="s">
        <v>21</v>
      </c>
      <c r="I2563" t="s">
        <v>60</v>
      </c>
      <c r="J2563" t="s">
        <v>61</v>
      </c>
      <c r="L2563" t="s">
        <v>82</v>
      </c>
    </row>
    <row r="2564" spans="1:13">
      <c r="A2564">
        <v>45871</v>
      </c>
      <c r="B2564" t="s">
        <v>2444</v>
      </c>
      <c r="F2564">
        <v>1</v>
      </c>
      <c r="G2564" t="s">
        <v>64</v>
      </c>
      <c r="L2564" t="s">
        <v>86</v>
      </c>
      <c r="M2564" t="s">
        <v>96</v>
      </c>
    </row>
    <row r="2565" spans="1:13">
      <c r="A2565">
        <v>45871</v>
      </c>
      <c r="B2565" t="s">
        <v>2445</v>
      </c>
      <c r="F2565">
        <v>1</v>
      </c>
      <c r="G2565" t="s">
        <v>64</v>
      </c>
      <c r="L2565" t="s">
        <v>86</v>
      </c>
      <c r="M2565" t="s">
        <v>96</v>
      </c>
    </row>
    <row r="2566" spans="1:13">
      <c r="A2566">
        <v>45871</v>
      </c>
      <c r="B2566" t="s">
        <v>2446</v>
      </c>
      <c r="F2566">
        <v>1</v>
      </c>
      <c r="G2566" t="s">
        <v>64</v>
      </c>
      <c r="L2566" t="s">
        <v>86</v>
      </c>
      <c r="M2566" t="s">
        <v>96</v>
      </c>
    </row>
    <row r="2567" spans="1:13">
      <c r="A2567">
        <v>45871</v>
      </c>
      <c r="B2567" t="s">
        <v>2447</v>
      </c>
      <c r="D2567">
        <v>500</v>
      </c>
      <c r="F2567">
        <v>1</v>
      </c>
      <c r="G2567" t="s">
        <v>22</v>
      </c>
      <c r="H2567" t="s">
        <v>21</v>
      </c>
      <c r="I2567" t="s">
        <v>60</v>
      </c>
      <c r="J2567" t="s">
        <v>61</v>
      </c>
      <c r="L2567" t="s">
        <v>86</v>
      </c>
    </row>
    <row r="2568" spans="1:13">
      <c r="A2568">
        <v>45871</v>
      </c>
      <c r="B2568" t="s">
        <v>2448</v>
      </c>
      <c r="F2568">
        <v>1</v>
      </c>
      <c r="G2568" t="s">
        <v>319</v>
      </c>
      <c r="H2568" t="s">
        <v>21</v>
      </c>
      <c r="L2568" t="s">
        <v>86</v>
      </c>
      <c r="M2568" t="s">
        <v>2449</v>
      </c>
    </row>
    <row r="2569" spans="1:13">
      <c r="A2569">
        <v>45871</v>
      </c>
      <c r="B2569" t="s">
        <v>63</v>
      </c>
      <c r="D2569">
        <v>100</v>
      </c>
      <c r="F2569">
        <v>1</v>
      </c>
      <c r="G2569" t="s">
        <v>22</v>
      </c>
      <c r="H2569" t="s">
        <v>93</v>
      </c>
      <c r="I2569" t="s">
        <v>60</v>
      </c>
      <c r="J2569" t="s">
        <v>61</v>
      </c>
      <c r="L2569" t="s">
        <v>62</v>
      </c>
    </row>
    <row r="2570" spans="1:13">
      <c r="A2570">
        <v>45872</v>
      </c>
      <c r="B2570" t="s">
        <v>2450</v>
      </c>
      <c r="D2570">
        <v>500</v>
      </c>
      <c r="F2570">
        <v>0</v>
      </c>
      <c r="G2570" t="s">
        <v>22</v>
      </c>
      <c r="H2570" t="s">
        <v>21</v>
      </c>
      <c r="I2570" t="s">
        <v>60</v>
      </c>
      <c r="J2570" t="s">
        <v>61</v>
      </c>
      <c r="L2570" t="s">
        <v>86</v>
      </c>
      <c r="M2570" t="s">
        <v>548</v>
      </c>
    </row>
    <row r="2571" spans="1:13">
      <c r="A2571">
        <v>45872</v>
      </c>
      <c r="B2571" t="s">
        <v>2451</v>
      </c>
      <c r="D2571">
        <v>500</v>
      </c>
      <c r="F2571">
        <v>0</v>
      </c>
      <c r="G2571" t="s">
        <v>22</v>
      </c>
      <c r="H2571" t="s">
        <v>21</v>
      </c>
      <c r="I2571" t="s">
        <v>60</v>
      </c>
      <c r="J2571" t="s">
        <v>61</v>
      </c>
      <c r="L2571" t="s">
        <v>86</v>
      </c>
      <c r="M2571" t="s">
        <v>548</v>
      </c>
    </row>
    <row r="2572" spans="1:13">
      <c r="A2572">
        <v>45872</v>
      </c>
      <c r="B2572" t="s">
        <v>76</v>
      </c>
      <c r="D2572">
        <v>21200</v>
      </c>
      <c r="G2572" t="s">
        <v>77</v>
      </c>
      <c r="I2572" t="s">
        <v>60</v>
      </c>
      <c r="J2572" t="s">
        <v>61</v>
      </c>
      <c r="L2572" t="s">
        <v>62</v>
      </c>
    </row>
    <row r="2573" spans="1:13">
      <c r="A2573">
        <v>45872</v>
      </c>
      <c r="B2573" t="s">
        <v>2452</v>
      </c>
      <c r="D2573">
        <v>500</v>
      </c>
      <c r="F2573">
        <v>0</v>
      </c>
      <c r="G2573" t="s">
        <v>22</v>
      </c>
      <c r="H2573" t="s">
        <v>21</v>
      </c>
      <c r="I2573" t="s">
        <v>60</v>
      </c>
      <c r="J2573" t="s">
        <v>61</v>
      </c>
      <c r="L2573" t="s">
        <v>86</v>
      </c>
      <c r="M2573" t="s">
        <v>548</v>
      </c>
    </row>
    <row r="2574" spans="1:13">
      <c r="A2574">
        <v>45872</v>
      </c>
      <c r="B2574" t="s">
        <v>63</v>
      </c>
      <c r="D2574">
        <v>12500</v>
      </c>
      <c r="G2574" t="s">
        <v>70</v>
      </c>
      <c r="I2574" t="s">
        <v>60</v>
      </c>
      <c r="J2574" t="s">
        <v>61</v>
      </c>
      <c r="L2574" t="s">
        <v>62</v>
      </c>
    </row>
    <row r="2575" spans="1:13">
      <c r="A2575">
        <v>45872</v>
      </c>
      <c r="B2575" t="s">
        <v>63</v>
      </c>
      <c r="D2575">
        <v>19000</v>
      </c>
      <c r="F2575">
        <v>2</v>
      </c>
      <c r="G2575" t="s">
        <v>70</v>
      </c>
      <c r="I2575" t="s">
        <v>71</v>
      </c>
      <c r="J2575" t="s">
        <v>72</v>
      </c>
      <c r="K2575" t="s">
        <v>2453</v>
      </c>
      <c r="L2575" t="s">
        <v>62</v>
      </c>
      <c r="M2575" t="s">
        <v>90</v>
      </c>
    </row>
    <row r="2576" spans="1:13">
      <c r="A2576">
        <v>45872</v>
      </c>
      <c r="B2576" t="s">
        <v>2454</v>
      </c>
      <c r="F2576">
        <v>1</v>
      </c>
      <c r="G2576" t="s">
        <v>64</v>
      </c>
      <c r="L2576" t="s">
        <v>89</v>
      </c>
      <c r="M2576" t="s">
        <v>2455</v>
      </c>
    </row>
    <row r="2577" spans="1:13">
      <c r="A2577">
        <v>45872</v>
      </c>
      <c r="B2577" t="s">
        <v>2456</v>
      </c>
      <c r="D2577">
        <v>500</v>
      </c>
      <c r="F2577">
        <v>0</v>
      </c>
      <c r="G2577" t="s">
        <v>22</v>
      </c>
      <c r="H2577" t="s">
        <v>21</v>
      </c>
      <c r="I2577" t="s">
        <v>60</v>
      </c>
      <c r="J2577" t="s">
        <v>61</v>
      </c>
      <c r="L2577" t="s">
        <v>89</v>
      </c>
    </row>
    <row r="2578" spans="1:13">
      <c r="A2578">
        <v>45872</v>
      </c>
      <c r="B2578" t="s">
        <v>2457</v>
      </c>
      <c r="D2578">
        <v>500</v>
      </c>
      <c r="F2578">
        <v>0</v>
      </c>
      <c r="G2578" t="s">
        <v>22</v>
      </c>
      <c r="H2578" t="s">
        <v>21</v>
      </c>
      <c r="I2578" t="s">
        <v>60</v>
      </c>
      <c r="J2578" t="s">
        <v>61</v>
      </c>
      <c r="L2578" t="s">
        <v>89</v>
      </c>
    </row>
    <row r="2579" spans="1:13">
      <c r="A2579">
        <v>45872</v>
      </c>
      <c r="B2579" t="s">
        <v>2458</v>
      </c>
      <c r="F2579">
        <v>1</v>
      </c>
      <c r="G2579" t="s">
        <v>79</v>
      </c>
      <c r="H2579" t="s">
        <v>21</v>
      </c>
      <c r="L2579" t="s">
        <v>89</v>
      </c>
    </row>
    <row r="2580" spans="1:13">
      <c r="A2580">
        <v>45872</v>
      </c>
      <c r="B2580" t="s">
        <v>2458</v>
      </c>
      <c r="F2580">
        <v>1</v>
      </c>
      <c r="G2580" t="s">
        <v>64</v>
      </c>
      <c r="L2580" t="s">
        <v>89</v>
      </c>
      <c r="M2580" t="s">
        <v>2459</v>
      </c>
    </row>
    <row r="2581" spans="1:13">
      <c r="A2581">
        <v>45872</v>
      </c>
      <c r="B2581" t="s">
        <v>2460</v>
      </c>
      <c r="F2581">
        <v>1</v>
      </c>
      <c r="G2581" t="s">
        <v>590</v>
      </c>
      <c r="H2581" t="s">
        <v>21</v>
      </c>
      <c r="L2581" t="s">
        <v>89</v>
      </c>
      <c r="M2581" t="s">
        <v>2461</v>
      </c>
    </row>
    <row r="2582" spans="1:13">
      <c r="A2582">
        <v>45872</v>
      </c>
      <c r="B2582" t="s">
        <v>2462</v>
      </c>
      <c r="F2582">
        <v>1</v>
      </c>
      <c r="G2582" t="s">
        <v>79</v>
      </c>
      <c r="H2582" t="s">
        <v>21</v>
      </c>
      <c r="L2582" t="s">
        <v>89</v>
      </c>
    </row>
    <row r="2583" spans="1:13">
      <c r="A2583">
        <v>45872</v>
      </c>
      <c r="B2583" t="s">
        <v>63</v>
      </c>
      <c r="D2583">
        <v>12000</v>
      </c>
      <c r="F2583">
        <v>1</v>
      </c>
      <c r="G2583" t="s">
        <v>70</v>
      </c>
      <c r="I2583" t="s">
        <v>71</v>
      </c>
      <c r="J2583" t="s">
        <v>72</v>
      </c>
      <c r="K2583" t="s">
        <v>2463</v>
      </c>
      <c r="L2583" t="s">
        <v>62</v>
      </c>
      <c r="M2583" t="s">
        <v>90</v>
      </c>
    </row>
    <row r="2584" spans="1:13">
      <c r="A2584">
        <v>45873</v>
      </c>
      <c r="B2584" t="s">
        <v>81</v>
      </c>
      <c r="D2584">
        <v>224000</v>
      </c>
      <c r="F2584">
        <v>1</v>
      </c>
      <c r="G2584" t="s">
        <v>74</v>
      </c>
      <c r="H2584" t="s">
        <v>75</v>
      </c>
      <c r="I2584" t="s">
        <v>60</v>
      </c>
      <c r="J2584" t="s">
        <v>61</v>
      </c>
      <c r="L2584" t="s">
        <v>88</v>
      </c>
    </row>
    <row r="2585" spans="1:13">
      <c r="A2585">
        <v>45873</v>
      </c>
      <c r="B2585" t="s">
        <v>238</v>
      </c>
      <c r="C2585" t="s">
        <v>2464</v>
      </c>
      <c r="D2585" t="s">
        <v>28</v>
      </c>
      <c r="F2585">
        <v>22</v>
      </c>
      <c r="G2585" t="s">
        <v>22</v>
      </c>
      <c r="H2585" t="s">
        <v>21</v>
      </c>
      <c r="L2585" t="s">
        <v>95</v>
      </c>
    </row>
    <row r="2586" spans="1:13">
      <c r="A2586">
        <v>45873</v>
      </c>
      <c r="B2586" t="s">
        <v>2465</v>
      </c>
      <c r="D2586">
        <v>500</v>
      </c>
      <c r="F2586">
        <v>1</v>
      </c>
      <c r="G2586" t="s">
        <v>22</v>
      </c>
      <c r="H2586" t="s">
        <v>21</v>
      </c>
      <c r="I2586" t="s">
        <v>60</v>
      </c>
      <c r="J2586" t="s">
        <v>61</v>
      </c>
      <c r="L2586" t="s">
        <v>82</v>
      </c>
    </row>
    <row r="2587" spans="1:13">
      <c r="A2587">
        <v>45873</v>
      </c>
      <c r="B2587" t="s">
        <v>76</v>
      </c>
      <c r="D2587">
        <v>10000</v>
      </c>
      <c r="G2587" t="s">
        <v>77</v>
      </c>
      <c r="I2587" t="s">
        <v>60</v>
      </c>
      <c r="J2587" t="s">
        <v>61</v>
      </c>
      <c r="L2587" t="s">
        <v>62</v>
      </c>
    </row>
    <row r="2588" spans="1:13">
      <c r="A2588">
        <v>45873</v>
      </c>
      <c r="B2588" t="s">
        <v>63</v>
      </c>
      <c r="D2588">
        <v>6000</v>
      </c>
      <c r="G2588" t="s">
        <v>70</v>
      </c>
      <c r="I2588" t="s">
        <v>60</v>
      </c>
      <c r="J2588" t="s">
        <v>61</v>
      </c>
      <c r="L2588" t="s">
        <v>62</v>
      </c>
    </row>
    <row r="2589" spans="1:13">
      <c r="A2589">
        <v>45873</v>
      </c>
      <c r="B2589" t="s">
        <v>63</v>
      </c>
      <c r="D2589">
        <v>11000</v>
      </c>
      <c r="F2589">
        <v>1</v>
      </c>
      <c r="G2589" t="s">
        <v>70</v>
      </c>
      <c r="I2589" t="s">
        <v>71</v>
      </c>
      <c r="J2589" t="s">
        <v>72</v>
      </c>
      <c r="K2589" t="s">
        <v>2466</v>
      </c>
      <c r="L2589" t="s">
        <v>62</v>
      </c>
      <c r="M2589" t="s">
        <v>90</v>
      </c>
    </row>
    <row r="2590" spans="1:13">
      <c r="A2590">
        <v>45873</v>
      </c>
      <c r="B2590" t="s">
        <v>2467</v>
      </c>
      <c r="D2590">
        <v>500</v>
      </c>
      <c r="F2590">
        <v>1</v>
      </c>
      <c r="G2590" t="s">
        <v>22</v>
      </c>
      <c r="H2590" t="s">
        <v>21</v>
      </c>
      <c r="I2590" t="s">
        <v>60</v>
      </c>
      <c r="J2590" t="s">
        <v>61</v>
      </c>
      <c r="L2590" t="s">
        <v>89</v>
      </c>
    </row>
    <row r="2591" spans="1:13">
      <c r="A2591">
        <v>45873</v>
      </c>
      <c r="B2591" t="s">
        <v>2468</v>
      </c>
      <c r="F2591">
        <v>1</v>
      </c>
      <c r="G2591" t="s">
        <v>64</v>
      </c>
      <c r="L2591" t="s">
        <v>89</v>
      </c>
      <c r="M2591" t="s">
        <v>2469</v>
      </c>
    </row>
    <row r="2592" spans="1:13">
      <c r="A2592">
        <v>45873</v>
      </c>
      <c r="B2592" t="s">
        <v>2470</v>
      </c>
      <c r="F2592">
        <v>1</v>
      </c>
      <c r="G2592" t="s">
        <v>79</v>
      </c>
      <c r="H2592" t="s">
        <v>21</v>
      </c>
      <c r="L2592" t="s">
        <v>89</v>
      </c>
    </row>
    <row r="2593" spans="1:13">
      <c r="A2593">
        <v>45873</v>
      </c>
      <c r="B2593" t="s">
        <v>2471</v>
      </c>
      <c r="D2593">
        <v>500</v>
      </c>
      <c r="F2593">
        <v>1</v>
      </c>
      <c r="G2593" t="s">
        <v>22</v>
      </c>
      <c r="H2593" t="s">
        <v>21</v>
      </c>
      <c r="I2593" t="s">
        <v>60</v>
      </c>
      <c r="J2593" t="s">
        <v>61</v>
      </c>
      <c r="L2593" t="s">
        <v>89</v>
      </c>
    </row>
    <row r="2594" spans="1:13">
      <c r="A2594">
        <v>45874</v>
      </c>
      <c r="B2594" t="s">
        <v>81</v>
      </c>
      <c r="D2594">
        <v>93000</v>
      </c>
      <c r="F2594">
        <v>1</v>
      </c>
      <c r="G2594" t="s">
        <v>74</v>
      </c>
      <c r="H2594" t="s">
        <v>75</v>
      </c>
      <c r="I2594" t="s">
        <v>60</v>
      </c>
      <c r="J2594" t="s">
        <v>61</v>
      </c>
      <c r="L2594" t="s">
        <v>88</v>
      </c>
    </row>
    <row r="2595" spans="1:13">
      <c r="A2595">
        <v>45874</v>
      </c>
      <c r="B2595" t="s">
        <v>2472</v>
      </c>
      <c r="D2595">
        <v>500</v>
      </c>
      <c r="F2595">
        <v>1</v>
      </c>
      <c r="G2595" t="s">
        <v>22</v>
      </c>
      <c r="H2595" t="s">
        <v>21</v>
      </c>
      <c r="I2595" t="s">
        <v>60</v>
      </c>
      <c r="J2595" t="s">
        <v>61</v>
      </c>
      <c r="L2595" t="s">
        <v>89</v>
      </c>
    </row>
    <row r="2596" spans="1:13">
      <c r="A2596">
        <v>45874</v>
      </c>
      <c r="B2596" t="s">
        <v>2473</v>
      </c>
      <c r="D2596">
        <v>500</v>
      </c>
      <c r="F2596">
        <v>1</v>
      </c>
      <c r="G2596" t="s">
        <v>22</v>
      </c>
      <c r="H2596" t="s">
        <v>21</v>
      </c>
      <c r="I2596" t="s">
        <v>60</v>
      </c>
      <c r="J2596" t="s">
        <v>61</v>
      </c>
      <c r="L2596" t="s">
        <v>89</v>
      </c>
    </row>
    <row r="2597" spans="1:13">
      <c r="A2597">
        <v>45874</v>
      </c>
      <c r="B2597" t="s">
        <v>2474</v>
      </c>
      <c r="D2597">
        <v>500</v>
      </c>
      <c r="F2597">
        <v>1</v>
      </c>
      <c r="G2597" t="s">
        <v>22</v>
      </c>
      <c r="H2597" t="s">
        <v>21</v>
      </c>
      <c r="I2597" t="s">
        <v>60</v>
      </c>
      <c r="J2597" t="s">
        <v>61</v>
      </c>
      <c r="L2597" t="s">
        <v>89</v>
      </c>
    </row>
    <row r="2598" spans="1:13">
      <c r="A2598">
        <v>45874</v>
      </c>
      <c r="B2598" t="s">
        <v>2475</v>
      </c>
      <c r="F2598">
        <v>1</v>
      </c>
      <c r="G2598" t="s">
        <v>64</v>
      </c>
      <c r="L2598" t="s">
        <v>89</v>
      </c>
      <c r="M2598" t="s">
        <v>2476</v>
      </c>
    </row>
    <row r="2599" spans="1:13">
      <c r="A2599">
        <v>45874</v>
      </c>
      <c r="B2599" t="s">
        <v>2477</v>
      </c>
      <c r="D2599">
        <v>500</v>
      </c>
      <c r="F2599">
        <v>1</v>
      </c>
      <c r="G2599" t="s">
        <v>22</v>
      </c>
      <c r="H2599" t="s">
        <v>21</v>
      </c>
      <c r="I2599" t="s">
        <v>60</v>
      </c>
      <c r="J2599" t="s">
        <v>61</v>
      </c>
      <c r="L2599" t="s">
        <v>82</v>
      </c>
    </row>
    <row r="2600" spans="1:13">
      <c r="A2600">
        <v>45874</v>
      </c>
      <c r="B2600" t="s">
        <v>2478</v>
      </c>
      <c r="D2600">
        <v>500</v>
      </c>
      <c r="F2600">
        <v>1</v>
      </c>
      <c r="G2600" t="s">
        <v>22</v>
      </c>
      <c r="H2600" t="s">
        <v>21</v>
      </c>
      <c r="I2600" t="s">
        <v>60</v>
      </c>
      <c r="J2600" t="s">
        <v>61</v>
      </c>
      <c r="L2600" t="s">
        <v>82</v>
      </c>
    </row>
    <row r="2601" spans="1:13">
      <c r="A2601">
        <v>45874</v>
      </c>
      <c r="B2601" t="s">
        <v>2479</v>
      </c>
      <c r="F2601">
        <v>1</v>
      </c>
      <c r="G2601" t="s">
        <v>64</v>
      </c>
      <c r="L2601" t="s">
        <v>82</v>
      </c>
      <c r="M2601" t="s">
        <v>96</v>
      </c>
    </row>
    <row r="2602" spans="1:13">
      <c r="A2602">
        <v>45874</v>
      </c>
      <c r="B2602" t="s">
        <v>2480</v>
      </c>
      <c r="D2602">
        <v>500</v>
      </c>
      <c r="F2602">
        <v>1</v>
      </c>
      <c r="G2602" t="s">
        <v>22</v>
      </c>
      <c r="H2602" t="s">
        <v>21</v>
      </c>
      <c r="I2602" t="s">
        <v>60</v>
      </c>
      <c r="J2602" t="s">
        <v>61</v>
      </c>
      <c r="L2602" t="s">
        <v>82</v>
      </c>
    </row>
    <row r="2603" spans="1:13">
      <c r="A2603">
        <v>45874</v>
      </c>
      <c r="B2603" t="s">
        <v>2481</v>
      </c>
      <c r="F2603">
        <v>1</v>
      </c>
      <c r="G2603" t="s">
        <v>98</v>
      </c>
      <c r="H2603" t="s">
        <v>21</v>
      </c>
      <c r="L2603" t="s">
        <v>82</v>
      </c>
    </row>
    <row r="2604" spans="1:13">
      <c r="A2604">
        <v>45874</v>
      </c>
      <c r="B2604" t="s">
        <v>2482</v>
      </c>
      <c r="D2604">
        <v>500</v>
      </c>
      <c r="F2604">
        <v>1</v>
      </c>
      <c r="G2604" t="s">
        <v>22</v>
      </c>
      <c r="H2604" t="s">
        <v>21</v>
      </c>
      <c r="I2604" t="s">
        <v>60</v>
      </c>
      <c r="J2604" t="s">
        <v>61</v>
      </c>
      <c r="L2604" t="s">
        <v>82</v>
      </c>
    </row>
    <row r="2605" spans="1:13">
      <c r="A2605">
        <v>45875</v>
      </c>
      <c r="B2605" t="s">
        <v>81</v>
      </c>
      <c r="D2605">
        <v>52800</v>
      </c>
      <c r="F2605">
        <v>1</v>
      </c>
      <c r="G2605" t="s">
        <v>74</v>
      </c>
      <c r="H2605" t="s">
        <v>75</v>
      </c>
      <c r="I2605" t="s">
        <v>60</v>
      </c>
      <c r="J2605" t="s">
        <v>61</v>
      </c>
      <c r="L2605" t="s">
        <v>88</v>
      </c>
    </row>
    <row r="2606" spans="1:13">
      <c r="A2606">
        <v>45875</v>
      </c>
      <c r="B2606" t="s">
        <v>105</v>
      </c>
      <c r="E2606">
        <v>725826.75</v>
      </c>
      <c r="F2606">
        <v>1</v>
      </c>
      <c r="G2606" t="s">
        <v>74</v>
      </c>
      <c r="H2606" t="s">
        <v>75</v>
      </c>
      <c r="I2606" t="s">
        <v>60</v>
      </c>
      <c r="J2606" t="s">
        <v>61</v>
      </c>
      <c r="L2606" t="s">
        <v>104</v>
      </c>
      <c r="M2606" t="s">
        <v>642</v>
      </c>
    </row>
    <row r="2607" spans="1:13">
      <c r="A2607">
        <v>45875</v>
      </c>
      <c r="B2607" t="s">
        <v>2483</v>
      </c>
      <c r="D2607">
        <v>500</v>
      </c>
      <c r="F2607">
        <v>1</v>
      </c>
      <c r="G2607" t="s">
        <v>22</v>
      </c>
      <c r="H2607" t="s">
        <v>21</v>
      </c>
      <c r="I2607" t="s">
        <v>60</v>
      </c>
      <c r="J2607" t="s">
        <v>61</v>
      </c>
      <c r="L2607" t="s">
        <v>82</v>
      </c>
    </row>
    <row r="2608" spans="1:13">
      <c r="A2608">
        <v>45875</v>
      </c>
      <c r="B2608" t="s">
        <v>2484</v>
      </c>
      <c r="D2608">
        <v>500</v>
      </c>
      <c r="F2608">
        <v>1</v>
      </c>
      <c r="G2608" t="s">
        <v>22</v>
      </c>
      <c r="H2608" t="s">
        <v>21</v>
      </c>
      <c r="I2608" t="s">
        <v>60</v>
      </c>
      <c r="J2608" t="s">
        <v>61</v>
      </c>
      <c r="L2608" t="s">
        <v>82</v>
      </c>
    </row>
    <row r="2609" spans="1:13">
      <c r="A2609">
        <v>45875</v>
      </c>
      <c r="B2609" t="s">
        <v>76</v>
      </c>
      <c r="D2609">
        <v>7160</v>
      </c>
      <c r="G2609" t="s">
        <v>77</v>
      </c>
      <c r="I2609" t="s">
        <v>60</v>
      </c>
      <c r="J2609" t="s">
        <v>61</v>
      </c>
      <c r="L2609" t="s">
        <v>62</v>
      </c>
    </row>
    <row r="2610" spans="1:13">
      <c r="A2610">
        <v>45875</v>
      </c>
      <c r="B2610" t="s">
        <v>63</v>
      </c>
      <c r="D2610">
        <v>100</v>
      </c>
      <c r="F2610">
        <v>1</v>
      </c>
      <c r="G2610" t="s">
        <v>22</v>
      </c>
      <c r="H2610" t="s">
        <v>93</v>
      </c>
      <c r="I2610" t="s">
        <v>60</v>
      </c>
      <c r="J2610" t="s">
        <v>61</v>
      </c>
      <c r="L2610" t="s">
        <v>62</v>
      </c>
    </row>
    <row r="2611" spans="1:13">
      <c r="A2611">
        <v>45875</v>
      </c>
      <c r="B2611" t="s">
        <v>2485</v>
      </c>
      <c r="F2611">
        <v>1</v>
      </c>
      <c r="G2611" t="s">
        <v>79</v>
      </c>
      <c r="H2611" t="s">
        <v>21</v>
      </c>
      <c r="L2611" t="s">
        <v>89</v>
      </c>
    </row>
    <row r="2612" spans="1:13">
      <c r="A2612">
        <v>45875</v>
      </c>
      <c r="B2612" t="s">
        <v>63</v>
      </c>
      <c r="D2612">
        <v>32000</v>
      </c>
      <c r="F2612">
        <v>1</v>
      </c>
      <c r="G2612" t="s">
        <v>70</v>
      </c>
      <c r="I2612" t="s">
        <v>60</v>
      </c>
      <c r="J2612" t="s">
        <v>61</v>
      </c>
      <c r="L2612" t="s">
        <v>62</v>
      </c>
    </row>
    <row r="2613" spans="1:13">
      <c r="A2613">
        <v>45875</v>
      </c>
      <c r="B2613" t="s">
        <v>2486</v>
      </c>
      <c r="F2613">
        <v>1</v>
      </c>
      <c r="G2613" t="s">
        <v>564</v>
      </c>
      <c r="H2613" t="s">
        <v>21</v>
      </c>
      <c r="L2613" t="s">
        <v>82</v>
      </c>
    </row>
    <row r="2614" spans="1:13">
      <c r="A2614">
        <v>45875</v>
      </c>
      <c r="B2614" t="s">
        <v>2487</v>
      </c>
      <c r="F2614">
        <v>1</v>
      </c>
      <c r="G2614" t="s">
        <v>750</v>
      </c>
      <c r="H2614" t="s">
        <v>21</v>
      </c>
      <c r="L2614" t="s">
        <v>82</v>
      </c>
    </row>
    <row r="2615" spans="1:13">
      <c r="A2615">
        <v>45875</v>
      </c>
      <c r="B2615" t="s">
        <v>2488</v>
      </c>
      <c r="F2615">
        <v>1</v>
      </c>
      <c r="G2615" t="s">
        <v>64</v>
      </c>
      <c r="L2615" t="s">
        <v>82</v>
      </c>
      <c r="M2615" t="s">
        <v>96</v>
      </c>
    </row>
    <row r="2616" spans="1:13">
      <c r="A2616">
        <v>45875</v>
      </c>
      <c r="B2616" t="s">
        <v>2489</v>
      </c>
      <c r="F2616">
        <v>1</v>
      </c>
      <c r="G2616" t="s">
        <v>2490</v>
      </c>
      <c r="L2616" t="s">
        <v>82</v>
      </c>
      <c r="M2616" t="s">
        <v>2491</v>
      </c>
    </row>
    <row r="2617" spans="1:13">
      <c r="A2617">
        <v>45875</v>
      </c>
      <c r="B2617" t="s">
        <v>2492</v>
      </c>
      <c r="F2617">
        <v>1</v>
      </c>
      <c r="G2617" t="s">
        <v>64</v>
      </c>
      <c r="L2617" t="s">
        <v>82</v>
      </c>
      <c r="M2617" t="s">
        <v>2493</v>
      </c>
    </row>
    <row r="2618" spans="1:13">
      <c r="A2618">
        <v>45876</v>
      </c>
      <c r="B2618" t="s">
        <v>2494</v>
      </c>
      <c r="D2618">
        <v>500</v>
      </c>
      <c r="F2618">
        <v>1</v>
      </c>
      <c r="G2618" t="s">
        <v>22</v>
      </c>
      <c r="H2618" t="s">
        <v>21</v>
      </c>
      <c r="I2618" t="s">
        <v>60</v>
      </c>
      <c r="J2618" t="s">
        <v>61</v>
      </c>
      <c r="L2618" t="s">
        <v>89</v>
      </c>
    </row>
    <row r="2619" spans="1:13">
      <c r="A2619">
        <v>45876</v>
      </c>
      <c r="B2619" t="s">
        <v>2495</v>
      </c>
      <c r="D2619">
        <v>500</v>
      </c>
      <c r="F2619">
        <v>1</v>
      </c>
      <c r="G2619" t="s">
        <v>22</v>
      </c>
      <c r="H2619" t="s">
        <v>21</v>
      </c>
      <c r="I2619" t="s">
        <v>60</v>
      </c>
      <c r="J2619" t="s">
        <v>61</v>
      </c>
      <c r="L2619" t="s">
        <v>89</v>
      </c>
    </row>
    <row r="2620" spans="1:13">
      <c r="A2620">
        <v>45876</v>
      </c>
      <c r="B2620" t="s">
        <v>2496</v>
      </c>
      <c r="D2620">
        <v>500</v>
      </c>
      <c r="F2620">
        <v>0</v>
      </c>
      <c r="G2620" t="s">
        <v>22</v>
      </c>
      <c r="H2620" t="s">
        <v>21</v>
      </c>
      <c r="I2620" t="s">
        <v>60</v>
      </c>
      <c r="J2620" t="s">
        <v>61</v>
      </c>
      <c r="L2620" t="s">
        <v>89</v>
      </c>
      <c r="M2620" t="s">
        <v>548</v>
      </c>
    </row>
    <row r="2621" spans="1:13">
      <c r="A2621">
        <v>45876</v>
      </c>
      <c r="B2621" t="s">
        <v>2497</v>
      </c>
      <c r="D2621">
        <v>500</v>
      </c>
      <c r="F2621">
        <v>1</v>
      </c>
      <c r="G2621" t="s">
        <v>22</v>
      </c>
      <c r="H2621" t="s">
        <v>21</v>
      </c>
      <c r="I2621" t="s">
        <v>60</v>
      </c>
      <c r="J2621" t="s">
        <v>61</v>
      </c>
      <c r="L2621" t="s">
        <v>89</v>
      </c>
    </row>
    <row r="2622" spans="1:13">
      <c r="A2622">
        <v>45876</v>
      </c>
      <c r="B2622" t="s">
        <v>81</v>
      </c>
      <c r="D2622">
        <v>105500</v>
      </c>
      <c r="F2622">
        <v>1</v>
      </c>
      <c r="G2622" t="s">
        <v>74</v>
      </c>
      <c r="H2622" t="s">
        <v>75</v>
      </c>
      <c r="I2622" t="s">
        <v>60</v>
      </c>
      <c r="J2622" t="s">
        <v>61</v>
      </c>
      <c r="L2622" t="s">
        <v>88</v>
      </c>
    </row>
    <row r="2623" spans="1:13">
      <c r="A2623">
        <v>45876</v>
      </c>
      <c r="B2623" t="s">
        <v>63</v>
      </c>
      <c r="D2623">
        <v>17500</v>
      </c>
      <c r="G2623" t="s">
        <v>70</v>
      </c>
      <c r="I2623" t="s">
        <v>60</v>
      </c>
      <c r="J2623" t="s">
        <v>61</v>
      </c>
      <c r="L2623" t="s">
        <v>62</v>
      </c>
    </row>
    <row r="2624" spans="1:13">
      <c r="A2624">
        <v>45876</v>
      </c>
      <c r="B2624" t="s">
        <v>80</v>
      </c>
      <c r="E2624">
        <v>9903</v>
      </c>
      <c r="F2624">
        <v>1</v>
      </c>
      <c r="G2624" t="s">
        <v>74</v>
      </c>
      <c r="H2624" t="s">
        <v>75</v>
      </c>
      <c r="I2624" t="s">
        <v>60</v>
      </c>
      <c r="J2624" t="s">
        <v>61</v>
      </c>
      <c r="L2624" t="s">
        <v>87</v>
      </c>
    </row>
    <row r="2625" spans="1:13">
      <c r="A2625">
        <v>45876</v>
      </c>
      <c r="B2625" t="s">
        <v>80</v>
      </c>
      <c r="E2625">
        <v>97</v>
      </c>
      <c r="F2625">
        <v>1</v>
      </c>
      <c r="G2625" t="s">
        <v>65</v>
      </c>
      <c r="H2625" t="s">
        <v>66</v>
      </c>
      <c r="I2625" t="s">
        <v>60</v>
      </c>
      <c r="J2625" t="s">
        <v>61</v>
      </c>
      <c r="L2625" t="s">
        <v>62</v>
      </c>
    </row>
    <row r="2626" spans="1:13">
      <c r="A2626">
        <v>45876</v>
      </c>
      <c r="B2626" t="s">
        <v>1858</v>
      </c>
      <c r="D2626">
        <v>500</v>
      </c>
      <c r="F2626">
        <v>0</v>
      </c>
      <c r="G2626" t="s">
        <v>22</v>
      </c>
      <c r="H2626" t="s">
        <v>21</v>
      </c>
      <c r="I2626" t="s">
        <v>60</v>
      </c>
      <c r="J2626" t="s">
        <v>61</v>
      </c>
      <c r="L2626" t="s">
        <v>86</v>
      </c>
      <c r="M2626" t="s">
        <v>548</v>
      </c>
    </row>
    <row r="2627" spans="1:13">
      <c r="A2627">
        <v>45877</v>
      </c>
      <c r="B2627" t="s">
        <v>81</v>
      </c>
      <c r="D2627">
        <v>10000</v>
      </c>
      <c r="F2627">
        <v>1</v>
      </c>
      <c r="G2627" t="s">
        <v>74</v>
      </c>
      <c r="H2627" t="s">
        <v>75</v>
      </c>
      <c r="I2627" t="s">
        <v>60</v>
      </c>
      <c r="J2627" t="s">
        <v>61</v>
      </c>
      <c r="L2627" t="s">
        <v>88</v>
      </c>
    </row>
    <row r="2628" spans="1:13">
      <c r="A2628">
        <v>45877</v>
      </c>
      <c r="B2628" t="s">
        <v>2498</v>
      </c>
      <c r="D2628">
        <v>500</v>
      </c>
      <c r="F2628">
        <v>1</v>
      </c>
      <c r="G2628" t="s">
        <v>22</v>
      </c>
      <c r="H2628" t="s">
        <v>21</v>
      </c>
      <c r="I2628" t="s">
        <v>60</v>
      </c>
      <c r="J2628" t="s">
        <v>61</v>
      </c>
      <c r="L2628" t="s">
        <v>89</v>
      </c>
    </row>
    <row r="2629" spans="1:13">
      <c r="A2629">
        <v>45877</v>
      </c>
      <c r="B2629" t="s">
        <v>2499</v>
      </c>
      <c r="F2629">
        <v>1</v>
      </c>
      <c r="G2629" t="s">
        <v>64</v>
      </c>
      <c r="L2629" t="s">
        <v>82</v>
      </c>
      <c r="M2629" t="s">
        <v>2500</v>
      </c>
    </row>
    <row r="2630" spans="1:13">
      <c r="A2630">
        <v>45877</v>
      </c>
      <c r="B2630" t="s">
        <v>63</v>
      </c>
      <c r="D2630">
        <v>30500</v>
      </c>
      <c r="G2630" t="s">
        <v>70</v>
      </c>
      <c r="I2630" t="s">
        <v>60</v>
      </c>
      <c r="J2630" t="s">
        <v>61</v>
      </c>
      <c r="L2630" t="s">
        <v>62</v>
      </c>
    </row>
    <row r="2631" spans="1:13">
      <c r="A2631">
        <v>45877</v>
      </c>
      <c r="B2631" t="s">
        <v>2501</v>
      </c>
      <c r="D2631">
        <v>500</v>
      </c>
      <c r="F2631">
        <v>1</v>
      </c>
      <c r="G2631" t="s">
        <v>22</v>
      </c>
      <c r="H2631" t="s">
        <v>21</v>
      </c>
      <c r="I2631" t="s">
        <v>60</v>
      </c>
      <c r="J2631" t="s">
        <v>61</v>
      </c>
      <c r="L2631" t="s">
        <v>89</v>
      </c>
    </row>
    <row r="2632" spans="1:13">
      <c r="A2632">
        <v>45877</v>
      </c>
      <c r="B2632" t="s">
        <v>2502</v>
      </c>
      <c r="D2632">
        <v>500</v>
      </c>
      <c r="F2632">
        <v>1</v>
      </c>
      <c r="G2632" t="s">
        <v>22</v>
      </c>
      <c r="H2632" t="s">
        <v>21</v>
      </c>
      <c r="I2632" t="s">
        <v>60</v>
      </c>
      <c r="J2632" t="s">
        <v>61</v>
      </c>
      <c r="L2632" t="s">
        <v>82</v>
      </c>
    </row>
    <row r="2633" spans="1:13">
      <c r="A2633">
        <v>45877</v>
      </c>
      <c r="B2633" t="s">
        <v>2503</v>
      </c>
      <c r="D2633">
        <v>500</v>
      </c>
      <c r="F2633">
        <v>1</v>
      </c>
      <c r="G2633" t="s">
        <v>22</v>
      </c>
      <c r="H2633" t="s">
        <v>21</v>
      </c>
      <c r="I2633" t="s">
        <v>60</v>
      </c>
      <c r="J2633" t="s">
        <v>61</v>
      </c>
      <c r="L2633" t="s">
        <v>82</v>
      </c>
    </row>
    <row r="2634" spans="1:13">
      <c r="A2634">
        <v>45877</v>
      </c>
      <c r="B2634" t="s">
        <v>2504</v>
      </c>
      <c r="D2634">
        <v>500</v>
      </c>
      <c r="F2634">
        <v>1</v>
      </c>
      <c r="G2634" t="s">
        <v>22</v>
      </c>
      <c r="H2634" t="s">
        <v>21</v>
      </c>
      <c r="I2634" t="s">
        <v>60</v>
      </c>
      <c r="J2634" t="s">
        <v>61</v>
      </c>
      <c r="L2634" t="s">
        <v>82</v>
      </c>
    </row>
    <row r="2635" spans="1:13">
      <c r="A2635">
        <v>45877</v>
      </c>
      <c r="B2635" t="s">
        <v>2505</v>
      </c>
      <c r="F2635">
        <v>1</v>
      </c>
      <c r="G2635" t="s">
        <v>79</v>
      </c>
      <c r="H2635" t="s">
        <v>21</v>
      </c>
      <c r="L2635" t="s">
        <v>82</v>
      </c>
    </row>
    <row r="2636" spans="1:13">
      <c r="A2636">
        <v>45877</v>
      </c>
      <c r="B2636" t="s">
        <v>2506</v>
      </c>
      <c r="D2636">
        <v>500</v>
      </c>
      <c r="F2636">
        <v>1</v>
      </c>
      <c r="G2636" t="s">
        <v>22</v>
      </c>
      <c r="H2636" t="s">
        <v>21</v>
      </c>
      <c r="I2636" t="s">
        <v>60</v>
      </c>
      <c r="J2636" t="s">
        <v>61</v>
      </c>
      <c r="L2636" t="s">
        <v>82</v>
      </c>
    </row>
    <row r="2637" spans="1:13">
      <c r="A2637">
        <v>45877</v>
      </c>
      <c r="B2637" t="s">
        <v>2507</v>
      </c>
      <c r="D2637">
        <v>500</v>
      </c>
      <c r="F2637">
        <v>1</v>
      </c>
      <c r="G2637" t="s">
        <v>22</v>
      </c>
      <c r="H2637" t="s">
        <v>21</v>
      </c>
      <c r="I2637" t="s">
        <v>60</v>
      </c>
      <c r="J2637" t="s">
        <v>61</v>
      </c>
      <c r="L2637" t="s">
        <v>82</v>
      </c>
    </row>
    <row r="2638" spans="1:13">
      <c r="A2638">
        <v>45878</v>
      </c>
      <c r="B2638" t="s">
        <v>81</v>
      </c>
      <c r="D2638">
        <v>52000</v>
      </c>
      <c r="F2638">
        <v>1</v>
      </c>
      <c r="G2638" t="s">
        <v>74</v>
      </c>
      <c r="H2638" t="s">
        <v>75</v>
      </c>
      <c r="I2638" t="s">
        <v>60</v>
      </c>
      <c r="J2638" t="s">
        <v>61</v>
      </c>
      <c r="L2638" t="s">
        <v>88</v>
      </c>
    </row>
    <row r="2639" spans="1:13">
      <c r="A2639">
        <v>45878</v>
      </c>
      <c r="B2639" t="s">
        <v>559</v>
      </c>
      <c r="E2639">
        <v>10000</v>
      </c>
      <c r="F2639">
        <v>1</v>
      </c>
      <c r="G2639" t="s">
        <v>65</v>
      </c>
      <c r="H2639" t="s">
        <v>560</v>
      </c>
      <c r="I2639" t="s">
        <v>60</v>
      </c>
      <c r="J2639" t="s">
        <v>61</v>
      </c>
      <c r="L2639" t="s">
        <v>62</v>
      </c>
    </row>
    <row r="2640" spans="1:13">
      <c r="A2640">
        <v>45878</v>
      </c>
      <c r="B2640" t="s">
        <v>561</v>
      </c>
      <c r="E2640">
        <v>11000</v>
      </c>
      <c r="F2640">
        <v>1</v>
      </c>
      <c r="G2640" t="s">
        <v>65</v>
      </c>
      <c r="H2640" t="s">
        <v>560</v>
      </c>
      <c r="I2640" t="s">
        <v>60</v>
      </c>
      <c r="J2640" t="s">
        <v>61</v>
      </c>
      <c r="L2640" t="s">
        <v>62</v>
      </c>
    </row>
    <row r="2641" spans="1:13">
      <c r="A2641">
        <v>45878</v>
      </c>
      <c r="B2641" t="s">
        <v>2482</v>
      </c>
      <c r="D2641">
        <v>500</v>
      </c>
      <c r="F2641">
        <v>1</v>
      </c>
      <c r="G2641" t="s">
        <v>22</v>
      </c>
      <c r="H2641" t="s">
        <v>21</v>
      </c>
      <c r="I2641" t="s">
        <v>60</v>
      </c>
      <c r="J2641" t="s">
        <v>61</v>
      </c>
      <c r="L2641" t="s">
        <v>89</v>
      </c>
    </row>
    <row r="2642" spans="1:13">
      <c r="A2642">
        <v>45878</v>
      </c>
      <c r="B2642" t="s">
        <v>2508</v>
      </c>
      <c r="D2642">
        <v>500</v>
      </c>
      <c r="F2642">
        <v>1</v>
      </c>
      <c r="G2642" t="s">
        <v>22</v>
      </c>
      <c r="H2642" t="s">
        <v>21</v>
      </c>
      <c r="I2642" t="s">
        <v>60</v>
      </c>
      <c r="J2642" t="s">
        <v>61</v>
      </c>
      <c r="L2642" t="s">
        <v>89</v>
      </c>
    </row>
    <row r="2643" spans="1:13">
      <c r="A2643">
        <v>45878</v>
      </c>
      <c r="B2643" t="s">
        <v>2509</v>
      </c>
      <c r="F2643">
        <v>1</v>
      </c>
      <c r="G2643" t="s">
        <v>79</v>
      </c>
      <c r="H2643" t="s">
        <v>21</v>
      </c>
      <c r="L2643" t="s">
        <v>89</v>
      </c>
    </row>
    <row r="2644" spans="1:13">
      <c r="A2644">
        <v>45878</v>
      </c>
      <c r="B2644" t="s">
        <v>2510</v>
      </c>
      <c r="D2644">
        <v>500</v>
      </c>
      <c r="F2644">
        <v>1</v>
      </c>
      <c r="G2644" t="s">
        <v>22</v>
      </c>
      <c r="H2644" t="s">
        <v>21</v>
      </c>
      <c r="I2644" t="s">
        <v>60</v>
      </c>
      <c r="J2644" t="s">
        <v>61</v>
      </c>
      <c r="L2644" t="s">
        <v>89</v>
      </c>
    </row>
    <row r="2645" spans="1:13">
      <c r="A2645">
        <v>45878</v>
      </c>
      <c r="B2645" t="s">
        <v>2511</v>
      </c>
      <c r="F2645">
        <v>1</v>
      </c>
      <c r="G2645" t="s">
        <v>590</v>
      </c>
      <c r="H2645" t="s">
        <v>21</v>
      </c>
      <c r="L2645" t="s">
        <v>89</v>
      </c>
      <c r="M2645" t="s">
        <v>2512</v>
      </c>
    </row>
    <row r="2646" spans="1:13">
      <c r="A2646">
        <v>45878</v>
      </c>
      <c r="B2646" t="s">
        <v>63</v>
      </c>
      <c r="D2646">
        <v>9500</v>
      </c>
      <c r="G2646" t="s">
        <v>70</v>
      </c>
      <c r="I2646" t="s">
        <v>60</v>
      </c>
      <c r="J2646" t="s">
        <v>61</v>
      </c>
      <c r="L2646" t="s">
        <v>62</v>
      </c>
    </row>
    <row r="2647" spans="1:13">
      <c r="A2647">
        <v>45878</v>
      </c>
      <c r="B2647" t="s">
        <v>2191</v>
      </c>
      <c r="D2647">
        <v>-20800</v>
      </c>
      <c r="G2647" t="s">
        <v>77</v>
      </c>
      <c r="I2647" t="s">
        <v>60</v>
      </c>
      <c r="J2647" t="s">
        <v>61</v>
      </c>
      <c r="L2647" t="s">
        <v>62</v>
      </c>
    </row>
    <row r="2648" spans="1:13">
      <c r="A2648">
        <v>45878</v>
      </c>
      <c r="B2648" t="s">
        <v>2191</v>
      </c>
      <c r="E2648">
        <v>-1100</v>
      </c>
      <c r="G2648" t="s">
        <v>65</v>
      </c>
      <c r="H2648" t="s">
        <v>85</v>
      </c>
      <c r="I2648" t="s">
        <v>60</v>
      </c>
      <c r="J2648" t="s">
        <v>61</v>
      </c>
      <c r="L2648" t="s">
        <v>62</v>
      </c>
    </row>
    <row r="2649" spans="1:13">
      <c r="A2649">
        <v>45878</v>
      </c>
      <c r="B2649" t="s">
        <v>2513</v>
      </c>
      <c r="F2649">
        <v>1</v>
      </c>
      <c r="G2649" t="s">
        <v>0</v>
      </c>
      <c r="L2649" t="s">
        <v>89</v>
      </c>
      <c r="M2649">
        <v>45874</v>
      </c>
    </row>
    <row r="2650" spans="1:13">
      <c r="A2650">
        <v>45879</v>
      </c>
      <c r="B2650" t="s">
        <v>2514</v>
      </c>
      <c r="F2650">
        <v>1</v>
      </c>
      <c r="G2650" t="s">
        <v>79</v>
      </c>
      <c r="H2650" t="s">
        <v>21</v>
      </c>
      <c r="L2650" t="s">
        <v>82</v>
      </c>
    </row>
    <row r="2651" spans="1:13">
      <c r="A2651">
        <v>45879</v>
      </c>
      <c r="B2651" t="s">
        <v>2515</v>
      </c>
      <c r="F2651">
        <v>1</v>
      </c>
      <c r="G2651" t="s">
        <v>64</v>
      </c>
      <c r="L2651" t="s">
        <v>82</v>
      </c>
      <c r="M2651" t="s">
        <v>96</v>
      </c>
    </row>
    <row r="2652" spans="1:13">
      <c r="A2652">
        <v>45879</v>
      </c>
      <c r="B2652" t="s">
        <v>2516</v>
      </c>
      <c r="D2652">
        <v>500</v>
      </c>
      <c r="F2652">
        <v>1</v>
      </c>
      <c r="G2652" t="s">
        <v>22</v>
      </c>
      <c r="H2652" t="s">
        <v>21</v>
      </c>
      <c r="I2652" t="s">
        <v>60</v>
      </c>
      <c r="J2652" t="s">
        <v>61</v>
      </c>
      <c r="L2652" t="s">
        <v>82</v>
      </c>
    </row>
    <row r="2653" spans="1:13">
      <c r="A2653">
        <v>45879</v>
      </c>
      <c r="B2653" t="s">
        <v>2517</v>
      </c>
      <c r="D2653">
        <v>500</v>
      </c>
      <c r="F2653">
        <v>1</v>
      </c>
      <c r="G2653" t="s">
        <v>22</v>
      </c>
      <c r="H2653" t="s">
        <v>21</v>
      </c>
      <c r="I2653" t="s">
        <v>60</v>
      </c>
      <c r="J2653" t="s">
        <v>61</v>
      </c>
      <c r="L2653" t="s">
        <v>82</v>
      </c>
    </row>
    <row r="2654" spans="1:13">
      <c r="A2654">
        <v>45879</v>
      </c>
      <c r="B2654" t="s">
        <v>2518</v>
      </c>
      <c r="F2654">
        <v>1</v>
      </c>
      <c r="G2654" t="s">
        <v>564</v>
      </c>
      <c r="H2654" t="s">
        <v>21</v>
      </c>
      <c r="L2654" t="s">
        <v>82</v>
      </c>
    </row>
    <row r="2655" spans="1:13">
      <c r="A2655">
        <v>45879</v>
      </c>
      <c r="B2655" t="s">
        <v>63</v>
      </c>
      <c r="D2655">
        <v>36000</v>
      </c>
      <c r="F2655">
        <v>2</v>
      </c>
      <c r="G2655" t="s">
        <v>70</v>
      </c>
      <c r="I2655" t="s">
        <v>71</v>
      </c>
      <c r="J2655" t="s">
        <v>72</v>
      </c>
      <c r="K2655" t="s">
        <v>2519</v>
      </c>
      <c r="L2655" t="s">
        <v>62</v>
      </c>
      <c r="M2655" t="s">
        <v>2520</v>
      </c>
    </row>
    <row r="2656" spans="1:13">
      <c r="A2656">
        <v>45879</v>
      </c>
      <c r="B2656" t="s">
        <v>2521</v>
      </c>
      <c r="D2656">
        <v>500</v>
      </c>
      <c r="F2656">
        <v>0</v>
      </c>
      <c r="G2656" t="s">
        <v>22</v>
      </c>
      <c r="H2656" t="s">
        <v>21</v>
      </c>
      <c r="I2656" t="s">
        <v>60</v>
      </c>
      <c r="J2656" t="s">
        <v>61</v>
      </c>
      <c r="L2656" t="s">
        <v>86</v>
      </c>
    </row>
    <row r="2657" spans="1:13">
      <c r="A2657">
        <v>45879</v>
      </c>
      <c r="B2657" t="s">
        <v>2522</v>
      </c>
      <c r="D2657">
        <v>500</v>
      </c>
      <c r="F2657">
        <v>1</v>
      </c>
      <c r="G2657" t="s">
        <v>22</v>
      </c>
      <c r="H2657" t="s">
        <v>21</v>
      </c>
      <c r="I2657" t="s">
        <v>60</v>
      </c>
      <c r="J2657" t="s">
        <v>61</v>
      </c>
      <c r="L2657" t="s">
        <v>86</v>
      </c>
    </row>
    <row r="2658" spans="1:13">
      <c r="A2658">
        <v>45879</v>
      </c>
      <c r="B2658" t="s">
        <v>2523</v>
      </c>
      <c r="D2658">
        <v>500</v>
      </c>
      <c r="F2658">
        <v>1</v>
      </c>
      <c r="G2658" t="s">
        <v>22</v>
      </c>
      <c r="H2658" t="s">
        <v>21</v>
      </c>
      <c r="I2658" t="s">
        <v>60</v>
      </c>
      <c r="J2658" t="s">
        <v>61</v>
      </c>
      <c r="L2658" t="s">
        <v>86</v>
      </c>
    </row>
    <row r="2659" spans="1:13">
      <c r="A2659">
        <v>45879</v>
      </c>
      <c r="B2659" t="s">
        <v>2523</v>
      </c>
      <c r="F2659">
        <v>1</v>
      </c>
      <c r="G2659" t="s">
        <v>64</v>
      </c>
      <c r="L2659" t="s">
        <v>86</v>
      </c>
      <c r="M2659" t="s">
        <v>1016</v>
      </c>
    </row>
    <row r="2660" spans="1:13">
      <c r="A2660">
        <v>45879</v>
      </c>
      <c r="B2660" t="s">
        <v>63</v>
      </c>
      <c r="D2660">
        <v>4500</v>
      </c>
      <c r="G2660" t="s">
        <v>70</v>
      </c>
      <c r="I2660" t="s">
        <v>60</v>
      </c>
      <c r="J2660" t="s">
        <v>61</v>
      </c>
      <c r="L2660" t="s">
        <v>62</v>
      </c>
    </row>
    <row r="2661" spans="1:13">
      <c r="A2661">
        <v>45879</v>
      </c>
      <c r="B2661" t="s">
        <v>2524</v>
      </c>
      <c r="D2661">
        <v>500</v>
      </c>
      <c r="F2661">
        <v>1</v>
      </c>
      <c r="G2661" t="s">
        <v>22</v>
      </c>
      <c r="H2661" t="s">
        <v>21</v>
      </c>
      <c r="I2661" t="s">
        <v>60</v>
      </c>
      <c r="J2661" t="s">
        <v>61</v>
      </c>
      <c r="L2661" t="s">
        <v>86</v>
      </c>
    </row>
    <row r="2662" spans="1:13">
      <c r="A2662">
        <v>45879</v>
      </c>
      <c r="B2662" t="s">
        <v>2524</v>
      </c>
      <c r="F2662">
        <v>1</v>
      </c>
      <c r="G2662" t="s">
        <v>64</v>
      </c>
      <c r="L2662" t="s">
        <v>86</v>
      </c>
      <c r="M2662" t="s">
        <v>647</v>
      </c>
    </row>
    <row r="2663" spans="1:13">
      <c r="A2663">
        <v>45879</v>
      </c>
      <c r="B2663" t="s">
        <v>63</v>
      </c>
      <c r="D2663">
        <v>17500</v>
      </c>
      <c r="F2663">
        <v>2</v>
      </c>
      <c r="G2663" t="s">
        <v>70</v>
      </c>
      <c r="I2663" t="s">
        <v>71</v>
      </c>
      <c r="J2663" t="s">
        <v>72</v>
      </c>
      <c r="K2663" t="s">
        <v>2525</v>
      </c>
      <c r="L2663" t="s">
        <v>62</v>
      </c>
      <c r="M2663" t="s">
        <v>1042</v>
      </c>
    </row>
    <row r="2664" spans="1:13">
      <c r="A2664">
        <v>45879</v>
      </c>
      <c r="B2664" t="s">
        <v>63</v>
      </c>
      <c r="D2664">
        <v>32000</v>
      </c>
      <c r="F2664">
        <v>2</v>
      </c>
      <c r="G2664" t="s">
        <v>70</v>
      </c>
      <c r="I2664" t="s">
        <v>71</v>
      </c>
      <c r="J2664" t="s">
        <v>72</v>
      </c>
      <c r="K2664" t="s">
        <v>2526</v>
      </c>
      <c r="L2664" t="s">
        <v>62</v>
      </c>
      <c r="M2664" t="s">
        <v>90</v>
      </c>
    </row>
    <row r="2665" spans="1:13">
      <c r="A2665">
        <v>45880</v>
      </c>
      <c r="B2665" t="s">
        <v>63</v>
      </c>
      <c r="D2665">
        <v>5000</v>
      </c>
      <c r="G2665" t="s">
        <v>70</v>
      </c>
      <c r="I2665" t="s">
        <v>60</v>
      </c>
      <c r="J2665" t="s">
        <v>61</v>
      </c>
      <c r="L2665" t="s">
        <v>62</v>
      </c>
    </row>
    <row r="2666" spans="1:13">
      <c r="A2666">
        <v>45880</v>
      </c>
      <c r="B2666" t="s">
        <v>2527</v>
      </c>
      <c r="D2666">
        <v>500</v>
      </c>
      <c r="F2666">
        <v>1</v>
      </c>
      <c r="G2666" t="s">
        <v>22</v>
      </c>
      <c r="H2666" t="s">
        <v>21</v>
      </c>
      <c r="I2666" t="s">
        <v>60</v>
      </c>
      <c r="J2666" t="s">
        <v>61</v>
      </c>
      <c r="L2666" t="s">
        <v>82</v>
      </c>
    </row>
    <row r="2667" spans="1:13">
      <c r="A2667">
        <v>45880</v>
      </c>
      <c r="B2667" t="s">
        <v>81</v>
      </c>
      <c r="D2667">
        <v>30000</v>
      </c>
      <c r="F2667">
        <v>1</v>
      </c>
      <c r="G2667" t="s">
        <v>74</v>
      </c>
      <c r="H2667" t="s">
        <v>75</v>
      </c>
      <c r="I2667" t="s">
        <v>60</v>
      </c>
      <c r="J2667" t="s">
        <v>61</v>
      </c>
      <c r="L2667" t="s">
        <v>88</v>
      </c>
    </row>
    <row r="2668" spans="1:13">
      <c r="A2668">
        <v>45880</v>
      </c>
      <c r="B2668" t="s">
        <v>2528</v>
      </c>
      <c r="D2668">
        <v>500</v>
      </c>
      <c r="F2668">
        <v>1</v>
      </c>
      <c r="G2668" t="s">
        <v>22</v>
      </c>
      <c r="H2668" t="s">
        <v>21</v>
      </c>
      <c r="I2668" t="s">
        <v>60</v>
      </c>
      <c r="J2668" t="s">
        <v>61</v>
      </c>
      <c r="L2668" t="s">
        <v>82</v>
      </c>
    </row>
    <row r="2669" spans="1:13">
      <c r="A2669">
        <v>45880</v>
      </c>
      <c r="B2669" t="s">
        <v>2529</v>
      </c>
      <c r="D2669">
        <v>500</v>
      </c>
      <c r="F2669">
        <v>1</v>
      </c>
      <c r="G2669" t="s">
        <v>22</v>
      </c>
      <c r="H2669" t="s">
        <v>21</v>
      </c>
      <c r="I2669" t="s">
        <v>60</v>
      </c>
      <c r="J2669" t="s">
        <v>61</v>
      </c>
      <c r="L2669" t="s">
        <v>89</v>
      </c>
    </row>
    <row r="2670" spans="1:13">
      <c r="A2670">
        <v>45880</v>
      </c>
      <c r="B2670" t="s">
        <v>2530</v>
      </c>
      <c r="D2670">
        <v>500</v>
      </c>
      <c r="F2670">
        <v>1</v>
      </c>
      <c r="G2670" t="s">
        <v>22</v>
      </c>
      <c r="H2670" t="s">
        <v>21</v>
      </c>
      <c r="I2670" t="s">
        <v>60</v>
      </c>
      <c r="J2670" t="s">
        <v>61</v>
      </c>
      <c r="L2670" t="s">
        <v>89</v>
      </c>
    </row>
    <row r="2671" spans="1:13">
      <c r="A2671">
        <v>45880</v>
      </c>
      <c r="B2671" t="s">
        <v>76</v>
      </c>
      <c r="D2671">
        <v>33000</v>
      </c>
      <c r="G2671" t="s">
        <v>77</v>
      </c>
      <c r="I2671" t="s">
        <v>60</v>
      </c>
      <c r="J2671" t="s">
        <v>61</v>
      </c>
      <c r="L2671" t="s">
        <v>62</v>
      </c>
    </row>
    <row r="2672" spans="1:13">
      <c r="A2672">
        <v>45881</v>
      </c>
      <c r="B2672" t="s">
        <v>81</v>
      </c>
      <c r="D2672">
        <v>121000</v>
      </c>
      <c r="F2672">
        <v>1</v>
      </c>
      <c r="G2672" t="s">
        <v>74</v>
      </c>
      <c r="H2672" t="s">
        <v>75</v>
      </c>
      <c r="I2672" t="s">
        <v>60</v>
      </c>
      <c r="J2672" t="s">
        <v>61</v>
      </c>
      <c r="L2672" t="s">
        <v>88</v>
      </c>
    </row>
    <row r="2673" spans="1:13">
      <c r="A2673">
        <v>45881</v>
      </c>
      <c r="B2673" t="s">
        <v>238</v>
      </c>
      <c r="C2673" t="s">
        <v>2531</v>
      </c>
      <c r="D2673" t="s">
        <v>28</v>
      </c>
      <c r="F2673">
        <v>8</v>
      </c>
      <c r="G2673" t="s">
        <v>22</v>
      </c>
      <c r="H2673" t="s">
        <v>21</v>
      </c>
      <c r="L2673" t="s">
        <v>95</v>
      </c>
    </row>
    <row r="2674" spans="1:13">
      <c r="A2674">
        <v>45881</v>
      </c>
      <c r="B2674" t="s">
        <v>76</v>
      </c>
      <c r="D2674">
        <v>8000</v>
      </c>
      <c r="G2674" t="s">
        <v>77</v>
      </c>
      <c r="I2674" t="s">
        <v>60</v>
      </c>
      <c r="J2674" t="s">
        <v>61</v>
      </c>
      <c r="L2674" t="s">
        <v>62</v>
      </c>
    </row>
    <row r="2675" spans="1:13">
      <c r="A2675">
        <v>45881</v>
      </c>
      <c r="B2675" t="s">
        <v>2532</v>
      </c>
      <c r="D2675">
        <v>500</v>
      </c>
      <c r="F2675">
        <v>1</v>
      </c>
      <c r="G2675" t="s">
        <v>22</v>
      </c>
      <c r="H2675" t="s">
        <v>21</v>
      </c>
      <c r="I2675" t="s">
        <v>60</v>
      </c>
      <c r="J2675" t="s">
        <v>61</v>
      </c>
      <c r="L2675" t="s">
        <v>89</v>
      </c>
    </row>
    <row r="2676" spans="1:13">
      <c r="A2676">
        <v>45881</v>
      </c>
      <c r="B2676" t="s">
        <v>1962</v>
      </c>
      <c r="C2676" t="s">
        <v>2533</v>
      </c>
      <c r="E2676">
        <v>35000</v>
      </c>
      <c r="F2676">
        <v>1</v>
      </c>
      <c r="G2676" t="s">
        <v>65</v>
      </c>
      <c r="H2676" t="s">
        <v>265</v>
      </c>
      <c r="I2676" t="s">
        <v>60</v>
      </c>
      <c r="J2676" t="s">
        <v>61</v>
      </c>
      <c r="L2676" t="s">
        <v>62</v>
      </c>
    </row>
    <row r="2677" spans="1:13">
      <c r="A2677">
        <v>45881</v>
      </c>
      <c r="B2677" t="s">
        <v>1962</v>
      </c>
      <c r="C2677" t="s">
        <v>2534</v>
      </c>
      <c r="E2677">
        <v>35000</v>
      </c>
      <c r="G2677" t="s">
        <v>65</v>
      </c>
      <c r="H2677" t="s">
        <v>265</v>
      </c>
      <c r="I2677" t="s">
        <v>60</v>
      </c>
      <c r="J2677" t="s">
        <v>61</v>
      </c>
      <c r="L2677" t="s">
        <v>62</v>
      </c>
    </row>
    <row r="2678" spans="1:13">
      <c r="A2678">
        <v>45881</v>
      </c>
      <c r="B2678" t="s">
        <v>624</v>
      </c>
      <c r="D2678">
        <v>-41600</v>
      </c>
      <c r="G2678" t="s">
        <v>77</v>
      </c>
      <c r="I2678" t="s">
        <v>60</v>
      </c>
      <c r="J2678" t="s">
        <v>61</v>
      </c>
      <c r="L2678" t="s">
        <v>62</v>
      </c>
    </row>
    <row r="2679" spans="1:13">
      <c r="A2679">
        <v>45881</v>
      </c>
      <c r="B2679" t="s">
        <v>624</v>
      </c>
      <c r="E2679">
        <v>-2200</v>
      </c>
      <c r="G2679" t="s">
        <v>65</v>
      </c>
      <c r="H2679" t="s">
        <v>85</v>
      </c>
      <c r="I2679" t="s">
        <v>60</v>
      </c>
      <c r="J2679" t="s">
        <v>61</v>
      </c>
      <c r="L2679" t="s">
        <v>62</v>
      </c>
    </row>
    <row r="2680" spans="1:13">
      <c r="A2680">
        <v>45881</v>
      </c>
      <c r="B2680" t="s">
        <v>2535</v>
      </c>
      <c r="D2680">
        <v>500</v>
      </c>
      <c r="F2680">
        <v>1</v>
      </c>
      <c r="G2680" t="s">
        <v>22</v>
      </c>
      <c r="H2680" t="s">
        <v>21</v>
      </c>
      <c r="I2680" t="s">
        <v>60</v>
      </c>
      <c r="J2680" t="s">
        <v>61</v>
      </c>
      <c r="L2680" t="s">
        <v>82</v>
      </c>
    </row>
    <row r="2681" spans="1:13">
      <c r="A2681">
        <v>45881</v>
      </c>
      <c r="B2681" t="s">
        <v>2536</v>
      </c>
      <c r="F2681">
        <v>1</v>
      </c>
      <c r="G2681" t="s">
        <v>79</v>
      </c>
      <c r="H2681" t="s">
        <v>21</v>
      </c>
      <c r="L2681" t="s">
        <v>82</v>
      </c>
    </row>
    <row r="2682" spans="1:13">
      <c r="A2682">
        <v>45881</v>
      </c>
      <c r="B2682" t="s">
        <v>2537</v>
      </c>
      <c r="F2682">
        <v>1</v>
      </c>
      <c r="G2682" t="s">
        <v>2490</v>
      </c>
      <c r="L2682" t="s">
        <v>82</v>
      </c>
      <c r="M2682" t="s">
        <v>2491</v>
      </c>
    </row>
    <row r="2683" spans="1:13">
      <c r="A2683">
        <v>45881</v>
      </c>
      <c r="B2683" t="s">
        <v>2536</v>
      </c>
      <c r="F2683">
        <v>1</v>
      </c>
      <c r="G2683" t="s">
        <v>64</v>
      </c>
      <c r="L2683" t="s">
        <v>82</v>
      </c>
      <c r="M2683" t="s">
        <v>2538</v>
      </c>
    </row>
    <row r="2684" spans="1:13">
      <c r="A2684">
        <v>45881</v>
      </c>
      <c r="B2684" t="s">
        <v>2539</v>
      </c>
      <c r="F2684">
        <v>1</v>
      </c>
      <c r="G2684" t="s">
        <v>99</v>
      </c>
      <c r="H2684" t="s">
        <v>21</v>
      </c>
      <c r="L2684" t="s">
        <v>82</v>
      </c>
      <c r="M2684" t="s">
        <v>2540</v>
      </c>
    </row>
    <row r="2685" spans="1:13">
      <c r="A2685">
        <v>45881</v>
      </c>
      <c r="B2685" t="s">
        <v>2541</v>
      </c>
      <c r="D2685">
        <v>500</v>
      </c>
      <c r="F2685">
        <v>1</v>
      </c>
      <c r="G2685" t="s">
        <v>22</v>
      </c>
      <c r="H2685" t="s">
        <v>21</v>
      </c>
      <c r="I2685" t="s">
        <v>60</v>
      </c>
      <c r="J2685" t="s">
        <v>61</v>
      </c>
      <c r="L2685" t="s">
        <v>89</v>
      </c>
    </row>
    <row r="2686" spans="1:13">
      <c r="A2686">
        <v>45881</v>
      </c>
      <c r="B2686" t="s">
        <v>2542</v>
      </c>
      <c r="D2686">
        <v>500</v>
      </c>
      <c r="F2686">
        <v>1</v>
      </c>
      <c r="G2686" t="s">
        <v>22</v>
      </c>
      <c r="H2686" t="s">
        <v>21</v>
      </c>
      <c r="I2686" t="s">
        <v>60</v>
      </c>
      <c r="J2686" t="s">
        <v>61</v>
      </c>
      <c r="L2686" t="s">
        <v>89</v>
      </c>
    </row>
    <row r="2687" spans="1:13">
      <c r="A2687">
        <v>45881</v>
      </c>
      <c r="B2687" t="s">
        <v>2543</v>
      </c>
      <c r="D2687">
        <v>500</v>
      </c>
      <c r="F2687">
        <v>1</v>
      </c>
      <c r="G2687" t="s">
        <v>22</v>
      </c>
      <c r="H2687" t="s">
        <v>21</v>
      </c>
      <c r="I2687" t="s">
        <v>60</v>
      </c>
      <c r="J2687" t="s">
        <v>61</v>
      </c>
      <c r="L2687" t="s">
        <v>82</v>
      </c>
    </row>
    <row r="2688" spans="1:13">
      <c r="A2688">
        <v>45881</v>
      </c>
      <c r="B2688" t="s">
        <v>2544</v>
      </c>
      <c r="F2688">
        <v>1</v>
      </c>
      <c r="G2688" t="s">
        <v>79</v>
      </c>
      <c r="H2688" t="s">
        <v>21</v>
      </c>
      <c r="L2688" t="s">
        <v>82</v>
      </c>
    </row>
    <row r="2689" spans="1:13">
      <c r="A2689">
        <v>45881</v>
      </c>
      <c r="B2689" t="s">
        <v>2544</v>
      </c>
      <c r="D2689">
        <v>0</v>
      </c>
      <c r="F2689">
        <v>0</v>
      </c>
      <c r="G2689" t="s">
        <v>22</v>
      </c>
      <c r="H2689" t="s">
        <v>21</v>
      </c>
      <c r="I2689" t="s">
        <v>60</v>
      </c>
      <c r="J2689" t="s">
        <v>61</v>
      </c>
      <c r="L2689" t="s">
        <v>82</v>
      </c>
      <c r="M2689" t="s">
        <v>1751</v>
      </c>
    </row>
    <row r="2690" spans="1:13">
      <c r="A2690">
        <v>45881</v>
      </c>
      <c r="B2690" t="s">
        <v>63</v>
      </c>
      <c r="D2690">
        <v>22000</v>
      </c>
      <c r="G2690" t="s">
        <v>70</v>
      </c>
      <c r="I2690" t="s">
        <v>60</v>
      </c>
      <c r="J2690" t="s">
        <v>61</v>
      </c>
      <c r="L2690" t="s">
        <v>62</v>
      </c>
    </row>
    <row r="2691" spans="1:13">
      <c r="A2691">
        <v>45882</v>
      </c>
      <c r="B2691" t="s">
        <v>2545</v>
      </c>
      <c r="D2691">
        <v>500</v>
      </c>
      <c r="F2691">
        <v>1</v>
      </c>
      <c r="G2691" t="s">
        <v>22</v>
      </c>
      <c r="H2691" t="s">
        <v>21</v>
      </c>
      <c r="I2691" t="s">
        <v>60</v>
      </c>
      <c r="J2691" t="s">
        <v>61</v>
      </c>
      <c r="L2691" t="s">
        <v>82</v>
      </c>
    </row>
    <row r="2692" spans="1:13">
      <c r="A2692">
        <v>45882</v>
      </c>
      <c r="B2692" t="s">
        <v>2545</v>
      </c>
      <c r="F2692">
        <v>1</v>
      </c>
      <c r="G2692" t="s">
        <v>64</v>
      </c>
      <c r="L2692" t="s">
        <v>82</v>
      </c>
      <c r="M2692" t="s">
        <v>2546</v>
      </c>
    </row>
    <row r="2693" spans="1:13">
      <c r="A2693">
        <v>45882</v>
      </c>
      <c r="B2693" t="s">
        <v>63</v>
      </c>
      <c r="D2693">
        <v>23500</v>
      </c>
      <c r="F2693">
        <v>3</v>
      </c>
      <c r="G2693" t="s">
        <v>70</v>
      </c>
      <c r="I2693" t="s">
        <v>71</v>
      </c>
      <c r="J2693" t="s">
        <v>535</v>
      </c>
      <c r="K2693">
        <v>625</v>
      </c>
      <c r="L2693" t="s">
        <v>62</v>
      </c>
      <c r="M2693" t="s">
        <v>90</v>
      </c>
    </row>
    <row r="2694" spans="1:13">
      <c r="A2694">
        <v>45883</v>
      </c>
      <c r="B2694" t="s">
        <v>719</v>
      </c>
      <c r="E2694">
        <v>241292</v>
      </c>
      <c r="F2694">
        <v>1</v>
      </c>
      <c r="G2694" t="s">
        <v>65</v>
      </c>
      <c r="H2694" t="s">
        <v>348</v>
      </c>
      <c r="I2694" t="s">
        <v>60</v>
      </c>
      <c r="J2694" t="s">
        <v>61</v>
      </c>
      <c r="L2694" t="s">
        <v>88</v>
      </c>
    </row>
    <row r="2695" spans="1:13">
      <c r="A2695">
        <v>45883</v>
      </c>
      <c r="B2695" t="s">
        <v>81</v>
      </c>
      <c r="D2695">
        <v>55000</v>
      </c>
      <c r="F2695">
        <v>1</v>
      </c>
      <c r="G2695" t="s">
        <v>74</v>
      </c>
      <c r="H2695" t="s">
        <v>75</v>
      </c>
      <c r="I2695" t="s">
        <v>60</v>
      </c>
      <c r="J2695" t="s">
        <v>61</v>
      </c>
      <c r="L2695" t="s">
        <v>88</v>
      </c>
    </row>
    <row r="2696" spans="1:13">
      <c r="A2696">
        <v>45883</v>
      </c>
      <c r="B2696" t="s">
        <v>63</v>
      </c>
      <c r="D2696">
        <v>9000</v>
      </c>
      <c r="G2696" t="s">
        <v>70</v>
      </c>
      <c r="I2696" t="s">
        <v>60</v>
      </c>
      <c r="J2696" t="s">
        <v>61</v>
      </c>
      <c r="L2696" t="s">
        <v>62</v>
      </c>
    </row>
    <row r="2697" spans="1:13">
      <c r="A2697">
        <v>45883</v>
      </c>
      <c r="B2697" t="s">
        <v>2547</v>
      </c>
      <c r="F2697">
        <v>1</v>
      </c>
      <c r="G2697" t="s">
        <v>79</v>
      </c>
      <c r="H2697" t="s">
        <v>21</v>
      </c>
      <c r="L2697" t="s">
        <v>89</v>
      </c>
    </row>
    <row r="2698" spans="1:13">
      <c r="A2698">
        <v>45883</v>
      </c>
      <c r="B2698" t="s">
        <v>2548</v>
      </c>
      <c r="F2698">
        <v>1</v>
      </c>
      <c r="G2698" t="s">
        <v>64</v>
      </c>
      <c r="L2698" t="s">
        <v>89</v>
      </c>
      <c r="M2698" t="s">
        <v>96</v>
      </c>
    </row>
    <row r="2699" spans="1:13">
      <c r="A2699">
        <v>45883</v>
      </c>
      <c r="B2699" t="s">
        <v>2549</v>
      </c>
      <c r="F2699">
        <v>3</v>
      </c>
      <c r="G2699" t="s">
        <v>107</v>
      </c>
      <c r="H2699" t="s">
        <v>21</v>
      </c>
      <c r="L2699" t="s">
        <v>82</v>
      </c>
      <c r="M2699" t="s">
        <v>2550</v>
      </c>
    </row>
    <row r="2700" spans="1:13">
      <c r="A2700">
        <v>45883</v>
      </c>
      <c r="B2700" t="s">
        <v>2551</v>
      </c>
      <c r="D2700">
        <v>400000</v>
      </c>
      <c r="F2700">
        <v>1</v>
      </c>
      <c r="G2700" t="s">
        <v>64</v>
      </c>
      <c r="I2700" t="s">
        <v>60</v>
      </c>
      <c r="J2700" t="s">
        <v>61</v>
      </c>
      <c r="L2700" t="s">
        <v>86</v>
      </c>
    </row>
    <row r="2701" spans="1:13">
      <c r="A2701">
        <v>45884</v>
      </c>
      <c r="B2701" t="s">
        <v>2552</v>
      </c>
      <c r="D2701">
        <v>500</v>
      </c>
      <c r="F2701">
        <v>1</v>
      </c>
      <c r="G2701" t="s">
        <v>22</v>
      </c>
      <c r="H2701" t="s">
        <v>21</v>
      </c>
      <c r="I2701" t="s">
        <v>60</v>
      </c>
      <c r="J2701" t="s">
        <v>61</v>
      </c>
      <c r="L2701" t="s">
        <v>82</v>
      </c>
    </row>
    <row r="2702" spans="1:13">
      <c r="A2702">
        <v>45884</v>
      </c>
      <c r="B2702" t="s">
        <v>63</v>
      </c>
      <c r="D2702">
        <v>29500</v>
      </c>
      <c r="G2702" t="s">
        <v>70</v>
      </c>
      <c r="I2702" t="s">
        <v>60</v>
      </c>
      <c r="J2702" t="s">
        <v>61</v>
      </c>
      <c r="L2702" t="s">
        <v>62</v>
      </c>
    </row>
    <row r="2703" spans="1:13">
      <c r="A2703">
        <v>45884</v>
      </c>
      <c r="B2703" t="s">
        <v>2553</v>
      </c>
      <c r="D2703">
        <v>500</v>
      </c>
      <c r="F2703">
        <v>1</v>
      </c>
      <c r="G2703" t="s">
        <v>22</v>
      </c>
      <c r="H2703" t="s">
        <v>21</v>
      </c>
      <c r="I2703" t="s">
        <v>60</v>
      </c>
      <c r="J2703" t="s">
        <v>61</v>
      </c>
      <c r="L2703" t="s">
        <v>82</v>
      </c>
    </row>
    <row r="2704" spans="1:13">
      <c r="A2704">
        <v>45884</v>
      </c>
      <c r="B2704" t="s">
        <v>2554</v>
      </c>
      <c r="F2704">
        <v>1</v>
      </c>
      <c r="G2704" t="s">
        <v>79</v>
      </c>
      <c r="H2704" t="s">
        <v>21</v>
      </c>
      <c r="L2704" t="s">
        <v>89</v>
      </c>
    </row>
    <row r="2705" spans="1:13">
      <c r="A2705">
        <v>45884</v>
      </c>
      <c r="B2705" t="s">
        <v>2554</v>
      </c>
      <c r="F2705">
        <v>1</v>
      </c>
      <c r="G2705" t="s">
        <v>64</v>
      </c>
      <c r="L2705" t="s">
        <v>89</v>
      </c>
      <c r="M2705" t="s">
        <v>2555</v>
      </c>
    </row>
    <row r="2706" spans="1:13">
      <c r="A2706">
        <v>45884</v>
      </c>
      <c r="B2706" t="s">
        <v>63</v>
      </c>
      <c r="D2706">
        <v>10500</v>
      </c>
      <c r="F2706">
        <v>2</v>
      </c>
      <c r="G2706" t="s">
        <v>70</v>
      </c>
      <c r="I2706" t="s">
        <v>71</v>
      </c>
      <c r="J2706" t="s">
        <v>72</v>
      </c>
      <c r="K2706" t="s">
        <v>2556</v>
      </c>
      <c r="L2706" t="s">
        <v>62</v>
      </c>
      <c r="M2706" t="s">
        <v>90</v>
      </c>
    </row>
    <row r="2707" spans="1:13">
      <c r="A2707">
        <v>45884</v>
      </c>
      <c r="B2707" t="s">
        <v>2557</v>
      </c>
      <c r="F2707">
        <v>1</v>
      </c>
      <c r="G2707" t="s">
        <v>590</v>
      </c>
      <c r="H2707" t="s">
        <v>21</v>
      </c>
      <c r="L2707" t="s">
        <v>89</v>
      </c>
      <c r="M2707" t="s">
        <v>2558</v>
      </c>
    </row>
    <row r="2708" spans="1:13">
      <c r="A2708">
        <v>45884</v>
      </c>
      <c r="B2708" t="s">
        <v>2559</v>
      </c>
      <c r="D2708">
        <v>500</v>
      </c>
      <c r="F2708">
        <v>1</v>
      </c>
      <c r="G2708" t="s">
        <v>22</v>
      </c>
      <c r="H2708" t="s">
        <v>21</v>
      </c>
      <c r="I2708" t="s">
        <v>60</v>
      </c>
      <c r="J2708" t="s">
        <v>61</v>
      </c>
      <c r="L2708" t="s">
        <v>89</v>
      </c>
    </row>
    <row r="2709" spans="1:13">
      <c r="A2709">
        <v>45884</v>
      </c>
      <c r="B2709" t="s">
        <v>2560</v>
      </c>
      <c r="F2709">
        <v>1</v>
      </c>
      <c r="G2709" t="s">
        <v>590</v>
      </c>
      <c r="H2709" t="s">
        <v>21</v>
      </c>
      <c r="L2709" t="s">
        <v>89</v>
      </c>
      <c r="M2709" t="s">
        <v>2561</v>
      </c>
    </row>
    <row r="2710" spans="1:13">
      <c r="A2710">
        <v>45884</v>
      </c>
      <c r="B2710" t="s">
        <v>2562</v>
      </c>
      <c r="F2710">
        <v>1</v>
      </c>
      <c r="G2710" t="s">
        <v>64</v>
      </c>
      <c r="L2710" t="s">
        <v>89</v>
      </c>
      <c r="M2710" t="s">
        <v>96</v>
      </c>
    </row>
    <row r="2711" spans="1:13">
      <c r="A2711">
        <v>45884</v>
      </c>
      <c r="B2711" t="s">
        <v>2563</v>
      </c>
      <c r="F2711">
        <v>1</v>
      </c>
      <c r="G2711" t="s">
        <v>79</v>
      </c>
      <c r="H2711" t="s">
        <v>21</v>
      </c>
      <c r="L2711" t="s">
        <v>89</v>
      </c>
    </row>
    <row r="2712" spans="1:13">
      <c r="A2712">
        <v>45884</v>
      </c>
      <c r="B2712" t="s">
        <v>2564</v>
      </c>
      <c r="F2712">
        <v>1</v>
      </c>
      <c r="G2712" t="s">
        <v>64</v>
      </c>
      <c r="L2712" t="s">
        <v>89</v>
      </c>
      <c r="M2712" t="s">
        <v>96</v>
      </c>
    </row>
    <row r="2713" spans="1:13">
      <c r="A2713">
        <v>45885</v>
      </c>
      <c r="B2713" t="s">
        <v>624</v>
      </c>
      <c r="D2713">
        <v>-20800</v>
      </c>
      <c r="G2713" t="s">
        <v>77</v>
      </c>
      <c r="I2713" t="s">
        <v>60</v>
      </c>
      <c r="J2713" t="s">
        <v>61</v>
      </c>
      <c r="L2713" t="s">
        <v>62</v>
      </c>
    </row>
    <row r="2714" spans="1:13">
      <c r="A2714">
        <v>45885</v>
      </c>
      <c r="B2714" t="s">
        <v>624</v>
      </c>
      <c r="E2714">
        <v>-1100</v>
      </c>
      <c r="G2714" t="s">
        <v>65</v>
      </c>
      <c r="H2714" t="s">
        <v>85</v>
      </c>
      <c r="I2714" t="s">
        <v>60</v>
      </c>
      <c r="J2714" t="s">
        <v>61</v>
      </c>
      <c r="L2714" t="s">
        <v>62</v>
      </c>
    </row>
    <row r="2715" spans="1:13">
      <c r="A2715">
        <v>45885</v>
      </c>
      <c r="B2715" t="s">
        <v>559</v>
      </c>
      <c r="E2715">
        <v>10000</v>
      </c>
      <c r="F2715">
        <v>1</v>
      </c>
      <c r="G2715" t="s">
        <v>65</v>
      </c>
      <c r="H2715" t="s">
        <v>560</v>
      </c>
      <c r="I2715" t="s">
        <v>60</v>
      </c>
      <c r="J2715" t="s">
        <v>61</v>
      </c>
      <c r="L2715" t="s">
        <v>62</v>
      </c>
    </row>
    <row r="2716" spans="1:13">
      <c r="A2716">
        <v>45885</v>
      </c>
      <c r="B2716" t="s">
        <v>561</v>
      </c>
      <c r="E2716">
        <v>11000</v>
      </c>
      <c r="F2716">
        <v>1</v>
      </c>
      <c r="G2716" t="s">
        <v>65</v>
      </c>
      <c r="H2716" t="s">
        <v>560</v>
      </c>
      <c r="I2716" t="s">
        <v>60</v>
      </c>
      <c r="J2716" t="s">
        <v>61</v>
      </c>
      <c r="L2716" t="s">
        <v>62</v>
      </c>
    </row>
    <row r="2717" spans="1:13">
      <c r="A2717">
        <v>45885</v>
      </c>
      <c r="B2717" t="s">
        <v>2565</v>
      </c>
      <c r="D2717">
        <v>500</v>
      </c>
      <c r="F2717">
        <v>1</v>
      </c>
      <c r="G2717" t="s">
        <v>22</v>
      </c>
      <c r="H2717" t="s">
        <v>21</v>
      </c>
      <c r="I2717" t="s">
        <v>60</v>
      </c>
      <c r="J2717" t="s">
        <v>61</v>
      </c>
      <c r="L2717" t="s">
        <v>86</v>
      </c>
    </row>
    <row r="2718" spans="1:13">
      <c r="A2718">
        <v>45885</v>
      </c>
      <c r="B2718" t="s">
        <v>2566</v>
      </c>
      <c r="D2718">
        <v>500</v>
      </c>
      <c r="F2718">
        <v>0</v>
      </c>
      <c r="G2718" t="s">
        <v>22</v>
      </c>
      <c r="H2718" t="s">
        <v>21</v>
      </c>
      <c r="I2718" t="s">
        <v>60</v>
      </c>
      <c r="J2718" t="s">
        <v>61</v>
      </c>
      <c r="L2718" t="s">
        <v>86</v>
      </c>
      <c r="M2718" t="s">
        <v>548</v>
      </c>
    </row>
    <row r="2719" spans="1:13">
      <c r="A2719">
        <v>45885</v>
      </c>
      <c r="B2719" t="s">
        <v>2567</v>
      </c>
      <c r="D2719">
        <v>500</v>
      </c>
      <c r="F2719">
        <v>0</v>
      </c>
      <c r="G2719" t="s">
        <v>22</v>
      </c>
      <c r="H2719" t="s">
        <v>21</v>
      </c>
      <c r="I2719" t="s">
        <v>60</v>
      </c>
      <c r="J2719" t="s">
        <v>61</v>
      </c>
      <c r="L2719" t="s">
        <v>86</v>
      </c>
      <c r="M2719" t="s">
        <v>548</v>
      </c>
    </row>
    <row r="2720" spans="1:13">
      <c r="A2720">
        <v>45885</v>
      </c>
      <c r="B2720" t="s">
        <v>2568</v>
      </c>
      <c r="F2720">
        <v>1</v>
      </c>
      <c r="G2720" t="s">
        <v>64</v>
      </c>
      <c r="L2720" t="s">
        <v>86</v>
      </c>
      <c r="M2720" t="s">
        <v>2569</v>
      </c>
    </row>
    <row r="2721" spans="1:13">
      <c r="A2721">
        <v>45885</v>
      </c>
      <c r="B2721" t="s">
        <v>2570</v>
      </c>
      <c r="F2721">
        <v>1</v>
      </c>
      <c r="G2721" t="s">
        <v>79</v>
      </c>
      <c r="H2721" t="s">
        <v>21</v>
      </c>
      <c r="L2721" t="s">
        <v>86</v>
      </c>
    </row>
    <row r="2722" spans="1:13">
      <c r="A2722">
        <v>45885</v>
      </c>
      <c r="B2722" t="s">
        <v>2571</v>
      </c>
      <c r="D2722">
        <v>500</v>
      </c>
      <c r="F2722">
        <v>1</v>
      </c>
      <c r="G2722" t="s">
        <v>22</v>
      </c>
      <c r="H2722" t="s">
        <v>21</v>
      </c>
      <c r="I2722" t="s">
        <v>60</v>
      </c>
      <c r="J2722" t="s">
        <v>61</v>
      </c>
      <c r="L2722" t="s">
        <v>86</v>
      </c>
    </row>
    <row r="2723" spans="1:13">
      <c r="A2723">
        <v>45885</v>
      </c>
      <c r="B2723" t="s">
        <v>2572</v>
      </c>
      <c r="F2723">
        <v>1</v>
      </c>
      <c r="G2723" t="s">
        <v>2490</v>
      </c>
      <c r="L2723" t="s">
        <v>82</v>
      </c>
      <c r="M2723" t="s">
        <v>2491</v>
      </c>
    </row>
    <row r="2724" spans="1:13">
      <c r="A2724">
        <v>45885</v>
      </c>
      <c r="B2724" t="s">
        <v>2573</v>
      </c>
      <c r="D2724">
        <v>500</v>
      </c>
      <c r="F2724">
        <v>1</v>
      </c>
      <c r="G2724" t="s">
        <v>22</v>
      </c>
      <c r="H2724" t="s">
        <v>21</v>
      </c>
      <c r="I2724" t="s">
        <v>60</v>
      </c>
      <c r="J2724" t="s">
        <v>61</v>
      </c>
      <c r="L2724" t="s">
        <v>82</v>
      </c>
    </row>
    <row r="2725" spans="1:13">
      <c r="A2725">
        <v>45885</v>
      </c>
      <c r="B2725" t="s">
        <v>2574</v>
      </c>
      <c r="D2725">
        <v>500</v>
      </c>
      <c r="F2725">
        <v>1</v>
      </c>
      <c r="G2725" t="s">
        <v>22</v>
      </c>
      <c r="H2725" t="s">
        <v>21</v>
      </c>
      <c r="I2725" t="s">
        <v>60</v>
      </c>
      <c r="J2725" t="s">
        <v>61</v>
      </c>
      <c r="L2725" t="s">
        <v>82</v>
      </c>
    </row>
    <row r="2726" spans="1:13">
      <c r="A2726">
        <v>45885</v>
      </c>
      <c r="B2726" t="s">
        <v>63</v>
      </c>
      <c r="D2726">
        <v>28500</v>
      </c>
      <c r="G2726" t="s">
        <v>70</v>
      </c>
      <c r="I2726" t="s">
        <v>60</v>
      </c>
      <c r="J2726" t="s">
        <v>61</v>
      </c>
      <c r="L2726" t="s">
        <v>62</v>
      </c>
    </row>
    <row r="2727" spans="1:13">
      <c r="A2727">
        <v>45885</v>
      </c>
      <c r="B2727" t="s">
        <v>63</v>
      </c>
      <c r="D2727">
        <v>45000</v>
      </c>
      <c r="F2727">
        <v>6</v>
      </c>
      <c r="G2727" t="s">
        <v>70</v>
      </c>
      <c r="I2727" t="s">
        <v>71</v>
      </c>
      <c r="J2727" t="s">
        <v>72</v>
      </c>
      <c r="K2727" t="s">
        <v>2575</v>
      </c>
      <c r="L2727" t="s">
        <v>62</v>
      </c>
      <c r="M2727" t="s">
        <v>90</v>
      </c>
    </row>
    <row r="2728" spans="1:13">
      <c r="A2728">
        <v>45885</v>
      </c>
      <c r="B2728" t="s">
        <v>63</v>
      </c>
      <c r="D2728">
        <v>10500</v>
      </c>
      <c r="F2728">
        <v>2</v>
      </c>
      <c r="G2728" t="s">
        <v>70</v>
      </c>
      <c r="I2728" t="s">
        <v>71</v>
      </c>
      <c r="J2728" t="s">
        <v>72</v>
      </c>
      <c r="K2728" t="s">
        <v>2576</v>
      </c>
      <c r="L2728" t="s">
        <v>62</v>
      </c>
      <c r="M2728" t="s">
        <v>90</v>
      </c>
    </row>
    <row r="2729" spans="1:13">
      <c r="A2729">
        <v>45885</v>
      </c>
      <c r="B2729" t="s">
        <v>63</v>
      </c>
      <c r="D2729">
        <v>100</v>
      </c>
      <c r="F2729">
        <v>1</v>
      </c>
      <c r="G2729" t="s">
        <v>22</v>
      </c>
      <c r="H2729" t="s">
        <v>93</v>
      </c>
      <c r="I2729" t="s">
        <v>60</v>
      </c>
      <c r="J2729" t="s">
        <v>61</v>
      </c>
      <c r="L2729" t="s">
        <v>62</v>
      </c>
    </row>
    <row r="2730" spans="1:13">
      <c r="A2730">
        <v>45885</v>
      </c>
      <c r="B2730" t="s">
        <v>2577</v>
      </c>
      <c r="F2730">
        <v>1</v>
      </c>
      <c r="G2730" t="s">
        <v>79</v>
      </c>
      <c r="H2730" t="s">
        <v>21</v>
      </c>
      <c r="L2730" t="s">
        <v>82</v>
      </c>
    </row>
    <row r="2731" spans="1:13">
      <c r="A2731">
        <v>45885</v>
      </c>
      <c r="B2731" t="s">
        <v>2578</v>
      </c>
      <c r="F2731">
        <v>1</v>
      </c>
      <c r="G2731" t="s">
        <v>79</v>
      </c>
      <c r="H2731" t="s">
        <v>21</v>
      </c>
      <c r="L2731" t="s">
        <v>82</v>
      </c>
    </row>
    <row r="2732" spans="1:13">
      <c r="A2732">
        <v>45885</v>
      </c>
      <c r="B2732" t="s">
        <v>2578</v>
      </c>
      <c r="F2732">
        <v>1</v>
      </c>
      <c r="G2732" t="s">
        <v>64</v>
      </c>
      <c r="L2732" t="s">
        <v>82</v>
      </c>
      <c r="M2732" t="s">
        <v>2579</v>
      </c>
    </row>
    <row r="2733" spans="1:13">
      <c r="A2733">
        <v>45885</v>
      </c>
      <c r="B2733" t="s">
        <v>2580</v>
      </c>
      <c r="F2733">
        <v>1</v>
      </c>
      <c r="G2733" t="s">
        <v>64</v>
      </c>
      <c r="L2733" t="s">
        <v>82</v>
      </c>
      <c r="M2733" t="s">
        <v>2579</v>
      </c>
    </row>
    <row r="2734" spans="1:13">
      <c r="A2734">
        <v>45886</v>
      </c>
      <c r="B2734" t="s">
        <v>2581</v>
      </c>
      <c r="D2734">
        <v>500</v>
      </c>
      <c r="F2734">
        <v>1</v>
      </c>
      <c r="G2734" t="s">
        <v>22</v>
      </c>
      <c r="H2734" t="s">
        <v>21</v>
      </c>
      <c r="I2734" t="s">
        <v>60</v>
      </c>
      <c r="J2734" t="s">
        <v>61</v>
      </c>
      <c r="L2734" t="s">
        <v>86</v>
      </c>
    </row>
    <row r="2735" spans="1:13">
      <c r="A2735">
        <v>45886</v>
      </c>
      <c r="B2735" t="s">
        <v>2582</v>
      </c>
      <c r="D2735">
        <v>500</v>
      </c>
      <c r="F2735">
        <v>1</v>
      </c>
      <c r="G2735" t="s">
        <v>22</v>
      </c>
      <c r="H2735" t="s">
        <v>21</v>
      </c>
      <c r="I2735" t="s">
        <v>60</v>
      </c>
      <c r="J2735" t="s">
        <v>61</v>
      </c>
      <c r="L2735" t="s">
        <v>86</v>
      </c>
    </row>
    <row r="2736" spans="1:13">
      <c r="A2736">
        <v>45886</v>
      </c>
      <c r="B2736" t="s">
        <v>63</v>
      </c>
      <c r="D2736">
        <v>21500</v>
      </c>
      <c r="G2736" t="s">
        <v>70</v>
      </c>
      <c r="I2736" t="s">
        <v>60</v>
      </c>
      <c r="J2736" t="s">
        <v>61</v>
      </c>
      <c r="L2736" t="s">
        <v>62</v>
      </c>
    </row>
    <row r="2737" spans="1:13">
      <c r="A2737">
        <v>45886</v>
      </c>
      <c r="B2737" t="s">
        <v>80</v>
      </c>
      <c r="E2737">
        <v>9408</v>
      </c>
      <c r="F2737">
        <v>1</v>
      </c>
      <c r="G2737" t="s">
        <v>74</v>
      </c>
      <c r="H2737" t="s">
        <v>75</v>
      </c>
      <c r="I2737" t="s">
        <v>60</v>
      </c>
      <c r="J2737" t="s">
        <v>61</v>
      </c>
      <c r="L2737" t="s">
        <v>87</v>
      </c>
    </row>
    <row r="2738" spans="1:13">
      <c r="A2738">
        <v>45886</v>
      </c>
      <c r="B2738" t="s">
        <v>80</v>
      </c>
      <c r="E2738">
        <v>92</v>
      </c>
      <c r="F2738">
        <v>1</v>
      </c>
      <c r="G2738" t="s">
        <v>65</v>
      </c>
      <c r="H2738" t="s">
        <v>66</v>
      </c>
      <c r="I2738" t="s">
        <v>60</v>
      </c>
      <c r="J2738" t="s">
        <v>61</v>
      </c>
      <c r="L2738" t="s">
        <v>62</v>
      </c>
    </row>
    <row r="2739" spans="1:13">
      <c r="A2739">
        <v>45886</v>
      </c>
      <c r="B2739" t="s">
        <v>2583</v>
      </c>
      <c r="D2739">
        <v>500</v>
      </c>
      <c r="F2739">
        <v>0</v>
      </c>
      <c r="G2739" t="s">
        <v>22</v>
      </c>
      <c r="H2739" t="s">
        <v>21</v>
      </c>
      <c r="I2739" t="s">
        <v>60</v>
      </c>
      <c r="J2739" t="s">
        <v>61</v>
      </c>
      <c r="L2739" t="s">
        <v>86</v>
      </c>
      <c r="M2739" t="s">
        <v>548</v>
      </c>
    </row>
    <row r="2740" spans="1:13">
      <c r="A2740">
        <v>45886</v>
      </c>
      <c r="B2740" t="s">
        <v>2584</v>
      </c>
      <c r="F2740">
        <v>1</v>
      </c>
      <c r="G2740" t="s">
        <v>64</v>
      </c>
      <c r="L2740" t="s">
        <v>86</v>
      </c>
      <c r="M2740" t="s">
        <v>1016</v>
      </c>
    </row>
    <row r="2741" spans="1:13">
      <c r="A2741">
        <v>45886</v>
      </c>
      <c r="B2741" t="s">
        <v>2585</v>
      </c>
      <c r="F2741">
        <v>1</v>
      </c>
      <c r="G2741" t="s">
        <v>79</v>
      </c>
      <c r="H2741" t="s">
        <v>21</v>
      </c>
      <c r="L2741" t="s">
        <v>89</v>
      </c>
    </row>
    <row r="2742" spans="1:13">
      <c r="A2742">
        <v>45886</v>
      </c>
      <c r="B2742" t="s">
        <v>2585</v>
      </c>
      <c r="F2742">
        <v>1</v>
      </c>
      <c r="G2742" t="s">
        <v>64</v>
      </c>
      <c r="L2742" t="s">
        <v>89</v>
      </c>
      <c r="M2742" t="s">
        <v>2385</v>
      </c>
    </row>
    <row r="2743" spans="1:13">
      <c r="A2743">
        <v>45886</v>
      </c>
      <c r="B2743" t="s">
        <v>2586</v>
      </c>
      <c r="F2743">
        <v>1</v>
      </c>
      <c r="G2743" t="s">
        <v>79</v>
      </c>
      <c r="H2743" t="s">
        <v>21</v>
      </c>
      <c r="L2743" t="s">
        <v>86</v>
      </c>
    </row>
    <row r="2744" spans="1:13">
      <c r="A2744">
        <v>45886</v>
      </c>
      <c r="B2744" t="s">
        <v>2587</v>
      </c>
      <c r="F2744">
        <v>1</v>
      </c>
      <c r="G2744" t="s">
        <v>64</v>
      </c>
      <c r="L2744" t="s">
        <v>89</v>
      </c>
      <c r="M2744" t="s">
        <v>96</v>
      </c>
    </row>
    <row r="2745" spans="1:13">
      <c r="A2745">
        <v>45886</v>
      </c>
      <c r="B2745" t="s">
        <v>2588</v>
      </c>
      <c r="F2745">
        <v>1</v>
      </c>
      <c r="G2745" t="s">
        <v>79</v>
      </c>
      <c r="H2745" t="s">
        <v>21</v>
      </c>
      <c r="L2745" t="s">
        <v>89</v>
      </c>
    </row>
    <row r="2746" spans="1:13">
      <c r="A2746">
        <v>45886</v>
      </c>
      <c r="B2746" t="s">
        <v>2588</v>
      </c>
      <c r="F2746">
        <v>1</v>
      </c>
      <c r="G2746" t="s">
        <v>64</v>
      </c>
      <c r="L2746" t="s">
        <v>89</v>
      </c>
      <c r="M2746" t="s">
        <v>96</v>
      </c>
    </row>
    <row r="2747" spans="1:13">
      <c r="A2747">
        <v>45886</v>
      </c>
      <c r="B2747" t="s">
        <v>2589</v>
      </c>
      <c r="D2747">
        <v>500</v>
      </c>
      <c r="F2747">
        <v>1</v>
      </c>
      <c r="G2747" t="s">
        <v>22</v>
      </c>
      <c r="H2747" t="s">
        <v>21</v>
      </c>
      <c r="I2747" t="s">
        <v>60</v>
      </c>
      <c r="J2747" t="s">
        <v>61</v>
      </c>
      <c r="L2747" t="s">
        <v>89</v>
      </c>
    </row>
    <row r="2748" spans="1:13">
      <c r="A2748">
        <v>45886</v>
      </c>
      <c r="B2748" t="s">
        <v>63</v>
      </c>
      <c r="D2748">
        <v>38000</v>
      </c>
      <c r="F2748">
        <v>4</v>
      </c>
      <c r="G2748" t="s">
        <v>70</v>
      </c>
      <c r="I2748" t="s">
        <v>71</v>
      </c>
      <c r="J2748" t="s">
        <v>72</v>
      </c>
      <c r="K2748" t="s">
        <v>2590</v>
      </c>
      <c r="L2748" t="s">
        <v>62</v>
      </c>
      <c r="M2748" t="s">
        <v>90</v>
      </c>
    </row>
    <row r="2749" spans="1:13">
      <c r="A2749">
        <v>45887</v>
      </c>
      <c r="B2749" t="s">
        <v>81</v>
      </c>
      <c r="D2749">
        <v>70000</v>
      </c>
      <c r="F2749">
        <v>1</v>
      </c>
      <c r="G2749" t="s">
        <v>74</v>
      </c>
      <c r="H2749" t="s">
        <v>75</v>
      </c>
      <c r="I2749" t="s">
        <v>60</v>
      </c>
      <c r="J2749" t="s">
        <v>61</v>
      </c>
      <c r="L2749" t="s">
        <v>88</v>
      </c>
    </row>
    <row r="2750" spans="1:13">
      <c r="A2750">
        <v>45887</v>
      </c>
      <c r="B2750" t="s">
        <v>238</v>
      </c>
      <c r="C2750" t="s">
        <v>2591</v>
      </c>
      <c r="D2750" t="s">
        <v>28</v>
      </c>
      <c r="F2750">
        <v>8</v>
      </c>
      <c r="G2750" t="s">
        <v>22</v>
      </c>
      <c r="H2750" t="s">
        <v>21</v>
      </c>
      <c r="L2750" t="s">
        <v>95</v>
      </c>
    </row>
    <row r="2751" spans="1:13">
      <c r="A2751">
        <v>45887</v>
      </c>
      <c r="B2751" t="s">
        <v>2592</v>
      </c>
      <c r="D2751">
        <v>500</v>
      </c>
      <c r="F2751">
        <v>1</v>
      </c>
      <c r="G2751" t="s">
        <v>22</v>
      </c>
      <c r="H2751" t="s">
        <v>21</v>
      </c>
      <c r="I2751" t="s">
        <v>60</v>
      </c>
      <c r="J2751" t="s">
        <v>61</v>
      </c>
      <c r="L2751" t="s">
        <v>89</v>
      </c>
    </row>
    <row r="2752" spans="1:13">
      <c r="A2752">
        <v>45887</v>
      </c>
      <c r="B2752" t="s">
        <v>2028</v>
      </c>
      <c r="D2752">
        <v>500</v>
      </c>
      <c r="F2752">
        <v>1</v>
      </c>
      <c r="G2752" t="s">
        <v>22</v>
      </c>
      <c r="H2752" t="s">
        <v>21</v>
      </c>
      <c r="I2752" t="s">
        <v>60</v>
      </c>
      <c r="J2752" t="s">
        <v>61</v>
      </c>
      <c r="L2752" t="s">
        <v>89</v>
      </c>
    </row>
    <row r="2753" spans="1:13">
      <c r="A2753">
        <v>45887</v>
      </c>
      <c r="B2753" t="s">
        <v>2593</v>
      </c>
      <c r="D2753">
        <v>500</v>
      </c>
      <c r="F2753">
        <v>1</v>
      </c>
      <c r="G2753" t="s">
        <v>22</v>
      </c>
      <c r="H2753" t="s">
        <v>21</v>
      </c>
      <c r="I2753" t="s">
        <v>60</v>
      </c>
      <c r="J2753" t="s">
        <v>61</v>
      </c>
      <c r="L2753" t="s">
        <v>82</v>
      </c>
    </row>
    <row r="2754" spans="1:13">
      <c r="A2754">
        <v>45887</v>
      </c>
      <c r="B2754" t="s">
        <v>2594</v>
      </c>
      <c r="D2754">
        <v>500</v>
      </c>
      <c r="F2754">
        <v>1</v>
      </c>
      <c r="G2754" t="s">
        <v>22</v>
      </c>
      <c r="H2754" t="s">
        <v>21</v>
      </c>
      <c r="I2754" t="s">
        <v>60</v>
      </c>
      <c r="J2754" t="s">
        <v>61</v>
      </c>
      <c r="L2754" t="s">
        <v>82</v>
      </c>
    </row>
    <row r="2755" spans="1:13">
      <c r="A2755">
        <v>45887</v>
      </c>
      <c r="B2755" t="s">
        <v>2595</v>
      </c>
      <c r="F2755">
        <v>1</v>
      </c>
      <c r="G2755" t="s">
        <v>79</v>
      </c>
      <c r="H2755" t="s">
        <v>21</v>
      </c>
      <c r="L2755" t="s">
        <v>82</v>
      </c>
    </row>
    <row r="2756" spans="1:13">
      <c r="A2756">
        <v>45887</v>
      </c>
      <c r="B2756" t="s">
        <v>2596</v>
      </c>
      <c r="F2756">
        <v>1</v>
      </c>
      <c r="G2756" t="s">
        <v>79</v>
      </c>
      <c r="H2756" t="s">
        <v>21</v>
      </c>
      <c r="L2756" t="s">
        <v>89</v>
      </c>
    </row>
    <row r="2757" spans="1:13">
      <c r="A2757">
        <v>45887</v>
      </c>
      <c r="B2757" t="s">
        <v>2597</v>
      </c>
      <c r="F2757">
        <v>1</v>
      </c>
      <c r="G2757" t="s">
        <v>107</v>
      </c>
      <c r="H2757" t="s">
        <v>21</v>
      </c>
      <c r="L2757" t="s">
        <v>89</v>
      </c>
      <c r="M2757" t="s">
        <v>2598</v>
      </c>
    </row>
    <row r="2758" spans="1:13">
      <c r="A2758">
        <v>45887</v>
      </c>
      <c r="B2758" t="s">
        <v>2599</v>
      </c>
      <c r="D2758">
        <v>500</v>
      </c>
      <c r="F2758">
        <v>1</v>
      </c>
      <c r="G2758" t="s">
        <v>22</v>
      </c>
      <c r="H2758" t="s">
        <v>21</v>
      </c>
      <c r="I2758" t="s">
        <v>60</v>
      </c>
      <c r="J2758" t="s">
        <v>61</v>
      </c>
      <c r="L2758" t="s">
        <v>89</v>
      </c>
    </row>
    <row r="2759" spans="1:13">
      <c r="A2759">
        <v>45887</v>
      </c>
      <c r="B2759" t="s">
        <v>2600</v>
      </c>
      <c r="F2759">
        <v>1</v>
      </c>
      <c r="G2759" t="s">
        <v>564</v>
      </c>
      <c r="H2759" t="s">
        <v>21</v>
      </c>
      <c r="L2759" t="s">
        <v>82</v>
      </c>
    </row>
    <row r="2760" spans="1:13">
      <c r="A2760">
        <v>45887</v>
      </c>
      <c r="B2760" t="s">
        <v>2600</v>
      </c>
      <c r="F2760">
        <v>1</v>
      </c>
      <c r="G2760" t="s">
        <v>64</v>
      </c>
      <c r="L2760" t="s">
        <v>82</v>
      </c>
      <c r="M2760" t="s">
        <v>2601</v>
      </c>
    </row>
    <row r="2761" spans="1:13">
      <c r="A2761">
        <v>45887</v>
      </c>
      <c r="B2761" t="s">
        <v>2602</v>
      </c>
      <c r="D2761">
        <v>500</v>
      </c>
      <c r="F2761">
        <v>1</v>
      </c>
      <c r="G2761" t="s">
        <v>22</v>
      </c>
      <c r="H2761" t="s">
        <v>21</v>
      </c>
      <c r="I2761" t="s">
        <v>60</v>
      </c>
      <c r="J2761" t="s">
        <v>61</v>
      </c>
      <c r="L2761" t="s">
        <v>82</v>
      </c>
    </row>
    <row r="2762" spans="1:13">
      <c r="A2762">
        <v>45887</v>
      </c>
      <c r="B2762" t="s">
        <v>2603</v>
      </c>
      <c r="F2762">
        <v>1</v>
      </c>
      <c r="G2762" t="s">
        <v>377</v>
      </c>
      <c r="H2762" t="s">
        <v>21</v>
      </c>
      <c r="L2762" t="s">
        <v>82</v>
      </c>
    </row>
    <row r="2763" spans="1:13">
      <c r="A2763">
        <v>45887</v>
      </c>
      <c r="B2763" t="s">
        <v>2603</v>
      </c>
      <c r="F2763">
        <v>1</v>
      </c>
      <c r="G2763" t="s">
        <v>64</v>
      </c>
      <c r="L2763" t="s">
        <v>82</v>
      </c>
      <c r="M2763" t="s">
        <v>2604</v>
      </c>
    </row>
    <row r="2764" spans="1:13">
      <c r="A2764">
        <v>45887</v>
      </c>
      <c r="B2764" t="s">
        <v>2605</v>
      </c>
      <c r="D2764">
        <v>500</v>
      </c>
      <c r="F2764">
        <v>1</v>
      </c>
      <c r="G2764" t="s">
        <v>22</v>
      </c>
      <c r="H2764" t="s">
        <v>21</v>
      </c>
      <c r="I2764" t="s">
        <v>60</v>
      </c>
      <c r="J2764" t="s">
        <v>61</v>
      </c>
      <c r="L2764" t="s">
        <v>82</v>
      </c>
    </row>
    <row r="2765" spans="1:13">
      <c r="A2765">
        <v>45887</v>
      </c>
      <c r="B2765" t="s">
        <v>63</v>
      </c>
      <c r="D2765">
        <v>5000</v>
      </c>
      <c r="G2765" t="s">
        <v>70</v>
      </c>
      <c r="I2765" t="s">
        <v>60</v>
      </c>
      <c r="J2765" t="s">
        <v>61</v>
      </c>
      <c r="L2765" t="s">
        <v>62</v>
      </c>
    </row>
    <row r="2766" spans="1:13">
      <c r="A2766">
        <v>45887</v>
      </c>
      <c r="B2766" t="s">
        <v>2606</v>
      </c>
      <c r="D2766">
        <v>500</v>
      </c>
      <c r="F2766">
        <v>1</v>
      </c>
      <c r="G2766" t="s">
        <v>22</v>
      </c>
      <c r="H2766" t="s">
        <v>21</v>
      </c>
      <c r="I2766" t="s">
        <v>60</v>
      </c>
      <c r="J2766" t="s">
        <v>61</v>
      </c>
      <c r="L2766" t="s">
        <v>82</v>
      </c>
    </row>
    <row r="2767" spans="1:13">
      <c r="A2767">
        <v>45888</v>
      </c>
      <c r="B2767" t="s">
        <v>2607</v>
      </c>
      <c r="D2767">
        <v>500</v>
      </c>
      <c r="F2767">
        <v>1</v>
      </c>
      <c r="G2767" t="s">
        <v>22</v>
      </c>
      <c r="H2767" t="s">
        <v>21</v>
      </c>
      <c r="I2767" t="s">
        <v>60</v>
      </c>
      <c r="J2767" t="s">
        <v>61</v>
      </c>
      <c r="L2767" t="s">
        <v>82</v>
      </c>
    </row>
    <row r="2768" spans="1:13">
      <c r="A2768">
        <v>45888</v>
      </c>
      <c r="B2768" t="s">
        <v>2608</v>
      </c>
      <c r="F2768">
        <v>1</v>
      </c>
      <c r="G2768" t="s">
        <v>79</v>
      </c>
      <c r="H2768" t="s">
        <v>21</v>
      </c>
      <c r="L2768" t="s">
        <v>82</v>
      </c>
    </row>
    <row r="2769" spans="1:13">
      <c r="A2769">
        <v>45888</v>
      </c>
      <c r="B2769" t="s">
        <v>63</v>
      </c>
      <c r="D2769">
        <v>25500</v>
      </c>
      <c r="F2769">
        <v>4</v>
      </c>
      <c r="G2769" t="s">
        <v>70</v>
      </c>
      <c r="I2769" t="s">
        <v>71</v>
      </c>
      <c r="J2769" t="s">
        <v>72</v>
      </c>
      <c r="K2769" t="s">
        <v>2609</v>
      </c>
      <c r="L2769" t="s">
        <v>62</v>
      </c>
      <c r="M2769" t="s">
        <v>90</v>
      </c>
    </row>
    <row r="2770" spans="1:13">
      <c r="A2770">
        <v>45888</v>
      </c>
      <c r="B2770" t="s">
        <v>2610</v>
      </c>
      <c r="D2770">
        <v>500</v>
      </c>
      <c r="F2770">
        <v>1</v>
      </c>
      <c r="G2770" t="s">
        <v>22</v>
      </c>
      <c r="H2770" t="s">
        <v>21</v>
      </c>
      <c r="I2770" t="s">
        <v>60</v>
      </c>
      <c r="J2770" t="s">
        <v>61</v>
      </c>
      <c r="L2770" t="s">
        <v>89</v>
      </c>
    </row>
    <row r="2771" spans="1:13">
      <c r="A2771">
        <v>45888</v>
      </c>
      <c r="B2771" t="s">
        <v>2611</v>
      </c>
      <c r="F2771">
        <v>1</v>
      </c>
      <c r="G2771" t="s">
        <v>2490</v>
      </c>
      <c r="L2771" t="s">
        <v>89</v>
      </c>
      <c r="M2771" t="s">
        <v>2491</v>
      </c>
    </row>
    <row r="2772" spans="1:13">
      <c r="A2772">
        <v>45888</v>
      </c>
      <c r="B2772" t="s">
        <v>2612</v>
      </c>
      <c r="F2772">
        <v>1</v>
      </c>
      <c r="G2772" t="s">
        <v>64</v>
      </c>
      <c r="L2772" t="s">
        <v>89</v>
      </c>
      <c r="M2772" t="s">
        <v>2613</v>
      </c>
    </row>
    <row r="2773" spans="1:13">
      <c r="A2773">
        <v>45888</v>
      </c>
      <c r="B2773" t="s">
        <v>63</v>
      </c>
      <c r="D2773">
        <v>38500</v>
      </c>
      <c r="G2773" t="s">
        <v>70</v>
      </c>
      <c r="I2773" t="s">
        <v>60</v>
      </c>
      <c r="J2773" t="s">
        <v>61</v>
      </c>
      <c r="L2773" t="s">
        <v>62</v>
      </c>
    </row>
    <row r="2774" spans="1:13">
      <c r="A2774">
        <v>45888</v>
      </c>
      <c r="B2774" t="s">
        <v>76</v>
      </c>
      <c r="D2774">
        <v>8000</v>
      </c>
      <c r="G2774" t="s">
        <v>77</v>
      </c>
      <c r="I2774" t="s">
        <v>60</v>
      </c>
      <c r="J2774" t="s">
        <v>61</v>
      </c>
      <c r="L2774" t="s">
        <v>62</v>
      </c>
    </row>
    <row r="2775" spans="1:13">
      <c r="A2775">
        <v>45888</v>
      </c>
      <c r="B2775" t="s">
        <v>2614</v>
      </c>
      <c r="F2775">
        <v>1</v>
      </c>
      <c r="G2775" t="s">
        <v>79</v>
      </c>
      <c r="H2775" t="s">
        <v>21</v>
      </c>
      <c r="L2775" t="s">
        <v>89</v>
      </c>
    </row>
    <row r="2776" spans="1:13">
      <c r="A2776">
        <v>45889</v>
      </c>
      <c r="B2776" t="s">
        <v>2615</v>
      </c>
      <c r="D2776">
        <v>500</v>
      </c>
      <c r="F2776">
        <v>1</v>
      </c>
      <c r="G2776" t="s">
        <v>22</v>
      </c>
      <c r="H2776" t="s">
        <v>21</v>
      </c>
      <c r="I2776" t="s">
        <v>60</v>
      </c>
      <c r="J2776" t="s">
        <v>61</v>
      </c>
      <c r="L2776" t="s">
        <v>82</v>
      </c>
    </row>
    <row r="2777" spans="1:13">
      <c r="A2777">
        <v>45889</v>
      </c>
      <c r="B2777" t="s">
        <v>2616</v>
      </c>
      <c r="D2777">
        <v>500</v>
      </c>
      <c r="F2777">
        <v>1</v>
      </c>
      <c r="G2777" t="s">
        <v>22</v>
      </c>
      <c r="H2777" t="s">
        <v>21</v>
      </c>
      <c r="I2777" t="s">
        <v>60</v>
      </c>
      <c r="J2777" t="s">
        <v>61</v>
      </c>
      <c r="L2777" t="s">
        <v>82</v>
      </c>
    </row>
    <row r="2778" spans="1:13">
      <c r="A2778">
        <v>45889</v>
      </c>
      <c r="B2778" t="s">
        <v>2617</v>
      </c>
      <c r="D2778">
        <v>500</v>
      </c>
      <c r="F2778">
        <v>1</v>
      </c>
      <c r="G2778" t="s">
        <v>22</v>
      </c>
      <c r="H2778" t="s">
        <v>21</v>
      </c>
      <c r="I2778" t="s">
        <v>60</v>
      </c>
      <c r="J2778" t="s">
        <v>61</v>
      </c>
      <c r="L2778" t="s">
        <v>82</v>
      </c>
    </row>
    <row r="2779" spans="1:13">
      <c r="A2779">
        <v>45889</v>
      </c>
      <c r="B2779" t="s">
        <v>2618</v>
      </c>
      <c r="F2779">
        <v>1</v>
      </c>
      <c r="G2779" t="s">
        <v>590</v>
      </c>
      <c r="H2779" t="s">
        <v>21</v>
      </c>
      <c r="L2779" t="s">
        <v>82</v>
      </c>
      <c r="M2779" t="s">
        <v>2619</v>
      </c>
    </row>
    <row r="2780" spans="1:13">
      <c r="A2780">
        <v>45889</v>
      </c>
      <c r="B2780" t="s">
        <v>2620</v>
      </c>
      <c r="F2780">
        <v>1</v>
      </c>
      <c r="G2780" t="s">
        <v>590</v>
      </c>
      <c r="H2780" t="s">
        <v>21</v>
      </c>
      <c r="L2780" t="s">
        <v>82</v>
      </c>
      <c r="M2780" t="s">
        <v>2621</v>
      </c>
    </row>
    <row r="2781" spans="1:13">
      <c r="A2781">
        <v>45889</v>
      </c>
      <c r="B2781" t="s">
        <v>2622</v>
      </c>
      <c r="F2781">
        <v>1</v>
      </c>
      <c r="G2781" t="s">
        <v>22</v>
      </c>
      <c r="H2781" t="s">
        <v>21</v>
      </c>
      <c r="L2781" t="s">
        <v>101</v>
      </c>
      <c r="M2781" t="s">
        <v>2623</v>
      </c>
    </row>
    <row r="2782" spans="1:13">
      <c r="A2782">
        <v>45889</v>
      </c>
      <c r="B2782" t="s">
        <v>2624</v>
      </c>
      <c r="D2782">
        <v>500</v>
      </c>
      <c r="F2782">
        <v>1</v>
      </c>
      <c r="G2782" t="s">
        <v>22</v>
      </c>
      <c r="H2782" t="s">
        <v>21</v>
      </c>
      <c r="I2782" t="s">
        <v>60</v>
      </c>
      <c r="J2782" t="s">
        <v>61</v>
      </c>
      <c r="L2782" t="s">
        <v>82</v>
      </c>
    </row>
    <row r="2783" spans="1:13">
      <c r="A2783">
        <v>45890</v>
      </c>
      <c r="B2783" t="s">
        <v>76</v>
      </c>
      <c r="D2783">
        <v>16100</v>
      </c>
      <c r="G2783" t="s">
        <v>77</v>
      </c>
      <c r="I2783" t="s">
        <v>60</v>
      </c>
      <c r="J2783" t="s">
        <v>61</v>
      </c>
      <c r="L2783" t="s">
        <v>62</v>
      </c>
    </row>
    <row r="2784" spans="1:13">
      <c r="A2784">
        <v>45890</v>
      </c>
      <c r="B2784" t="s">
        <v>2625</v>
      </c>
      <c r="D2784">
        <v>500</v>
      </c>
      <c r="F2784">
        <v>1</v>
      </c>
      <c r="G2784" t="s">
        <v>22</v>
      </c>
      <c r="H2784" t="s">
        <v>21</v>
      </c>
      <c r="I2784" t="s">
        <v>60</v>
      </c>
      <c r="J2784" t="s">
        <v>61</v>
      </c>
      <c r="L2784" t="s">
        <v>89</v>
      </c>
    </row>
    <row r="2785" spans="1:13">
      <c r="A2785">
        <v>45890</v>
      </c>
      <c r="B2785" t="s">
        <v>63</v>
      </c>
      <c r="D2785">
        <v>100</v>
      </c>
      <c r="F2785">
        <v>1</v>
      </c>
      <c r="G2785" t="s">
        <v>22</v>
      </c>
      <c r="H2785" t="s">
        <v>93</v>
      </c>
      <c r="I2785" t="s">
        <v>60</v>
      </c>
      <c r="J2785" t="s">
        <v>61</v>
      </c>
      <c r="L2785" t="s">
        <v>62</v>
      </c>
    </row>
    <row r="2786" spans="1:13">
      <c r="A2786">
        <v>45890</v>
      </c>
      <c r="B2786" t="s">
        <v>63</v>
      </c>
      <c r="D2786">
        <v>5500</v>
      </c>
      <c r="G2786" t="s">
        <v>70</v>
      </c>
      <c r="I2786" t="s">
        <v>60</v>
      </c>
      <c r="J2786" t="s">
        <v>61</v>
      </c>
      <c r="L2786" t="s">
        <v>62</v>
      </c>
    </row>
    <row r="2787" spans="1:13">
      <c r="A2787">
        <v>45890</v>
      </c>
      <c r="B2787" t="s">
        <v>2626</v>
      </c>
      <c r="F2787">
        <v>1</v>
      </c>
      <c r="G2787" t="s">
        <v>2490</v>
      </c>
      <c r="L2787" t="s">
        <v>89</v>
      </c>
      <c r="M2787" t="s">
        <v>2491</v>
      </c>
    </row>
    <row r="2788" spans="1:13">
      <c r="A2788">
        <v>45890</v>
      </c>
      <c r="B2788" t="s">
        <v>2627</v>
      </c>
      <c r="F2788">
        <v>1</v>
      </c>
      <c r="G2788" t="s">
        <v>79</v>
      </c>
      <c r="H2788" t="s">
        <v>21</v>
      </c>
      <c r="L2788" t="s">
        <v>86</v>
      </c>
    </row>
    <row r="2789" spans="1:13">
      <c r="A2789">
        <v>45890</v>
      </c>
      <c r="B2789" t="s">
        <v>2627</v>
      </c>
      <c r="D2789">
        <v>0</v>
      </c>
      <c r="F2789">
        <v>0</v>
      </c>
      <c r="G2789" t="s">
        <v>22</v>
      </c>
      <c r="H2789" t="s">
        <v>21</v>
      </c>
      <c r="I2789" t="s">
        <v>60</v>
      </c>
      <c r="J2789" t="s">
        <v>61</v>
      </c>
      <c r="L2789" t="s">
        <v>86</v>
      </c>
      <c r="M2789" t="s">
        <v>548</v>
      </c>
    </row>
    <row r="2790" spans="1:13">
      <c r="A2790">
        <v>45890</v>
      </c>
      <c r="B2790" t="s">
        <v>2628</v>
      </c>
      <c r="D2790">
        <v>500</v>
      </c>
      <c r="F2790">
        <v>1</v>
      </c>
      <c r="G2790" t="s">
        <v>22</v>
      </c>
      <c r="H2790" t="s">
        <v>21</v>
      </c>
      <c r="I2790" t="s">
        <v>60</v>
      </c>
      <c r="J2790" t="s">
        <v>61</v>
      </c>
      <c r="L2790" t="s">
        <v>89</v>
      </c>
    </row>
    <row r="2791" spans="1:13">
      <c r="A2791">
        <v>45890</v>
      </c>
      <c r="B2791" t="s">
        <v>81</v>
      </c>
      <c r="D2791">
        <v>45000</v>
      </c>
      <c r="F2791">
        <v>1</v>
      </c>
      <c r="G2791" t="s">
        <v>74</v>
      </c>
      <c r="H2791" t="s">
        <v>75</v>
      </c>
      <c r="I2791" t="s">
        <v>60</v>
      </c>
      <c r="J2791" t="s">
        <v>61</v>
      </c>
      <c r="L2791" t="s">
        <v>88</v>
      </c>
    </row>
    <row r="2792" spans="1:13">
      <c r="A2792">
        <v>45890</v>
      </c>
      <c r="B2792" t="s">
        <v>2629</v>
      </c>
      <c r="D2792">
        <v>500</v>
      </c>
      <c r="F2792">
        <v>1</v>
      </c>
      <c r="G2792" t="s">
        <v>22</v>
      </c>
      <c r="H2792" t="s">
        <v>21</v>
      </c>
      <c r="I2792" t="s">
        <v>60</v>
      </c>
      <c r="J2792" t="s">
        <v>61</v>
      </c>
      <c r="L2792" t="s">
        <v>86</v>
      </c>
    </row>
    <row r="2793" spans="1:13">
      <c r="A2793">
        <v>45890</v>
      </c>
      <c r="B2793" t="s">
        <v>2630</v>
      </c>
      <c r="D2793">
        <v>500</v>
      </c>
      <c r="F2793">
        <v>0</v>
      </c>
      <c r="G2793" t="s">
        <v>22</v>
      </c>
      <c r="H2793" t="s">
        <v>21</v>
      </c>
      <c r="I2793" t="s">
        <v>60</v>
      </c>
      <c r="J2793" t="s">
        <v>61</v>
      </c>
      <c r="L2793" t="s">
        <v>86</v>
      </c>
      <c r="M2793" t="s">
        <v>548</v>
      </c>
    </row>
    <row r="2794" spans="1:13">
      <c r="A2794">
        <v>45891</v>
      </c>
      <c r="B2794" t="s">
        <v>2631</v>
      </c>
      <c r="F2794">
        <v>1</v>
      </c>
      <c r="G2794" t="s">
        <v>79</v>
      </c>
      <c r="H2794" t="s">
        <v>21</v>
      </c>
      <c r="L2794" t="s">
        <v>89</v>
      </c>
    </row>
    <row r="2795" spans="1:13">
      <c r="A2795">
        <v>45891</v>
      </c>
      <c r="B2795" t="s">
        <v>2631</v>
      </c>
      <c r="D2795">
        <v>0</v>
      </c>
      <c r="F2795">
        <v>0</v>
      </c>
      <c r="G2795" t="s">
        <v>22</v>
      </c>
      <c r="H2795" t="s">
        <v>21</v>
      </c>
      <c r="I2795" t="s">
        <v>60</v>
      </c>
      <c r="J2795" t="s">
        <v>61</v>
      </c>
      <c r="L2795" t="s">
        <v>89</v>
      </c>
    </row>
    <row r="2796" spans="1:13">
      <c r="A2796">
        <v>45891</v>
      </c>
      <c r="B2796" t="s">
        <v>2632</v>
      </c>
      <c r="F2796">
        <v>1</v>
      </c>
      <c r="G2796" t="s">
        <v>64</v>
      </c>
      <c r="L2796" t="s">
        <v>89</v>
      </c>
      <c r="M2796" t="s">
        <v>1084</v>
      </c>
    </row>
    <row r="2797" spans="1:13">
      <c r="A2797">
        <v>45891</v>
      </c>
      <c r="B2797" t="s">
        <v>63</v>
      </c>
      <c r="D2797">
        <v>10000</v>
      </c>
      <c r="F2797">
        <v>2</v>
      </c>
      <c r="G2797" t="s">
        <v>70</v>
      </c>
      <c r="I2797" t="s">
        <v>71</v>
      </c>
      <c r="J2797" t="s">
        <v>72</v>
      </c>
      <c r="K2797" t="s">
        <v>2633</v>
      </c>
      <c r="L2797" t="s">
        <v>62</v>
      </c>
      <c r="M2797" t="s">
        <v>90</v>
      </c>
    </row>
    <row r="2798" spans="1:13">
      <c r="A2798">
        <v>45891</v>
      </c>
      <c r="B2798" t="s">
        <v>63</v>
      </c>
      <c r="D2798">
        <v>12500</v>
      </c>
      <c r="G2798" t="s">
        <v>70</v>
      </c>
      <c r="I2798" t="s">
        <v>60</v>
      </c>
      <c r="J2798" t="s">
        <v>61</v>
      </c>
      <c r="L2798" t="s">
        <v>62</v>
      </c>
    </row>
    <row r="2799" spans="1:13">
      <c r="A2799">
        <v>45891</v>
      </c>
      <c r="B2799" t="s">
        <v>2634</v>
      </c>
      <c r="F2799">
        <v>1</v>
      </c>
      <c r="G2799" t="s">
        <v>107</v>
      </c>
      <c r="H2799" t="s">
        <v>21</v>
      </c>
      <c r="L2799" t="s">
        <v>89</v>
      </c>
      <c r="M2799" t="s">
        <v>2635</v>
      </c>
    </row>
    <row r="2800" spans="1:13">
      <c r="A2800">
        <v>45891</v>
      </c>
      <c r="B2800" t="s">
        <v>2636</v>
      </c>
      <c r="D2800">
        <v>500</v>
      </c>
      <c r="F2800">
        <v>1</v>
      </c>
      <c r="G2800" t="s">
        <v>22</v>
      </c>
      <c r="H2800" t="s">
        <v>21</v>
      </c>
      <c r="I2800" t="s">
        <v>60</v>
      </c>
      <c r="J2800" t="s">
        <v>61</v>
      </c>
      <c r="L2800" t="s">
        <v>82</v>
      </c>
    </row>
    <row r="2801" spans="1:13">
      <c r="A2801">
        <v>45891</v>
      </c>
      <c r="B2801" t="s">
        <v>2637</v>
      </c>
      <c r="D2801">
        <v>500</v>
      </c>
      <c r="F2801">
        <v>1</v>
      </c>
      <c r="G2801" t="s">
        <v>22</v>
      </c>
      <c r="H2801" t="s">
        <v>21</v>
      </c>
      <c r="I2801" t="s">
        <v>60</v>
      </c>
      <c r="J2801" t="s">
        <v>61</v>
      </c>
      <c r="L2801" t="s">
        <v>82</v>
      </c>
    </row>
    <row r="2802" spans="1:13">
      <c r="A2802">
        <v>45891</v>
      </c>
      <c r="B2802" t="s">
        <v>2638</v>
      </c>
      <c r="F2802">
        <v>1</v>
      </c>
      <c r="G2802" t="s">
        <v>64</v>
      </c>
      <c r="L2802" t="s">
        <v>82</v>
      </c>
      <c r="M2802" t="s">
        <v>2639</v>
      </c>
    </row>
    <row r="2803" spans="1:13">
      <c r="A2803">
        <v>45891</v>
      </c>
      <c r="B2803" t="s">
        <v>63</v>
      </c>
      <c r="D2803">
        <v>7500</v>
      </c>
      <c r="F2803">
        <v>1</v>
      </c>
      <c r="G2803" t="s">
        <v>70</v>
      </c>
      <c r="I2803" t="s">
        <v>71</v>
      </c>
      <c r="J2803" t="s">
        <v>535</v>
      </c>
      <c r="K2803" t="s">
        <v>2640</v>
      </c>
      <c r="L2803" t="s">
        <v>62</v>
      </c>
      <c r="M2803" t="s">
        <v>90</v>
      </c>
    </row>
    <row r="2804" spans="1:13">
      <c r="A2804">
        <v>45891</v>
      </c>
      <c r="B2804" t="s">
        <v>76</v>
      </c>
      <c r="D2804">
        <v>5500</v>
      </c>
      <c r="G2804" t="s">
        <v>77</v>
      </c>
      <c r="I2804" t="s">
        <v>60</v>
      </c>
      <c r="J2804" t="s">
        <v>61</v>
      </c>
      <c r="L2804" t="s">
        <v>62</v>
      </c>
    </row>
    <row r="2805" spans="1:13">
      <c r="A2805">
        <v>45891</v>
      </c>
      <c r="B2805" t="s">
        <v>2641</v>
      </c>
      <c r="F2805">
        <v>1</v>
      </c>
      <c r="G2805" t="s">
        <v>0</v>
      </c>
      <c r="L2805" t="s">
        <v>89</v>
      </c>
      <c r="M2805">
        <v>45883</v>
      </c>
    </row>
    <row r="2806" spans="1:13">
      <c r="A2806">
        <v>45891</v>
      </c>
      <c r="B2806" t="s">
        <v>2642</v>
      </c>
      <c r="F2806">
        <v>1</v>
      </c>
      <c r="G2806" t="s">
        <v>0</v>
      </c>
      <c r="L2806" t="s">
        <v>82</v>
      </c>
      <c r="M2806">
        <v>45892</v>
      </c>
    </row>
    <row r="2807" spans="1:13">
      <c r="A2807">
        <v>45892</v>
      </c>
      <c r="B2807" t="s">
        <v>559</v>
      </c>
      <c r="E2807">
        <v>10000</v>
      </c>
      <c r="F2807">
        <v>1</v>
      </c>
      <c r="G2807" t="s">
        <v>65</v>
      </c>
      <c r="H2807" t="s">
        <v>560</v>
      </c>
      <c r="I2807" t="s">
        <v>60</v>
      </c>
      <c r="J2807" t="s">
        <v>61</v>
      </c>
      <c r="L2807" t="s">
        <v>62</v>
      </c>
    </row>
    <row r="2808" spans="1:13">
      <c r="A2808">
        <v>45892</v>
      </c>
      <c r="B2808" t="s">
        <v>561</v>
      </c>
      <c r="E2808">
        <v>11000</v>
      </c>
      <c r="F2808">
        <v>1</v>
      </c>
      <c r="G2808" t="s">
        <v>65</v>
      </c>
      <c r="H2808" t="s">
        <v>560</v>
      </c>
      <c r="I2808" t="s">
        <v>60</v>
      </c>
      <c r="J2808" t="s">
        <v>61</v>
      </c>
      <c r="L2808" t="s">
        <v>62</v>
      </c>
    </row>
    <row r="2809" spans="1:13">
      <c r="A2809">
        <v>45892</v>
      </c>
      <c r="B2809" t="s">
        <v>624</v>
      </c>
      <c r="D2809">
        <v>-20800</v>
      </c>
      <c r="G2809" t="s">
        <v>77</v>
      </c>
      <c r="I2809" t="s">
        <v>60</v>
      </c>
      <c r="J2809" t="s">
        <v>61</v>
      </c>
      <c r="L2809" t="s">
        <v>62</v>
      </c>
    </row>
    <row r="2810" spans="1:13">
      <c r="A2810">
        <v>45892</v>
      </c>
      <c r="B2810" t="s">
        <v>84</v>
      </c>
      <c r="E2810">
        <v>-1100</v>
      </c>
      <c r="G2810" t="s">
        <v>65</v>
      </c>
      <c r="H2810" t="s">
        <v>85</v>
      </c>
      <c r="I2810" t="s">
        <v>60</v>
      </c>
      <c r="J2810" t="s">
        <v>61</v>
      </c>
      <c r="L2810" t="s">
        <v>62</v>
      </c>
    </row>
    <row r="2811" spans="1:13">
      <c r="A2811">
        <v>45892</v>
      </c>
      <c r="B2811" t="s">
        <v>2643</v>
      </c>
      <c r="D2811">
        <v>500</v>
      </c>
      <c r="F2811">
        <v>1</v>
      </c>
      <c r="G2811" t="s">
        <v>22</v>
      </c>
      <c r="H2811" t="s">
        <v>21</v>
      </c>
      <c r="I2811" t="s">
        <v>60</v>
      </c>
      <c r="J2811" t="s">
        <v>61</v>
      </c>
      <c r="L2811" t="s">
        <v>86</v>
      </c>
    </row>
    <row r="2812" spans="1:13">
      <c r="A2812">
        <v>45892</v>
      </c>
      <c r="B2812" t="s">
        <v>546</v>
      </c>
      <c r="F2812">
        <v>-8</v>
      </c>
      <c r="G2812" t="s">
        <v>22</v>
      </c>
      <c r="H2812" t="s">
        <v>93</v>
      </c>
      <c r="L2812" t="s">
        <v>101</v>
      </c>
    </row>
    <row r="2813" spans="1:13">
      <c r="A2813">
        <v>45892</v>
      </c>
      <c r="B2813" t="s">
        <v>2644</v>
      </c>
      <c r="D2813">
        <v>500</v>
      </c>
      <c r="F2813">
        <v>0</v>
      </c>
      <c r="G2813" t="s">
        <v>22</v>
      </c>
      <c r="H2813" t="s">
        <v>21</v>
      </c>
      <c r="I2813" t="s">
        <v>60</v>
      </c>
      <c r="J2813" t="s">
        <v>61</v>
      </c>
      <c r="L2813" t="s">
        <v>86</v>
      </c>
    </row>
    <row r="2814" spans="1:13">
      <c r="A2814">
        <v>45892</v>
      </c>
      <c r="B2814" t="s">
        <v>63</v>
      </c>
      <c r="D2814">
        <v>33500</v>
      </c>
      <c r="G2814" t="s">
        <v>70</v>
      </c>
      <c r="I2814" t="s">
        <v>60</v>
      </c>
      <c r="J2814" t="s">
        <v>61</v>
      </c>
      <c r="L2814" t="s">
        <v>62</v>
      </c>
    </row>
    <row r="2815" spans="1:13">
      <c r="A2815">
        <v>45892</v>
      </c>
      <c r="B2815" t="s">
        <v>2645</v>
      </c>
      <c r="F2815">
        <v>1</v>
      </c>
      <c r="G2815" t="s">
        <v>79</v>
      </c>
      <c r="H2815" t="s">
        <v>21</v>
      </c>
      <c r="L2815" t="s">
        <v>89</v>
      </c>
    </row>
    <row r="2816" spans="1:13">
      <c r="A2816">
        <v>45892</v>
      </c>
      <c r="B2816" t="s">
        <v>2646</v>
      </c>
      <c r="D2816">
        <v>500</v>
      </c>
      <c r="F2816">
        <v>1</v>
      </c>
      <c r="G2816" t="s">
        <v>22</v>
      </c>
      <c r="H2816" t="s">
        <v>21</v>
      </c>
      <c r="I2816" t="s">
        <v>60</v>
      </c>
      <c r="J2816" t="s">
        <v>61</v>
      </c>
      <c r="L2816" t="s">
        <v>89</v>
      </c>
    </row>
    <row r="2817" spans="1:13">
      <c r="A2817">
        <v>45893</v>
      </c>
      <c r="B2817" t="s">
        <v>63</v>
      </c>
      <c r="D2817">
        <v>35500</v>
      </c>
      <c r="G2817" t="s">
        <v>70</v>
      </c>
      <c r="I2817" t="s">
        <v>60</v>
      </c>
      <c r="J2817" t="s">
        <v>61</v>
      </c>
      <c r="L2817" t="s">
        <v>62</v>
      </c>
    </row>
    <row r="2818" spans="1:13">
      <c r="A2818">
        <v>45893</v>
      </c>
      <c r="B2818" t="s">
        <v>2647</v>
      </c>
      <c r="F2818">
        <v>1</v>
      </c>
      <c r="G2818" t="s">
        <v>64</v>
      </c>
      <c r="L2818" t="s">
        <v>82</v>
      </c>
      <c r="M2818" t="s">
        <v>96</v>
      </c>
    </row>
    <row r="2819" spans="1:13">
      <c r="A2819">
        <v>45893</v>
      </c>
      <c r="B2819" t="s">
        <v>2648</v>
      </c>
      <c r="D2819">
        <v>500</v>
      </c>
      <c r="F2819">
        <v>1</v>
      </c>
      <c r="G2819" t="s">
        <v>22</v>
      </c>
      <c r="H2819" t="s">
        <v>21</v>
      </c>
      <c r="I2819" t="s">
        <v>60</v>
      </c>
      <c r="J2819" t="s">
        <v>61</v>
      </c>
      <c r="L2819" t="s">
        <v>82</v>
      </c>
    </row>
    <row r="2820" spans="1:13">
      <c r="A2820">
        <v>45893</v>
      </c>
      <c r="B2820" t="s">
        <v>2649</v>
      </c>
      <c r="F2820">
        <v>1</v>
      </c>
      <c r="G2820" t="s">
        <v>64</v>
      </c>
      <c r="L2820" t="s">
        <v>82</v>
      </c>
      <c r="M2820" t="s">
        <v>2650</v>
      </c>
    </row>
    <row r="2821" spans="1:13">
      <c r="A2821">
        <v>45893</v>
      </c>
      <c r="B2821" t="s">
        <v>63</v>
      </c>
      <c r="D2821">
        <v>14000</v>
      </c>
      <c r="F2821">
        <v>2</v>
      </c>
      <c r="G2821" t="s">
        <v>70</v>
      </c>
      <c r="I2821" t="s">
        <v>71</v>
      </c>
      <c r="J2821" t="s">
        <v>72</v>
      </c>
      <c r="K2821" t="s">
        <v>2651</v>
      </c>
      <c r="L2821" t="s">
        <v>62</v>
      </c>
      <c r="M2821" t="s">
        <v>90</v>
      </c>
    </row>
    <row r="2822" spans="1:13">
      <c r="A2822">
        <v>45893</v>
      </c>
      <c r="B2822" t="s">
        <v>63</v>
      </c>
      <c r="D2822">
        <v>16000</v>
      </c>
      <c r="F2822">
        <v>2</v>
      </c>
      <c r="G2822" t="s">
        <v>70</v>
      </c>
      <c r="I2822" t="s">
        <v>71</v>
      </c>
      <c r="J2822" t="s">
        <v>72</v>
      </c>
      <c r="K2822" t="s">
        <v>2652</v>
      </c>
      <c r="L2822" t="s">
        <v>62</v>
      </c>
      <c r="M2822" t="s">
        <v>90</v>
      </c>
    </row>
    <row r="2823" spans="1:13">
      <c r="A2823">
        <v>45893</v>
      </c>
      <c r="B2823" t="s">
        <v>2653</v>
      </c>
      <c r="F2823">
        <v>1</v>
      </c>
      <c r="G2823" t="s">
        <v>603</v>
      </c>
      <c r="H2823" t="s">
        <v>21</v>
      </c>
      <c r="L2823" t="s">
        <v>82</v>
      </c>
      <c r="M2823" t="s">
        <v>2654</v>
      </c>
    </row>
    <row r="2824" spans="1:13">
      <c r="A2824">
        <v>45893</v>
      </c>
      <c r="B2824" t="s">
        <v>2655</v>
      </c>
      <c r="D2824">
        <v>500</v>
      </c>
      <c r="F2824">
        <v>1</v>
      </c>
      <c r="G2824" t="s">
        <v>22</v>
      </c>
      <c r="H2824" t="s">
        <v>21</v>
      </c>
      <c r="I2824" t="s">
        <v>60</v>
      </c>
      <c r="J2824" t="s">
        <v>61</v>
      </c>
      <c r="L2824" t="s">
        <v>86</v>
      </c>
    </row>
    <row r="2825" spans="1:13">
      <c r="A2825">
        <v>45893</v>
      </c>
      <c r="B2825" t="s">
        <v>2656</v>
      </c>
      <c r="D2825">
        <v>500</v>
      </c>
      <c r="F2825">
        <v>1</v>
      </c>
      <c r="G2825" t="s">
        <v>22</v>
      </c>
      <c r="H2825" t="s">
        <v>21</v>
      </c>
      <c r="I2825" t="s">
        <v>60</v>
      </c>
      <c r="J2825" t="s">
        <v>61</v>
      </c>
      <c r="L2825" t="s">
        <v>86</v>
      </c>
    </row>
    <row r="2826" spans="1:13">
      <c r="A2826">
        <v>45893</v>
      </c>
      <c r="B2826" t="s">
        <v>2657</v>
      </c>
      <c r="F2826">
        <v>1</v>
      </c>
      <c r="G2826" t="s">
        <v>99</v>
      </c>
      <c r="H2826" t="s">
        <v>21</v>
      </c>
      <c r="L2826" t="s">
        <v>86</v>
      </c>
      <c r="M2826" t="s">
        <v>2658</v>
      </c>
    </row>
    <row r="2827" spans="1:13">
      <c r="A2827">
        <v>45893</v>
      </c>
      <c r="B2827" t="s">
        <v>2659</v>
      </c>
      <c r="F2827">
        <v>1</v>
      </c>
      <c r="G2827" t="s">
        <v>64</v>
      </c>
      <c r="L2827" t="s">
        <v>86</v>
      </c>
      <c r="M2827" t="s">
        <v>96</v>
      </c>
    </row>
    <row r="2828" spans="1:13">
      <c r="A2828">
        <v>45893</v>
      </c>
      <c r="B2828" t="s">
        <v>2660</v>
      </c>
      <c r="F2828">
        <v>1</v>
      </c>
      <c r="G2828" t="s">
        <v>2490</v>
      </c>
      <c r="L2828" t="s">
        <v>86</v>
      </c>
      <c r="M2828" t="s">
        <v>2491</v>
      </c>
    </row>
    <row r="2829" spans="1:13">
      <c r="A2829">
        <v>45894</v>
      </c>
      <c r="B2829" t="s">
        <v>2661</v>
      </c>
      <c r="D2829">
        <v>500</v>
      </c>
      <c r="F2829">
        <v>1</v>
      </c>
      <c r="G2829" t="s">
        <v>22</v>
      </c>
      <c r="H2829" t="s">
        <v>21</v>
      </c>
      <c r="I2829" t="s">
        <v>60</v>
      </c>
      <c r="J2829" t="s">
        <v>61</v>
      </c>
      <c r="L2829" t="s">
        <v>89</v>
      </c>
    </row>
    <row r="2830" spans="1:13">
      <c r="A2830">
        <v>45894</v>
      </c>
      <c r="B2830" t="s">
        <v>238</v>
      </c>
      <c r="C2830" t="s">
        <v>2662</v>
      </c>
      <c r="D2830" t="s">
        <v>28</v>
      </c>
      <c r="F2830">
        <v>9</v>
      </c>
      <c r="G2830" t="s">
        <v>22</v>
      </c>
      <c r="H2830" t="s">
        <v>21</v>
      </c>
      <c r="L2830" t="s">
        <v>95</v>
      </c>
    </row>
    <row r="2831" spans="1:13">
      <c r="A2831">
        <v>45894</v>
      </c>
      <c r="B2831" t="s">
        <v>2663</v>
      </c>
      <c r="D2831">
        <v>500</v>
      </c>
      <c r="F2831">
        <v>1</v>
      </c>
      <c r="G2831" t="s">
        <v>22</v>
      </c>
      <c r="H2831" t="s">
        <v>21</v>
      </c>
      <c r="I2831" t="s">
        <v>60</v>
      </c>
      <c r="J2831" t="s">
        <v>61</v>
      </c>
      <c r="L2831" t="s">
        <v>89</v>
      </c>
    </row>
    <row r="2832" spans="1:13">
      <c r="A2832">
        <v>45894</v>
      </c>
      <c r="B2832" t="s">
        <v>2664</v>
      </c>
      <c r="D2832">
        <v>500</v>
      </c>
      <c r="F2832">
        <v>1</v>
      </c>
      <c r="G2832" t="s">
        <v>22</v>
      </c>
      <c r="H2832" t="s">
        <v>21</v>
      </c>
      <c r="I2832" t="s">
        <v>60</v>
      </c>
      <c r="J2832" t="s">
        <v>61</v>
      </c>
      <c r="L2832" t="s">
        <v>89</v>
      </c>
    </row>
    <row r="2833" spans="1:13">
      <c r="A2833">
        <v>45894</v>
      </c>
      <c r="B2833" t="s">
        <v>2665</v>
      </c>
      <c r="D2833">
        <v>500</v>
      </c>
      <c r="F2833">
        <v>1</v>
      </c>
      <c r="G2833" t="s">
        <v>22</v>
      </c>
      <c r="H2833" t="s">
        <v>21</v>
      </c>
      <c r="I2833" t="s">
        <v>60</v>
      </c>
      <c r="J2833" t="s">
        <v>61</v>
      </c>
      <c r="L2833" t="s">
        <v>89</v>
      </c>
    </row>
    <row r="2834" spans="1:13">
      <c r="A2834">
        <v>45894</v>
      </c>
      <c r="B2834" t="s">
        <v>2666</v>
      </c>
      <c r="F2834">
        <v>1</v>
      </c>
      <c r="G2834" t="s">
        <v>22</v>
      </c>
      <c r="H2834" t="s">
        <v>21</v>
      </c>
      <c r="L2834" t="s">
        <v>101</v>
      </c>
      <c r="M2834" t="s">
        <v>2667</v>
      </c>
    </row>
    <row r="2835" spans="1:13">
      <c r="A2835">
        <v>45895</v>
      </c>
      <c r="B2835" t="s">
        <v>2668</v>
      </c>
      <c r="F2835">
        <v>1</v>
      </c>
      <c r="G2835" t="s">
        <v>79</v>
      </c>
      <c r="H2835" t="s">
        <v>21</v>
      </c>
      <c r="L2835" t="s">
        <v>89</v>
      </c>
    </row>
    <row r="2836" spans="1:13">
      <c r="A2836">
        <v>45895</v>
      </c>
      <c r="B2836" t="s">
        <v>2669</v>
      </c>
      <c r="D2836">
        <v>500</v>
      </c>
      <c r="F2836">
        <v>1</v>
      </c>
      <c r="G2836" t="s">
        <v>22</v>
      </c>
      <c r="H2836" t="s">
        <v>21</v>
      </c>
      <c r="I2836" t="s">
        <v>60</v>
      </c>
      <c r="J2836" t="s">
        <v>61</v>
      </c>
      <c r="L2836" t="s">
        <v>89</v>
      </c>
    </row>
    <row r="2837" spans="1:13">
      <c r="A2837">
        <v>45895</v>
      </c>
      <c r="B2837" t="s">
        <v>63</v>
      </c>
      <c r="D2837">
        <v>51000</v>
      </c>
      <c r="G2837" t="s">
        <v>70</v>
      </c>
      <c r="I2837" t="s">
        <v>60</v>
      </c>
      <c r="J2837" t="s">
        <v>61</v>
      </c>
      <c r="L2837" t="s">
        <v>62</v>
      </c>
    </row>
    <row r="2838" spans="1:13">
      <c r="A2838">
        <v>45895</v>
      </c>
      <c r="B2838" t="s">
        <v>63</v>
      </c>
      <c r="D2838">
        <v>10500</v>
      </c>
      <c r="F2838">
        <v>1</v>
      </c>
      <c r="G2838" t="s">
        <v>70</v>
      </c>
      <c r="I2838" t="s">
        <v>71</v>
      </c>
      <c r="J2838" t="s">
        <v>72</v>
      </c>
      <c r="K2838" t="s">
        <v>2670</v>
      </c>
      <c r="L2838" t="s">
        <v>62</v>
      </c>
      <c r="M2838" t="s">
        <v>90</v>
      </c>
    </row>
    <row r="2839" spans="1:13">
      <c r="A2839">
        <v>45895</v>
      </c>
      <c r="B2839" t="s">
        <v>2671</v>
      </c>
      <c r="F2839">
        <v>1</v>
      </c>
      <c r="G2839" t="s">
        <v>98</v>
      </c>
      <c r="H2839" t="s">
        <v>21</v>
      </c>
      <c r="L2839" t="s">
        <v>89</v>
      </c>
    </row>
    <row r="2840" spans="1:13">
      <c r="A2840">
        <v>45895</v>
      </c>
      <c r="B2840" t="s">
        <v>2672</v>
      </c>
      <c r="F2840">
        <v>1</v>
      </c>
      <c r="G2840" t="s">
        <v>64</v>
      </c>
      <c r="L2840" t="s">
        <v>89</v>
      </c>
      <c r="M2840" t="s">
        <v>647</v>
      </c>
    </row>
    <row r="2841" spans="1:13">
      <c r="A2841">
        <v>45896</v>
      </c>
      <c r="B2841" t="s">
        <v>2673</v>
      </c>
      <c r="D2841">
        <v>500</v>
      </c>
      <c r="F2841">
        <v>1</v>
      </c>
      <c r="G2841" t="s">
        <v>22</v>
      </c>
      <c r="H2841" t="s">
        <v>21</v>
      </c>
      <c r="I2841" t="s">
        <v>60</v>
      </c>
      <c r="J2841" t="s">
        <v>61</v>
      </c>
      <c r="L2841" t="s">
        <v>82</v>
      </c>
    </row>
    <row r="2842" spans="1:13">
      <c r="A2842">
        <v>45896</v>
      </c>
      <c r="B2842" t="s">
        <v>2674</v>
      </c>
      <c r="F2842">
        <v>1</v>
      </c>
      <c r="G2842" t="s">
        <v>377</v>
      </c>
      <c r="H2842" t="s">
        <v>21</v>
      </c>
      <c r="L2842" t="s">
        <v>82</v>
      </c>
    </row>
    <row r="2843" spans="1:13">
      <c r="A2843">
        <v>45896</v>
      </c>
      <c r="B2843" t="s">
        <v>2675</v>
      </c>
      <c r="D2843">
        <v>500</v>
      </c>
      <c r="F2843">
        <v>1</v>
      </c>
      <c r="G2843" t="s">
        <v>22</v>
      </c>
      <c r="H2843" t="s">
        <v>21</v>
      </c>
      <c r="I2843" t="s">
        <v>60</v>
      </c>
      <c r="J2843" t="s">
        <v>61</v>
      </c>
      <c r="L2843" t="s">
        <v>86</v>
      </c>
    </row>
    <row r="2844" spans="1:13">
      <c r="A2844">
        <v>45896</v>
      </c>
      <c r="B2844" t="s">
        <v>2676</v>
      </c>
      <c r="F2844">
        <v>1</v>
      </c>
      <c r="G2844" t="s">
        <v>79</v>
      </c>
      <c r="H2844" t="s">
        <v>21</v>
      </c>
      <c r="L2844" t="s">
        <v>86</v>
      </c>
    </row>
    <row r="2845" spans="1:13">
      <c r="A2845">
        <v>45896</v>
      </c>
      <c r="B2845" t="s">
        <v>63</v>
      </c>
      <c r="D2845">
        <v>13000</v>
      </c>
      <c r="G2845" t="s">
        <v>70</v>
      </c>
      <c r="I2845" t="s">
        <v>71</v>
      </c>
      <c r="J2845" t="s">
        <v>72</v>
      </c>
      <c r="K2845" t="s">
        <v>2677</v>
      </c>
      <c r="L2845" t="s">
        <v>62</v>
      </c>
      <c r="M2845" t="s">
        <v>90</v>
      </c>
    </row>
    <row r="2846" spans="1:13">
      <c r="A2846">
        <v>45896</v>
      </c>
      <c r="B2846" t="s">
        <v>63</v>
      </c>
      <c r="D2846">
        <v>100</v>
      </c>
      <c r="F2846">
        <v>1</v>
      </c>
      <c r="G2846" t="s">
        <v>22</v>
      </c>
      <c r="H2846" t="s">
        <v>93</v>
      </c>
      <c r="I2846" t="s">
        <v>60</v>
      </c>
      <c r="J2846" t="s">
        <v>61</v>
      </c>
      <c r="L2846" t="s">
        <v>62</v>
      </c>
    </row>
    <row r="2847" spans="1:13">
      <c r="A2847">
        <v>45896</v>
      </c>
      <c r="B2847" t="s">
        <v>2678</v>
      </c>
      <c r="D2847">
        <v>500</v>
      </c>
      <c r="F2847">
        <v>1</v>
      </c>
      <c r="G2847" t="s">
        <v>22</v>
      </c>
      <c r="H2847" t="s">
        <v>21</v>
      </c>
      <c r="I2847" t="s">
        <v>60</v>
      </c>
      <c r="J2847" t="s">
        <v>61</v>
      </c>
      <c r="L2847" t="s">
        <v>82</v>
      </c>
    </row>
    <row r="2848" spans="1:13">
      <c r="A2848">
        <v>45896</v>
      </c>
      <c r="B2848" t="s">
        <v>2679</v>
      </c>
      <c r="F2848">
        <v>1</v>
      </c>
      <c r="G2848" t="s">
        <v>79</v>
      </c>
      <c r="H2848" t="s">
        <v>21</v>
      </c>
      <c r="L2848" t="s">
        <v>82</v>
      </c>
    </row>
    <row r="2849" spans="1:13">
      <c r="A2849">
        <v>45896</v>
      </c>
      <c r="B2849" t="s">
        <v>2680</v>
      </c>
      <c r="F2849">
        <v>1</v>
      </c>
      <c r="G2849" t="s">
        <v>2490</v>
      </c>
      <c r="L2849" t="s">
        <v>82</v>
      </c>
      <c r="M2849" t="s">
        <v>2491</v>
      </c>
    </row>
    <row r="2850" spans="1:13">
      <c r="A2850">
        <v>45896</v>
      </c>
      <c r="B2850" t="s">
        <v>2078</v>
      </c>
      <c r="D2850">
        <v>500</v>
      </c>
      <c r="F2850">
        <v>1</v>
      </c>
      <c r="G2850" t="s">
        <v>22</v>
      </c>
      <c r="H2850" t="s">
        <v>21</v>
      </c>
      <c r="I2850" t="s">
        <v>60</v>
      </c>
      <c r="J2850" t="s">
        <v>61</v>
      </c>
      <c r="L2850" t="s">
        <v>82</v>
      </c>
    </row>
    <row r="2851" spans="1:13">
      <c r="A2851">
        <v>45896</v>
      </c>
      <c r="B2851" t="s">
        <v>2681</v>
      </c>
      <c r="F2851">
        <v>1</v>
      </c>
      <c r="G2851" t="s">
        <v>22</v>
      </c>
      <c r="H2851" t="s">
        <v>21</v>
      </c>
      <c r="L2851" t="s">
        <v>101</v>
      </c>
      <c r="M2851" t="s">
        <v>2682</v>
      </c>
    </row>
    <row r="2852" spans="1:13">
      <c r="A2852">
        <v>45896</v>
      </c>
      <c r="B2852" t="s">
        <v>2683</v>
      </c>
      <c r="D2852">
        <v>500</v>
      </c>
      <c r="F2852">
        <v>1</v>
      </c>
      <c r="G2852" t="s">
        <v>22</v>
      </c>
      <c r="H2852" t="s">
        <v>21</v>
      </c>
      <c r="I2852" t="s">
        <v>60</v>
      </c>
      <c r="J2852" t="s">
        <v>61</v>
      </c>
      <c r="L2852" t="s">
        <v>82</v>
      </c>
    </row>
    <row r="2853" spans="1:13">
      <c r="A2853">
        <v>45896</v>
      </c>
      <c r="B2853" t="s">
        <v>2684</v>
      </c>
      <c r="D2853">
        <v>500</v>
      </c>
      <c r="F2853">
        <v>1</v>
      </c>
      <c r="G2853" t="s">
        <v>22</v>
      </c>
      <c r="H2853" t="s">
        <v>21</v>
      </c>
      <c r="I2853" t="s">
        <v>60</v>
      </c>
      <c r="J2853" t="s">
        <v>61</v>
      </c>
      <c r="L2853" t="s">
        <v>82</v>
      </c>
    </row>
    <row r="2854" spans="1:13">
      <c r="A2854">
        <v>45896</v>
      </c>
      <c r="B2854" t="s">
        <v>2685</v>
      </c>
      <c r="F2854">
        <v>1</v>
      </c>
      <c r="G2854" t="s">
        <v>319</v>
      </c>
      <c r="H2854" t="s">
        <v>21</v>
      </c>
      <c r="L2854" t="s">
        <v>82</v>
      </c>
      <c r="M2854" t="s">
        <v>2686</v>
      </c>
    </row>
    <row r="2855" spans="1:13">
      <c r="A2855">
        <v>45896</v>
      </c>
      <c r="B2855" t="s">
        <v>2687</v>
      </c>
      <c r="F2855">
        <v>1</v>
      </c>
      <c r="G2855" t="s">
        <v>64</v>
      </c>
      <c r="L2855" t="s">
        <v>82</v>
      </c>
      <c r="M2855" t="s">
        <v>96</v>
      </c>
    </row>
    <row r="2856" spans="1:13">
      <c r="A2856">
        <v>45896</v>
      </c>
      <c r="B2856" t="s">
        <v>2688</v>
      </c>
      <c r="F2856">
        <v>1</v>
      </c>
      <c r="G2856" t="s">
        <v>0</v>
      </c>
      <c r="L2856" t="s">
        <v>89</v>
      </c>
      <c r="M2856">
        <v>45864</v>
      </c>
    </row>
    <row r="2857" spans="1:13">
      <c r="A2857">
        <v>45897</v>
      </c>
      <c r="B2857" t="s">
        <v>1605</v>
      </c>
      <c r="C2857" t="s">
        <v>2689</v>
      </c>
      <c r="E2857">
        <v>55779.15</v>
      </c>
      <c r="F2857">
        <v>1</v>
      </c>
      <c r="G2857" t="s">
        <v>65</v>
      </c>
      <c r="H2857" t="s">
        <v>66</v>
      </c>
      <c r="I2857" t="s">
        <v>60</v>
      </c>
      <c r="J2857" t="s">
        <v>61</v>
      </c>
      <c r="L2857" t="s">
        <v>62</v>
      </c>
      <c r="M2857" t="s">
        <v>2690</v>
      </c>
    </row>
    <row r="2858" spans="1:13">
      <c r="A2858">
        <v>45897</v>
      </c>
      <c r="B2858" t="s">
        <v>2691</v>
      </c>
      <c r="F2858">
        <v>1</v>
      </c>
      <c r="G2858" t="s">
        <v>2490</v>
      </c>
      <c r="L2858" t="s">
        <v>86</v>
      </c>
      <c r="M2858" t="s">
        <v>2491</v>
      </c>
    </row>
    <row r="2859" spans="1:13">
      <c r="A2859">
        <v>45897</v>
      </c>
      <c r="B2859" t="s">
        <v>2691</v>
      </c>
      <c r="D2859">
        <v>500</v>
      </c>
      <c r="F2859">
        <v>1</v>
      </c>
      <c r="G2859" t="s">
        <v>22</v>
      </c>
      <c r="H2859" t="s">
        <v>21</v>
      </c>
      <c r="I2859" t="s">
        <v>60</v>
      </c>
      <c r="J2859" t="s">
        <v>61</v>
      </c>
      <c r="L2859" t="s">
        <v>86</v>
      </c>
    </row>
    <row r="2860" spans="1:13">
      <c r="A2860">
        <v>45897</v>
      </c>
      <c r="B2860" t="s">
        <v>63</v>
      </c>
      <c r="D2860">
        <v>100</v>
      </c>
      <c r="F2860">
        <v>1</v>
      </c>
      <c r="G2860" t="s">
        <v>22</v>
      </c>
      <c r="H2860" t="s">
        <v>93</v>
      </c>
      <c r="I2860" t="s">
        <v>60</v>
      </c>
      <c r="J2860" t="s">
        <v>61</v>
      </c>
      <c r="L2860" t="s">
        <v>62</v>
      </c>
    </row>
    <row r="2861" spans="1:13">
      <c r="A2861">
        <v>45897</v>
      </c>
      <c r="B2861" t="s">
        <v>2692</v>
      </c>
      <c r="F2861">
        <v>1</v>
      </c>
      <c r="G2861" t="s">
        <v>0</v>
      </c>
      <c r="L2861" t="s">
        <v>82</v>
      </c>
      <c r="M2861">
        <v>45895</v>
      </c>
    </row>
    <row r="2862" spans="1:13">
      <c r="A2862">
        <v>45898</v>
      </c>
      <c r="B2862" t="s">
        <v>63</v>
      </c>
      <c r="D2862">
        <v>8000</v>
      </c>
      <c r="G2862" t="s">
        <v>70</v>
      </c>
      <c r="I2862" t="s">
        <v>60</v>
      </c>
      <c r="J2862" t="s">
        <v>61</v>
      </c>
      <c r="L2862" t="s">
        <v>62</v>
      </c>
    </row>
    <row r="2863" spans="1:13">
      <c r="A2863">
        <v>45898</v>
      </c>
      <c r="B2863" t="s">
        <v>80</v>
      </c>
      <c r="E2863">
        <v>7923</v>
      </c>
      <c r="F2863">
        <v>1</v>
      </c>
      <c r="G2863" t="s">
        <v>74</v>
      </c>
      <c r="H2863" t="s">
        <v>75</v>
      </c>
      <c r="I2863" t="s">
        <v>60</v>
      </c>
      <c r="J2863" t="s">
        <v>61</v>
      </c>
      <c r="L2863" t="s">
        <v>87</v>
      </c>
    </row>
    <row r="2864" spans="1:13">
      <c r="A2864">
        <v>45898</v>
      </c>
      <c r="B2864" t="s">
        <v>80</v>
      </c>
      <c r="E2864">
        <v>77</v>
      </c>
      <c r="F2864">
        <v>1</v>
      </c>
      <c r="G2864" t="s">
        <v>65</v>
      </c>
      <c r="H2864" t="s">
        <v>66</v>
      </c>
      <c r="I2864" t="s">
        <v>60</v>
      </c>
      <c r="J2864" t="s">
        <v>61</v>
      </c>
      <c r="L2864" t="s">
        <v>62</v>
      </c>
    </row>
    <row r="2865" spans="1:13">
      <c r="A2865">
        <v>45898</v>
      </c>
      <c r="B2865" t="s">
        <v>2693</v>
      </c>
      <c r="F2865">
        <v>1</v>
      </c>
      <c r="G2865" t="s">
        <v>79</v>
      </c>
      <c r="H2865" t="s">
        <v>21</v>
      </c>
      <c r="L2865" t="s">
        <v>89</v>
      </c>
    </row>
    <row r="2866" spans="1:13">
      <c r="A2866">
        <v>45898</v>
      </c>
      <c r="B2866" t="s">
        <v>2693</v>
      </c>
      <c r="F2866">
        <v>1</v>
      </c>
      <c r="G2866" t="s">
        <v>64</v>
      </c>
      <c r="L2866" t="s">
        <v>89</v>
      </c>
      <c r="M2866" t="s">
        <v>2694</v>
      </c>
    </row>
    <row r="2867" spans="1:13">
      <c r="A2867">
        <v>45898</v>
      </c>
      <c r="B2867" t="s">
        <v>2695</v>
      </c>
      <c r="D2867">
        <v>500</v>
      </c>
      <c r="F2867">
        <v>1</v>
      </c>
      <c r="G2867" t="s">
        <v>22</v>
      </c>
      <c r="H2867" t="s">
        <v>21</v>
      </c>
      <c r="I2867" t="s">
        <v>60</v>
      </c>
      <c r="J2867" t="s">
        <v>61</v>
      </c>
      <c r="L2867" t="s">
        <v>89</v>
      </c>
    </row>
    <row r="2868" spans="1:13">
      <c r="A2868">
        <v>45898</v>
      </c>
      <c r="B2868" t="s">
        <v>2696</v>
      </c>
      <c r="F2868">
        <v>1</v>
      </c>
      <c r="G2868" t="s">
        <v>22</v>
      </c>
      <c r="H2868" t="s">
        <v>21</v>
      </c>
      <c r="L2868" t="s">
        <v>101</v>
      </c>
      <c r="M2868" t="s">
        <v>2697</v>
      </c>
    </row>
    <row r="2869" spans="1:13">
      <c r="A2869">
        <v>45898</v>
      </c>
      <c r="B2869" t="s">
        <v>2698</v>
      </c>
      <c r="F2869">
        <v>1</v>
      </c>
      <c r="G2869" t="s">
        <v>0</v>
      </c>
      <c r="L2869" t="s">
        <v>89</v>
      </c>
      <c r="M2869">
        <v>45895</v>
      </c>
    </row>
    <row r="2870" spans="1:13">
      <c r="A2870">
        <v>45899</v>
      </c>
      <c r="B2870" t="s">
        <v>559</v>
      </c>
      <c r="E2870">
        <v>10000</v>
      </c>
      <c r="F2870">
        <v>1</v>
      </c>
      <c r="G2870" t="s">
        <v>65</v>
      </c>
      <c r="H2870" t="s">
        <v>560</v>
      </c>
      <c r="I2870" t="s">
        <v>60</v>
      </c>
      <c r="J2870" t="s">
        <v>61</v>
      </c>
      <c r="L2870" t="s">
        <v>62</v>
      </c>
    </row>
    <row r="2871" spans="1:13">
      <c r="A2871">
        <v>45899</v>
      </c>
      <c r="B2871" t="s">
        <v>561</v>
      </c>
      <c r="E2871">
        <v>11000</v>
      </c>
      <c r="F2871">
        <v>1</v>
      </c>
      <c r="G2871" t="s">
        <v>65</v>
      </c>
      <c r="H2871" t="s">
        <v>560</v>
      </c>
      <c r="I2871" t="s">
        <v>60</v>
      </c>
      <c r="J2871" t="s">
        <v>61</v>
      </c>
      <c r="L2871" t="s">
        <v>62</v>
      </c>
    </row>
    <row r="2872" spans="1:13">
      <c r="A2872">
        <v>45899</v>
      </c>
      <c r="B2872" t="s">
        <v>2699</v>
      </c>
      <c r="D2872">
        <v>500</v>
      </c>
      <c r="F2872">
        <v>1</v>
      </c>
      <c r="G2872" t="s">
        <v>22</v>
      </c>
      <c r="H2872" t="s">
        <v>21</v>
      </c>
      <c r="I2872" t="s">
        <v>60</v>
      </c>
      <c r="J2872" t="s">
        <v>61</v>
      </c>
      <c r="L2872" t="s">
        <v>82</v>
      </c>
    </row>
    <row r="2873" spans="1:13">
      <c r="A2873">
        <v>45899</v>
      </c>
      <c r="B2873" t="s">
        <v>2700</v>
      </c>
      <c r="D2873">
        <v>500</v>
      </c>
      <c r="F2873">
        <v>1</v>
      </c>
      <c r="G2873" t="s">
        <v>22</v>
      </c>
      <c r="H2873" t="s">
        <v>21</v>
      </c>
      <c r="I2873" t="s">
        <v>60</v>
      </c>
      <c r="J2873" t="s">
        <v>61</v>
      </c>
      <c r="L2873" t="s">
        <v>82</v>
      </c>
    </row>
    <row r="2874" spans="1:13">
      <c r="A2874">
        <v>45899</v>
      </c>
      <c r="B2874" t="s">
        <v>2701</v>
      </c>
      <c r="D2874">
        <v>500</v>
      </c>
      <c r="F2874">
        <v>1</v>
      </c>
      <c r="G2874" t="s">
        <v>22</v>
      </c>
      <c r="H2874" t="s">
        <v>21</v>
      </c>
      <c r="I2874" t="s">
        <v>60</v>
      </c>
      <c r="J2874" t="s">
        <v>61</v>
      </c>
      <c r="L2874" t="s">
        <v>82</v>
      </c>
    </row>
    <row r="2875" spans="1:13">
      <c r="A2875">
        <v>45899</v>
      </c>
      <c r="B2875" t="s">
        <v>2702</v>
      </c>
      <c r="F2875">
        <v>1</v>
      </c>
      <c r="G2875" t="s">
        <v>64</v>
      </c>
      <c r="L2875" t="s">
        <v>82</v>
      </c>
      <c r="M2875" t="s">
        <v>96</v>
      </c>
    </row>
    <row r="2876" spans="1:13">
      <c r="A2876">
        <v>45899</v>
      </c>
      <c r="B2876" t="s">
        <v>2703</v>
      </c>
      <c r="D2876">
        <v>500</v>
      </c>
      <c r="F2876">
        <v>1</v>
      </c>
      <c r="G2876" t="s">
        <v>22</v>
      </c>
      <c r="H2876" t="s">
        <v>21</v>
      </c>
      <c r="I2876" t="s">
        <v>60</v>
      </c>
      <c r="J2876" t="s">
        <v>61</v>
      </c>
      <c r="L2876" t="s">
        <v>86</v>
      </c>
    </row>
    <row r="2877" spans="1:13">
      <c r="A2877">
        <v>45899</v>
      </c>
      <c r="B2877" t="s">
        <v>63</v>
      </c>
      <c r="D2877">
        <v>98000</v>
      </c>
      <c r="F2877">
        <v>8</v>
      </c>
      <c r="G2877" t="s">
        <v>70</v>
      </c>
      <c r="I2877" t="s">
        <v>71</v>
      </c>
      <c r="J2877" t="s">
        <v>72</v>
      </c>
      <c r="K2877" t="s">
        <v>2704</v>
      </c>
      <c r="L2877" t="s">
        <v>62</v>
      </c>
      <c r="M2877" t="s">
        <v>2705</v>
      </c>
    </row>
    <row r="2878" spans="1:13">
      <c r="A2878">
        <v>45899</v>
      </c>
      <c r="B2878" t="s">
        <v>63</v>
      </c>
      <c r="D2878">
        <v>40500</v>
      </c>
      <c r="G2878" t="s">
        <v>70</v>
      </c>
      <c r="I2878" t="s">
        <v>60</v>
      </c>
      <c r="J2878" t="s">
        <v>61</v>
      </c>
      <c r="L2878" t="s">
        <v>62</v>
      </c>
    </row>
    <row r="2879" spans="1:13">
      <c r="A2879">
        <v>45899</v>
      </c>
      <c r="B2879" t="s">
        <v>63</v>
      </c>
      <c r="D2879">
        <v>19000</v>
      </c>
      <c r="F2879">
        <v>3</v>
      </c>
      <c r="G2879" t="s">
        <v>70</v>
      </c>
      <c r="I2879" t="s">
        <v>71</v>
      </c>
      <c r="J2879" t="s">
        <v>72</v>
      </c>
      <c r="K2879" t="s">
        <v>2706</v>
      </c>
      <c r="L2879" t="s">
        <v>62</v>
      </c>
    </row>
    <row r="2880" spans="1:13">
      <c r="A2880">
        <v>45899</v>
      </c>
      <c r="B2880" t="s">
        <v>63</v>
      </c>
      <c r="D2880">
        <v>9500</v>
      </c>
      <c r="F2880">
        <v>1</v>
      </c>
      <c r="G2880" t="s">
        <v>70</v>
      </c>
      <c r="I2880" t="s">
        <v>71</v>
      </c>
      <c r="J2880" t="s">
        <v>72</v>
      </c>
      <c r="K2880" t="s">
        <v>2707</v>
      </c>
      <c r="L2880" t="s">
        <v>62</v>
      </c>
    </row>
    <row r="2881" spans="1:13">
      <c r="A2881">
        <v>45899</v>
      </c>
      <c r="B2881" t="s">
        <v>63</v>
      </c>
      <c r="D2881">
        <v>6500</v>
      </c>
      <c r="F2881">
        <v>1</v>
      </c>
      <c r="G2881" t="s">
        <v>70</v>
      </c>
      <c r="I2881" t="s">
        <v>71</v>
      </c>
      <c r="J2881" t="s">
        <v>72</v>
      </c>
      <c r="K2881" t="s">
        <v>2708</v>
      </c>
      <c r="L2881" t="s">
        <v>62</v>
      </c>
    </row>
    <row r="2882" spans="1:13">
      <c r="A2882">
        <v>45899</v>
      </c>
      <c r="B2882" t="s">
        <v>80</v>
      </c>
      <c r="E2882">
        <v>15845</v>
      </c>
      <c r="F2882">
        <v>1</v>
      </c>
      <c r="G2882" t="s">
        <v>74</v>
      </c>
      <c r="H2882" t="s">
        <v>75</v>
      </c>
      <c r="I2882" t="s">
        <v>60</v>
      </c>
      <c r="J2882" t="s">
        <v>61</v>
      </c>
      <c r="L2882" t="s">
        <v>87</v>
      </c>
    </row>
    <row r="2883" spans="1:13">
      <c r="A2883">
        <v>45899</v>
      </c>
      <c r="B2883" t="s">
        <v>80</v>
      </c>
      <c r="E2883">
        <v>155</v>
      </c>
      <c r="F2883">
        <v>1</v>
      </c>
      <c r="G2883" t="s">
        <v>65</v>
      </c>
      <c r="H2883" t="s">
        <v>66</v>
      </c>
      <c r="I2883" t="s">
        <v>60</v>
      </c>
      <c r="J2883" t="s">
        <v>61</v>
      </c>
      <c r="L2883" t="s">
        <v>62</v>
      </c>
    </row>
    <row r="2884" spans="1:13">
      <c r="A2884">
        <v>45899</v>
      </c>
      <c r="B2884" t="s">
        <v>63</v>
      </c>
      <c r="D2884">
        <v>17500</v>
      </c>
      <c r="F2884">
        <v>3</v>
      </c>
      <c r="G2884" t="s">
        <v>70</v>
      </c>
      <c r="I2884" t="s">
        <v>71</v>
      </c>
      <c r="J2884" t="s">
        <v>72</v>
      </c>
      <c r="K2884" t="s">
        <v>2709</v>
      </c>
      <c r="L2884" t="s">
        <v>62</v>
      </c>
      <c r="M2884" t="s">
        <v>1042</v>
      </c>
    </row>
    <row r="2885" spans="1:13">
      <c r="A2885">
        <v>45899</v>
      </c>
      <c r="B2885" t="s">
        <v>2710</v>
      </c>
      <c r="F2885">
        <v>2</v>
      </c>
      <c r="G2885" t="s">
        <v>377</v>
      </c>
      <c r="H2885" t="s">
        <v>21</v>
      </c>
      <c r="L2885" t="s">
        <v>86</v>
      </c>
    </row>
    <row r="2886" spans="1:13">
      <c r="A2886">
        <v>45899</v>
      </c>
      <c r="B2886" t="s">
        <v>2711</v>
      </c>
      <c r="F2886">
        <v>1</v>
      </c>
      <c r="G2886" t="s">
        <v>590</v>
      </c>
      <c r="H2886" t="s">
        <v>21</v>
      </c>
      <c r="L2886" t="s">
        <v>89</v>
      </c>
      <c r="M2886" t="s">
        <v>2712</v>
      </c>
    </row>
    <row r="2887" spans="1:13">
      <c r="A2887">
        <v>45899</v>
      </c>
      <c r="B2887" t="s">
        <v>2713</v>
      </c>
      <c r="D2887">
        <v>500</v>
      </c>
      <c r="F2887">
        <v>0</v>
      </c>
      <c r="G2887" t="s">
        <v>22</v>
      </c>
      <c r="H2887" t="s">
        <v>21</v>
      </c>
      <c r="I2887" t="s">
        <v>60</v>
      </c>
      <c r="J2887" t="s">
        <v>61</v>
      </c>
      <c r="L2887" t="s">
        <v>86</v>
      </c>
      <c r="M2887" t="s">
        <v>548</v>
      </c>
    </row>
    <row r="2888" spans="1:13">
      <c r="A2888">
        <v>45899</v>
      </c>
      <c r="B2888" t="s">
        <v>2714</v>
      </c>
      <c r="D2888">
        <v>500</v>
      </c>
      <c r="F2888">
        <v>0</v>
      </c>
      <c r="G2888" t="s">
        <v>22</v>
      </c>
      <c r="H2888" t="s">
        <v>21</v>
      </c>
      <c r="I2888" t="s">
        <v>60</v>
      </c>
      <c r="J2888" t="s">
        <v>61</v>
      </c>
      <c r="L2888" t="s">
        <v>86</v>
      </c>
      <c r="M2888" t="s">
        <v>548</v>
      </c>
    </row>
    <row r="2889" spans="1:13">
      <c r="A2889">
        <v>45899</v>
      </c>
      <c r="B2889" t="s">
        <v>2715</v>
      </c>
      <c r="F2889">
        <v>1</v>
      </c>
      <c r="G2889" t="s">
        <v>0</v>
      </c>
      <c r="L2889" t="s">
        <v>89</v>
      </c>
      <c r="M2889">
        <v>45895</v>
      </c>
    </row>
    <row r="2890" spans="1:13">
      <c r="A2890">
        <v>45900</v>
      </c>
      <c r="B2890" t="s">
        <v>63</v>
      </c>
      <c r="D2890">
        <v>100</v>
      </c>
      <c r="F2890">
        <v>1</v>
      </c>
      <c r="G2890" t="s">
        <v>22</v>
      </c>
      <c r="H2890" t="s">
        <v>21</v>
      </c>
      <c r="I2890" t="s">
        <v>60</v>
      </c>
      <c r="J2890" t="s">
        <v>61</v>
      </c>
      <c r="L2890" t="s">
        <v>62</v>
      </c>
    </row>
    <row r="2891" spans="1:13">
      <c r="A2891">
        <v>45900</v>
      </c>
      <c r="B2891" t="s">
        <v>2716</v>
      </c>
      <c r="F2891">
        <v>1</v>
      </c>
      <c r="G2891" t="s">
        <v>64</v>
      </c>
      <c r="L2891" t="s">
        <v>86</v>
      </c>
      <c r="M2891" t="s">
        <v>647</v>
      </c>
    </row>
    <row r="2892" spans="1:13">
      <c r="A2892">
        <v>45900</v>
      </c>
      <c r="B2892" t="s">
        <v>2717</v>
      </c>
      <c r="D2892">
        <v>500</v>
      </c>
      <c r="F2892">
        <v>1</v>
      </c>
      <c r="G2892" t="s">
        <v>22</v>
      </c>
      <c r="H2892" t="s">
        <v>21</v>
      </c>
      <c r="I2892" t="s">
        <v>60</v>
      </c>
      <c r="J2892" t="s">
        <v>61</v>
      </c>
      <c r="L2892" t="s">
        <v>89</v>
      </c>
    </row>
    <row r="2893" spans="1:13">
      <c r="A2893">
        <v>45900</v>
      </c>
      <c r="B2893" t="s">
        <v>2718</v>
      </c>
      <c r="F2893">
        <v>1</v>
      </c>
      <c r="G2893" t="s">
        <v>79</v>
      </c>
      <c r="H2893" t="s">
        <v>21</v>
      </c>
      <c r="L2893" t="s">
        <v>89</v>
      </c>
    </row>
    <row r="2894" spans="1:13">
      <c r="A2894">
        <v>45900</v>
      </c>
      <c r="B2894" t="s">
        <v>2719</v>
      </c>
      <c r="D2894">
        <v>500</v>
      </c>
      <c r="F2894">
        <v>1</v>
      </c>
      <c r="G2894" t="s">
        <v>22</v>
      </c>
      <c r="H2894" t="s">
        <v>21</v>
      </c>
      <c r="I2894" t="s">
        <v>60</v>
      </c>
      <c r="J2894" t="s">
        <v>61</v>
      </c>
      <c r="L2894" t="s">
        <v>89</v>
      </c>
    </row>
    <row r="2895" spans="1:13">
      <c r="A2895">
        <v>45900</v>
      </c>
      <c r="B2895" t="s">
        <v>2720</v>
      </c>
      <c r="F2895">
        <v>1</v>
      </c>
      <c r="G2895" t="s">
        <v>99</v>
      </c>
      <c r="H2895" t="s">
        <v>21</v>
      </c>
      <c r="L2895" t="s">
        <v>89</v>
      </c>
    </row>
    <row r="2896" spans="1:13">
      <c r="A2896">
        <v>45900</v>
      </c>
      <c r="B2896" t="s">
        <v>63</v>
      </c>
      <c r="D2896">
        <v>28500</v>
      </c>
      <c r="G2896" t="s">
        <v>70</v>
      </c>
      <c r="I2896" t="s">
        <v>60</v>
      </c>
      <c r="J2896" t="s">
        <v>61</v>
      </c>
      <c r="L2896" t="s">
        <v>62</v>
      </c>
    </row>
    <row r="2897" spans="1:13">
      <c r="A2897">
        <v>45900</v>
      </c>
      <c r="B2897" t="s">
        <v>2721</v>
      </c>
      <c r="D2897">
        <v>500</v>
      </c>
      <c r="F2897">
        <v>1</v>
      </c>
      <c r="G2897" t="s">
        <v>22</v>
      </c>
      <c r="H2897" t="s">
        <v>21</v>
      </c>
      <c r="I2897" t="s">
        <v>60</v>
      </c>
      <c r="J2897" t="s">
        <v>61</v>
      </c>
      <c r="L2897" t="s">
        <v>89</v>
      </c>
    </row>
    <row r="2898" spans="1:13">
      <c r="A2898">
        <v>45900</v>
      </c>
      <c r="B2898" t="s">
        <v>2679</v>
      </c>
      <c r="D2898">
        <v>500</v>
      </c>
      <c r="F2898">
        <v>1</v>
      </c>
      <c r="G2898" t="s">
        <v>22</v>
      </c>
      <c r="H2898" t="s">
        <v>21</v>
      </c>
      <c r="I2898" t="s">
        <v>60</v>
      </c>
      <c r="J2898" t="s">
        <v>61</v>
      </c>
      <c r="L2898" t="s">
        <v>89</v>
      </c>
    </row>
    <row r="2899" spans="1:13">
      <c r="A2899">
        <v>45900</v>
      </c>
      <c r="B2899" t="s">
        <v>2722</v>
      </c>
      <c r="F2899">
        <v>1</v>
      </c>
      <c r="G2899" t="s">
        <v>64</v>
      </c>
      <c r="L2899" t="s">
        <v>89</v>
      </c>
      <c r="M2899" t="s">
        <v>647</v>
      </c>
    </row>
    <row r="2900" spans="1:13">
      <c r="A2900">
        <v>45900</v>
      </c>
      <c r="B2900" t="s">
        <v>2723</v>
      </c>
      <c r="F2900">
        <v>1</v>
      </c>
      <c r="G2900" t="s">
        <v>79</v>
      </c>
      <c r="H2900" t="s">
        <v>21</v>
      </c>
      <c r="L2900" t="s">
        <v>89</v>
      </c>
    </row>
    <row r="2901" spans="1:13">
      <c r="A2901">
        <v>45900</v>
      </c>
      <c r="B2901" t="s">
        <v>2724</v>
      </c>
      <c r="F2901">
        <v>1</v>
      </c>
      <c r="G2901" t="s">
        <v>590</v>
      </c>
      <c r="H2901" t="s">
        <v>21</v>
      </c>
      <c r="L2901" t="s">
        <v>89</v>
      </c>
    </row>
    <row r="2902" spans="1:13">
      <c r="A2902">
        <v>45900</v>
      </c>
      <c r="B2902" t="s">
        <v>2725</v>
      </c>
      <c r="F2902">
        <v>1</v>
      </c>
      <c r="G2902" t="s">
        <v>2490</v>
      </c>
      <c r="L2902" t="s">
        <v>82</v>
      </c>
    </row>
    <row r="2903" spans="1:13">
      <c r="A2903">
        <v>45901</v>
      </c>
      <c r="B2903" t="s">
        <v>81</v>
      </c>
      <c r="D2903">
        <v>201500</v>
      </c>
      <c r="F2903">
        <v>1</v>
      </c>
      <c r="G2903" t="s">
        <v>74</v>
      </c>
      <c r="H2903" t="s">
        <v>75</v>
      </c>
      <c r="I2903" t="s">
        <v>60</v>
      </c>
      <c r="J2903" t="s">
        <v>61</v>
      </c>
      <c r="L2903" t="s">
        <v>88</v>
      </c>
    </row>
    <row r="2904" spans="1:13">
      <c r="A2904">
        <v>45901</v>
      </c>
      <c r="B2904" t="s">
        <v>2726</v>
      </c>
      <c r="F2904">
        <v>1</v>
      </c>
      <c r="G2904" t="s">
        <v>79</v>
      </c>
      <c r="H2904" t="s">
        <v>21</v>
      </c>
      <c r="L2904" t="s">
        <v>82</v>
      </c>
    </row>
    <row r="2905" spans="1:13">
      <c r="A2905">
        <v>45901</v>
      </c>
      <c r="B2905" t="s">
        <v>2727</v>
      </c>
      <c r="F2905">
        <v>2</v>
      </c>
      <c r="G2905" t="s">
        <v>79</v>
      </c>
      <c r="H2905" t="s">
        <v>21</v>
      </c>
      <c r="L2905" t="s">
        <v>82</v>
      </c>
    </row>
    <row r="2906" spans="1:13">
      <c r="A2906">
        <v>45901</v>
      </c>
      <c r="B2906" t="s">
        <v>238</v>
      </c>
      <c r="C2906" t="s">
        <v>2662</v>
      </c>
      <c r="D2906" t="s">
        <v>28</v>
      </c>
      <c r="F2906">
        <v>15</v>
      </c>
      <c r="G2906" t="s">
        <v>22</v>
      </c>
      <c r="H2906" t="s">
        <v>21</v>
      </c>
      <c r="L2906" t="s">
        <v>95</v>
      </c>
    </row>
    <row r="2907" spans="1:13">
      <c r="A2907">
        <v>45901</v>
      </c>
      <c r="B2907" t="s">
        <v>2728</v>
      </c>
      <c r="D2907">
        <v>500</v>
      </c>
      <c r="F2907">
        <v>1</v>
      </c>
      <c r="G2907" t="s">
        <v>22</v>
      </c>
      <c r="H2907" t="s">
        <v>21</v>
      </c>
      <c r="I2907" t="s">
        <v>60</v>
      </c>
      <c r="J2907" t="s">
        <v>61</v>
      </c>
      <c r="L2907" t="s">
        <v>82</v>
      </c>
    </row>
    <row r="2908" spans="1:13">
      <c r="A2908">
        <v>45901</v>
      </c>
      <c r="B2908" t="s">
        <v>2729</v>
      </c>
      <c r="D2908">
        <v>500</v>
      </c>
      <c r="F2908">
        <v>1</v>
      </c>
      <c r="G2908" t="s">
        <v>22</v>
      </c>
      <c r="H2908" t="s">
        <v>21</v>
      </c>
      <c r="I2908" t="s">
        <v>60</v>
      </c>
      <c r="J2908" t="s">
        <v>61</v>
      </c>
      <c r="L2908" t="s">
        <v>89</v>
      </c>
    </row>
    <row r="2909" spans="1:13">
      <c r="A2909">
        <v>45901</v>
      </c>
      <c r="B2909" t="s">
        <v>2730</v>
      </c>
      <c r="D2909">
        <v>500</v>
      </c>
      <c r="F2909">
        <v>1</v>
      </c>
      <c r="G2909" t="s">
        <v>22</v>
      </c>
      <c r="H2909" t="s">
        <v>21</v>
      </c>
      <c r="I2909" t="s">
        <v>60</v>
      </c>
      <c r="J2909" t="s">
        <v>61</v>
      </c>
      <c r="L2909" t="s">
        <v>82</v>
      </c>
    </row>
    <row r="2910" spans="1:13">
      <c r="A2910">
        <v>45901</v>
      </c>
      <c r="B2910" t="s">
        <v>2731</v>
      </c>
      <c r="D2910">
        <v>500</v>
      </c>
      <c r="F2910">
        <v>1</v>
      </c>
      <c r="G2910" t="s">
        <v>22</v>
      </c>
      <c r="H2910" t="s">
        <v>21</v>
      </c>
      <c r="I2910" t="s">
        <v>60</v>
      </c>
      <c r="J2910" t="s">
        <v>61</v>
      </c>
      <c r="L2910" t="s">
        <v>82</v>
      </c>
    </row>
    <row r="2911" spans="1:13">
      <c r="A2911">
        <v>45901</v>
      </c>
      <c r="B2911" t="s">
        <v>2732</v>
      </c>
      <c r="F2911">
        <v>1</v>
      </c>
      <c r="G2911" t="s">
        <v>22</v>
      </c>
      <c r="H2911" t="s">
        <v>21</v>
      </c>
      <c r="L2911" t="s">
        <v>101</v>
      </c>
    </row>
    <row r="2912" spans="1:13">
      <c r="A2912">
        <v>45901</v>
      </c>
      <c r="B2912" t="s">
        <v>2733</v>
      </c>
      <c r="D2912">
        <v>500</v>
      </c>
      <c r="F2912">
        <v>1</v>
      </c>
      <c r="G2912" t="s">
        <v>22</v>
      </c>
      <c r="H2912" t="s">
        <v>21</v>
      </c>
      <c r="I2912" t="s">
        <v>60</v>
      </c>
      <c r="J2912" t="s">
        <v>61</v>
      </c>
      <c r="L2912" t="s">
        <v>82</v>
      </c>
    </row>
    <row r="2913" spans="1:13">
      <c r="A2913">
        <v>45901</v>
      </c>
      <c r="B2913" t="s">
        <v>2734</v>
      </c>
      <c r="F2913">
        <v>1</v>
      </c>
      <c r="G2913" t="s">
        <v>64</v>
      </c>
      <c r="L2913" t="s">
        <v>82</v>
      </c>
      <c r="M2913" t="s">
        <v>96</v>
      </c>
    </row>
    <row r="2914" spans="1:13">
      <c r="A2914">
        <v>45901</v>
      </c>
      <c r="B2914" t="s">
        <v>2729</v>
      </c>
      <c r="F2914">
        <v>1</v>
      </c>
      <c r="G2914" t="s">
        <v>64</v>
      </c>
      <c r="L2914" t="s">
        <v>89</v>
      </c>
      <c r="M2914" t="s">
        <v>647</v>
      </c>
    </row>
    <row r="2915" spans="1:13">
      <c r="A2915">
        <v>45901</v>
      </c>
      <c r="B2915" t="s">
        <v>2735</v>
      </c>
      <c r="F2915">
        <v>1</v>
      </c>
      <c r="G2915" t="s">
        <v>64</v>
      </c>
      <c r="L2915" t="s">
        <v>82</v>
      </c>
      <c r="M2915" t="s">
        <v>96</v>
      </c>
    </row>
    <row r="2916" spans="1:13">
      <c r="A2916">
        <v>45901</v>
      </c>
      <c r="B2916" t="s">
        <v>2736</v>
      </c>
      <c r="F2916">
        <v>1</v>
      </c>
      <c r="G2916" t="s">
        <v>64</v>
      </c>
      <c r="L2916" t="s">
        <v>82</v>
      </c>
      <c r="M2916" t="s">
        <v>96</v>
      </c>
    </row>
    <row r="2917" spans="1:13">
      <c r="A2917">
        <v>45901</v>
      </c>
      <c r="B2917" t="s">
        <v>2727</v>
      </c>
      <c r="F2917">
        <v>1</v>
      </c>
      <c r="G2917" t="s">
        <v>64</v>
      </c>
      <c r="L2917" t="s">
        <v>82</v>
      </c>
      <c r="M2917" t="s">
        <v>2737</v>
      </c>
    </row>
    <row r="2918" spans="1:13">
      <c r="A2918">
        <v>45901</v>
      </c>
      <c r="B2918" t="s">
        <v>2738</v>
      </c>
      <c r="F2918">
        <v>1</v>
      </c>
      <c r="G2918" t="s">
        <v>64</v>
      </c>
      <c r="L2918" t="s">
        <v>82</v>
      </c>
      <c r="M2918" t="s">
        <v>2229</v>
      </c>
    </row>
    <row r="2919" spans="1:13">
      <c r="A2919">
        <v>45901</v>
      </c>
      <c r="B2919" t="s">
        <v>63</v>
      </c>
      <c r="D2919">
        <v>19000</v>
      </c>
      <c r="F2919">
        <v>3</v>
      </c>
      <c r="G2919" t="s">
        <v>70</v>
      </c>
      <c r="I2919" t="s">
        <v>71</v>
      </c>
      <c r="J2919" t="s">
        <v>535</v>
      </c>
      <c r="K2919" t="s">
        <v>2739</v>
      </c>
      <c r="L2919" t="s">
        <v>62</v>
      </c>
      <c r="M2919" t="s">
        <v>90</v>
      </c>
    </row>
    <row r="2920" spans="1:13">
      <c r="A2920">
        <v>45901</v>
      </c>
      <c r="B2920" t="s">
        <v>63</v>
      </c>
      <c r="D2920">
        <v>26000</v>
      </c>
      <c r="F2920">
        <v>3</v>
      </c>
      <c r="G2920" t="s">
        <v>70</v>
      </c>
      <c r="I2920" t="s">
        <v>71</v>
      </c>
      <c r="J2920" t="s">
        <v>1827</v>
      </c>
      <c r="K2920" t="s">
        <v>2740</v>
      </c>
      <c r="L2920" t="s">
        <v>62</v>
      </c>
      <c r="M2920" t="s">
        <v>90</v>
      </c>
    </row>
    <row r="2921" spans="1:13">
      <c r="A2921">
        <v>45901</v>
      </c>
      <c r="B2921" t="s">
        <v>2741</v>
      </c>
      <c r="F2921">
        <v>1</v>
      </c>
      <c r="G2921" t="s">
        <v>0</v>
      </c>
      <c r="L2921" t="s">
        <v>86</v>
      </c>
    </row>
    <row r="2922" spans="1:13">
      <c r="A2922">
        <v>45901</v>
      </c>
      <c r="B2922" t="s">
        <v>2742</v>
      </c>
      <c r="F2922">
        <v>1</v>
      </c>
      <c r="G2922" t="s">
        <v>0</v>
      </c>
      <c r="L2922" t="s">
        <v>86</v>
      </c>
    </row>
    <row r="2923" spans="1:13">
      <c r="A2923">
        <v>45902</v>
      </c>
      <c r="B2923" t="s">
        <v>81</v>
      </c>
      <c r="D2923">
        <v>178000</v>
      </c>
      <c r="F2923">
        <v>1</v>
      </c>
      <c r="G2923" t="s">
        <v>74</v>
      </c>
      <c r="H2923" t="s">
        <v>75</v>
      </c>
      <c r="I2923" t="s">
        <v>60</v>
      </c>
      <c r="J2923" t="s">
        <v>61</v>
      </c>
      <c r="L2923" t="s">
        <v>88</v>
      </c>
    </row>
    <row r="2924" spans="1:13">
      <c r="A2924">
        <v>45902</v>
      </c>
      <c r="B2924" t="s">
        <v>2743</v>
      </c>
      <c r="F2924">
        <v>1</v>
      </c>
      <c r="G2924" t="s">
        <v>79</v>
      </c>
      <c r="H2924" t="s">
        <v>21</v>
      </c>
      <c r="L2924" t="s">
        <v>82</v>
      </c>
    </row>
    <row r="2925" spans="1:13">
      <c r="A2925">
        <v>45902</v>
      </c>
      <c r="B2925" t="s">
        <v>2744</v>
      </c>
      <c r="F2925">
        <v>1</v>
      </c>
      <c r="G2925" t="s">
        <v>79</v>
      </c>
      <c r="H2925" t="s">
        <v>21</v>
      </c>
      <c r="L2925" t="s">
        <v>89</v>
      </c>
    </row>
    <row r="2926" spans="1:13">
      <c r="A2926">
        <v>45902</v>
      </c>
      <c r="B2926" t="s">
        <v>2745</v>
      </c>
      <c r="F2926">
        <v>1</v>
      </c>
      <c r="G2926" t="s">
        <v>79</v>
      </c>
      <c r="H2926" t="s">
        <v>21</v>
      </c>
      <c r="L2926" t="s">
        <v>89</v>
      </c>
    </row>
    <row r="2927" spans="1:13">
      <c r="A2927">
        <v>45902</v>
      </c>
      <c r="B2927" t="s">
        <v>2746</v>
      </c>
      <c r="D2927">
        <v>500</v>
      </c>
      <c r="F2927">
        <v>1</v>
      </c>
      <c r="G2927" t="s">
        <v>22</v>
      </c>
      <c r="H2927" t="s">
        <v>21</v>
      </c>
      <c r="I2927" t="s">
        <v>60</v>
      </c>
      <c r="J2927" t="s">
        <v>61</v>
      </c>
      <c r="L2927" t="s">
        <v>82</v>
      </c>
    </row>
    <row r="2928" spans="1:13">
      <c r="A2928">
        <v>45902</v>
      </c>
      <c r="B2928" t="s">
        <v>2747</v>
      </c>
      <c r="D2928">
        <v>500</v>
      </c>
      <c r="F2928">
        <v>0</v>
      </c>
      <c r="G2928" t="s">
        <v>22</v>
      </c>
      <c r="H2928" t="s">
        <v>21</v>
      </c>
      <c r="I2928" t="s">
        <v>60</v>
      </c>
      <c r="J2928" t="s">
        <v>61</v>
      </c>
      <c r="L2928" t="s">
        <v>89</v>
      </c>
      <c r="M2928" t="s">
        <v>83</v>
      </c>
    </row>
    <row r="2929" spans="1:13">
      <c r="A2929">
        <v>45902</v>
      </c>
      <c r="B2929" t="s">
        <v>2748</v>
      </c>
      <c r="D2929">
        <v>500</v>
      </c>
      <c r="F2929">
        <v>1</v>
      </c>
      <c r="G2929" t="s">
        <v>22</v>
      </c>
      <c r="H2929" t="s">
        <v>21</v>
      </c>
      <c r="I2929" t="s">
        <v>60</v>
      </c>
      <c r="J2929" t="s">
        <v>61</v>
      </c>
      <c r="L2929" t="s">
        <v>89</v>
      </c>
    </row>
    <row r="2930" spans="1:13">
      <c r="A2930">
        <v>45902</v>
      </c>
      <c r="B2930" t="s">
        <v>2749</v>
      </c>
      <c r="D2930">
        <v>500</v>
      </c>
      <c r="F2930">
        <v>1</v>
      </c>
      <c r="G2930" t="s">
        <v>22</v>
      </c>
      <c r="H2930" t="s">
        <v>21</v>
      </c>
      <c r="I2930" t="s">
        <v>60</v>
      </c>
      <c r="J2930" t="s">
        <v>61</v>
      </c>
      <c r="L2930" t="s">
        <v>89</v>
      </c>
    </row>
    <row r="2931" spans="1:13">
      <c r="A2931">
        <v>45902</v>
      </c>
      <c r="B2931" t="s">
        <v>76</v>
      </c>
      <c r="D2931">
        <v>5500</v>
      </c>
      <c r="G2931" t="s">
        <v>77</v>
      </c>
      <c r="I2931" t="s">
        <v>60</v>
      </c>
      <c r="J2931" t="s">
        <v>61</v>
      </c>
      <c r="L2931" t="s">
        <v>62</v>
      </c>
    </row>
    <row r="2932" spans="1:13">
      <c r="A2932">
        <v>45902</v>
      </c>
      <c r="B2932" t="s">
        <v>2750</v>
      </c>
      <c r="F2932">
        <v>1</v>
      </c>
      <c r="G2932" t="s">
        <v>2490</v>
      </c>
      <c r="L2932" t="s">
        <v>89</v>
      </c>
      <c r="M2932" t="s">
        <v>2751</v>
      </c>
    </row>
    <row r="2933" spans="1:13">
      <c r="A2933">
        <v>45902</v>
      </c>
      <c r="B2933" t="s">
        <v>2752</v>
      </c>
      <c r="F2933">
        <v>1</v>
      </c>
      <c r="G2933" t="s">
        <v>64</v>
      </c>
      <c r="L2933" t="s">
        <v>89</v>
      </c>
      <c r="M2933" t="s">
        <v>2753</v>
      </c>
    </row>
    <row r="2934" spans="1:13">
      <c r="A2934">
        <v>45903</v>
      </c>
      <c r="B2934" t="s">
        <v>81</v>
      </c>
      <c r="D2934">
        <v>73000</v>
      </c>
      <c r="F2934">
        <v>1</v>
      </c>
      <c r="G2934" t="s">
        <v>74</v>
      </c>
      <c r="H2934" t="s">
        <v>75</v>
      </c>
      <c r="I2934" t="s">
        <v>60</v>
      </c>
      <c r="J2934" t="s">
        <v>61</v>
      </c>
      <c r="L2934" t="s">
        <v>88</v>
      </c>
    </row>
    <row r="2935" spans="1:13">
      <c r="A2935">
        <v>45903</v>
      </c>
      <c r="B2935" t="s">
        <v>2754</v>
      </c>
      <c r="F2935">
        <v>1</v>
      </c>
      <c r="G2935" t="s">
        <v>79</v>
      </c>
      <c r="H2935" t="s">
        <v>21</v>
      </c>
      <c r="L2935" t="s">
        <v>86</v>
      </c>
    </row>
    <row r="2936" spans="1:13">
      <c r="A2936">
        <v>45903</v>
      </c>
      <c r="B2936" t="s">
        <v>63</v>
      </c>
      <c r="D2936">
        <v>100</v>
      </c>
      <c r="F2936">
        <v>1</v>
      </c>
      <c r="G2936" t="s">
        <v>22</v>
      </c>
      <c r="H2936" t="s">
        <v>392</v>
      </c>
      <c r="I2936" t="s">
        <v>60</v>
      </c>
      <c r="J2936" t="s">
        <v>61</v>
      </c>
      <c r="L2936" t="s">
        <v>62</v>
      </c>
    </row>
    <row r="2937" spans="1:13">
      <c r="A2937">
        <v>45903</v>
      </c>
      <c r="B2937" t="s">
        <v>2755</v>
      </c>
      <c r="D2937">
        <v>500</v>
      </c>
      <c r="F2937">
        <v>0</v>
      </c>
      <c r="G2937" t="s">
        <v>22</v>
      </c>
      <c r="H2937" t="s">
        <v>21</v>
      </c>
      <c r="I2937" t="s">
        <v>60</v>
      </c>
      <c r="J2937" t="s">
        <v>61</v>
      </c>
      <c r="L2937" t="s">
        <v>86</v>
      </c>
      <c r="M2937" t="s">
        <v>83</v>
      </c>
    </row>
    <row r="2938" spans="1:13">
      <c r="A2938">
        <v>45903</v>
      </c>
      <c r="B2938" t="s">
        <v>2754</v>
      </c>
      <c r="D2938">
        <v>0</v>
      </c>
      <c r="F2938">
        <v>0</v>
      </c>
      <c r="G2938" t="s">
        <v>22</v>
      </c>
      <c r="H2938" t="s">
        <v>21</v>
      </c>
      <c r="I2938" t="s">
        <v>60</v>
      </c>
      <c r="J2938" t="s">
        <v>61</v>
      </c>
      <c r="L2938" t="s">
        <v>86</v>
      </c>
      <c r="M2938" t="s">
        <v>83</v>
      </c>
    </row>
    <row r="2939" spans="1:13">
      <c r="A2939">
        <v>45903</v>
      </c>
      <c r="B2939" t="s">
        <v>2756</v>
      </c>
      <c r="D2939">
        <v>500</v>
      </c>
      <c r="F2939">
        <v>1</v>
      </c>
      <c r="G2939" t="s">
        <v>22</v>
      </c>
      <c r="H2939" t="s">
        <v>21</v>
      </c>
      <c r="I2939" t="s">
        <v>60</v>
      </c>
      <c r="J2939" t="s">
        <v>61</v>
      </c>
      <c r="L2939" t="s">
        <v>82</v>
      </c>
    </row>
    <row r="2940" spans="1:13">
      <c r="A2940">
        <v>45903</v>
      </c>
      <c r="B2940" t="s">
        <v>2757</v>
      </c>
      <c r="D2940">
        <v>500</v>
      </c>
      <c r="F2940">
        <v>1</v>
      </c>
      <c r="G2940" t="s">
        <v>22</v>
      </c>
      <c r="H2940" t="s">
        <v>21</v>
      </c>
      <c r="I2940" t="s">
        <v>60</v>
      </c>
      <c r="J2940" t="s">
        <v>61</v>
      </c>
      <c r="L2940" t="s">
        <v>82</v>
      </c>
    </row>
    <row r="2941" spans="1:13">
      <c r="A2941">
        <v>45903</v>
      </c>
      <c r="B2941" t="s">
        <v>2758</v>
      </c>
      <c r="D2941">
        <v>500</v>
      </c>
      <c r="F2941">
        <v>1</v>
      </c>
      <c r="G2941" t="s">
        <v>22</v>
      </c>
      <c r="H2941" t="s">
        <v>21</v>
      </c>
      <c r="I2941" t="s">
        <v>60</v>
      </c>
      <c r="J2941" t="s">
        <v>61</v>
      </c>
      <c r="L2941" t="s">
        <v>82</v>
      </c>
    </row>
    <row r="2942" spans="1:13">
      <c r="A2942">
        <v>45903</v>
      </c>
      <c r="B2942" t="s">
        <v>2759</v>
      </c>
      <c r="D2942">
        <v>500</v>
      </c>
      <c r="F2942">
        <v>1</v>
      </c>
      <c r="G2942" t="s">
        <v>22</v>
      </c>
      <c r="H2942" t="s">
        <v>21</v>
      </c>
      <c r="I2942" t="s">
        <v>60</v>
      </c>
      <c r="J2942" t="s">
        <v>61</v>
      </c>
      <c r="L2942" t="s">
        <v>82</v>
      </c>
    </row>
    <row r="2943" spans="1:13">
      <c r="A2943">
        <v>45903</v>
      </c>
      <c r="B2943" t="s">
        <v>2760</v>
      </c>
      <c r="D2943">
        <v>500</v>
      </c>
      <c r="F2943">
        <v>1</v>
      </c>
      <c r="G2943" t="s">
        <v>22</v>
      </c>
      <c r="H2943" t="s">
        <v>21</v>
      </c>
      <c r="I2943" t="s">
        <v>60</v>
      </c>
      <c r="J2943" t="s">
        <v>61</v>
      </c>
      <c r="L2943" t="s">
        <v>82</v>
      </c>
    </row>
    <row r="2944" spans="1:13">
      <c r="A2944">
        <v>45903</v>
      </c>
      <c r="B2944" t="s">
        <v>2761</v>
      </c>
      <c r="D2944">
        <v>500</v>
      </c>
      <c r="F2944">
        <v>1</v>
      </c>
      <c r="G2944" t="s">
        <v>22</v>
      </c>
      <c r="H2944" t="s">
        <v>21</v>
      </c>
      <c r="I2944" t="s">
        <v>60</v>
      </c>
      <c r="J2944" t="s">
        <v>61</v>
      </c>
      <c r="L2944" t="s">
        <v>82</v>
      </c>
    </row>
    <row r="2945" spans="1:13">
      <c r="A2945">
        <v>45903</v>
      </c>
      <c r="B2945" t="s">
        <v>2762</v>
      </c>
      <c r="D2945">
        <v>500</v>
      </c>
      <c r="F2945">
        <v>0</v>
      </c>
      <c r="G2945" t="s">
        <v>22</v>
      </c>
      <c r="H2945" t="s">
        <v>21</v>
      </c>
      <c r="I2945" t="s">
        <v>60</v>
      </c>
      <c r="J2945" t="s">
        <v>61</v>
      </c>
      <c r="L2945" t="s">
        <v>82</v>
      </c>
      <c r="M2945" t="s">
        <v>83</v>
      </c>
    </row>
    <row r="2946" spans="1:13">
      <c r="A2946">
        <v>45903</v>
      </c>
      <c r="B2946" t="s">
        <v>2763</v>
      </c>
      <c r="D2946">
        <v>500</v>
      </c>
      <c r="F2946">
        <v>1</v>
      </c>
      <c r="G2946" t="s">
        <v>22</v>
      </c>
      <c r="H2946" t="s">
        <v>21</v>
      </c>
      <c r="I2946" t="s">
        <v>60</v>
      </c>
      <c r="J2946" t="s">
        <v>61</v>
      </c>
      <c r="L2946" t="s">
        <v>82</v>
      </c>
    </row>
    <row r="2947" spans="1:13">
      <c r="A2947">
        <v>45903</v>
      </c>
      <c r="B2947" t="s">
        <v>2764</v>
      </c>
      <c r="F2947">
        <v>4</v>
      </c>
      <c r="G2947" t="s">
        <v>319</v>
      </c>
      <c r="H2947" t="s">
        <v>21</v>
      </c>
      <c r="L2947" t="s">
        <v>82</v>
      </c>
    </row>
    <row r="2948" spans="1:13">
      <c r="A2948">
        <v>45903</v>
      </c>
      <c r="B2948" t="s">
        <v>2764</v>
      </c>
      <c r="F2948">
        <v>1</v>
      </c>
      <c r="G2948" t="s">
        <v>99</v>
      </c>
      <c r="H2948" t="s">
        <v>21</v>
      </c>
      <c r="L2948" t="s">
        <v>82</v>
      </c>
    </row>
    <row r="2949" spans="1:13">
      <c r="A2949">
        <v>45903</v>
      </c>
      <c r="B2949" t="s">
        <v>888</v>
      </c>
      <c r="F2949">
        <v>1</v>
      </c>
      <c r="G2949" t="s">
        <v>2490</v>
      </c>
      <c r="L2949" t="s">
        <v>82</v>
      </c>
      <c r="M2949" t="s">
        <v>2765</v>
      </c>
    </row>
    <row r="2950" spans="1:13">
      <c r="A2950">
        <v>45904</v>
      </c>
      <c r="B2950" t="s">
        <v>81</v>
      </c>
      <c r="D2950">
        <v>123000</v>
      </c>
      <c r="F2950">
        <v>1</v>
      </c>
      <c r="G2950" t="s">
        <v>74</v>
      </c>
      <c r="H2950" t="s">
        <v>75</v>
      </c>
      <c r="I2950" t="s">
        <v>60</v>
      </c>
      <c r="J2950" t="s">
        <v>61</v>
      </c>
      <c r="L2950" t="s">
        <v>88</v>
      </c>
    </row>
    <row r="2951" spans="1:13">
      <c r="A2951">
        <v>45904</v>
      </c>
      <c r="B2951" t="s">
        <v>2766</v>
      </c>
      <c r="F2951">
        <v>1</v>
      </c>
      <c r="G2951" t="s">
        <v>377</v>
      </c>
      <c r="H2951" t="s">
        <v>21</v>
      </c>
      <c r="L2951" t="s">
        <v>89</v>
      </c>
    </row>
    <row r="2952" spans="1:13">
      <c r="A2952">
        <v>45904</v>
      </c>
      <c r="B2952" t="s">
        <v>2767</v>
      </c>
      <c r="F2952">
        <v>1</v>
      </c>
      <c r="G2952" t="s">
        <v>79</v>
      </c>
      <c r="H2952" t="s">
        <v>21</v>
      </c>
      <c r="L2952" t="s">
        <v>89</v>
      </c>
    </row>
    <row r="2953" spans="1:13">
      <c r="A2953">
        <v>45904</v>
      </c>
      <c r="B2953" t="s">
        <v>2730</v>
      </c>
      <c r="D2953">
        <v>500</v>
      </c>
      <c r="F2953">
        <v>0</v>
      </c>
      <c r="G2953" t="s">
        <v>22</v>
      </c>
      <c r="H2953" t="s">
        <v>21</v>
      </c>
      <c r="I2953" t="s">
        <v>60</v>
      </c>
      <c r="J2953" t="s">
        <v>61</v>
      </c>
      <c r="L2953" t="s">
        <v>86</v>
      </c>
      <c r="M2953" t="s">
        <v>83</v>
      </c>
    </row>
    <row r="2954" spans="1:13">
      <c r="A2954">
        <v>45904</v>
      </c>
      <c r="B2954" t="s">
        <v>63</v>
      </c>
      <c r="D2954">
        <v>8000</v>
      </c>
      <c r="F2954">
        <v>1</v>
      </c>
      <c r="G2954" t="s">
        <v>70</v>
      </c>
      <c r="I2954" t="s">
        <v>71</v>
      </c>
      <c r="J2954" t="s">
        <v>72</v>
      </c>
      <c r="K2954" t="s">
        <v>2768</v>
      </c>
      <c r="L2954" t="s">
        <v>62</v>
      </c>
      <c r="M2954" t="s">
        <v>90</v>
      </c>
    </row>
    <row r="2955" spans="1:13">
      <c r="A2955">
        <v>45904</v>
      </c>
      <c r="B2955" t="s">
        <v>63</v>
      </c>
      <c r="D2955">
        <v>9000</v>
      </c>
      <c r="G2955" t="s">
        <v>70</v>
      </c>
      <c r="I2955" t="s">
        <v>60</v>
      </c>
      <c r="J2955" t="s">
        <v>61</v>
      </c>
      <c r="L2955" t="s">
        <v>62</v>
      </c>
    </row>
    <row r="2956" spans="1:13">
      <c r="A2956">
        <v>45905</v>
      </c>
      <c r="B2956" t="s">
        <v>81</v>
      </c>
      <c r="D2956">
        <v>92000</v>
      </c>
      <c r="F2956">
        <v>1</v>
      </c>
      <c r="G2956" t="s">
        <v>74</v>
      </c>
      <c r="H2956" t="s">
        <v>75</v>
      </c>
      <c r="I2956" t="s">
        <v>60</v>
      </c>
      <c r="J2956" t="s">
        <v>61</v>
      </c>
      <c r="L2956" t="s">
        <v>88</v>
      </c>
    </row>
    <row r="2957" spans="1:13">
      <c r="A2957">
        <v>45905</v>
      </c>
      <c r="B2957" t="s">
        <v>2769</v>
      </c>
      <c r="F2957">
        <v>1</v>
      </c>
      <c r="G2957" t="s">
        <v>79</v>
      </c>
      <c r="H2957" t="s">
        <v>21</v>
      </c>
      <c r="L2957" t="s">
        <v>82</v>
      </c>
      <c r="M2957" t="s">
        <v>2770</v>
      </c>
    </row>
    <row r="2958" spans="1:13">
      <c r="A2958">
        <v>45905</v>
      </c>
      <c r="B2958" t="s">
        <v>2771</v>
      </c>
      <c r="F2958">
        <v>1</v>
      </c>
      <c r="G2958" t="s">
        <v>98</v>
      </c>
      <c r="H2958" t="s">
        <v>21</v>
      </c>
      <c r="L2958" t="s">
        <v>82</v>
      </c>
    </row>
    <row r="2959" spans="1:13">
      <c r="A2959">
        <v>45905</v>
      </c>
      <c r="B2959" t="s">
        <v>2772</v>
      </c>
      <c r="F2959">
        <v>1</v>
      </c>
      <c r="G2959" t="s">
        <v>98</v>
      </c>
      <c r="H2959" t="s">
        <v>21</v>
      </c>
      <c r="L2959" t="s">
        <v>82</v>
      </c>
    </row>
    <row r="2960" spans="1:13">
      <c r="A2960">
        <v>45905</v>
      </c>
      <c r="B2960" t="s">
        <v>2773</v>
      </c>
      <c r="D2960">
        <v>500</v>
      </c>
      <c r="F2960">
        <v>1</v>
      </c>
      <c r="G2960" t="s">
        <v>22</v>
      </c>
      <c r="H2960" t="s">
        <v>21</v>
      </c>
      <c r="I2960" t="s">
        <v>60</v>
      </c>
      <c r="J2960" t="s">
        <v>61</v>
      </c>
      <c r="L2960" t="s">
        <v>82</v>
      </c>
    </row>
    <row r="2961" spans="1:13">
      <c r="A2961">
        <v>45905</v>
      </c>
      <c r="B2961" t="s">
        <v>2771</v>
      </c>
      <c r="D2961">
        <v>0</v>
      </c>
      <c r="F2961">
        <v>0</v>
      </c>
      <c r="G2961" t="s">
        <v>22</v>
      </c>
      <c r="H2961" t="s">
        <v>21</v>
      </c>
      <c r="L2961" t="s">
        <v>82</v>
      </c>
      <c r="M2961" t="s">
        <v>2259</v>
      </c>
    </row>
    <row r="2962" spans="1:13">
      <c r="A2962">
        <v>45905</v>
      </c>
      <c r="B2962" t="s">
        <v>2772</v>
      </c>
      <c r="D2962">
        <v>0</v>
      </c>
      <c r="F2962">
        <v>0</v>
      </c>
      <c r="G2962" t="s">
        <v>22</v>
      </c>
      <c r="H2962" t="s">
        <v>21</v>
      </c>
      <c r="L2962" t="s">
        <v>82</v>
      </c>
      <c r="M2962" t="s">
        <v>2259</v>
      </c>
    </row>
    <row r="2963" spans="1:13">
      <c r="A2963">
        <v>45905</v>
      </c>
      <c r="B2963" t="s">
        <v>63</v>
      </c>
      <c r="D2963">
        <v>100</v>
      </c>
      <c r="F2963">
        <v>1</v>
      </c>
      <c r="G2963" t="s">
        <v>22</v>
      </c>
      <c r="H2963" t="s">
        <v>93</v>
      </c>
      <c r="I2963" t="s">
        <v>60</v>
      </c>
      <c r="J2963" t="s">
        <v>61</v>
      </c>
      <c r="L2963" t="s">
        <v>62</v>
      </c>
    </row>
    <row r="2964" spans="1:13">
      <c r="A2964">
        <v>45905</v>
      </c>
      <c r="B2964" t="s">
        <v>2774</v>
      </c>
      <c r="D2964">
        <v>500</v>
      </c>
      <c r="F2964">
        <v>1</v>
      </c>
      <c r="G2964" t="s">
        <v>22</v>
      </c>
      <c r="H2964" t="s">
        <v>21</v>
      </c>
      <c r="I2964" t="s">
        <v>60</v>
      </c>
      <c r="J2964" t="s">
        <v>61</v>
      </c>
      <c r="L2964" t="s">
        <v>86</v>
      </c>
    </row>
    <row r="2965" spans="1:13">
      <c r="A2965">
        <v>45905</v>
      </c>
      <c r="B2965" t="s">
        <v>2775</v>
      </c>
      <c r="D2965">
        <v>500</v>
      </c>
      <c r="F2965">
        <v>1</v>
      </c>
      <c r="G2965" t="s">
        <v>22</v>
      </c>
      <c r="H2965" t="s">
        <v>21</v>
      </c>
      <c r="I2965" t="s">
        <v>60</v>
      </c>
      <c r="J2965" t="s">
        <v>61</v>
      </c>
      <c r="L2965" t="s">
        <v>86</v>
      </c>
    </row>
    <row r="2966" spans="1:13">
      <c r="A2966">
        <v>45905</v>
      </c>
      <c r="B2966" t="s">
        <v>2776</v>
      </c>
      <c r="F2966">
        <v>1</v>
      </c>
      <c r="G2966" t="s">
        <v>319</v>
      </c>
      <c r="H2966" t="s">
        <v>21</v>
      </c>
      <c r="L2966" t="s">
        <v>86</v>
      </c>
    </row>
    <row r="2967" spans="1:13">
      <c r="A2967">
        <v>45905</v>
      </c>
      <c r="B2967" t="s">
        <v>2777</v>
      </c>
      <c r="C2967" t="s">
        <v>2778</v>
      </c>
      <c r="E2967">
        <v>9600</v>
      </c>
      <c r="F2967">
        <v>1</v>
      </c>
      <c r="G2967" t="s">
        <v>65</v>
      </c>
      <c r="H2967" t="s">
        <v>292</v>
      </c>
      <c r="I2967" t="s">
        <v>60</v>
      </c>
      <c r="J2967" t="s">
        <v>61</v>
      </c>
      <c r="L2967" t="s">
        <v>62</v>
      </c>
      <c r="M2967" t="s">
        <v>2779</v>
      </c>
    </row>
    <row r="2968" spans="1:13">
      <c r="A2968">
        <v>45905</v>
      </c>
      <c r="B2968" t="s">
        <v>2780</v>
      </c>
      <c r="C2968" t="s">
        <v>2781</v>
      </c>
      <c r="E2968">
        <v>7433.9</v>
      </c>
      <c r="F2968">
        <v>1</v>
      </c>
      <c r="G2968" t="s">
        <v>65</v>
      </c>
      <c r="H2968" t="s">
        <v>292</v>
      </c>
      <c r="I2968" t="s">
        <v>60</v>
      </c>
      <c r="J2968" t="s">
        <v>61</v>
      </c>
      <c r="L2968" t="s">
        <v>62</v>
      </c>
      <c r="M2968" t="s">
        <v>2779</v>
      </c>
    </row>
    <row r="2969" spans="1:13">
      <c r="A2969">
        <v>45905</v>
      </c>
      <c r="B2969" t="s">
        <v>2782</v>
      </c>
      <c r="C2969" t="s">
        <v>2783</v>
      </c>
      <c r="E2969">
        <v>11999</v>
      </c>
      <c r="F2969">
        <v>1</v>
      </c>
      <c r="G2969" t="s">
        <v>65</v>
      </c>
      <c r="H2969" t="s">
        <v>292</v>
      </c>
      <c r="I2969" t="s">
        <v>60</v>
      </c>
      <c r="J2969" t="s">
        <v>61</v>
      </c>
      <c r="L2969" t="s">
        <v>62</v>
      </c>
      <c r="M2969" t="s">
        <v>2779</v>
      </c>
    </row>
    <row r="2970" spans="1:13">
      <c r="A2970">
        <v>45905</v>
      </c>
      <c r="B2970" t="s">
        <v>2784</v>
      </c>
      <c r="C2970" t="s">
        <v>2785</v>
      </c>
      <c r="E2970">
        <v>2604.37</v>
      </c>
      <c r="F2970">
        <v>1</v>
      </c>
      <c r="G2970" t="s">
        <v>65</v>
      </c>
      <c r="H2970" t="s">
        <v>292</v>
      </c>
      <c r="I2970" t="s">
        <v>60</v>
      </c>
      <c r="J2970" t="s">
        <v>61</v>
      </c>
      <c r="L2970" t="s">
        <v>62</v>
      </c>
      <c r="M2970" t="s">
        <v>2779</v>
      </c>
    </row>
    <row r="2971" spans="1:13">
      <c r="A2971">
        <v>45905</v>
      </c>
      <c r="B2971" t="s">
        <v>2786</v>
      </c>
      <c r="C2971" t="s">
        <v>2787</v>
      </c>
      <c r="E2971">
        <v>5100</v>
      </c>
      <c r="F2971">
        <v>1</v>
      </c>
      <c r="G2971" t="s">
        <v>65</v>
      </c>
      <c r="H2971" t="s">
        <v>292</v>
      </c>
      <c r="I2971" t="s">
        <v>60</v>
      </c>
      <c r="J2971" t="s">
        <v>61</v>
      </c>
      <c r="L2971" t="s">
        <v>62</v>
      </c>
      <c r="M2971" t="s">
        <v>2779</v>
      </c>
    </row>
    <row r="2972" spans="1:13">
      <c r="A2972">
        <v>45905</v>
      </c>
      <c r="B2972" t="s">
        <v>2788</v>
      </c>
      <c r="C2972" t="s">
        <v>2789</v>
      </c>
      <c r="E2972">
        <v>3710.25</v>
      </c>
      <c r="F2972">
        <v>1</v>
      </c>
      <c r="G2972" t="s">
        <v>65</v>
      </c>
      <c r="H2972" t="s">
        <v>292</v>
      </c>
      <c r="I2972" t="s">
        <v>60</v>
      </c>
      <c r="J2972" t="s">
        <v>61</v>
      </c>
      <c r="L2972" t="s">
        <v>62</v>
      </c>
      <c r="M2972" t="s">
        <v>2779</v>
      </c>
    </row>
    <row r="2973" spans="1:13">
      <c r="A2973">
        <v>45905</v>
      </c>
      <c r="B2973" t="s">
        <v>2790</v>
      </c>
      <c r="F2973">
        <v>1</v>
      </c>
      <c r="G2973" t="s">
        <v>64</v>
      </c>
      <c r="L2973" t="s">
        <v>86</v>
      </c>
      <c r="M2973" t="s">
        <v>2229</v>
      </c>
    </row>
    <row r="2974" spans="1:13">
      <c r="A2974">
        <v>45905</v>
      </c>
      <c r="B2974" t="s">
        <v>63</v>
      </c>
      <c r="D2974">
        <v>12500</v>
      </c>
      <c r="G2974" t="s">
        <v>70</v>
      </c>
      <c r="I2974" t="s">
        <v>60</v>
      </c>
      <c r="J2974" t="s">
        <v>61</v>
      </c>
      <c r="L2974" t="s">
        <v>62</v>
      </c>
    </row>
    <row r="2975" spans="1:13">
      <c r="A2975">
        <v>45906</v>
      </c>
      <c r="B2975" t="s">
        <v>80</v>
      </c>
      <c r="E2975">
        <v>9408</v>
      </c>
      <c r="F2975">
        <v>1</v>
      </c>
      <c r="G2975" t="s">
        <v>74</v>
      </c>
      <c r="H2975" t="s">
        <v>75</v>
      </c>
      <c r="I2975" t="s">
        <v>60</v>
      </c>
      <c r="J2975" t="s">
        <v>61</v>
      </c>
      <c r="L2975" t="s">
        <v>87</v>
      </c>
    </row>
    <row r="2976" spans="1:13">
      <c r="A2976">
        <v>45906</v>
      </c>
      <c r="B2976" t="s">
        <v>2791</v>
      </c>
      <c r="F2976">
        <v>1</v>
      </c>
      <c r="G2976" t="s">
        <v>79</v>
      </c>
      <c r="H2976" t="s">
        <v>21</v>
      </c>
      <c r="L2976" t="s">
        <v>86</v>
      </c>
    </row>
    <row r="2977" spans="1:13">
      <c r="A2977">
        <v>45906</v>
      </c>
      <c r="B2977" t="s">
        <v>2792</v>
      </c>
      <c r="D2977">
        <v>500</v>
      </c>
      <c r="F2977">
        <v>0</v>
      </c>
      <c r="G2977" t="s">
        <v>22</v>
      </c>
      <c r="H2977" t="s">
        <v>21</v>
      </c>
      <c r="I2977" t="s">
        <v>60</v>
      </c>
      <c r="J2977" t="s">
        <v>61</v>
      </c>
      <c r="L2977" t="s">
        <v>89</v>
      </c>
    </row>
    <row r="2978" spans="1:13">
      <c r="A2978">
        <v>45906</v>
      </c>
      <c r="B2978" t="s">
        <v>2793</v>
      </c>
      <c r="D2978">
        <v>500</v>
      </c>
      <c r="F2978">
        <v>1</v>
      </c>
      <c r="G2978" t="s">
        <v>22</v>
      </c>
      <c r="H2978" t="s">
        <v>21</v>
      </c>
      <c r="I2978" t="s">
        <v>60</v>
      </c>
      <c r="J2978" t="s">
        <v>61</v>
      </c>
      <c r="L2978" t="s">
        <v>89</v>
      </c>
    </row>
    <row r="2979" spans="1:13">
      <c r="A2979">
        <v>45906</v>
      </c>
      <c r="B2979" t="s">
        <v>2794</v>
      </c>
      <c r="D2979">
        <v>500</v>
      </c>
      <c r="F2979">
        <v>0</v>
      </c>
      <c r="G2979" t="s">
        <v>22</v>
      </c>
      <c r="H2979" t="s">
        <v>21</v>
      </c>
      <c r="I2979" t="s">
        <v>60</v>
      </c>
      <c r="J2979" t="s">
        <v>61</v>
      </c>
      <c r="L2979" t="s">
        <v>86</v>
      </c>
      <c r="M2979" t="s">
        <v>548</v>
      </c>
    </row>
    <row r="2980" spans="1:13">
      <c r="A2980">
        <v>45906</v>
      </c>
      <c r="B2980" t="s">
        <v>559</v>
      </c>
      <c r="E2980">
        <v>10000</v>
      </c>
      <c r="F2980">
        <v>1</v>
      </c>
      <c r="G2980" t="s">
        <v>65</v>
      </c>
      <c r="H2980" t="s">
        <v>560</v>
      </c>
      <c r="I2980" t="s">
        <v>60</v>
      </c>
      <c r="J2980" t="s">
        <v>61</v>
      </c>
      <c r="L2980" t="s">
        <v>62</v>
      </c>
    </row>
    <row r="2981" spans="1:13">
      <c r="A2981">
        <v>45906</v>
      </c>
      <c r="B2981" t="s">
        <v>561</v>
      </c>
      <c r="E2981">
        <v>11000</v>
      </c>
      <c r="F2981">
        <v>1</v>
      </c>
      <c r="G2981" t="s">
        <v>65</v>
      </c>
      <c r="H2981" t="s">
        <v>560</v>
      </c>
      <c r="I2981" t="s">
        <v>60</v>
      </c>
      <c r="J2981" t="s">
        <v>61</v>
      </c>
      <c r="L2981" t="s">
        <v>62</v>
      </c>
    </row>
    <row r="2982" spans="1:13">
      <c r="A2982">
        <v>45906</v>
      </c>
      <c r="B2982" t="s">
        <v>80</v>
      </c>
      <c r="E2982">
        <v>92</v>
      </c>
      <c r="F2982">
        <v>1</v>
      </c>
      <c r="G2982" t="s">
        <v>65</v>
      </c>
      <c r="H2982" t="s">
        <v>66</v>
      </c>
      <c r="I2982" t="s">
        <v>60</v>
      </c>
      <c r="J2982" t="s">
        <v>61</v>
      </c>
      <c r="L2982" t="s">
        <v>62</v>
      </c>
    </row>
    <row r="2983" spans="1:13">
      <c r="A2983">
        <v>45906</v>
      </c>
      <c r="B2983" t="s">
        <v>63</v>
      </c>
      <c r="D2983">
        <v>9500</v>
      </c>
      <c r="G2983" t="s">
        <v>70</v>
      </c>
      <c r="I2983" t="s">
        <v>60</v>
      </c>
      <c r="J2983" t="s">
        <v>61</v>
      </c>
      <c r="L2983" t="s">
        <v>62</v>
      </c>
    </row>
    <row r="2984" spans="1:13">
      <c r="A2984">
        <v>45906</v>
      </c>
      <c r="B2984" t="s">
        <v>63</v>
      </c>
      <c r="D2984">
        <v>14000</v>
      </c>
      <c r="F2984">
        <v>2</v>
      </c>
      <c r="G2984" t="s">
        <v>70</v>
      </c>
      <c r="I2984" t="s">
        <v>71</v>
      </c>
      <c r="J2984" t="s">
        <v>72</v>
      </c>
      <c r="K2984" t="s">
        <v>2795</v>
      </c>
      <c r="L2984" t="s">
        <v>62</v>
      </c>
      <c r="M2984" t="s">
        <v>2796</v>
      </c>
    </row>
    <row r="2985" spans="1:13">
      <c r="A2985">
        <v>45907</v>
      </c>
      <c r="B2985" t="s">
        <v>2797</v>
      </c>
      <c r="F2985">
        <v>1</v>
      </c>
      <c r="G2985" t="s">
        <v>564</v>
      </c>
      <c r="H2985" t="s">
        <v>21</v>
      </c>
      <c r="L2985" t="s">
        <v>89</v>
      </c>
    </row>
    <row r="2986" spans="1:13">
      <c r="A2986">
        <v>45907</v>
      </c>
      <c r="B2986" t="s">
        <v>2798</v>
      </c>
      <c r="F2986">
        <v>1</v>
      </c>
      <c r="G2986" t="s">
        <v>79</v>
      </c>
      <c r="H2986" t="s">
        <v>21</v>
      </c>
      <c r="L2986" t="s">
        <v>89</v>
      </c>
    </row>
    <row r="2987" spans="1:13">
      <c r="A2987">
        <v>45907</v>
      </c>
      <c r="B2987" t="s">
        <v>2799</v>
      </c>
      <c r="D2987">
        <v>500</v>
      </c>
      <c r="F2987">
        <v>1</v>
      </c>
      <c r="G2987" t="s">
        <v>22</v>
      </c>
      <c r="H2987" t="s">
        <v>21</v>
      </c>
      <c r="I2987" t="s">
        <v>60</v>
      </c>
      <c r="J2987" t="s">
        <v>61</v>
      </c>
      <c r="L2987" t="s">
        <v>89</v>
      </c>
    </row>
    <row r="2988" spans="1:13">
      <c r="A2988">
        <v>45907</v>
      </c>
      <c r="B2988" t="s">
        <v>2800</v>
      </c>
      <c r="D2988">
        <v>500</v>
      </c>
      <c r="F2988">
        <v>1</v>
      </c>
      <c r="G2988" t="s">
        <v>22</v>
      </c>
      <c r="H2988" t="s">
        <v>21</v>
      </c>
      <c r="I2988" t="s">
        <v>60</v>
      </c>
      <c r="J2988" t="s">
        <v>61</v>
      </c>
      <c r="L2988" t="s">
        <v>89</v>
      </c>
    </row>
    <row r="2989" spans="1:13">
      <c r="A2989">
        <v>45907</v>
      </c>
      <c r="B2989" t="s">
        <v>2801</v>
      </c>
      <c r="D2989">
        <v>500</v>
      </c>
      <c r="F2989">
        <v>1</v>
      </c>
      <c r="G2989" t="s">
        <v>22</v>
      </c>
      <c r="H2989" t="s">
        <v>21</v>
      </c>
      <c r="I2989" t="s">
        <v>60</v>
      </c>
      <c r="J2989" t="s">
        <v>61</v>
      </c>
      <c r="L2989" t="s">
        <v>89</v>
      </c>
    </row>
    <row r="2990" spans="1:13">
      <c r="A2990">
        <v>45907</v>
      </c>
      <c r="B2990" t="s">
        <v>2802</v>
      </c>
      <c r="D2990">
        <v>500</v>
      </c>
      <c r="F2990">
        <v>1</v>
      </c>
      <c r="G2990" t="s">
        <v>22</v>
      </c>
      <c r="H2990" t="s">
        <v>21</v>
      </c>
      <c r="I2990" t="s">
        <v>60</v>
      </c>
      <c r="J2990" t="s">
        <v>61</v>
      </c>
      <c r="L2990" t="s">
        <v>82</v>
      </c>
    </row>
    <row r="2991" spans="1:13">
      <c r="A2991">
        <v>45907</v>
      </c>
      <c r="B2991" t="s">
        <v>2803</v>
      </c>
      <c r="D2991">
        <v>500</v>
      </c>
      <c r="F2991">
        <v>1</v>
      </c>
      <c r="G2991" t="s">
        <v>22</v>
      </c>
      <c r="H2991" t="s">
        <v>21</v>
      </c>
      <c r="I2991" t="s">
        <v>60</v>
      </c>
      <c r="J2991" t="s">
        <v>61</v>
      </c>
      <c r="L2991" t="s">
        <v>82</v>
      </c>
    </row>
    <row r="2992" spans="1:13">
      <c r="A2992">
        <v>45907</v>
      </c>
      <c r="B2992" t="s">
        <v>76</v>
      </c>
      <c r="D2992">
        <v>8200</v>
      </c>
      <c r="G2992" t="s">
        <v>77</v>
      </c>
      <c r="I2992" t="s">
        <v>60</v>
      </c>
      <c r="J2992" t="s">
        <v>61</v>
      </c>
      <c r="L2992" t="s">
        <v>62</v>
      </c>
    </row>
    <row r="2993" spans="1:13">
      <c r="A2993">
        <v>45907</v>
      </c>
      <c r="B2993" t="s">
        <v>2804</v>
      </c>
      <c r="F2993">
        <v>1</v>
      </c>
      <c r="G2993" t="s">
        <v>2490</v>
      </c>
      <c r="L2993" t="s">
        <v>89</v>
      </c>
      <c r="M2993" t="s">
        <v>2805</v>
      </c>
    </row>
    <row r="2994" spans="1:13">
      <c r="A2994">
        <v>45907</v>
      </c>
      <c r="B2994" t="s">
        <v>63</v>
      </c>
      <c r="D2994">
        <v>18000</v>
      </c>
      <c r="G2994" t="s">
        <v>70</v>
      </c>
      <c r="I2994" t="s">
        <v>60</v>
      </c>
      <c r="J2994" t="s">
        <v>61</v>
      </c>
      <c r="L2994" t="s">
        <v>62</v>
      </c>
    </row>
    <row r="2995" spans="1:13">
      <c r="A2995">
        <v>45908</v>
      </c>
      <c r="B2995" t="s">
        <v>875</v>
      </c>
      <c r="D2995">
        <v>169000</v>
      </c>
      <c r="F2995">
        <v>1</v>
      </c>
      <c r="G2995" t="s">
        <v>74</v>
      </c>
      <c r="H2995" t="s">
        <v>75</v>
      </c>
      <c r="I2995" t="s">
        <v>60</v>
      </c>
      <c r="J2995" t="s">
        <v>61</v>
      </c>
      <c r="L2995" t="s">
        <v>88</v>
      </c>
    </row>
    <row r="2996" spans="1:13">
      <c r="A2996">
        <v>45908</v>
      </c>
      <c r="B2996" t="s">
        <v>2806</v>
      </c>
      <c r="F2996">
        <v>1</v>
      </c>
      <c r="G2996" t="s">
        <v>377</v>
      </c>
      <c r="H2996" t="s">
        <v>21</v>
      </c>
      <c r="L2996" t="s">
        <v>89</v>
      </c>
    </row>
    <row r="2997" spans="1:13">
      <c r="A2997">
        <v>45908</v>
      </c>
      <c r="B2997" t="s">
        <v>2807</v>
      </c>
      <c r="F2997">
        <v>1</v>
      </c>
      <c r="G2997" t="s">
        <v>79</v>
      </c>
      <c r="H2997" t="s">
        <v>21</v>
      </c>
      <c r="L2997" t="s">
        <v>89</v>
      </c>
    </row>
    <row r="2998" spans="1:13">
      <c r="A2998">
        <v>45908</v>
      </c>
      <c r="B2998" t="s">
        <v>238</v>
      </c>
      <c r="C2998" t="s">
        <v>2808</v>
      </c>
      <c r="D2998" t="s">
        <v>28</v>
      </c>
      <c r="F2998">
        <v>16</v>
      </c>
      <c r="G2998" t="s">
        <v>22</v>
      </c>
      <c r="H2998" t="s">
        <v>21</v>
      </c>
      <c r="L2998" t="s">
        <v>95</v>
      </c>
    </row>
    <row r="2999" spans="1:13">
      <c r="A2999">
        <v>45908</v>
      </c>
      <c r="B2999" t="s">
        <v>969</v>
      </c>
      <c r="D2999">
        <v>500</v>
      </c>
      <c r="F2999">
        <v>1</v>
      </c>
      <c r="G2999" t="s">
        <v>22</v>
      </c>
      <c r="H2999" t="s">
        <v>21</v>
      </c>
      <c r="I2999" t="s">
        <v>60</v>
      </c>
      <c r="J2999" t="s">
        <v>61</v>
      </c>
      <c r="L2999" t="s">
        <v>89</v>
      </c>
    </row>
    <row r="3000" spans="1:13">
      <c r="A3000">
        <v>45908</v>
      </c>
      <c r="B3000" t="s">
        <v>2809</v>
      </c>
      <c r="D3000">
        <v>500</v>
      </c>
      <c r="F3000">
        <v>1</v>
      </c>
      <c r="G3000" t="s">
        <v>22</v>
      </c>
      <c r="H3000" t="s">
        <v>21</v>
      </c>
      <c r="I3000" t="s">
        <v>60</v>
      </c>
      <c r="J3000" t="s">
        <v>61</v>
      </c>
      <c r="L3000" t="s">
        <v>82</v>
      </c>
    </row>
    <row r="3001" spans="1:13">
      <c r="A3001">
        <v>45908</v>
      </c>
      <c r="B3001" t="s">
        <v>2810</v>
      </c>
      <c r="D3001">
        <v>500</v>
      </c>
      <c r="F3001">
        <v>1</v>
      </c>
      <c r="G3001" t="s">
        <v>22</v>
      </c>
      <c r="H3001" t="s">
        <v>21</v>
      </c>
      <c r="I3001" t="s">
        <v>60</v>
      </c>
      <c r="J3001" t="s">
        <v>61</v>
      </c>
      <c r="L3001" t="s">
        <v>82</v>
      </c>
    </row>
    <row r="3002" spans="1:13">
      <c r="A3002">
        <v>45908</v>
      </c>
      <c r="B3002" t="s">
        <v>2807</v>
      </c>
      <c r="F3002">
        <v>1</v>
      </c>
      <c r="G3002" t="s">
        <v>64</v>
      </c>
      <c r="L3002" t="s">
        <v>89</v>
      </c>
      <c r="M3002" t="s">
        <v>1016</v>
      </c>
    </row>
    <row r="3003" spans="1:13">
      <c r="A3003">
        <v>45908</v>
      </c>
      <c r="B3003" t="s">
        <v>76</v>
      </c>
      <c r="D3003">
        <v>5000</v>
      </c>
      <c r="G3003" t="s">
        <v>77</v>
      </c>
      <c r="I3003" t="s">
        <v>60</v>
      </c>
      <c r="J3003" t="s">
        <v>61</v>
      </c>
      <c r="L3003" t="s">
        <v>62</v>
      </c>
    </row>
    <row r="3004" spans="1:13">
      <c r="A3004">
        <v>45908</v>
      </c>
      <c r="B3004" t="s">
        <v>2811</v>
      </c>
      <c r="F3004">
        <v>1</v>
      </c>
      <c r="G3004" t="s">
        <v>0</v>
      </c>
      <c r="L3004" t="s">
        <v>86</v>
      </c>
    </row>
    <row r="3005" spans="1:13">
      <c r="A3005">
        <v>45909</v>
      </c>
      <c r="B3005" t="s">
        <v>81</v>
      </c>
      <c r="D3005">
        <v>73000</v>
      </c>
      <c r="F3005">
        <v>1</v>
      </c>
      <c r="G3005" t="s">
        <v>74</v>
      </c>
      <c r="H3005" t="s">
        <v>75</v>
      </c>
      <c r="I3005" t="s">
        <v>60</v>
      </c>
      <c r="J3005" t="s">
        <v>61</v>
      </c>
      <c r="L3005" t="s">
        <v>88</v>
      </c>
    </row>
    <row r="3006" spans="1:13">
      <c r="A3006">
        <v>45909</v>
      </c>
      <c r="B3006" t="s">
        <v>1724</v>
      </c>
      <c r="E3006">
        <v>749960</v>
      </c>
      <c r="F3006">
        <v>1</v>
      </c>
      <c r="G3006" t="s">
        <v>74</v>
      </c>
      <c r="H3006" t="s">
        <v>75</v>
      </c>
      <c r="I3006" t="s">
        <v>60</v>
      </c>
      <c r="J3006" t="s">
        <v>61</v>
      </c>
      <c r="L3006" t="s">
        <v>104</v>
      </c>
    </row>
    <row r="3007" spans="1:13">
      <c r="A3007">
        <v>45909</v>
      </c>
      <c r="B3007" t="s">
        <v>105</v>
      </c>
      <c r="E3007">
        <v>733829</v>
      </c>
      <c r="F3007">
        <v>1</v>
      </c>
      <c r="G3007" t="s">
        <v>74</v>
      </c>
      <c r="H3007" t="s">
        <v>75</v>
      </c>
      <c r="I3007" t="s">
        <v>60</v>
      </c>
      <c r="J3007" t="s">
        <v>61</v>
      </c>
      <c r="L3007" t="s">
        <v>104</v>
      </c>
    </row>
    <row r="3008" spans="1:13">
      <c r="A3008">
        <v>45909</v>
      </c>
      <c r="B3008" t="s">
        <v>2812</v>
      </c>
      <c r="F3008">
        <v>1</v>
      </c>
      <c r="G3008" t="s">
        <v>750</v>
      </c>
      <c r="H3008" t="s">
        <v>21</v>
      </c>
      <c r="L3008" t="s">
        <v>82</v>
      </c>
    </row>
    <row r="3009" spans="1:13">
      <c r="A3009">
        <v>45909</v>
      </c>
      <c r="B3009" t="s">
        <v>2813</v>
      </c>
      <c r="D3009">
        <v>500</v>
      </c>
      <c r="F3009">
        <v>1</v>
      </c>
      <c r="G3009" t="s">
        <v>22</v>
      </c>
      <c r="H3009" t="s">
        <v>21</v>
      </c>
      <c r="I3009" t="s">
        <v>60</v>
      </c>
      <c r="J3009" t="s">
        <v>61</v>
      </c>
      <c r="L3009" t="s">
        <v>82</v>
      </c>
    </row>
    <row r="3010" spans="1:13">
      <c r="A3010">
        <v>45909</v>
      </c>
      <c r="B3010" t="s">
        <v>2814</v>
      </c>
      <c r="D3010">
        <v>500</v>
      </c>
      <c r="F3010">
        <v>1</v>
      </c>
      <c r="G3010" t="s">
        <v>22</v>
      </c>
      <c r="H3010" t="s">
        <v>21</v>
      </c>
      <c r="I3010" t="s">
        <v>60</v>
      </c>
      <c r="J3010" t="s">
        <v>61</v>
      </c>
      <c r="L3010" t="s">
        <v>89</v>
      </c>
    </row>
    <row r="3011" spans="1:13">
      <c r="A3011">
        <v>45909</v>
      </c>
      <c r="B3011" t="s">
        <v>2815</v>
      </c>
      <c r="D3011">
        <v>500</v>
      </c>
      <c r="F3011">
        <v>1</v>
      </c>
      <c r="G3011" t="s">
        <v>22</v>
      </c>
      <c r="H3011" t="s">
        <v>21</v>
      </c>
      <c r="I3011" t="s">
        <v>60</v>
      </c>
      <c r="J3011" t="s">
        <v>61</v>
      </c>
      <c r="L3011" t="s">
        <v>82</v>
      </c>
    </row>
    <row r="3012" spans="1:13">
      <c r="A3012">
        <v>45909</v>
      </c>
      <c r="B3012" t="s">
        <v>2756</v>
      </c>
      <c r="D3012">
        <v>500</v>
      </c>
      <c r="F3012">
        <v>1</v>
      </c>
      <c r="G3012" t="s">
        <v>22</v>
      </c>
      <c r="H3012" t="s">
        <v>21</v>
      </c>
      <c r="I3012" t="s">
        <v>60</v>
      </c>
      <c r="J3012" t="s">
        <v>61</v>
      </c>
      <c r="L3012" t="s">
        <v>89</v>
      </c>
    </row>
    <row r="3013" spans="1:13">
      <c r="A3013">
        <v>45909</v>
      </c>
      <c r="B3013" t="s">
        <v>1131</v>
      </c>
      <c r="C3013" t="s">
        <v>2816</v>
      </c>
      <c r="F3013">
        <v>-500</v>
      </c>
      <c r="G3013" t="s">
        <v>23</v>
      </c>
      <c r="H3013" t="s">
        <v>1133</v>
      </c>
      <c r="L3013" t="s">
        <v>1134</v>
      </c>
    </row>
    <row r="3014" spans="1:13">
      <c r="A3014">
        <v>45909</v>
      </c>
      <c r="B3014" t="s">
        <v>248</v>
      </c>
      <c r="E3014">
        <v>18351.810000000001</v>
      </c>
      <c r="F3014">
        <v>1</v>
      </c>
      <c r="G3014" t="s">
        <v>65</v>
      </c>
      <c r="H3014" t="s">
        <v>348</v>
      </c>
      <c r="I3014" t="s">
        <v>60</v>
      </c>
      <c r="J3014" t="s">
        <v>61</v>
      </c>
      <c r="L3014" t="s">
        <v>62</v>
      </c>
      <c r="M3014" t="s">
        <v>2817</v>
      </c>
    </row>
    <row r="3015" spans="1:13">
      <c r="A3015">
        <v>45909</v>
      </c>
      <c r="B3015" t="s">
        <v>63</v>
      </c>
      <c r="D3015">
        <v>20500</v>
      </c>
      <c r="G3015" t="s">
        <v>70</v>
      </c>
      <c r="I3015" t="s">
        <v>60</v>
      </c>
      <c r="J3015" t="s">
        <v>61</v>
      </c>
      <c r="L3015" t="s">
        <v>62</v>
      </c>
    </row>
    <row r="3016" spans="1:13">
      <c r="A3016">
        <v>45909</v>
      </c>
      <c r="B3016" t="s">
        <v>2818</v>
      </c>
      <c r="F3016">
        <v>1</v>
      </c>
      <c r="G3016" t="s">
        <v>0</v>
      </c>
      <c r="L3016" t="s">
        <v>89</v>
      </c>
    </row>
    <row r="3017" spans="1:13">
      <c r="A3017">
        <v>45910</v>
      </c>
      <c r="B3017" t="s">
        <v>81</v>
      </c>
      <c r="D3017">
        <v>35000</v>
      </c>
      <c r="F3017">
        <v>1</v>
      </c>
      <c r="G3017" t="s">
        <v>74</v>
      </c>
      <c r="H3017" t="s">
        <v>75</v>
      </c>
      <c r="I3017" t="s">
        <v>60</v>
      </c>
      <c r="J3017" t="s">
        <v>61</v>
      </c>
      <c r="L3017" t="s">
        <v>88</v>
      </c>
    </row>
    <row r="3018" spans="1:13">
      <c r="A3018">
        <v>45910</v>
      </c>
      <c r="B3018" t="s">
        <v>2819</v>
      </c>
      <c r="F3018">
        <v>1</v>
      </c>
      <c r="G3018" t="s">
        <v>79</v>
      </c>
      <c r="H3018" t="s">
        <v>21</v>
      </c>
      <c r="L3018" t="s">
        <v>82</v>
      </c>
    </row>
    <row r="3019" spans="1:13">
      <c r="A3019">
        <v>45910</v>
      </c>
      <c r="B3019" t="s">
        <v>2820</v>
      </c>
      <c r="D3019">
        <v>500</v>
      </c>
      <c r="F3019">
        <v>1</v>
      </c>
      <c r="G3019" t="s">
        <v>22</v>
      </c>
      <c r="H3019" t="s">
        <v>21</v>
      </c>
      <c r="I3019" t="s">
        <v>60</v>
      </c>
      <c r="J3019" t="s">
        <v>61</v>
      </c>
      <c r="L3019" t="s">
        <v>86</v>
      </c>
    </row>
    <row r="3020" spans="1:13">
      <c r="A3020">
        <v>45910</v>
      </c>
      <c r="B3020" t="s">
        <v>2821</v>
      </c>
      <c r="D3020">
        <v>500</v>
      </c>
      <c r="F3020">
        <v>1</v>
      </c>
      <c r="G3020" t="s">
        <v>22</v>
      </c>
      <c r="H3020" t="s">
        <v>21</v>
      </c>
      <c r="I3020" t="s">
        <v>60</v>
      </c>
      <c r="J3020" t="s">
        <v>61</v>
      </c>
      <c r="L3020" t="s">
        <v>82</v>
      </c>
    </row>
    <row r="3021" spans="1:13">
      <c r="A3021">
        <v>45910</v>
      </c>
      <c r="B3021" t="s">
        <v>2822</v>
      </c>
      <c r="D3021">
        <v>500</v>
      </c>
      <c r="F3021">
        <v>1</v>
      </c>
      <c r="G3021" t="s">
        <v>22</v>
      </c>
      <c r="H3021" t="s">
        <v>21</v>
      </c>
      <c r="I3021" t="s">
        <v>60</v>
      </c>
      <c r="J3021" t="s">
        <v>61</v>
      </c>
      <c r="L3021" t="s">
        <v>82</v>
      </c>
    </row>
    <row r="3022" spans="1:13">
      <c r="A3022">
        <v>45910</v>
      </c>
      <c r="B3022" t="s">
        <v>2823</v>
      </c>
      <c r="D3022">
        <v>500</v>
      </c>
      <c r="F3022">
        <v>1</v>
      </c>
      <c r="G3022" t="s">
        <v>22</v>
      </c>
      <c r="H3022" t="s">
        <v>21</v>
      </c>
      <c r="I3022" t="s">
        <v>60</v>
      </c>
      <c r="J3022" t="s">
        <v>61</v>
      </c>
      <c r="L3022" t="s">
        <v>82</v>
      </c>
    </row>
    <row r="3023" spans="1:13">
      <c r="A3023">
        <v>45910</v>
      </c>
      <c r="B3023" t="s">
        <v>2824</v>
      </c>
      <c r="F3023">
        <v>1</v>
      </c>
      <c r="G3023" t="s">
        <v>99</v>
      </c>
      <c r="H3023" t="s">
        <v>21</v>
      </c>
      <c r="L3023" t="s">
        <v>86</v>
      </c>
    </row>
    <row r="3024" spans="1:13">
      <c r="A3024">
        <v>45910</v>
      </c>
      <c r="B3024" t="s">
        <v>76</v>
      </c>
      <c r="D3024">
        <v>32500</v>
      </c>
      <c r="G3024" t="s">
        <v>77</v>
      </c>
      <c r="I3024" t="s">
        <v>60</v>
      </c>
      <c r="J3024" t="s">
        <v>61</v>
      </c>
      <c r="L3024" t="s">
        <v>62</v>
      </c>
    </row>
    <row r="3025" spans="1:13">
      <c r="A3025">
        <v>45910</v>
      </c>
      <c r="B3025" t="s">
        <v>624</v>
      </c>
      <c r="D3025">
        <v>-41600</v>
      </c>
      <c r="G3025" t="s">
        <v>77</v>
      </c>
      <c r="I3025" t="s">
        <v>60</v>
      </c>
      <c r="J3025" t="s">
        <v>61</v>
      </c>
      <c r="L3025" t="s">
        <v>62</v>
      </c>
    </row>
    <row r="3026" spans="1:13">
      <c r="A3026">
        <v>45910</v>
      </c>
      <c r="B3026" t="s">
        <v>84</v>
      </c>
      <c r="E3026">
        <v>-2200</v>
      </c>
      <c r="G3026" t="s">
        <v>65</v>
      </c>
      <c r="H3026" t="s">
        <v>85</v>
      </c>
      <c r="I3026" t="s">
        <v>60</v>
      </c>
      <c r="J3026" t="s">
        <v>61</v>
      </c>
      <c r="L3026" t="s">
        <v>62</v>
      </c>
    </row>
    <row r="3027" spans="1:13">
      <c r="A3027">
        <v>45910</v>
      </c>
      <c r="B3027" t="s">
        <v>2823</v>
      </c>
      <c r="F3027">
        <v>1</v>
      </c>
      <c r="G3027" t="s">
        <v>2490</v>
      </c>
      <c r="L3027" t="s">
        <v>82</v>
      </c>
      <c r="M3027" t="s">
        <v>2825</v>
      </c>
    </row>
    <row r="3028" spans="1:13">
      <c r="A3028">
        <v>45910</v>
      </c>
      <c r="B3028" t="s">
        <v>606</v>
      </c>
      <c r="E3028">
        <v>70000</v>
      </c>
      <c r="F3028">
        <v>1</v>
      </c>
      <c r="G3028" t="s">
        <v>65</v>
      </c>
      <c r="H3028" t="s">
        <v>348</v>
      </c>
      <c r="I3028" t="s">
        <v>60</v>
      </c>
      <c r="J3028" t="s">
        <v>61</v>
      </c>
      <c r="L3028" t="s">
        <v>62</v>
      </c>
      <c r="M3028" t="s">
        <v>2826</v>
      </c>
    </row>
    <row r="3029" spans="1:13">
      <c r="A3029">
        <v>45910</v>
      </c>
      <c r="B3029" t="s">
        <v>604</v>
      </c>
      <c r="E3029">
        <v>70000</v>
      </c>
      <c r="F3029">
        <v>1</v>
      </c>
      <c r="G3029" t="s">
        <v>65</v>
      </c>
      <c r="H3029" t="s">
        <v>348</v>
      </c>
      <c r="I3029" t="s">
        <v>60</v>
      </c>
      <c r="J3029" t="s">
        <v>61</v>
      </c>
      <c r="L3029" t="s">
        <v>62</v>
      </c>
      <c r="M3029" t="s">
        <v>2826</v>
      </c>
    </row>
    <row r="3030" spans="1:13">
      <c r="A3030">
        <v>45910</v>
      </c>
      <c r="B3030" t="s">
        <v>248</v>
      </c>
      <c r="E3030">
        <v>70000</v>
      </c>
      <c r="F3030">
        <v>1</v>
      </c>
      <c r="G3030" t="s">
        <v>65</v>
      </c>
      <c r="H3030" t="s">
        <v>348</v>
      </c>
      <c r="I3030" t="s">
        <v>60</v>
      </c>
      <c r="J3030" t="s">
        <v>61</v>
      </c>
      <c r="L3030" t="s">
        <v>62</v>
      </c>
      <c r="M3030" t="s">
        <v>2826</v>
      </c>
    </row>
    <row r="3031" spans="1:13">
      <c r="A3031">
        <v>45910</v>
      </c>
      <c r="B3031" t="s">
        <v>2821</v>
      </c>
      <c r="F3031">
        <v>1</v>
      </c>
      <c r="G3031" t="s">
        <v>64</v>
      </c>
      <c r="L3031" t="s">
        <v>82</v>
      </c>
      <c r="M3031" t="s">
        <v>2411</v>
      </c>
    </row>
    <row r="3032" spans="1:13">
      <c r="A3032">
        <v>45910</v>
      </c>
      <c r="B3032" t="s">
        <v>63</v>
      </c>
      <c r="D3032">
        <v>7000</v>
      </c>
      <c r="F3032">
        <v>1</v>
      </c>
      <c r="G3032" t="s">
        <v>70</v>
      </c>
      <c r="I3032" t="s">
        <v>71</v>
      </c>
      <c r="J3032" t="s">
        <v>72</v>
      </c>
      <c r="K3032" t="s">
        <v>2827</v>
      </c>
      <c r="L3032" t="s">
        <v>62</v>
      </c>
      <c r="M3032" t="s">
        <v>90</v>
      </c>
    </row>
    <row r="3033" spans="1:13">
      <c r="A3033">
        <v>45910</v>
      </c>
      <c r="B3033" t="s">
        <v>63</v>
      </c>
      <c r="D3033">
        <v>19000</v>
      </c>
      <c r="F3033">
        <v>3</v>
      </c>
      <c r="G3033" t="s">
        <v>70</v>
      </c>
      <c r="I3033" t="s">
        <v>71</v>
      </c>
      <c r="J3033" t="s">
        <v>72</v>
      </c>
      <c r="K3033" t="s">
        <v>2828</v>
      </c>
      <c r="L3033" t="s">
        <v>62</v>
      </c>
      <c r="M3033" t="s">
        <v>90</v>
      </c>
    </row>
    <row r="3034" spans="1:13">
      <c r="A3034">
        <v>45910</v>
      </c>
      <c r="B3034" t="s">
        <v>63</v>
      </c>
      <c r="D3034">
        <v>7500</v>
      </c>
      <c r="G3034" t="s">
        <v>70</v>
      </c>
      <c r="I3034" t="s">
        <v>60</v>
      </c>
      <c r="J3034" t="s">
        <v>61</v>
      </c>
      <c r="L3034" t="s">
        <v>62</v>
      </c>
    </row>
    <row r="3035" spans="1:13">
      <c r="A3035">
        <v>45911</v>
      </c>
      <c r="B3035" t="s">
        <v>2829</v>
      </c>
      <c r="F3035">
        <v>1</v>
      </c>
      <c r="G3035" t="s">
        <v>79</v>
      </c>
      <c r="H3035" t="s">
        <v>21</v>
      </c>
      <c r="L3035" t="s">
        <v>89</v>
      </c>
    </row>
    <row r="3036" spans="1:13">
      <c r="A3036">
        <v>45911</v>
      </c>
      <c r="B3036" t="s">
        <v>63</v>
      </c>
      <c r="D3036">
        <v>200</v>
      </c>
      <c r="F3036">
        <v>2</v>
      </c>
      <c r="G3036" t="s">
        <v>22</v>
      </c>
      <c r="H3036" t="s">
        <v>93</v>
      </c>
      <c r="I3036" t="s">
        <v>60</v>
      </c>
      <c r="J3036" t="s">
        <v>61</v>
      </c>
      <c r="L3036" t="s">
        <v>62</v>
      </c>
    </row>
    <row r="3037" spans="1:13">
      <c r="A3037">
        <v>45911</v>
      </c>
      <c r="B3037" t="s">
        <v>2830</v>
      </c>
      <c r="F3037">
        <v>2</v>
      </c>
      <c r="G3037" t="s">
        <v>319</v>
      </c>
      <c r="H3037" t="s">
        <v>21</v>
      </c>
      <c r="L3037" t="s">
        <v>86</v>
      </c>
    </row>
    <row r="3038" spans="1:13">
      <c r="A3038">
        <v>45911</v>
      </c>
      <c r="B3038" t="s">
        <v>2831</v>
      </c>
      <c r="F3038">
        <v>1</v>
      </c>
      <c r="G3038" t="s">
        <v>319</v>
      </c>
      <c r="H3038" t="s">
        <v>21</v>
      </c>
      <c r="L3038" t="s">
        <v>86</v>
      </c>
    </row>
    <row r="3039" spans="1:13">
      <c r="A3039">
        <v>45911</v>
      </c>
      <c r="B3039" t="s">
        <v>2832</v>
      </c>
      <c r="F3039">
        <v>1</v>
      </c>
      <c r="G3039" t="s">
        <v>319</v>
      </c>
      <c r="H3039" t="s">
        <v>21</v>
      </c>
      <c r="L3039" t="s">
        <v>86</v>
      </c>
    </row>
    <row r="3040" spans="1:13">
      <c r="A3040">
        <v>45911</v>
      </c>
      <c r="B3040" t="s">
        <v>76</v>
      </c>
      <c r="D3040">
        <v>36700</v>
      </c>
      <c r="G3040" t="s">
        <v>77</v>
      </c>
      <c r="I3040" t="s">
        <v>60</v>
      </c>
      <c r="J3040" t="s">
        <v>61</v>
      </c>
      <c r="L3040" t="s">
        <v>62</v>
      </c>
    </row>
    <row r="3041" spans="1:13">
      <c r="A3041">
        <v>45911</v>
      </c>
      <c r="B3041" t="s">
        <v>2833</v>
      </c>
      <c r="F3041">
        <v>1</v>
      </c>
      <c r="G3041" t="s">
        <v>2490</v>
      </c>
      <c r="L3041" t="s">
        <v>89</v>
      </c>
      <c r="M3041" t="s">
        <v>2825</v>
      </c>
    </row>
    <row r="3042" spans="1:13">
      <c r="A3042">
        <v>45911</v>
      </c>
      <c r="B3042" t="s">
        <v>2834</v>
      </c>
      <c r="F3042">
        <v>1</v>
      </c>
      <c r="G3042" t="s">
        <v>64</v>
      </c>
      <c r="L3042" t="s">
        <v>89</v>
      </c>
      <c r="M3042" t="s">
        <v>96</v>
      </c>
    </row>
    <row r="3043" spans="1:13">
      <c r="A3043">
        <v>45911</v>
      </c>
      <c r="B3043" t="s">
        <v>2835</v>
      </c>
      <c r="F3043">
        <v>1</v>
      </c>
      <c r="G3043" t="s">
        <v>64</v>
      </c>
      <c r="L3043" t="s">
        <v>86</v>
      </c>
      <c r="M3043" t="s">
        <v>96</v>
      </c>
    </row>
    <row r="3044" spans="1:13">
      <c r="A3044">
        <v>45911</v>
      </c>
      <c r="B3044" t="s">
        <v>2836</v>
      </c>
      <c r="F3044">
        <v>1</v>
      </c>
      <c r="G3044" t="s">
        <v>64</v>
      </c>
      <c r="L3044" t="s">
        <v>86</v>
      </c>
      <c r="M3044" t="s">
        <v>2837</v>
      </c>
    </row>
    <row r="3045" spans="1:13">
      <c r="A3045">
        <v>45911</v>
      </c>
      <c r="B3045" t="s">
        <v>63</v>
      </c>
      <c r="D3045">
        <v>8000</v>
      </c>
      <c r="G3045" t="s">
        <v>70</v>
      </c>
      <c r="I3045" t="s">
        <v>60</v>
      </c>
      <c r="J3045" t="s">
        <v>61</v>
      </c>
      <c r="L3045" t="s">
        <v>62</v>
      </c>
    </row>
    <row r="3046" spans="1:13">
      <c r="A3046">
        <v>45911</v>
      </c>
      <c r="B3046" t="s">
        <v>2838</v>
      </c>
      <c r="F3046">
        <v>1</v>
      </c>
      <c r="G3046" t="s">
        <v>0</v>
      </c>
      <c r="L3046" t="s">
        <v>82</v>
      </c>
    </row>
    <row r="3047" spans="1:13">
      <c r="A3047">
        <v>45912</v>
      </c>
      <c r="B3047" t="s">
        <v>2839</v>
      </c>
      <c r="F3047">
        <v>1</v>
      </c>
      <c r="G3047" t="s">
        <v>79</v>
      </c>
      <c r="H3047" t="s">
        <v>21</v>
      </c>
      <c r="L3047" t="s">
        <v>82</v>
      </c>
    </row>
    <row r="3048" spans="1:13">
      <c r="A3048">
        <v>45912</v>
      </c>
      <c r="B3048" t="s">
        <v>2840</v>
      </c>
      <c r="F3048">
        <v>1</v>
      </c>
      <c r="G3048" t="s">
        <v>79</v>
      </c>
      <c r="H3048" t="s">
        <v>21</v>
      </c>
      <c r="L3048" t="s">
        <v>89</v>
      </c>
    </row>
    <row r="3049" spans="1:13">
      <c r="A3049">
        <v>45912</v>
      </c>
      <c r="B3049" t="s">
        <v>63</v>
      </c>
      <c r="D3049">
        <v>200</v>
      </c>
      <c r="F3049">
        <v>2</v>
      </c>
      <c r="G3049" t="s">
        <v>22</v>
      </c>
      <c r="H3049" t="s">
        <v>93</v>
      </c>
      <c r="I3049" t="s">
        <v>60</v>
      </c>
      <c r="J3049" t="s">
        <v>61</v>
      </c>
      <c r="L3049" t="s">
        <v>62</v>
      </c>
    </row>
    <row r="3050" spans="1:13">
      <c r="A3050">
        <v>45912</v>
      </c>
      <c r="B3050" t="s">
        <v>2841</v>
      </c>
      <c r="D3050">
        <v>500</v>
      </c>
      <c r="F3050">
        <v>1</v>
      </c>
      <c r="G3050" t="s">
        <v>22</v>
      </c>
      <c r="H3050" t="s">
        <v>21</v>
      </c>
      <c r="I3050" t="s">
        <v>60</v>
      </c>
      <c r="J3050" t="s">
        <v>61</v>
      </c>
      <c r="L3050" t="s">
        <v>82</v>
      </c>
    </row>
    <row r="3051" spans="1:13">
      <c r="A3051">
        <v>45912</v>
      </c>
      <c r="B3051" t="s">
        <v>2842</v>
      </c>
      <c r="D3051">
        <v>500</v>
      </c>
      <c r="F3051">
        <v>1</v>
      </c>
      <c r="G3051" t="s">
        <v>22</v>
      </c>
      <c r="H3051" t="s">
        <v>21</v>
      </c>
      <c r="I3051" t="s">
        <v>60</v>
      </c>
      <c r="J3051" t="s">
        <v>61</v>
      </c>
      <c r="L3051" t="s">
        <v>82</v>
      </c>
    </row>
    <row r="3052" spans="1:13">
      <c r="A3052">
        <v>45912</v>
      </c>
      <c r="B3052" t="s">
        <v>2843</v>
      </c>
      <c r="D3052">
        <v>500</v>
      </c>
      <c r="F3052">
        <v>1</v>
      </c>
      <c r="G3052" t="s">
        <v>22</v>
      </c>
      <c r="H3052" t="s">
        <v>21</v>
      </c>
      <c r="I3052" t="s">
        <v>60</v>
      </c>
      <c r="J3052" t="s">
        <v>61</v>
      </c>
      <c r="L3052" t="s">
        <v>82</v>
      </c>
    </row>
    <row r="3053" spans="1:13">
      <c r="A3053">
        <v>45912</v>
      </c>
      <c r="B3053" t="s">
        <v>2844</v>
      </c>
      <c r="D3053">
        <v>500</v>
      </c>
      <c r="F3053">
        <v>1</v>
      </c>
      <c r="G3053" t="s">
        <v>22</v>
      </c>
      <c r="H3053" t="s">
        <v>21</v>
      </c>
      <c r="I3053" t="s">
        <v>60</v>
      </c>
      <c r="J3053" t="s">
        <v>61</v>
      </c>
      <c r="L3053" t="s">
        <v>82</v>
      </c>
    </row>
    <row r="3054" spans="1:13">
      <c r="A3054">
        <v>45912</v>
      </c>
      <c r="B3054" t="s">
        <v>2845</v>
      </c>
      <c r="D3054">
        <v>500</v>
      </c>
      <c r="F3054">
        <v>1</v>
      </c>
      <c r="G3054" t="s">
        <v>22</v>
      </c>
      <c r="H3054" t="s">
        <v>21</v>
      </c>
      <c r="I3054" t="s">
        <v>60</v>
      </c>
      <c r="J3054" t="s">
        <v>61</v>
      </c>
      <c r="L3054" t="s">
        <v>82</v>
      </c>
    </row>
    <row r="3055" spans="1:13">
      <c r="A3055">
        <v>45912</v>
      </c>
      <c r="B3055" t="s">
        <v>2846</v>
      </c>
      <c r="D3055">
        <v>500</v>
      </c>
      <c r="F3055">
        <v>1</v>
      </c>
      <c r="G3055" t="s">
        <v>22</v>
      </c>
      <c r="H3055" t="s">
        <v>21</v>
      </c>
      <c r="I3055" t="s">
        <v>60</v>
      </c>
      <c r="J3055" t="s">
        <v>61</v>
      </c>
      <c r="L3055" t="s">
        <v>89</v>
      </c>
    </row>
    <row r="3056" spans="1:13">
      <c r="A3056">
        <v>45912</v>
      </c>
      <c r="B3056" t="s">
        <v>2847</v>
      </c>
      <c r="D3056">
        <v>500</v>
      </c>
      <c r="F3056">
        <v>1</v>
      </c>
      <c r="G3056" t="s">
        <v>22</v>
      </c>
      <c r="H3056" t="s">
        <v>21</v>
      </c>
      <c r="I3056" t="s">
        <v>60</v>
      </c>
      <c r="J3056" t="s">
        <v>61</v>
      </c>
      <c r="L3056" t="s">
        <v>89</v>
      </c>
    </row>
    <row r="3057" spans="1:13">
      <c r="A3057">
        <v>45912</v>
      </c>
      <c r="B3057" t="s">
        <v>624</v>
      </c>
      <c r="D3057">
        <v>-52000</v>
      </c>
      <c r="G3057" t="s">
        <v>77</v>
      </c>
      <c r="I3057" t="s">
        <v>60</v>
      </c>
      <c r="J3057" t="s">
        <v>61</v>
      </c>
      <c r="L3057" t="s">
        <v>62</v>
      </c>
    </row>
    <row r="3058" spans="1:13">
      <c r="A3058">
        <v>45912</v>
      </c>
      <c r="B3058" t="s">
        <v>76</v>
      </c>
      <c r="D3058">
        <v>40500</v>
      </c>
      <c r="G3058" t="s">
        <v>77</v>
      </c>
      <c r="I3058" t="s">
        <v>60</v>
      </c>
      <c r="J3058" t="s">
        <v>61</v>
      </c>
      <c r="L3058" t="s">
        <v>62</v>
      </c>
    </row>
    <row r="3059" spans="1:13">
      <c r="A3059">
        <v>45912</v>
      </c>
      <c r="B3059" t="s">
        <v>624</v>
      </c>
      <c r="D3059">
        <v>-52000</v>
      </c>
      <c r="G3059" t="s">
        <v>77</v>
      </c>
      <c r="I3059" t="s">
        <v>60</v>
      </c>
      <c r="J3059" t="s">
        <v>61</v>
      </c>
      <c r="L3059" t="s">
        <v>62</v>
      </c>
    </row>
    <row r="3060" spans="1:13">
      <c r="A3060">
        <v>45912</v>
      </c>
      <c r="B3060" t="s">
        <v>84</v>
      </c>
      <c r="E3060">
        <v>-2750</v>
      </c>
      <c r="G3060" t="s">
        <v>65</v>
      </c>
      <c r="H3060" t="s">
        <v>85</v>
      </c>
      <c r="I3060" t="s">
        <v>60</v>
      </c>
      <c r="J3060" t="s">
        <v>61</v>
      </c>
      <c r="L3060" t="s">
        <v>62</v>
      </c>
    </row>
    <row r="3061" spans="1:13">
      <c r="A3061">
        <v>45912</v>
      </c>
      <c r="B3061" t="s">
        <v>84</v>
      </c>
      <c r="E3061">
        <v>-2750</v>
      </c>
      <c r="G3061" t="s">
        <v>65</v>
      </c>
      <c r="H3061" t="s">
        <v>85</v>
      </c>
      <c r="I3061" t="s">
        <v>60</v>
      </c>
      <c r="J3061" t="s">
        <v>61</v>
      </c>
      <c r="L3061" t="s">
        <v>62</v>
      </c>
    </row>
    <row r="3062" spans="1:13">
      <c r="A3062">
        <v>45912</v>
      </c>
      <c r="B3062" t="s">
        <v>2848</v>
      </c>
      <c r="F3062">
        <v>1</v>
      </c>
      <c r="G3062" t="s">
        <v>64</v>
      </c>
      <c r="L3062" t="s">
        <v>89</v>
      </c>
      <c r="M3062" t="s">
        <v>2120</v>
      </c>
    </row>
    <row r="3063" spans="1:13">
      <c r="A3063">
        <v>45912</v>
      </c>
      <c r="B3063" t="s">
        <v>63</v>
      </c>
      <c r="D3063">
        <v>10000</v>
      </c>
      <c r="F3063">
        <v>2</v>
      </c>
      <c r="G3063" t="s">
        <v>70</v>
      </c>
      <c r="I3063" t="s">
        <v>71</v>
      </c>
      <c r="J3063" t="s">
        <v>72</v>
      </c>
      <c r="K3063" t="s">
        <v>2849</v>
      </c>
      <c r="L3063" t="s">
        <v>62</v>
      </c>
      <c r="M3063" t="s">
        <v>90</v>
      </c>
    </row>
    <row r="3064" spans="1:13">
      <c r="A3064">
        <v>45913</v>
      </c>
      <c r="B3064" t="s">
        <v>2850</v>
      </c>
      <c r="F3064">
        <v>1</v>
      </c>
      <c r="G3064" t="s">
        <v>377</v>
      </c>
      <c r="H3064" t="s">
        <v>21</v>
      </c>
      <c r="L3064" t="s">
        <v>86</v>
      </c>
    </row>
    <row r="3065" spans="1:13">
      <c r="A3065">
        <v>45913</v>
      </c>
      <c r="B3065" t="s">
        <v>63</v>
      </c>
      <c r="D3065">
        <v>100</v>
      </c>
      <c r="F3065">
        <v>1</v>
      </c>
      <c r="G3065" t="s">
        <v>22</v>
      </c>
      <c r="H3065" t="s">
        <v>93</v>
      </c>
      <c r="I3065" t="s">
        <v>60</v>
      </c>
      <c r="J3065" t="s">
        <v>61</v>
      </c>
      <c r="L3065" t="s">
        <v>62</v>
      </c>
    </row>
    <row r="3066" spans="1:13">
      <c r="A3066">
        <v>45913</v>
      </c>
      <c r="B3066" t="s">
        <v>2851</v>
      </c>
      <c r="D3066">
        <v>500</v>
      </c>
      <c r="F3066">
        <v>1</v>
      </c>
      <c r="G3066" t="s">
        <v>22</v>
      </c>
      <c r="H3066" t="s">
        <v>21</v>
      </c>
      <c r="I3066" t="s">
        <v>60</v>
      </c>
      <c r="J3066" t="s">
        <v>61</v>
      </c>
      <c r="L3066" t="s">
        <v>86</v>
      </c>
    </row>
    <row r="3067" spans="1:13">
      <c r="A3067">
        <v>45913</v>
      </c>
      <c r="B3067" t="s">
        <v>2850</v>
      </c>
      <c r="D3067">
        <v>0</v>
      </c>
      <c r="F3067">
        <v>0</v>
      </c>
      <c r="G3067" t="s">
        <v>22</v>
      </c>
      <c r="H3067" t="s">
        <v>21</v>
      </c>
      <c r="I3067" t="s">
        <v>60</v>
      </c>
      <c r="J3067" t="s">
        <v>61</v>
      </c>
      <c r="L3067" t="s">
        <v>86</v>
      </c>
      <c r="M3067" t="s">
        <v>83</v>
      </c>
    </row>
    <row r="3068" spans="1:13">
      <c r="A3068">
        <v>45913</v>
      </c>
      <c r="B3068" t="s">
        <v>559</v>
      </c>
      <c r="E3068">
        <v>10000</v>
      </c>
      <c r="F3068">
        <v>1</v>
      </c>
      <c r="G3068" t="s">
        <v>65</v>
      </c>
      <c r="H3068" t="s">
        <v>560</v>
      </c>
      <c r="I3068" t="s">
        <v>60</v>
      </c>
      <c r="J3068" t="s">
        <v>61</v>
      </c>
      <c r="L3068" t="s">
        <v>62</v>
      </c>
    </row>
    <row r="3069" spans="1:13">
      <c r="A3069">
        <v>45913</v>
      </c>
      <c r="B3069" t="s">
        <v>561</v>
      </c>
      <c r="E3069">
        <v>11000</v>
      </c>
      <c r="F3069">
        <v>1</v>
      </c>
      <c r="G3069" t="s">
        <v>65</v>
      </c>
      <c r="H3069" t="s">
        <v>560</v>
      </c>
      <c r="I3069" t="s">
        <v>60</v>
      </c>
      <c r="J3069" t="s">
        <v>61</v>
      </c>
      <c r="L3069" t="s">
        <v>62</v>
      </c>
    </row>
    <row r="3070" spans="1:13">
      <c r="A3070">
        <v>45913</v>
      </c>
      <c r="B3070" t="s">
        <v>2852</v>
      </c>
      <c r="F3070">
        <v>1</v>
      </c>
      <c r="G3070" t="s">
        <v>64</v>
      </c>
      <c r="L3070" t="s">
        <v>89</v>
      </c>
      <c r="M3070" t="s">
        <v>96</v>
      </c>
    </row>
    <row r="3071" spans="1:13">
      <c r="A3071">
        <v>45913</v>
      </c>
      <c r="B3071" t="s">
        <v>2853</v>
      </c>
      <c r="F3071">
        <v>1</v>
      </c>
      <c r="G3071" t="s">
        <v>64</v>
      </c>
      <c r="L3071" t="s">
        <v>86</v>
      </c>
      <c r="M3071" t="s">
        <v>2854</v>
      </c>
    </row>
    <row r="3072" spans="1:13">
      <c r="A3072">
        <v>45913</v>
      </c>
      <c r="B3072" t="s">
        <v>63</v>
      </c>
      <c r="D3072">
        <v>14500</v>
      </c>
      <c r="G3072" t="s">
        <v>70</v>
      </c>
      <c r="I3072" t="s">
        <v>60</v>
      </c>
      <c r="J3072" t="s">
        <v>61</v>
      </c>
      <c r="L3072" t="s">
        <v>62</v>
      </c>
    </row>
    <row r="3073" spans="1:13">
      <c r="A3073">
        <v>45913</v>
      </c>
      <c r="B3073" t="s">
        <v>63</v>
      </c>
      <c r="D3073">
        <v>15000</v>
      </c>
      <c r="F3073">
        <v>3</v>
      </c>
      <c r="G3073" t="s">
        <v>70</v>
      </c>
      <c r="I3073" t="s">
        <v>71</v>
      </c>
      <c r="J3073" t="s">
        <v>535</v>
      </c>
      <c r="K3073" t="s">
        <v>2855</v>
      </c>
      <c r="L3073" t="s">
        <v>62</v>
      </c>
      <c r="M3073" t="s">
        <v>90</v>
      </c>
    </row>
    <row r="3074" spans="1:13">
      <c r="A3074">
        <v>45913</v>
      </c>
      <c r="B3074" t="s">
        <v>63</v>
      </c>
      <c r="D3074">
        <v>10500</v>
      </c>
      <c r="F3074">
        <v>1</v>
      </c>
      <c r="G3074" t="s">
        <v>70</v>
      </c>
      <c r="I3074" t="s">
        <v>71</v>
      </c>
      <c r="J3074" t="s">
        <v>72</v>
      </c>
      <c r="K3074" t="s">
        <v>2856</v>
      </c>
      <c r="L3074" t="s">
        <v>62</v>
      </c>
      <c r="M3074" t="s">
        <v>90</v>
      </c>
    </row>
    <row r="3075" spans="1:13">
      <c r="A3075">
        <v>45913</v>
      </c>
      <c r="B3075" t="s">
        <v>2857</v>
      </c>
      <c r="F3075">
        <v>1</v>
      </c>
      <c r="G3075" t="s">
        <v>0</v>
      </c>
      <c r="L3075" t="s">
        <v>89</v>
      </c>
    </row>
    <row r="3076" spans="1:13">
      <c r="A3076">
        <v>45914</v>
      </c>
      <c r="B3076" t="s">
        <v>2858</v>
      </c>
      <c r="F3076">
        <v>1</v>
      </c>
      <c r="G3076" t="s">
        <v>79</v>
      </c>
      <c r="H3076" t="s">
        <v>21</v>
      </c>
      <c r="L3076" t="s">
        <v>82</v>
      </c>
    </row>
    <row r="3077" spans="1:13">
      <c r="A3077">
        <v>45914</v>
      </c>
      <c r="B3077" t="s">
        <v>63</v>
      </c>
      <c r="D3077">
        <v>400</v>
      </c>
      <c r="F3077">
        <v>4</v>
      </c>
      <c r="G3077" t="s">
        <v>22</v>
      </c>
      <c r="H3077" t="s">
        <v>21</v>
      </c>
      <c r="I3077" t="s">
        <v>60</v>
      </c>
      <c r="J3077" t="s">
        <v>61</v>
      </c>
      <c r="L3077" t="s">
        <v>62</v>
      </c>
    </row>
    <row r="3078" spans="1:13">
      <c r="A3078">
        <v>45914</v>
      </c>
      <c r="B3078" t="s">
        <v>2859</v>
      </c>
      <c r="F3078">
        <v>1</v>
      </c>
      <c r="G3078" t="s">
        <v>603</v>
      </c>
      <c r="H3078" t="s">
        <v>21</v>
      </c>
      <c r="L3078" t="s">
        <v>82</v>
      </c>
    </row>
    <row r="3079" spans="1:13">
      <c r="A3079">
        <v>45914</v>
      </c>
      <c r="B3079" t="s">
        <v>76</v>
      </c>
      <c r="D3079">
        <v>2000</v>
      </c>
      <c r="G3079" t="s">
        <v>77</v>
      </c>
      <c r="I3079" t="s">
        <v>60</v>
      </c>
      <c r="J3079" t="s">
        <v>61</v>
      </c>
      <c r="L3079" t="s">
        <v>62</v>
      </c>
    </row>
    <row r="3080" spans="1:13">
      <c r="A3080">
        <v>45914</v>
      </c>
      <c r="B3080" t="s">
        <v>63</v>
      </c>
      <c r="D3080">
        <v>39500</v>
      </c>
      <c r="G3080" t="s">
        <v>70</v>
      </c>
      <c r="I3080" t="s">
        <v>60</v>
      </c>
      <c r="J3080" t="s">
        <v>61</v>
      </c>
      <c r="L3080" t="s">
        <v>62</v>
      </c>
    </row>
    <row r="3081" spans="1:13">
      <c r="A3081">
        <v>45914</v>
      </c>
      <c r="B3081" t="s">
        <v>63</v>
      </c>
      <c r="D3081">
        <v>9000</v>
      </c>
      <c r="F3081">
        <v>2</v>
      </c>
      <c r="G3081" t="s">
        <v>70</v>
      </c>
      <c r="I3081" t="s">
        <v>71</v>
      </c>
      <c r="J3081" t="s">
        <v>72</v>
      </c>
      <c r="K3081" t="s">
        <v>2860</v>
      </c>
      <c r="L3081" t="s">
        <v>62</v>
      </c>
      <c r="M3081" t="s">
        <v>90</v>
      </c>
    </row>
    <row r="3082" spans="1:13">
      <c r="A3082">
        <v>45914</v>
      </c>
      <c r="B3082" t="s">
        <v>63</v>
      </c>
      <c r="D3082">
        <v>18000</v>
      </c>
      <c r="F3082">
        <v>3</v>
      </c>
      <c r="G3082" t="s">
        <v>70</v>
      </c>
      <c r="I3082" t="s">
        <v>71</v>
      </c>
      <c r="J3082" t="s">
        <v>535</v>
      </c>
      <c r="K3082" t="s">
        <v>2861</v>
      </c>
      <c r="L3082" t="s">
        <v>62</v>
      </c>
      <c r="M3082" t="s">
        <v>90</v>
      </c>
    </row>
    <row r="3083" spans="1:13">
      <c r="A3083">
        <v>45915</v>
      </c>
      <c r="B3083" t="s">
        <v>2862</v>
      </c>
      <c r="F3083">
        <v>1</v>
      </c>
      <c r="G3083" t="s">
        <v>564</v>
      </c>
      <c r="H3083" t="s">
        <v>21</v>
      </c>
      <c r="L3083" t="s">
        <v>89</v>
      </c>
    </row>
    <row r="3084" spans="1:13">
      <c r="A3084">
        <v>45915</v>
      </c>
      <c r="B3084" t="s">
        <v>2863</v>
      </c>
      <c r="F3084">
        <v>1</v>
      </c>
      <c r="G3084" t="s">
        <v>377</v>
      </c>
      <c r="H3084" t="s">
        <v>21</v>
      </c>
      <c r="L3084" t="s">
        <v>89</v>
      </c>
    </row>
    <row r="3085" spans="1:13">
      <c r="A3085">
        <v>45915</v>
      </c>
      <c r="B3085" t="s">
        <v>2864</v>
      </c>
      <c r="F3085">
        <v>1</v>
      </c>
      <c r="G3085" t="s">
        <v>377</v>
      </c>
      <c r="H3085" t="s">
        <v>21</v>
      </c>
      <c r="L3085" t="s">
        <v>89</v>
      </c>
    </row>
    <row r="3086" spans="1:13">
      <c r="A3086">
        <v>45915</v>
      </c>
      <c r="B3086" t="s">
        <v>2865</v>
      </c>
      <c r="F3086">
        <v>1</v>
      </c>
      <c r="G3086" t="s">
        <v>79</v>
      </c>
      <c r="H3086" t="s">
        <v>21</v>
      </c>
      <c r="L3086" t="s">
        <v>89</v>
      </c>
    </row>
    <row r="3087" spans="1:13">
      <c r="A3087">
        <v>45915</v>
      </c>
      <c r="B3087" t="s">
        <v>238</v>
      </c>
      <c r="C3087" t="s">
        <v>2866</v>
      </c>
      <c r="D3087" t="s">
        <v>28</v>
      </c>
      <c r="F3087">
        <v>6</v>
      </c>
      <c r="G3087" t="s">
        <v>22</v>
      </c>
      <c r="H3087" t="s">
        <v>21</v>
      </c>
      <c r="L3087" t="s">
        <v>95</v>
      </c>
    </row>
    <row r="3088" spans="1:13">
      <c r="A3088">
        <v>45915</v>
      </c>
      <c r="B3088" t="s">
        <v>2867</v>
      </c>
      <c r="D3088">
        <v>500</v>
      </c>
      <c r="F3088">
        <v>1</v>
      </c>
      <c r="G3088" t="s">
        <v>22</v>
      </c>
      <c r="H3088" t="s">
        <v>21</v>
      </c>
      <c r="I3088" t="s">
        <v>60</v>
      </c>
      <c r="J3088" t="s">
        <v>61</v>
      </c>
      <c r="L3088" t="s">
        <v>82</v>
      </c>
    </row>
    <row r="3089" spans="1:13">
      <c r="A3089">
        <v>45915</v>
      </c>
      <c r="B3089" t="s">
        <v>2868</v>
      </c>
      <c r="D3089">
        <v>500</v>
      </c>
      <c r="F3089">
        <v>1</v>
      </c>
      <c r="G3089" t="s">
        <v>22</v>
      </c>
      <c r="H3089" t="s">
        <v>21</v>
      </c>
      <c r="I3089" t="s">
        <v>60</v>
      </c>
      <c r="J3089" t="s">
        <v>61</v>
      </c>
      <c r="L3089" t="s">
        <v>82</v>
      </c>
    </row>
    <row r="3090" spans="1:13">
      <c r="A3090">
        <v>45915</v>
      </c>
      <c r="B3090" t="s">
        <v>2869</v>
      </c>
      <c r="D3090">
        <v>500</v>
      </c>
      <c r="F3090">
        <v>1</v>
      </c>
      <c r="G3090" t="s">
        <v>22</v>
      </c>
      <c r="H3090" t="s">
        <v>21</v>
      </c>
      <c r="I3090" t="s">
        <v>60</v>
      </c>
      <c r="J3090" t="s">
        <v>61</v>
      </c>
      <c r="L3090" t="s">
        <v>82</v>
      </c>
    </row>
    <row r="3091" spans="1:13">
      <c r="A3091">
        <v>45915</v>
      </c>
      <c r="B3091" t="s">
        <v>2870</v>
      </c>
      <c r="D3091">
        <v>500</v>
      </c>
      <c r="F3091">
        <v>1</v>
      </c>
      <c r="G3091" t="s">
        <v>22</v>
      </c>
      <c r="H3091" t="s">
        <v>21</v>
      </c>
      <c r="I3091" t="s">
        <v>60</v>
      </c>
      <c r="J3091" t="s">
        <v>61</v>
      </c>
      <c r="L3091" t="s">
        <v>82</v>
      </c>
    </row>
    <row r="3092" spans="1:13">
      <c r="A3092">
        <v>45915</v>
      </c>
      <c r="B3092" t="s">
        <v>76</v>
      </c>
      <c r="D3092">
        <v>8200</v>
      </c>
      <c r="G3092" t="s">
        <v>77</v>
      </c>
      <c r="I3092" t="s">
        <v>60</v>
      </c>
      <c r="J3092" t="s">
        <v>61</v>
      </c>
      <c r="L3092" t="s">
        <v>62</v>
      </c>
    </row>
    <row r="3093" spans="1:13">
      <c r="A3093">
        <v>45915</v>
      </c>
      <c r="B3093" t="s">
        <v>2867</v>
      </c>
      <c r="F3093">
        <v>1</v>
      </c>
      <c r="G3093" t="s">
        <v>64</v>
      </c>
      <c r="L3093" t="s">
        <v>82</v>
      </c>
      <c r="M3093" t="s">
        <v>96</v>
      </c>
    </row>
    <row r="3094" spans="1:13">
      <c r="A3094">
        <v>45915</v>
      </c>
      <c r="B3094" t="s">
        <v>2865</v>
      </c>
      <c r="D3094">
        <v>292499.01</v>
      </c>
      <c r="F3094">
        <v>1</v>
      </c>
      <c r="G3094" t="s">
        <v>64</v>
      </c>
      <c r="I3094" t="s">
        <v>60</v>
      </c>
      <c r="J3094" t="s">
        <v>61</v>
      </c>
      <c r="L3094" t="s">
        <v>89</v>
      </c>
      <c r="M3094" t="s">
        <v>96</v>
      </c>
    </row>
    <row r="3095" spans="1:13">
      <c r="A3095">
        <v>45915</v>
      </c>
      <c r="B3095" t="s">
        <v>63</v>
      </c>
      <c r="D3095">
        <v>20000</v>
      </c>
      <c r="G3095" t="s">
        <v>70</v>
      </c>
      <c r="I3095" t="s">
        <v>60</v>
      </c>
      <c r="J3095" t="s">
        <v>61</v>
      </c>
      <c r="L3095" t="s">
        <v>62</v>
      </c>
    </row>
    <row r="3096" spans="1:13">
      <c r="A3096">
        <v>45915</v>
      </c>
      <c r="B3096" t="s">
        <v>2871</v>
      </c>
      <c r="F3096">
        <v>1</v>
      </c>
      <c r="G3096" t="s">
        <v>0</v>
      </c>
      <c r="L3096" t="s">
        <v>89</v>
      </c>
    </row>
    <row r="3097" spans="1:13">
      <c r="A3097">
        <v>45915</v>
      </c>
      <c r="B3097" t="s">
        <v>2872</v>
      </c>
      <c r="F3097">
        <v>1</v>
      </c>
      <c r="G3097" t="s">
        <v>0</v>
      </c>
      <c r="L3097" t="s">
        <v>82</v>
      </c>
    </row>
    <row r="3098" spans="1:13">
      <c r="A3098">
        <v>45915</v>
      </c>
      <c r="B3098" t="s">
        <v>2873</v>
      </c>
      <c r="F3098">
        <v>1</v>
      </c>
      <c r="G3098" t="s">
        <v>0</v>
      </c>
      <c r="L3098" t="s">
        <v>89</v>
      </c>
    </row>
    <row r="3099" spans="1:13">
      <c r="A3099">
        <v>45915</v>
      </c>
      <c r="B3099" t="s">
        <v>2874</v>
      </c>
      <c r="F3099">
        <v>1</v>
      </c>
      <c r="G3099" t="s">
        <v>0</v>
      </c>
      <c r="L3099" t="s">
        <v>82</v>
      </c>
    </row>
    <row r="3100" spans="1:13">
      <c r="A3100">
        <v>45916</v>
      </c>
      <c r="B3100" t="s">
        <v>2875</v>
      </c>
      <c r="F3100">
        <v>1</v>
      </c>
      <c r="G3100" t="s">
        <v>79</v>
      </c>
      <c r="H3100" t="s">
        <v>21</v>
      </c>
      <c r="L3100" t="s">
        <v>89</v>
      </c>
    </row>
    <row r="3101" spans="1:13">
      <c r="A3101">
        <v>45916</v>
      </c>
      <c r="B3101" t="s">
        <v>2876</v>
      </c>
      <c r="F3101">
        <v>1</v>
      </c>
      <c r="G3101" t="s">
        <v>79</v>
      </c>
      <c r="H3101" t="s">
        <v>21</v>
      </c>
      <c r="L3101" t="s">
        <v>89</v>
      </c>
    </row>
    <row r="3102" spans="1:13">
      <c r="A3102">
        <v>45916</v>
      </c>
      <c r="B3102" t="s">
        <v>1732</v>
      </c>
      <c r="D3102">
        <v>500</v>
      </c>
      <c r="F3102">
        <v>1</v>
      </c>
      <c r="G3102" t="s">
        <v>22</v>
      </c>
      <c r="H3102" t="s">
        <v>21</v>
      </c>
      <c r="I3102" t="s">
        <v>60</v>
      </c>
      <c r="J3102" t="s">
        <v>61</v>
      </c>
      <c r="L3102" t="s">
        <v>82</v>
      </c>
    </row>
    <row r="3103" spans="1:13">
      <c r="A3103">
        <v>45916</v>
      </c>
      <c r="B3103" t="s">
        <v>2877</v>
      </c>
      <c r="D3103">
        <v>500</v>
      </c>
      <c r="F3103">
        <v>1</v>
      </c>
      <c r="G3103" t="s">
        <v>22</v>
      </c>
      <c r="H3103" t="s">
        <v>21</v>
      </c>
      <c r="I3103" t="s">
        <v>60</v>
      </c>
      <c r="J3103" t="s">
        <v>61</v>
      </c>
      <c r="L3103" t="s">
        <v>82</v>
      </c>
    </row>
    <row r="3104" spans="1:13">
      <c r="A3104">
        <v>45916</v>
      </c>
      <c r="B3104" t="s">
        <v>2878</v>
      </c>
      <c r="E3104">
        <v>341871</v>
      </c>
      <c r="F3104">
        <v>1</v>
      </c>
      <c r="G3104" t="s">
        <v>65</v>
      </c>
      <c r="H3104" t="s">
        <v>348</v>
      </c>
      <c r="I3104" t="s">
        <v>60</v>
      </c>
      <c r="J3104" t="s">
        <v>61</v>
      </c>
      <c r="L3104" t="s">
        <v>88</v>
      </c>
      <c r="M3104" t="s">
        <v>2879</v>
      </c>
    </row>
    <row r="3105" spans="1:13">
      <c r="A3105">
        <v>45916</v>
      </c>
      <c r="B3105" t="s">
        <v>63</v>
      </c>
      <c r="D3105">
        <v>18000</v>
      </c>
      <c r="G3105" t="s">
        <v>70</v>
      </c>
      <c r="I3105" t="s">
        <v>60</v>
      </c>
      <c r="J3105" t="s">
        <v>61</v>
      </c>
      <c r="L3105" t="s">
        <v>62</v>
      </c>
    </row>
    <row r="3106" spans="1:13">
      <c r="A3106">
        <v>45917</v>
      </c>
      <c r="B3106" t="s">
        <v>2880</v>
      </c>
      <c r="D3106">
        <v>500</v>
      </c>
      <c r="F3106">
        <v>1</v>
      </c>
      <c r="G3106" t="s">
        <v>22</v>
      </c>
      <c r="H3106" t="s">
        <v>21</v>
      </c>
      <c r="I3106" t="s">
        <v>60</v>
      </c>
      <c r="J3106" t="s">
        <v>61</v>
      </c>
      <c r="L3106" t="s">
        <v>86</v>
      </c>
    </row>
    <row r="3107" spans="1:13">
      <c r="A3107">
        <v>45917</v>
      </c>
      <c r="B3107" t="s">
        <v>546</v>
      </c>
      <c r="F3107">
        <v>-30</v>
      </c>
      <c r="G3107" t="s">
        <v>22</v>
      </c>
      <c r="H3107" t="s">
        <v>93</v>
      </c>
      <c r="L3107" t="s">
        <v>101</v>
      </c>
    </row>
    <row r="3108" spans="1:13">
      <c r="A3108">
        <v>45917</v>
      </c>
      <c r="B3108" t="s">
        <v>2881</v>
      </c>
      <c r="D3108">
        <v>500</v>
      </c>
      <c r="F3108">
        <v>1</v>
      </c>
      <c r="G3108" t="s">
        <v>22</v>
      </c>
      <c r="H3108" t="s">
        <v>21</v>
      </c>
      <c r="I3108" t="s">
        <v>60</v>
      </c>
      <c r="J3108" t="s">
        <v>61</v>
      </c>
      <c r="L3108" t="s">
        <v>86</v>
      </c>
    </row>
    <row r="3109" spans="1:13">
      <c r="A3109">
        <v>45917</v>
      </c>
      <c r="B3109" t="s">
        <v>2882</v>
      </c>
      <c r="D3109">
        <v>500</v>
      </c>
      <c r="F3109">
        <v>1</v>
      </c>
      <c r="G3109" t="s">
        <v>22</v>
      </c>
      <c r="H3109" t="s">
        <v>21</v>
      </c>
      <c r="I3109" t="s">
        <v>60</v>
      </c>
      <c r="J3109" t="s">
        <v>61</v>
      </c>
      <c r="L3109" t="s">
        <v>86</v>
      </c>
    </row>
    <row r="3110" spans="1:13">
      <c r="A3110">
        <v>45917</v>
      </c>
      <c r="B3110" t="s">
        <v>2883</v>
      </c>
      <c r="D3110">
        <v>500</v>
      </c>
      <c r="F3110">
        <v>1</v>
      </c>
      <c r="G3110" t="s">
        <v>22</v>
      </c>
      <c r="H3110" t="s">
        <v>21</v>
      </c>
      <c r="I3110" t="s">
        <v>60</v>
      </c>
      <c r="J3110" t="s">
        <v>61</v>
      </c>
      <c r="L3110" t="s">
        <v>86</v>
      </c>
    </row>
    <row r="3111" spans="1:13">
      <c r="A3111">
        <v>45917</v>
      </c>
      <c r="B3111" t="s">
        <v>969</v>
      </c>
      <c r="D3111">
        <v>500</v>
      </c>
      <c r="F3111">
        <v>0</v>
      </c>
      <c r="G3111" t="s">
        <v>22</v>
      </c>
      <c r="H3111" t="s">
        <v>21</v>
      </c>
      <c r="I3111" t="s">
        <v>60</v>
      </c>
      <c r="J3111" t="s">
        <v>61</v>
      </c>
      <c r="L3111" t="s">
        <v>86</v>
      </c>
      <c r="M3111" t="s">
        <v>83</v>
      </c>
    </row>
    <row r="3112" spans="1:13">
      <c r="A3112">
        <v>45917</v>
      </c>
      <c r="B3112" t="s">
        <v>2884</v>
      </c>
      <c r="D3112">
        <v>500</v>
      </c>
      <c r="F3112">
        <v>1</v>
      </c>
      <c r="G3112" t="s">
        <v>22</v>
      </c>
      <c r="H3112" t="s">
        <v>21</v>
      </c>
      <c r="I3112" t="s">
        <v>60</v>
      </c>
      <c r="J3112" t="s">
        <v>61</v>
      </c>
      <c r="L3112" t="s">
        <v>82</v>
      </c>
    </row>
    <row r="3113" spans="1:13">
      <c r="A3113">
        <v>45917</v>
      </c>
      <c r="B3113" t="s">
        <v>2885</v>
      </c>
      <c r="F3113">
        <v>1</v>
      </c>
      <c r="G3113" t="s">
        <v>99</v>
      </c>
      <c r="H3113" t="s">
        <v>21</v>
      </c>
      <c r="L3113" t="s">
        <v>82</v>
      </c>
    </row>
    <row r="3114" spans="1:13">
      <c r="A3114">
        <v>45917</v>
      </c>
      <c r="B3114" t="s">
        <v>2886</v>
      </c>
      <c r="F3114">
        <v>1</v>
      </c>
      <c r="G3114" t="s">
        <v>99</v>
      </c>
      <c r="H3114" t="s">
        <v>21</v>
      </c>
      <c r="L3114" t="s">
        <v>82</v>
      </c>
    </row>
    <row r="3115" spans="1:13">
      <c r="A3115">
        <v>45917</v>
      </c>
      <c r="B3115" t="s">
        <v>2887</v>
      </c>
      <c r="F3115">
        <v>1</v>
      </c>
      <c r="G3115" t="s">
        <v>99</v>
      </c>
      <c r="H3115" t="s">
        <v>21</v>
      </c>
      <c r="L3115" t="s">
        <v>82</v>
      </c>
    </row>
    <row r="3116" spans="1:13">
      <c r="A3116">
        <v>45917</v>
      </c>
      <c r="B3116" t="s">
        <v>2888</v>
      </c>
      <c r="F3116">
        <v>1</v>
      </c>
      <c r="G3116" t="s">
        <v>64</v>
      </c>
      <c r="L3116" t="s">
        <v>82</v>
      </c>
      <c r="M3116" t="s">
        <v>96</v>
      </c>
    </row>
    <row r="3117" spans="1:13">
      <c r="A3117">
        <v>45917</v>
      </c>
      <c r="B3117" t="s">
        <v>2889</v>
      </c>
      <c r="F3117">
        <v>1</v>
      </c>
      <c r="G3117" t="s">
        <v>0</v>
      </c>
      <c r="L3117" t="s">
        <v>86</v>
      </c>
    </row>
    <row r="3118" spans="1:13">
      <c r="A3118">
        <v>45917</v>
      </c>
      <c r="B3118" t="s">
        <v>2890</v>
      </c>
      <c r="F3118">
        <v>1</v>
      </c>
      <c r="G3118" t="s">
        <v>0</v>
      </c>
      <c r="L3118" t="s">
        <v>89</v>
      </c>
    </row>
    <row r="3119" spans="1:13">
      <c r="A3119">
        <v>45918</v>
      </c>
      <c r="B3119" t="s">
        <v>2891</v>
      </c>
      <c r="F3119">
        <v>1</v>
      </c>
      <c r="G3119" t="s">
        <v>79</v>
      </c>
      <c r="H3119" t="s">
        <v>21</v>
      </c>
      <c r="L3119" t="s">
        <v>89</v>
      </c>
    </row>
    <row r="3120" spans="1:13">
      <c r="A3120">
        <v>45918</v>
      </c>
      <c r="B3120" t="s">
        <v>2892</v>
      </c>
      <c r="D3120">
        <v>500</v>
      </c>
      <c r="F3120">
        <v>1</v>
      </c>
      <c r="G3120" t="s">
        <v>22</v>
      </c>
      <c r="H3120" t="s">
        <v>21</v>
      </c>
      <c r="I3120" t="s">
        <v>60</v>
      </c>
      <c r="J3120" t="s">
        <v>61</v>
      </c>
      <c r="L3120" t="s">
        <v>89</v>
      </c>
    </row>
    <row r="3121" spans="1:13">
      <c r="A3121">
        <v>45918</v>
      </c>
      <c r="B3121" t="s">
        <v>2891</v>
      </c>
      <c r="D3121">
        <v>0</v>
      </c>
      <c r="F3121">
        <v>0</v>
      </c>
      <c r="G3121" t="s">
        <v>22</v>
      </c>
      <c r="H3121" t="s">
        <v>21</v>
      </c>
      <c r="I3121" t="s">
        <v>60</v>
      </c>
      <c r="J3121" t="s">
        <v>61</v>
      </c>
      <c r="L3121" t="s">
        <v>89</v>
      </c>
      <c r="M3121" t="s">
        <v>2893</v>
      </c>
    </row>
    <row r="3122" spans="1:13">
      <c r="A3122">
        <v>45918</v>
      </c>
      <c r="B3122" t="s">
        <v>2894</v>
      </c>
      <c r="D3122">
        <v>500</v>
      </c>
      <c r="F3122">
        <v>0</v>
      </c>
      <c r="G3122" t="s">
        <v>22</v>
      </c>
      <c r="H3122" t="s">
        <v>21</v>
      </c>
      <c r="I3122" t="s">
        <v>60</v>
      </c>
      <c r="J3122" t="s">
        <v>61</v>
      </c>
      <c r="L3122" t="s">
        <v>89</v>
      </c>
      <c r="M3122" t="s">
        <v>83</v>
      </c>
    </row>
    <row r="3123" spans="1:13">
      <c r="A3123">
        <v>45918</v>
      </c>
      <c r="B3123" t="s">
        <v>2895</v>
      </c>
      <c r="D3123">
        <v>500</v>
      </c>
      <c r="F3123">
        <v>0</v>
      </c>
      <c r="G3123" t="s">
        <v>22</v>
      </c>
      <c r="H3123" t="s">
        <v>21</v>
      </c>
      <c r="I3123" t="s">
        <v>60</v>
      </c>
      <c r="J3123" t="s">
        <v>61</v>
      </c>
      <c r="L3123" t="s">
        <v>86</v>
      </c>
      <c r="M3123" t="s">
        <v>83</v>
      </c>
    </row>
    <row r="3124" spans="1:13">
      <c r="A3124">
        <v>45918</v>
      </c>
      <c r="B3124" t="s">
        <v>76</v>
      </c>
      <c r="D3124">
        <v>24500</v>
      </c>
      <c r="G3124" t="s">
        <v>77</v>
      </c>
      <c r="I3124" t="s">
        <v>60</v>
      </c>
      <c r="J3124" t="s">
        <v>61</v>
      </c>
      <c r="L3124" t="s">
        <v>62</v>
      </c>
    </row>
    <row r="3125" spans="1:13">
      <c r="A3125">
        <v>45918</v>
      </c>
      <c r="B3125" t="s">
        <v>727</v>
      </c>
      <c r="C3125" t="s">
        <v>779</v>
      </c>
      <c r="E3125">
        <v>35000</v>
      </c>
      <c r="F3125">
        <v>1</v>
      </c>
      <c r="G3125" t="s">
        <v>65</v>
      </c>
      <c r="H3125" t="s">
        <v>265</v>
      </c>
      <c r="I3125" t="s">
        <v>60</v>
      </c>
      <c r="J3125" t="s">
        <v>61</v>
      </c>
      <c r="L3125" t="s">
        <v>62</v>
      </c>
    </row>
    <row r="3126" spans="1:13">
      <c r="A3126">
        <v>45918</v>
      </c>
      <c r="B3126" t="s">
        <v>727</v>
      </c>
      <c r="C3126" t="s">
        <v>781</v>
      </c>
      <c r="E3126">
        <v>35000</v>
      </c>
      <c r="F3126">
        <v>1</v>
      </c>
      <c r="G3126" t="s">
        <v>65</v>
      </c>
      <c r="H3126" t="s">
        <v>265</v>
      </c>
      <c r="I3126" t="s">
        <v>60</v>
      </c>
      <c r="J3126" t="s">
        <v>61</v>
      </c>
      <c r="L3126" t="s">
        <v>768</v>
      </c>
    </row>
    <row r="3127" spans="1:13">
      <c r="A3127">
        <v>45918</v>
      </c>
      <c r="B3127" t="s">
        <v>2896</v>
      </c>
      <c r="F3127">
        <v>1</v>
      </c>
      <c r="G3127" t="s">
        <v>64</v>
      </c>
      <c r="L3127" t="s">
        <v>89</v>
      </c>
      <c r="M3127" t="s">
        <v>2411</v>
      </c>
    </row>
    <row r="3128" spans="1:13">
      <c r="A3128">
        <v>45918</v>
      </c>
      <c r="B3128" t="s">
        <v>800</v>
      </c>
      <c r="F3128">
        <v>1</v>
      </c>
      <c r="G3128" t="s">
        <v>64</v>
      </c>
      <c r="L3128" t="s">
        <v>89</v>
      </c>
      <c r="M3128" t="s">
        <v>647</v>
      </c>
    </row>
    <row r="3129" spans="1:13">
      <c r="A3129">
        <v>45918</v>
      </c>
      <c r="B3129" t="s">
        <v>2897</v>
      </c>
      <c r="F3129">
        <v>1</v>
      </c>
      <c r="G3129" t="s">
        <v>64</v>
      </c>
      <c r="L3129" t="s">
        <v>89</v>
      </c>
      <c r="M3129" t="s">
        <v>2898</v>
      </c>
    </row>
    <row r="3130" spans="1:13">
      <c r="A3130">
        <v>45918</v>
      </c>
      <c r="B3130" t="s">
        <v>2899</v>
      </c>
      <c r="F3130">
        <v>1</v>
      </c>
      <c r="G3130" t="s">
        <v>64</v>
      </c>
      <c r="L3130" t="s">
        <v>86</v>
      </c>
      <c r="M3130" t="s">
        <v>647</v>
      </c>
    </row>
    <row r="3131" spans="1:13">
      <c r="A3131">
        <v>45918</v>
      </c>
      <c r="B3131" t="s">
        <v>63</v>
      </c>
      <c r="D3131">
        <v>12500</v>
      </c>
      <c r="G3131" t="s">
        <v>70</v>
      </c>
      <c r="I3131" t="s">
        <v>60</v>
      </c>
      <c r="J3131" t="s">
        <v>61</v>
      </c>
      <c r="L3131" t="s">
        <v>62</v>
      </c>
    </row>
    <row r="3132" spans="1:13">
      <c r="A3132">
        <v>45918</v>
      </c>
      <c r="B3132" t="s">
        <v>63</v>
      </c>
      <c r="D3132">
        <v>11000</v>
      </c>
      <c r="F3132">
        <v>1</v>
      </c>
      <c r="G3132" t="s">
        <v>70</v>
      </c>
      <c r="I3132" t="s">
        <v>71</v>
      </c>
      <c r="J3132" t="s">
        <v>72</v>
      </c>
      <c r="K3132" t="s">
        <v>2900</v>
      </c>
      <c r="L3132" t="s">
        <v>62</v>
      </c>
      <c r="M3132" t="s">
        <v>2314</v>
      </c>
    </row>
    <row r="3133" spans="1:13">
      <c r="A3133">
        <v>45918</v>
      </c>
      <c r="B3133" t="s">
        <v>63</v>
      </c>
      <c r="D3133">
        <v>13500</v>
      </c>
      <c r="F3133">
        <v>1</v>
      </c>
      <c r="G3133" t="s">
        <v>70</v>
      </c>
      <c r="I3133" t="s">
        <v>71</v>
      </c>
      <c r="J3133" t="s">
        <v>72</v>
      </c>
      <c r="K3133" t="s">
        <v>2901</v>
      </c>
      <c r="L3133" t="s">
        <v>62</v>
      </c>
      <c r="M3133" t="s">
        <v>2902</v>
      </c>
    </row>
    <row r="3134" spans="1:13">
      <c r="A3134">
        <v>45919</v>
      </c>
      <c r="B3134" t="s">
        <v>2903</v>
      </c>
      <c r="D3134">
        <v>500</v>
      </c>
      <c r="F3134">
        <v>1</v>
      </c>
      <c r="G3134" t="s">
        <v>22</v>
      </c>
      <c r="H3134" t="s">
        <v>21</v>
      </c>
      <c r="I3134" t="s">
        <v>60</v>
      </c>
      <c r="J3134" t="s">
        <v>61</v>
      </c>
      <c r="L3134" t="s">
        <v>89</v>
      </c>
    </row>
    <row r="3135" spans="1:13">
      <c r="A3135">
        <v>45919</v>
      </c>
      <c r="B3135" t="s">
        <v>63</v>
      </c>
      <c r="D3135">
        <v>14500</v>
      </c>
      <c r="G3135" t="s">
        <v>70</v>
      </c>
      <c r="I3135" t="s">
        <v>60</v>
      </c>
      <c r="J3135" t="s">
        <v>61</v>
      </c>
      <c r="L3135" t="s">
        <v>62</v>
      </c>
    </row>
    <row r="3136" spans="1:13">
      <c r="A3136">
        <v>45919</v>
      </c>
      <c r="B3136" t="s">
        <v>63</v>
      </c>
      <c r="D3136">
        <v>47000</v>
      </c>
      <c r="F3136">
        <v>6</v>
      </c>
      <c r="G3136" t="s">
        <v>70</v>
      </c>
      <c r="I3136" t="s">
        <v>71</v>
      </c>
      <c r="J3136" t="s">
        <v>72</v>
      </c>
      <c r="K3136" t="s">
        <v>2904</v>
      </c>
      <c r="L3136" t="s">
        <v>62</v>
      </c>
      <c r="M3136" t="s">
        <v>90</v>
      </c>
    </row>
    <row r="3137" spans="1:13">
      <c r="A3137">
        <v>45919</v>
      </c>
      <c r="B3137" t="s">
        <v>2905</v>
      </c>
      <c r="F3137">
        <v>1</v>
      </c>
      <c r="G3137" t="s">
        <v>64</v>
      </c>
      <c r="L3137" t="s">
        <v>86</v>
      </c>
      <c r="M3137" t="s">
        <v>2906</v>
      </c>
    </row>
    <row r="3138" spans="1:13">
      <c r="A3138">
        <v>45919</v>
      </c>
      <c r="B3138" t="s">
        <v>2610</v>
      </c>
      <c r="D3138">
        <v>500</v>
      </c>
      <c r="F3138">
        <v>1</v>
      </c>
      <c r="G3138" t="s">
        <v>22</v>
      </c>
      <c r="H3138" t="s">
        <v>21</v>
      </c>
      <c r="I3138" t="s">
        <v>60</v>
      </c>
      <c r="J3138" t="s">
        <v>61</v>
      </c>
      <c r="L3138" t="s">
        <v>89</v>
      </c>
    </row>
    <row r="3139" spans="1:13">
      <c r="A3139">
        <v>45919</v>
      </c>
      <c r="B3139" t="s">
        <v>2907</v>
      </c>
      <c r="F3139">
        <v>1</v>
      </c>
      <c r="G3139" t="s">
        <v>79</v>
      </c>
      <c r="H3139" t="s">
        <v>21</v>
      </c>
      <c r="L3139" t="s">
        <v>89</v>
      </c>
    </row>
    <row r="3140" spans="1:13">
      <c r="A3140">
        <v>45919</v>
      </c>
      <c r="B3140" t="s">
        <v>2907</v>
      </c>
      <c r="D3140">
        <v>0</v>
      </c>
      <c r="F3140">
        <v>0</v>
      </c>
      <c r="G3140" t="s">
        <v>22</v>
      </c>
      <c r="H3140" t="s">
        <v>21</v>
      </c>
      <c r="I3140" t="s">
        <v>60</v>
      </c>
      <c r="J3140" t="s">
        <v>61</v>
      </c>
      <c r="L3140" t="s">
        <v>89</v>
      </c>
    </row>
    <row r="3141" spans="1:13">
      <c r="A3141">
        <v>45919</v>
      </c>
      <c r="B3141" t="s">
        <v>2908</v>
      </c>
      <c r="F3141">
        <v>1</v>
      </c>
      <c r="G3141" t="s">
        <v>64</v>
      </c>
      <c r="L3141" t="s">
        <v>89</v>
      </c>
      <c r="M3141" t="s">
        <v>2639</v>
      </c>
    </row>
    <row r="3142" spans="1:13">
      <c r="A3142">
        <v>45919</v>
      </c>
      <c r="B3142" t="s">
        <v>2909</v>
      </c>
      <c r="D3142">
        <v>500</v>
      </c>
      <c r="F3142">
        <v>1</v>
      </c>
      <c r="G3142" t="s">
        <v>22</v>
      </c>
      <c r="H3142" t="s">
        <v>21</v>
      </c>
      <c r="I3142" t="s">
        <v>60</v>
      </c>
      <c r="J3142" t="s">
        <v>61</v>
      </c>
      <c r="L3142" t="s">
        <v>86</v>
      </c>
    </row>
    <row r="3143" spans="1:13">
      <c r="A3143">
        <v>45919</v>
      </c>
      <c r="B3143" t="s">
        <v>63</v>
      </c>
      <c r="D3143">
        <v>9500</v>
      </c>
      <c r="F3143">
        <v>2</v>
      </c>
      <c r="G3143" t="s">
        <v>70</v>
      </c>
      <c r="I3143" t="s">
        <v>71</v>
      </c>
      <c r="J3143" t="s">
        <v>72</v>
      </c>
      <c r="K3143" t="s">
        <v>2910</v>
      </c>
      <c r="L3143" t="s">
        <v>62</v>
      </c>
      <c r="M3143" t="s">
        <v>90</v>
      </c>
    </row>
    <row r="3144" spans="1:13">
      <c r="A3144">
        <v>45919</v>
      </c>
      <c r="B3144" t="s">
        <v>76</v>
      </c>
      <c r="D3144">
        <v>7500</v>
      </c>
      <c r="G3144" t="s">
        <v>77</v>
      </c>
      <c r="I3144" t="s">
        <v>60</v>
      </c>
      <c r="J3144" t="s">
        <v>61</v>
      </c>
      <c r="L3144" t="s">
        <v>62</v>
      </c>
    </row>
    <row r="3145" spans="1:13">
      <c r="A3145">
        <v>45920</v>
      </c>
      <c r="B3145" t="s">
        <v>559</v>
      </c>
      <c r="E3145">
        <v>10000</v>
      </c>
      <c r="F3145">
        <v>1</v>
      </c>
      <c r="G3145" t="s">
        <v>65</v>
      </c>
      <c r="H3145" t="s">
        <v>560</v>
      </c>
      <c r="I3145" t="s">
        <v>60</v>
      </c>
      <c r="J3145" t="s">
        <v>61</v>
      </c>
      <c r="L3145" t="s">
        <v>62</v>
      </c>
    </row>
    <row r="3146" spans="1:13">
      <c r="A3146">
        <v>45920</v>
      </c>
      <c r="B3146" t="s">
        <v>561</v>
      </c>
      <c r="E3146">
        <v>11000</v>
      </c>
      <c r="F3146">
        <v>1</v>
      </c>
      <c r="G3146" t="s">
        <v>65</v>
      </c>
      <c r="H3146" t="s">
        <v>560</v>
      </c>
      <c r="I3146" t="s">
        <v>60</v>
      </c>
      <c r="J3146" t="s">
        <v>61</v>
      </c>
      <c r="L3146" t="s">
        <v>62</v>
      </c>
    </row>
    <row r="3147" spans="1:13">
      <c r="A3147">
        <v>45920</v>
      </c>
      <c r="B3147" t="s">
        <v>76</v>
      </c>
      <c r="D3147">
        <v>5500</v>
      </c>
      <c r="G3147" t="s">
        <v>77</v>
      </c>
      <c r="I3147" t="s">
        <v>60</v>
      </c>
      <c r="J3147" t="s">
        <v>61</v>
      </c>
      <c r="L3147" t="s">
        <v>62</v>
      </c>
    </row>
    <row r="3148" spans="1:13">
      <c r="A3148">
        <v>45920</v>
      </c>
      <c r="B3148" t="s">
        <v>2911</v>
      </c>
      <c r="D3148">
        <v>500</v>
      </c>
      <c r="F3148">
        <v>1</v>
      </c>
      <c r="G3148" t="s">
        <v>22</v>
      </c>
      <c r="H3148" t="s">
        <v>21</v>
      </c>
      <c r="I3148" t="s">
        <v>60</v>
      </c>
      <c r="J3148" t="s">
        <v>61</v>
      </c>
      <c r="L3148" t="s">
        <v>82</v>
      </c>
    </row>
    <row r="3149" spans="1:13">
      <c r="A3149">
        <v>45920</v>
      </c>
      <c r="B3149" t="s">
        <v>2912</v>
      </c>
      <c r="F3149">
        <v>1</v>
      </c>
      <c r="G3149" t="s">
        <v>64</v>
      </c>
      <c r="L3149" t="s">
        <v>82</v>
      </c>
      <c r="M3149" t="s">
        <v>96</v>
      </c>
    </row>
    <row r="3150" spans="1:13">
      <c r="A3150">
        <v>45920</v>
      </c>
      <c r="B3150" t="s">
        <v>2913</v>
      </c>
      <c r="D3150">
        <v>500</v>
      </c>
      <c r="F3150">
        <v>1</v>
      </c>
      <c r="G3150" t="s">
        <v>22</v>
      </c>
      <c r="H3150" t="s">
        <v>21</v>
      </c>
      <c r="I3150" t="s">
        <v>60</v>
      </c>
      <c r="J3150" t="s">
        <v>61</v>
      </c>
      <c r="L3150" t="s">
        <v>82</v>
      </c>
    </row>
    <row r="3151" spans="1:13">
      <c r="A3151">
        <v>45920</v>
      </c>
      <c r="B3151" t="s">
        <v>2914</v>
      </c>
      <c r="F3151">
        <v>1</v>
      </c>
      <c r="G3151" t="s">
        <v>587</v>
      </c>
      <c r="H3151" t="s">
        <v>21</v>
      </c>
      <c r="L3151" t="s">
        <v>82</v>
      </c>
    </row>
    <row r="3152" spans="1:13">
      <c r="A3152">
        <v>45920</v>
      </c>
      <c r="B3152" t="s">
        <v>2915</v>
      </c>
      <c r="F3152">
        <v>1</v>
      </c>
      <c r="G3152" t="s">
        <v>79</v>
      </c>
      <c r="H3152" t="s">
        <v>21</v>
      </c>
      <c r="L3152" t="s">
        <v>89</v>
      </c>
    </row>
    <row r="3153" spans="1:13">
      <c r="A3153">
        <v>45920</v>
      </c>
      <c r="B3153" t="s">
        <v>624</v>
      </c>
      <c r="D3153">
        <v>-20800</v>
      </c>
      <c r="G3153" t="s">
        <v>77</v>
      </c>
      <c r="I3153" t="s">
        <v>60</v>
      </c>
      <c r="J3153" t="s">
        <v>61</v>
      </c>
      <c r="L3153" t="s">
        <v>62</v>
      </c>
    </row>
    <row r="3154" spans="1:13">
      <c r="A3154">
        <v>45920</v>
      </c>
      <c r="B3154" t="s">
        <v>84</v>
      </c>
      <c r="E3154">
        <v>-1100</v>
      </c>
      <c r="G3154" t="s">
        <v>65</v>
      </c>
      <c r="H3154" t="s">
        <v>85</v>
      </c>
      <c r="I3154" t="s">
        <v>60</v>
      </c>
      <c r="J3154" t="s">
        <v>61</v>
      </c>
      <c r="L3154" t="s">
        <v>62</v>
      </c>
    </row>
    <row r="3155" spans="1:13">
      <c r="A3155">
        <v>45920</v>
      </c>
      <c r="B3155" t="s">
        <v>2916</v>
      </c>
      <c r="F3155">
        <v>1</v>
      </c>
      <c r="G3155" t="s">
        <v>603</v>
      </c>
      <c r="H3155" t="s">
        <v>21</v>
      </c>
      <c r="L3155" t="s">
        <v>89</v>
      </c>
    </row>
    <row r="3156" spans="1:13">
      <c r="A3156">
        <v>45920</v>
      </c>
      <c r="B3156" t="s">
        <v>2917</v>
      </c>
      <c r="D3156">
        <v>500</v>
      </c>
      <c r="F3156">
        <v>1</v>
      </c>
      <c r="G3156" t="s">
        <v>22</v>
      </c>
      <c r="H3156" t="s">
        <v>21</v>
      </c>
      <c r="I3156" t="s">
        <v>60</v>
      </c>
      <c r="J3156" t="s">
        <v>61</v>
      </c>
      <c r="L3156" t="s">
        <v>89</v>
      </c>
    </row>
    <row r="3157" spans="1:13">
      <c r="A3157">
        <v>45920</v>
      </c>
      <c r="B3157" t="s">
        <v>2918</v>
      </c>
      <c r="D3157">
        <v>200000</v>
      </c>
      <c r="F3157">
        <v>1</v>
      </c>
      <c r="G3157" t="s">
        <v>64</v>
      </c>
      <c r="I3157" t="s">
        <v>60</v>
      </c>
      <c r="J3157" t="s">
        <v>61</v>
      </c>
      <c r="L3157" t="s">
        <v>89</v>
      </c>
      <c r="M3157" t="s">
        <v>647</v>
      </c>
    </row>
    <row r="3158" spans="1:13">
      <c r="A3158">
        <v>45921</v>
      </c>
      <c r="B3158" t="s">
        <v>63</v>
      </c>
      <c r="D3158">
        <v>9000</v>
      </c>
      <c r="F3158">
        <v>1</v>
      </c>
      <c r="G3158" t="s">
        <v>70</v>
      </c>
      <c r="I3158" t="s">
        <v>71</v>
      </c>
      <c r="J3158" t="s">
        <v>72</v>
      </c>
      <c r="K3158">
        <v>656</v>
      </c>
      <c r="L3158" t="s">
        <v>62</v>
      </c>
      <c r="M3158" t="s">
        <v>90</v>
      </c>
    </row>
    <row r="3159" spans="1:13">
      <c r="A3159">
        <v>45921</v>
      </c>
      <c r="B3159" t="s">
        <v>2919</v>
      </c>
      <c r="D3159">
        <v>500</v>
      </c>
      <c r="F3159">
        <v>1</v>
      </c>
      <c r="G3159" t="s">
        <v>22</v>
      </c>
      <c r="H3159" t="s">
        <v>21</v>
      </c>
      <c r="I3159" t="s">
        <v>60</v>
      </c>
      <c r="J3159" t="s">
        <v>61</v>
      </c>
      <c r="L3159" t="s">
        <v>86</v>
      </c>
    </row>
    <row r="3160" spans="1:13">
      <c r="A3160">
        <v>45921</v>
      </c>
      <c r="B3160" t="s">
        <v>2920</v>
      </c>
      <c r="D3160">
        <v>500</v>
      </c>
      <c r="F3160">
        <v>1</v>
      </c>
      <c r="G3160" t="s">
        <v>22</v>
      </c>
      <c r="H3160" t="s">
        <v>21</v>
      </c>
      <c r="I3160" t="s">
        <v>60</v>
      </c>
      <c r="J3160" t="s">
        <v>61</v>
      </c>
      <c r="L3160" t="s">
        <v>86</v>
      </c>
    </row>
    <row r="3161" spans="1:13">
      <c r="A3161">
        <v>45921</v>
      </c>
      <c r="B3161" t="s">
        <v>63</v>
      </c>
      <c r="D3161">
        <v>19500</v>
      </c>
      <c r="G3161" t="s">
        <v>70</v>
      </c>
      <c r="I3161" t="s">
        <v>60</v>
      </c>
      <c r="J3161" t="s">
        <v>61</v>
      </c>
      <c r="L3161" t="s">
        <v>62</v>
      </c>
    </row>
    <row r="3162" spans="1:13">
      <c r="A3162">
        <v>45922</v>
      </c>
      <c r="B3162" t="s">
        <v>81</v>
      </c>
      <c r="D3162">
        <v>20000</v>
      </c>
      <c r="F3162">
        <v>1</v>
      </c>
      <c r="G3162" t="s">
        <v>74</v>
      </c>
      <c r="H3162" t="s">
        <v>75</v>
      </c>
      <c r="I3162" t="s">
        <v>60</v>
      </c>
      <c r="J3162" t="s">
        <v>61</v>
      </c>
      <c r="L3162" t="s">
        <v>88</v>
      </c>
    </row>
    <row r="3163" spans="1:13">
      <c r="A3163">
        <v>45922</v>
      </c>
      <c r="B3163" t="s">
        <v>2921</v>
      </c>
      <c r="C3163" t="s">
        <v>2922</v>
      </c>
      <c r="F3163">
        <v>8</v>
      </c>
      <c r="G3163" t="s">
        <v>22</v>
      </c>
      <c r="H3163" t="s">
        <v>21</v>
      </c>
      <c r="L3163" t="s">
        <v>95</v>
      </c>
    </row>
    <row r="3164" spans="1:13">
      <c r="A3164">
        <v>45922</v>
      </c>
      <c r="B3164" t="s">
        <v>2923</v>
      </c>
      <c r="D3164">
        <v>500</v>
      </c>
      <c r="F3164">
        <v>1</v>
      </c>
      <c r="G3164" t="s">
        <v>22</v>
      </c>
      <c r="H3164" t="s">
        <v>21</v>
      </c>
      <c r="I3164" t="s">
        <v>60</v>
      </c>
      <c r="J3164" t="s">
        <v>61</v>
      </c>
      <c r="L3164" t="s">
        <v>89</v>
      </c>
    </row>
    <row r="3165" spans="1:13">
      <c r="A3165">
        <v>45922</v>
      </c>
      <c r="B3165" t="s">
        <v>2924</v>
      </c>
      <c r="F3165">
        <v>1</v>
      </c>
      <c r="G3165" t="s">
        <v>64</v>
      </c>
      <c r="L3165" t="s">
        <v>89</v>
      </c>
      <c r="M3165" t="s">
        <v>2898</v>
      </c>
    </row>
    <row r="3166" spans="1:13">
      <c r="A3166">
        <v>45922</v>
      </c>
      <c r="B3166" t="s">
        <v>2925</v>
      </c>
      <c r="D3166">
        <v>500</v>
      </c>
      <c r="F3166">
        <v>1</v>
      </c>
      <c r="G3166" t="s">
        <v>22</v>
      </c>
      <c r="H3166" t="s">
        <v>21</v>
      </c>
      <c r="I3166" t="s">
        <v>60</v>
      </c>
      <c r="J3166" t="s">
        <v>61</v>
      </c>
      <c r="L3166" t="s">
        <v>89</v>
      </c>
    </row>
    <row r="3167" spans="1:13">
      <c r="A3167">
        <v>45922</v>
      </c>
      <c r="B3167" t="s">
        <v>2926</v>
      </c>
      <c r="D3167">
        <v>500</v>
      </c>
      <c r="F3167">
        <v>1</v>
      </c>
      <c r="G3167" t="s">
        <v>22</v>
      </c>
      <c r="H3167" t="s">
        <v>21</v>
      </c>
      <c r="I3167" t="s">
        <v>60</v>
      </c>
      <c r="J3167" t="s">
        <v>61</v>
      </c>
      <c r="L3167" t="s">
        <v>89</v>
      </c>
    </row>
    <row r="3168" spans="1:13">
      <c r="A3168">
        <v>45922</v>
      </c>
      <c r="B3168" t="s">
        <v>2927</v>
      </c>
      <c r="D3168">
        <v>500</v>
      </c>
      <c r="F3168">
        <v>1</v>
      </c>
      <c r="G3168" t="s">
        <v>22</v>
      </c>
      <c r="H3168" t="s">
        <v>21</v>
      </c>
      <c r="I3168" t="s">
        <v>60</v>
      </c>
      <c r="J3168" t="s">
        <v>61</v>
      </c>
      <c r="L3168" t="s">
        <v>82</v>
      </c>
    </row>
    <row r="3169" spans="1:13">
      <c r="A3169">
        <v>45922</v>
      </c>
      <c r="B3169" t="s">
        <v>76</v>
      </c>
      <c r="D3169">
        <v>9500</v>
      </c>
      <c r="G3169" t="s">
        <v>77</v>
      </c>
      <c r="I3169" t="s">
        <v>60</v>
      </c>
      <c r="J3169" t="s">
        <v>61</v>
      </c>
      <c r="L3169" t="s">
        <v>62</v>
      </c>
    </row>
    <row r="3170" spans="1:13">
      <c r="A3170">
        <v>45922</v>
      </c>
      <c r="B3170" t="s">
        <v>2928</v>
      </c>
      <c r="F3170">
        <v>1</v>
      </c>
      <c r="G3170" t="s">
        <v>22</v>
      </c>
      <c r="H3170" t="s">
        <v>21</v>
      </c>
      <c r="L3170" t="s">
        <v>101</v>
      </c>
      <c r="M3170" t="s">
        <v>2623</v>
      </c>
    </row>
    <row r="3171" spans="1:13">
      <c r="A3171">
        <v>45922</v>
      </c>
      <c r="B3171" t="s">
        <v>2929</v>
      </c>
      <c r="F3171">
        <v>1</v>
      </c>
      <c r="G3171" t="s">
        <v>0</v>
      </c>
      <c r="L3171" t="s">
        <v>89</v>
      </c>
    </row>
    <row r="3172" spans="1:13">
      <c r="A3172">
        <v>45922</v>
      </c>
      <c r="B3172" t="s">
        <v>2930</v>
      </c>
      <c r="F3172">
        <v>1</v>
      </c>
      <c r="G3172" t="s">
        <v>0</v>
      </c>
      <c r="L3172" t="s">
        <v>82</v>
      </c>
    </row>
    <row r="3173" spans="1:13">
      <c r="A3173">
        <v>45922</v>
      </c>
      <c r="B3173" t="s">
        <v>2930</v>
      </c>
      <c r="F3173">
        <v>1</v>
      </c>
      <c r="G3173" t="s">
        <v>0</v>
      </c>
      <c r="L3173" t="s">
        <v>82</v>
      </c>
    </row>
    <row r="3174" spans="1:13">
      <c r="A3174">
        <v>45923</v>
      </c>
      <c r="B3174" t="s">
        <v>81</v>
      </c>
      <c r="D3174">
        <v>76000</v>
      </c>
      <c r="F3174">
        <v>1</v>
      </c>
      <c r="G3174" t="s">
        <v>74</v>
      </c>
      <c r="H3174" t="s">
        <v>75</v>
      </c>
      <c r="I3174" t="s">
        <v>60</v>
      </c>
      <c r="J3174" t="s">
        <v>61</v>
      </c>
      <c r="L3174" t="s">
        <v>88</v>
      </c>
    </row>
    <row r="3175" spans="1:13">
      <c r="A3175">
        <v>45923</v>
      </c>
      <c r="B3175" t="s">
        <v>2931</v>
      </c>
      <c r="F3175">
        <v>1</v>
      </c>
      <c r="G3175" t="s">
        <v>79</v>
      </c>
      <c r="H3175" t="s">
        <v>21</v>
      </c>
      <c r="L3175" t="s">
        <v>89</v>
      </c>
    </row>
    <row r="3176" spans="1:13">
      <c r="A3176">
        <v>45923</v>
      </c>
      <c r="B3176" t="s">
        <v>2932</v>
      </c>
      <c r="F3176">
        <v>1</v>
      </c>
      <c r="G3176" t="s">
        <v>2490</v>
      </c>
      <c r="L3176" t="s">
        <v>82</v>
      </c>
      <c r="M3176" t="s">
        <v>2933</v>
      </c>
    </row>
    <row r="3177" spans="1:13">
      <c r="A3177">
        <v>45923</v>
      </c>
      <c r="B3177" t="s">
        <v>76</v>
      </c>
      <c r="D3177">
        <v>20240</v>
      </c>
      <c r="G3177" t="s">
        <v>77</v>
      </c>
      <c r="I3177" t="s">
        <v>60</v>
      </c>
      <c r="J3177" t="s">
        <v>61</v>
      </c>
      <c r="L3177" t="s">
        <v>62</v>
      </c>
    </row>
    <row r="3178" spans="1:13">
      <c r="A3178">
        <v>45923</v>
      </c>
      <c r="B3178" t="s">
        <v>969</v>
      </c>
      <c r="D3178">
        <v>500</v>
      </c>
      <c r="F3178">
        <v>0</v>
      </c>
      <c r="G3178" t="s">
        <v>22</v>
      </c>
      <c r="H3178" t="s">
        <v>21</v>
      </c>
      <c r="I3178" t="s">
        <v>60</v>
      </c>
      <c r="J3178" t="s">
        <v>61</v>
      </c>
      <c r="L3178" t="s">
        <v>82</v>
      </c>
    </row>
    <row r="3179" spans="1:13">
      <c r="A3179">
        <v>45923</v>
      </c>
      <c r="B3179" t="s">
        <v>2934</v>
      </c>
      <c r="D3179">
        <v>500</v>
      </c>
      <c r="F3179">
        <v>1</v>
      </c>
      <c r="G3179" t="s">
        <v>22</v>
      </c>
      <c r="H3179" t="s">
        <v>21</v>
      </c>
      <c r="I3179" t="s">
        <v>60</v>
      </c>
      <c r="J3179" t="s">
        <v>61</v>
      </c>
      <c r="L3179" t="s">
        <v>89</v>
      </c>
    </row>
    <row r="3180" spans="1:13">
      <c r="A3180">
        <v>45923</v>
      </c>
      <c r="B3180" t="s">
        <v>2935</v>
      </c>
      <c r="F3180">
        <v>1</v>
      </c>
      <c r="G3180" t="s">
        <v>107</v>
      </c>
      <c r="H3180" t="s">
        <v>21</v>
      </c>
      <c r="L3180" t="s">
        <v>89</v>
      </c>
    </row>
    <row r="3181" spans="1:13">
      <c r="A3181">
        <v>45923</v>
      </c>
      <c r="B3181" t="s">
        <v>2936</v>
      </c>
      <c r="D3181">
        <v>500</v>
      </c>
      <c r="F3181">
        <v>0</v>
      </c>
      <c r="G3181" t="s">
        <v>22</v>
      </c>
      <c r="H3181" t="s">
        <v>21</v>
      </c>
      <c r="I3181" t="s">
        <v>60</v>
      </c>
      <c r="J3181" t="s">
        <v>61</v>
      </c>
      <c r="L3181" t="s">
        <v>89</v>
      </c>
    </row>
    <row r="3182" spans="1:13">
      <c r="A3182">
        <v>45923</v>
      </c>
      <c r="B3182" t="s">
        <v>63</v>
      </c>
      <c r="D3182">
        <v>300</v>
      </c>
      <c r="F3182">
        <v>3</v>
      </c>
      <c r="G3182" t="s">
        <v>22</v>
      </c>
      <c r="H3182" t="s">
        <v>93</v>
      </c>
      <c r="I3182" t="s">
        <v>60</v>
      </c>
      <c r="J3182" t="s">
        <v>61</v>
      </c>
      <c r="L3182" t="s">
        <v>62</v>
      </c>
    </row>
    <row r="3183" spans="1:13">
      <c r="A3183">
        <v>45924</v>
      </c>
      <c r="B3183" t="s">
        <v>2937</v>
      </c>
      <c r="D3183">
        <v>500</v>
      </c>
      <c r="F3183">
        <v>1</v>
      </c>
      <c r="G3183" t="s">
        <v>22</v>
      </c>
      <c r="H3183" t="s">
        <v>21</v>
      </c>
      <c r="I3183" t="s">
        <v>60</v>
      </c>
      <c r="J3183" t="s">
        <v>61</v>
      </c>
      <c r="L3183" t="s">
        <v>86</v>
      </c>
    </row>
    <row r="3184" spans="1:13">
      <c r="A3184">
        <v>45924</v>
      </c>
      <c r="B3184" t="s">
        <v>2938</v>
      </c>
      <c r="F3184">
        <v>1</v>
      </c>
      <c r="G3184" t="s">
        <v>107</v>
      </c>
      <c r="H3184" t="s">
        <v>21</v>
      </c>
      <c r="L3184" t="s">
        <v>86</v>
      </c>
    </row>
    <row r="3185" spans="1:13">
      <c r="A3185">
        <v>45924</v>
      </c>
      <c r="B3185" t="s">
        <v>2939</v>
      </c>
      <c r="F3185">
        <v>1</v>
      </c>
      <c r="G3185" t="s">
        <v>107</v>
      </c>
      <c r="H3185" t="s">
        <v>21</v>
      </c>
      <c r="L3185" t="s">
        <v>86</v>
      </c>
    </row>
    <row r="3186" spans="1:13">
      <c r="A3186">
        <v>45924</v>
      </c>
      <c r="B3186" t="s">
        <v>63</v>
      </c>
      <c r="D3186">
        <v>52296</v>
      </c>
      <c r="G3186" t="s">
        <v>70</v>
      </c>
      <c r="I3186" t="s">
        <v>60</v>
      </c>
      <c r="J3186" t="s">
        <v>61</v>
      </c>
      <c r="L3186" t="s">
        <v>62</v>
      </c>
    </row>
    <row r="3187" spans="1:13">
      <c r="A3187">
        <v>45924</v>
      </c>
      <c r="B3187" t="s">
        <v>76</v>
      </c>
      <c r="D3187">
        <v>5500</v>
      </c>
      <c r="G3187" t="s">
        <v>77</v>
      </c>
      <c r="I3187" t="s">
        <v>60</v>
      </c>
      <c r="J3187" t="s">
        <v>61</v>
      </c>
      <c r="L3187" t="s">
        <v>62</v>
      </c>
    </row>
    <row r="3188" spans="1:13">
      <c r="A3188">
        <v>45924</v>
      </c>
      <c r="B3188" t="s">
        <v>624</v>
      </c>
      <c r="D3188">
        <v>-39000</v>
      </c>
      <c r="G3188" t="s">
        <v>77</v>
      </c>
      <c r="I3188" t="s">
        <v>60</v>
      </c>
      <c r="J3188" t="s">
        <v>61</v>
      </c>
      <c r="L3188" t="s">
        <v>62</v>
      </c>
    </row>
    <row r="3189" spans="1:13">
      <c r="A3189">
        <v>45924</v>
      </c>
      <c r="B3189" t="s">
        <v>84</v>
      </c>
      <c r="E3189">
        <v>-2062.5</v>
      </c>
      <c r="G3189" t="s">
        <v>65</v>
      </c>
      <c r="H3189" t="s">
        <v>85</v>
      </c>
      <c r="I3189" t="s">
        <v>60</v>
      </c>
      <c r="J3189" t="s">
        <v>61</v>
      </c>
      <c r="L3189" t="s">
        <v>62</v>
      </c>
    </row>
    <row r="3190" spans="1:13">
      <c r="A3190">
        <v>45924</v>
      </c>
      <c r="B3190" t="s">
        <v>2940</v>
      </c>
      <c r="D3190">
        <v>500</v>
      </c>
      <c r="F3190">
        <v>1</v>
      </c>
      <c r="G3190" t="s">
        <v>22</v>
      </c>
      <c r="H3190" t="s">
        <v>21</v>
      </c>
      <c r="I3190" t="s">
        <v>60</v>
      </c>
      <c r="J3190" t="s">
        <v>61</v>
      </c>
      <c r="L3190" t="s">
        <v>82</v>
      </c>
    </row>
    <row r="3191" spans="1:13">
      <c r="A3191">
        <v>45924</v>
      </c>
      <c r="B3191" t="s">
        <v>2941</v>
      </c>
      <c r="F3191">
        <v>1</v>
      </c>
      <c r="G3191" t="s">
        <v>2490</v>
      </c>
      <c r="L3191" t="s">
        <v>89</v>
      </c>
      <c r="M3191" t="s">
        <v>2942</v>
      </c>
    </row>
    <row r="3192" spans="1:13">
      <c r="A3192">
        <v>45924</v>
      </c>
      <c r="B3192" t="s">
        <v>2943</v>
      </c>
      <c r="F3192">
        <v>1</v>
      </c>
      <c r="G3192" t="s">
        <v>79</v>
      </c>
      <c r="H3192" t="s">
        <v>21</v>
      </c>
      <c r="L3192" t="s">
        <v>82</v>
      </c>
      <c r="M3192" t="s">
        <v>2944</v>
      </c>
    </row>
    <row r="3193" spans="1:13">
      <c r="A3193">
        <v>45924</v>
      </c>
      <c r="B3193" t="s">
        <v>2945</v>
      </c>
      <c r="F3193">
        <v>1</v>
      </c>
      <c r="G3193" t="s">
        <v>590</v>
      </c>
      <c r="H3193" t="s">
        <v>21</v>
      </c>
      <c r="L3193" t="s">
        <v>82</v>
      </c>
    </row>
    <row r="3194" spans="1:13">
      <c r="A3194">
        <v>45924</v>
      </c>
      <c r="B3194" t="s">
        <v>2946</v>
      </c>
      <c r="F3194">
        <v>1</v>
      </c>
      <c r="G3194" t="s">
        <v>0</v>
      </c>
      <c r="L3194" t="s">
        <v>89</v>
      </c>
    </row>
    <row r="3195" spans="1:13">
      <c r="A3195">
        <v>45925</v>
      </c>
      <c r="B3195" t="s">
        <v>81</v>
      </c>
      <c r="D3195">
        <v>81500</v>
      </c>
      <c r="F3195">
        <v>1</v>
      </c>
      <c r="G3195" t="s">
        <v>74</v>
      </c>
      <c r="H3195" t="s">
        <v>75</v>
      </c>
      <c r="I3195" t="s">
        <v>60</v>
      </c>
      <c r="J3195" t="s">
        <v>61</v>
      </c>
      <c r="L3195" t="s">
        <v>88</v>
      </c>
      <c r="M3195" t="s">
        <v>2947</v>
      </c>
    </row>
    <row r="3196" spans="1:13">
      <c r="A3196">
        <v>45925</v>
      </c>
      <c r="B3196" t="s">
        <v>2948</v>
      </c>
      <c r="D3196">
        <v>500</v>
      </c>
      <c r="F3196">
        <v>1</v>
      </c>
      <c r="G3196" t="s">
        <v>22</v>
      </c>
      <c r="H3196" t="s">
        <v>21</v>
      </c>
      <c r="I3196" t="s">
        <v>60</v>
      </c>
      <c r="J3196" t="s">
        <v>61</v>
      </c>
      <c r="L3196" t="s">
        <v>89</v>
      </c>
    </row>
    <row r="3197" spans="1:13">
      <c r="A3197">
        <v>45925</v>
      </c>
      <c r="B3197" t="s">
        <v>1880</v>
      </c>
      <c r="D3197">
        <v>500</v>
      </c>
      <c r="F3197">
        <v>1</v>
      </c>
      <c r="G3197" t="s">
        <v>22</v>
      </c>
      <c r="H3197" t="s">
        <v>21</v>
      </c>
      <c r="I3197" t="s">
        <v>60</v>
      </c>
      <c r="J3197" t="s">
        <v>61</v>
      </c>
      <c r="L3197" t="s">
        <v>89</v>
      </c>
    </row>
    <row r="3198" spans="1:13">
      <c r="A3198">
        <v>45925</v>
      </c>
      <c r="B3198" t="s">
        <v>2949</v>
      </c>
      <c r="D3198">
        <v>500</v>
      </c>
      <c r="F3198">
        <v>1</v>
      </c>
      <c r="G3198" t="s">
        <v>22</v>
      </c>
      <c r="H3198" t="s">
        <v>21</v>
      </c>
      <c r="I3198" t="s">
        <v>60</v>
      </c>
      <c r="J3198" t="s">
        <v>61</v>
      </c>
      <c r="L3198" t="s">
        <v>86</v>
      </c>
    </row>
    <row r="3199" spans="1:13">
      <c r="A3199">
        <v>45925</v>
      </c>
      <c r="B3199" t="s">
        <v>2950</v>
      </c>
      <c r="C3199" t="s">
        <v>2951</v>
      </c>
      <c r="E3199">
        <v>35762.22</v>
      </c>
      <c r="F3199">
        <v>1</v>
      </c>
      <c r="G3199" t="s">
        <v>65</v>
      </c>
      <c r="H3199" t="s">
        <v>66</v>
      </c>
      <c r="I3199" t="s">
        <v>60</v>
      </c>
      <c r="J3199" t="s">
        <v>61</v>
      </c>
      <c r="L3199" t="s">
        <v>62</v>
      </c>
    </row>
    <row r="3200" spans="1:13">
      <c r="A3200">
        <v>45925</v>
      </c>
      <c r="B3200" t="s">
        <v>63</v>
      </c>
      <c r="D3200">
        <v>9500</v>
      </c>
      <c r="G3200" t="s">
        <v>70</v>
      </c>
      <c r="I3200" t="s">
        <v>60</v>
      </c>
      <c r="J3200" t="s">
        <v>61</v>
      </c>
      <c r="L3200" t="s">
        <v>62</v>
      </c>
    </row>
    <row r="3201" spans="1:13">
      <c r="A3201">
        <v>45925</v>
      </c>
      <c r="B3201" t="s">
        <v>2952</v>
      </c>
      <c r="F3201">
        <v>1</v>
      </c>
      <c r="G3201" t="s">
        <v>22</v>
      </c>
      <c r="H3201" t="s">
        <v>21</v>
      </c>
      <c r="L3201" t="s">
        <v>101</v>
      </c>
    </row>
    <row r="3202" spans="1:13">
      <c r="A3202">
        <v>45925</v>
      </c>
      <c r="B3202" t="s">
        <v>2953</v>
      </c>
      <c r="F3202">
        <v>1</v>
      </c>
      <c r="G3202" t="s">
        <v>377</v>
      </c>
      <c r="H3202" t="s">
        <v>21</v>
      </c>
      <c r="L3202" t="s">
        <v>86</v>
      </c>
    </row>
    <row r="3203" spans="1:13">
      <c r="A3203">
        <v>45925</v>
      </c>
      <c r="B3203" t="s">
        <v>2954</v>
      </c>
      <c r="F3203">
        <v>1</v>
      </c>
      <c r="G3203" t="s">
        <v>0</v>
      </c>
      <c r="L3203" t="s">
        <v>89</v>
      </c>
    </row>
    <row r="3204" spans="1:13">
      <c r="A3204">
        <v>45926</v>
      </c>
      <c r="B3204" t="s">
        <v>63</v>
      </c>
      <c r="D3204">
        <v>100</v>
      </c>
      <c r="F3204">
        <v>1</v>
      </c>
      <c r="G3204" t="s">
        <v>22</v>
      </c>
      <c r="H3204" t="s">
        <v>93</v>
      </c>
      <c r="I3204" t="s">
        <v>60</v>
      </c>
      <c r="J3204" t="s">
        <v>61</v>
      </c>
      <c r="L3204" t="s">
        <v>62</v>
      </c>
    </row>
    <row r="3205" spans="1:13">
      <c r="A3205">
        <v>45926</v>
      </c>
      <c r="B3205" t="s">
        <v>76</v>
      </c>
      <c r="D3205">
        <v>500</v>
      </c>
      <c r="G3205" t="s">
        <v>77</v>
      </c>
      <c r="I3205" t="s">
        <v>60</v>
      </c>
      <c r="J3205" t="s">
        <v>61</v>
      </c>
      <c r="L3205" t="s">
        <v>62</v>
      </c>
    </row>
    <row r="3206" spans="1:13">
      <c r="A3206">
        <v>45926</v>
      </c>
      <c r="B3206" t="s">
        <v>81</v>
      </c>
      <c r="D3206">
        <v>72000</v>
      </c>
      <c r="F3206">
        <v>1</v>
      </c>
      <c r="G3206" t="s">
        <v>74</v>
      </c>
      <c r="H3206" t="s">
        <v>75</v>
      </c>
      <c r="I3206" t="s">
        <v>60</v>
      </c>
      <c r="J3206" t="s">
        <v>61</v>
      </c>
      <c r="L3206" t="s">
        <v>88</v>
      </c>
    </row>
    <row r="3207" spans="1:13">
      <c r="A3207">
        <v>45926</v>
      </c>
      <c r="B3207" t="s">
        <v>2955</v>
      </c>
      <c r="F3207">
        <v>1</v>
      </c>
      <c r="G3207" t="s">
        <v>79</v>
      </c>
      <c r="H3207" t="s">
        <v>21</v>
      </c>
      <c r="L3207" t="s">
        <v>89</v>
      </c>
    </row>
    <row r="3208" spans="1:13">
      <c r="A3208">
        <v>45926</v>
      </c>
      <c r="B3208" t="s">
        <v>2956</v>
      </c>
      <c r="F3208">
        <v>1</v>
      </c>
      <c r="G3208" t="s">
        <v>64</v>
      </c>
      <c r="L3208" t="s">
        <v>89</v>
      </c>
      <c r="M3208" t="s">
        <v>2957</v>
      </c>
    </row>
    <row r="3209" spans="1:13">
      <c r="A3209">
        <v>45926</v>
      </c>
      <c r="B3209" t="s">
        <v>63</v>
      </c>
      <c r="D3209">
        <v>8000</v>
      </c>
      <c r="F3209">
        <v>1</v>
      </c>
      <c r="G3209" t="s">
        <v>70</v>
      </c>
      <c r="I3209" t="s">
        <v>71</v>
      </c>
      <c r="J3209" t="s">
        <v>72</v>
      </c>
      <c r="K3209" t="s">
        <v>2958</v>
      </c>
      <c r="L3209" t="s">
        <v>62</v>
      </c>
      <c r="M3209" t="s">
        <v>90</v>
      </c>
    </row>
    <row r="3210" spans="1:13">
      <c r="A3210">
        <v>45926</v>
      </c>
      <c r="B3210" t="s">
        <v>2959</v>
      </c>
      <c r="D3210">
        <v>500</v>
      </c>
      <c r="F3210">
        <v>1</v>
      </c>
      <c r="G3210" t="s">
        <v>22</v>
      </c>
      <c r="H3210" t="s">
        <v>21</v>
      </c>
      <c r="I3210" t="s">
        <v>60</v>
      </c>
      <c r="J3210" t="s">
        <v>61</v>
      </c>
      <c r="L3210" t="s">
        <v>89</v>
      </c>
    </row>
    <row r="3211" spans="1:13">
      <c r="A3211">
        <v>45926</v>
      </c>
      <c r="B3211" t="s">
        <v>2960</v>
      </c>
      <c r="F3211">
        <v>1</v>
      </c>
      <c r="G3211" t="s">
        <v>0</v>
      </c>
      <c r="L3211" t="s">
        <v>89</v>
      </c>
    </row>
    <row r="3212" spans="1:13">
      <c r="A3212">
        <v>45927</v>
      </c>
      <c r="B3212" t="s">
        <v>81</v>
      </c>
      <c r="D3212">
        <v>201000</v>
      </c>
      <c r="F3212">
        <v>1</v>
      </c>
      <c r="G3212" t="s">
        <v>74</v>
      </c>
      <c r="H3212" t="s">
        <v>75</v>
      </c>
      <c r="I3212" t="s">
        <v>60</v>
      </c>
      <c r="J3212" t="s">
        <v>61</v>
      </c>
      <c r="L3212" t="s">
        <v>88</v>
      </c>
    </row>
    <row r="3213" spans="1:13">
      <c r="A3213">
        <v>45927</v>
      </c>
      <c r="B3213" t="s">
        <v>559</v>
      </c>
      <c r="E3213">
        <v>10000</v>
      </c>
      <c r="F3213">
        <v>1</v>
      </c>
      <c r="G3213" t="s">
        <v>65</v>
      </c>
      <c r="H3213" t="s">
        <v>560</v>
      </c>
      <c r="I3213" t="s">
        <v>60</v>
      </c>
      <c r="J3213" t="s">
        <v>61</v>
      </c>
      <c r="L3213" t="s">
        <v>62</v>
      </c>
    </row>
    <row r="3214" spans="1:13">
      <c r="A3214">
        <v>45927</v>
      </c>
      <c r="B3214" t="s">
        <v>561</v>
      </c>
      <c r="E3214">
        <v>11000</v>
      </c>
      <c r="F3214">
        <v>1</v>
      </c>
      <c r="G3214" t="s">
        <v>65</v>
      </c>
      <c r="H3214" t="s">
        <v>560</v>
      </c>
      <c r="I3214" t="s">
        <v>60</v>
      </c>
      <c r="J3214" t="s">
        <v>61</v>
      </c>
      <c r="L3214" t="s">
        <v>62</v>
      </c>
    </row>
    <row r="3215" spans="1:13">
      <c r="A3215">
        <v>45927</v>
      </c>
      <c r="B3215" t="s">
        <v>2961</v>
      </c>
      <c r="F3215">
        <v>1</v>
      </c>
      <c r="G3215" t="s">
        <v>79</v>
      </c>
      <c r="H3215" t="s">
        <v>21</v>
      </c>
      <c r="L3215" t="s">
        <v>82</v>
      </c>
    </row>
    <row r="3216" spans="1:13">
      <c r="A3216">
        <v>45927</v>
      </c>
      <c r="B3216" t="s">
        <v>2961</v>
      </c>
      <c r="D3216">
        <v>164999</v>
      </c>
      <c r="F3216">
        <v>1</v>
      </c>
      <c r="G3216" t="s">
        <v>64</v>
      </c>
      <c r="I3216" t="s">
        <v>60</v>
      </c>
      <c r="J3216" t="s">
        <v>61</v>
      </c>
      <c r="L3216" t="s">
        <v>82</v>
      </c>
    </row>
    <row r="3217" spans="1:13">
      <c r="A3217">
        <v>45927</v>
      </c>
      <c r="B3217" t="s">
        <v>2962</v>
      </c>
      <c r="F3217">
        <v>1</v>
      </c>
      <c r="G3217" t="s">
        <v>79</v>
      </c>
      <c r="H3217" t="s">
        <v>21</v>
      </c>
      <c r="L3217" t="s">
        <v>62</v>
      </c>
    </row>
    <row r="3218" spans="1:13">
      <c r="A3218">
        <v>45927</v>
      </c>
      <c r="B3218" t="s">
        <v>76</v>
      </c>
      <c r="D3218">
        <v>26500</v>
      </c>
      <c r="G3218" t="s">
        <v>77</v>
      </c>
      <c r="I3218" t="s">
        <v>60</v>
      </c>
      <c r="J3218" t="s">
        <v>61</v>
      </c>
      <c r="L3218" t="s">
        <v>62</v>
      </c>
    </row>
    <row r="3219" spans="1:13">
      <c r="A3219">
        <v>45927</v>
      </c>
      <c r="B3219" t="s">
        <v>81</v>
      </c>
      <c r="E3219">
        <v>6000</v>
      </c>
      <c r="F3219">
        <v>1</v>
      </c>
      <c r="G3219" t="s">
        <v>74</v>
      </c>
      <c r="H3219" t="s">
        <v>75</v>
      </c>
      <c r="I3219" t="s">
        <v>60</v>
      </c>
      <c r="J3219" t="s">
        <v>61</v>
      </c>
      <c r="L3219" t="s">
        <v>104</v>
      </c>
    </row>
    <row r="3220" spans="1:13">
      <c r="A3220">
        <v>45927</v>
      </c>
      <c r="B3220" t="s">
        <v>2963</v>
      </c>
      <c r="F3220">
        <v>1</v>
      </c>
      <c r="G3220" t="s">
        <v>79</v>
      </c>
      <c r="H3220" t="s">
        <v>21</v>
      </c>
      <c r="L3220" t="s">
        <v>82</v>
      </c>
    </row>
    <row r="3221" spans="1:13">
      <c r="A3221">
        <v>45927</v>
      </c>
      <c r="B3221" t="s">
        <v>2964</v>
      </c>
      <c r="F3221">
        <v>1</v>
      </c>
      <c r="G3221" t="s">
        <v>377</v>
      </c>
      <c r="H3221" t="s">
        <v>21</v>
      </c>
      <c r="L3221" t="s">
        <v>86</v>
      </c>
    </row>
    <row r="3222" spans="1:13">
      <c r="A3222">
        <v>45927</v>
      </c>
      <c r="B3222" t="s">
        <v>2965</v>
      </c>
      <c r="D3222">
        <v>500</v>
      </c>
      <c r="F3222">
        <v>1</v>
      </c>
      <c r="G3222" t="s">
        <v>22</v>
      </c>
      <c r="H3222" t="s">
        <v>21</v>
      </c>
      <c r="I3222" t="s">
        <v>60</v>
      </c>
      <c r="J3222" t="s">
        <v>61</v>
      </c>
      <c r="L3222" t="s">
        <v>86</v>
      </c>
    </row>
    <row r="3223" spans="1:13">
      <c r="A3223">
        <v>45927</v>
      </c>
      <c r="B3223" t="s">
        <v>2966</v>
      </c>
      <c r="D3223">
        <v>500</v>
      </c>
      <c r="F3223">
        <v>1</v>
      </c>
      <c r="G3223" t="s">
        <v>22</v>
      </c>
      <c r="H3223" t="s">
        <v>21</v>
      </c>
      <c r="I3223" t="s">
        <v>60</v>
      </c>
      <c r="J3223" t="s">
        <v>61</v>
      </c>
      <c r="L3223" t="s">
        <v>86</v>
      </c>
    </row>
    <row r="3224" spans="1:13">
      <c r="A3224">
        <v>45927</v>
      </c>
      <c r="B3224" t="s">
        <v>1139</v>
      </c>
      <c r="D3224">
        <v>500</v>
      </c>
      <c r="F3224">
        <v>1</v>
      </c>
      <c r="G3224" t="s">
        <v>22</v>
      </c>
      <c r="H3224" t="s">
        <v>21</v>
      </c>
      <c r="I3224" t="s">
        <v>60</v>
      </c>
      <c r="J3224" t="s">
        <v>61</v>
      </c>
      <c r="L3224" t="s">
        <v>86</v>
      </c>
    </row>
    <row r="3225" spans="1:13">
      <c r="A3225">
        <v>45927</v>
      </c>
      <c r="B3225" t="s">
        <v>63</v>
      </c>
      <c r="D3225">
        <v>100</v>
      </c>
      <c r="F3225">
        <v>1</v>
      </c>
      <c r="G3225" t="s">
        <v>22</v>
      </c>
      <c r="H3225" t="s">
        <v>21</v>
      </c>
      <c r="I3225" t="s">
        <v>60</v>
      </c>
      <c r="J3225" t="s">
        <v>61</v>
      </c>
      <c r="L3225" t="s">
        <v>62</v>
      </c>
    </row>
    <row r="3226" spans="1:13">
      <c r="A3226">
        <v>45928</v>
      </c>
      <c r="B3226" t="s">
        <v>2967</v>
      </c>
      <c r="F3226">
        <v>1</v>
      </c>
      <c r="G3226" t="s">
        <v>64</v>
      </c>
      <c r="L3226" t="s">
        <v>86</v>
      </c>
      <c r="M3226" t="s">
        <v>96</v>
      </c>
    </row>
    <row r="3227" spans="1:13">
      <c r="A3227">
        <v>45928</v>
      </c>
      <c r="B3227" t="s">
        <v>2968</v>
      </c>
      <c r="D3227">
        <v>500</v>
      </c>
      <c r="F3227">
        <v>1</v>
      </c>
      <c r="G3227" t="s">
        <v>22</v>
      </c>
      <c r="H3227" t="s">
        <v>21</v>
      </c>
      <c r="I3227" t="s">
        <v>60</v>
      </c>
      <c r="J3227" t="s">
        <v>61</v>
      </c>
    </row>
    <row r="3228" spans="1:13">
      <c r="A3228">
        <v>45928</v>
      </c>
      <c r="B3228" t="s">
        <v>2969</v>
      </c>
      <c r="F3228">
        <v>1</v>
      </c>
      <c r="G3228" t="s">
        <v>64</v>
      </c>
      <c r="L3228" t="s">
        <v>270</v>
      </c>
    </row>
    <row r="3229" spans="1:13">
      <c r="A3229">
        <v>45928</v>
      </c>
      <c r="B3229" t="s">
        <v>2970</v>
      </c>
      <c r="F3229">
        <v>1</v>
      </c>
      <c r="G3229" t="s">
        <v>2490</v>
      </c>
      <c r="L3229" t="s">
        <v>270</v>
      </c>
      <c r="M3229" t="s">
        <v>2933</v>
      </c>
    </row>
    <row r="3230" spans="1:13">
      <c r="A3230">
        <v>45928</v>
      </c>
      <c r="B3230" t="s">
        <v>2971</v>
      </c>
      <c r="D3230">
        <v>500</v>
      </c>
      <c r="F3230">
        <v>1</v>
      </c>
      <c r="G3230" t="s">
        <v>22</v>
      </c>
      <c r="H3230" t="s">
        <v>21</v>
      </c>
      <c r="I3230" t="s">
        <v>60</v>
      </c>
      <c r="J3230" t="s">
        <v>61</v>
      </c>
      <c r="L3230" t="s">
        <v>89</v>
      </c>
    </row>
    <row r="3231" spans="1:13">
      <c r="A3231">
        <v>45928</v>
      </c>
      <c r="B3231" t="s">
        <v>2972</v>
      </c>
      <c r="F3231">
        <v>1</v>
      </c>
      <c r="G3231" t="s">
        <v>590</v>
      </c>
      <c r="H3231" t="s">
        <v>21</v>
      </c>
      <c r="L3231" t="s">
        <v>89</v>
      </c>
      <c r="M3231" t="s">
        <v>2973</v>
      </c>
    </row>
    <row r="3232" spans="1:13">
      <c r="A3232">
        <v>45928</v>
      </c>
      <c r="B3232" t="s">
        <v>2974</v>
      </c>
      <c r="F3232">
        <v>1</v>
      </c>
      <c r="G3232" t="s">
        <v>64</v>
      </c>
      <c r="L3232" t="s">
        <v>89</v>
      </c>
      <c r="M3232" t="s">
        <v>2411</v>
      </c>
    </row>
    <row r="3233" spans="1:13">
      <c r="A3233">
        <v>45928</v>
      </c>
      <c r="B3233" t="s">
        <v>2975</v>
      </c>
      <c r="F3233">
        <v>1</v>
      </c>
      <c r="G3233" t="s">
        <v>2490</v>
      </c>
      <c r="L3233" t="s">
        <v>89</v>
      </c>
      <c r="M3233" t="s">
        <v>2933</v>
      </c>
    </row>
    <row r="3234" spans="1:13">
      <c r="A3234">
        <v>45928</v>
      </c>
      <c r="B3234" t="s">
        <v>76</v>
      </c>
      <c r="D3234">
        <v>8200</v>
      </c>
      <c r="G3234" t="s">
        <v>77</v>
      </c>
      <c r="I3234" t="s">
        <v>60</v>
      </c>
      <c r="J3234" t="s">
        <v>61</v>
      </c>
      <c r="L3234" t="s">
        <v>62</v>
      </c>
    </row>
    <row r="3235" spans="1:13">
      <c r="A3235">
        <v>45930</v>
      </c>
      <c r="B3235" t="s">
        <v>624</v>
      </c>
      <c r="D3235">
        <v>-41600</v>
      </c>
      <c r="G3235" t="s">
        <v>77</v>
      </c>
      <c r="I3235" t="s">
        <v>60</v>
      </c>
      <c r="J3235" t="s">
        <v>61</v>
      </c>
      <c r="L3235" t="s">
        <v>62</v>
      </c>
    </row>
    <row r="3236" spans="1:13">
      <c r="A3236">
        <v>45930</v>
      </c>
      <c r="B3236" t="s">
        <v>84</v>
      </c>
      <c r="E3236">
        <v>-2200</v>
      </c>
      <c r="G3236" t="s">
        <v>65</v>
      </c>
      <c r="H3236" t="s">
        <v>85</v>
      </c>
      <c r="I3236" t="s">
        <v>60</v>
      </c>
      <c r="J3236" t="s">
        <v>61</v>
      </c>
      <c r="L3236" t="s">
        <v>62</v>
      </c>
    </row>
    <row r="3237" spans="1:13">
      <c r="A3237">
        <v>45930</v>
      </c>
      <c r="B3237" t="s">
        <v>81</v>
      </c>
      <c r="D3237">
        <v>218000</v>
      </c>
      <c r="F3237">
        <v>1</v>
      </c>
      <c r="G3237" t="s">
        <v>74</v>
      </c>
      <c r="H3237" t="s">
        <v>75</v>
      </c>
      <c r="I3237" t="s">
        <v>60</v>
      </c>
      <c r="J3237" t="s">
        <v>61</v>
      </c>
      <c r="L3237" t="s">
        <v>214</v>
      </c>
    </row>
    <row r="3238" spans="1:13">
      <c r="A3238">
        <v>45930</v>
      </c>
      <c r="B3238" t="s">
        <v>1942</v>
      </c>
      <c r="F3238">
        <v>1</v>
      </c>
      <c r="G3238" t="s">
        <v>64</v>
      </c>
      <c r="L3238" t="s">
        <v>82</v>
      </c>
      <c r="M3238" t="s">
        <v>2976</v>
      </c>
    </row>
    <row r="3239" spans="1:13">
      <c r="A3239">
        <v>45930</v>
      </c>
      <c r="B3239" t="s">
        <v>2977</v>
      </c>
      <c r="F3239">
        <v>1</v>
      </c>
      <c r="G3239" t="s">
        <v>79</v>
      </c>
      <c r="H3239" t="s">
        <v>21</v>
      </c>
      <c r="L3239" t="s">
        <v>82</v>
      </c>
    </row>
    <row r="3240" spans="1:13">
      <c r="A3240">
        <v>45930</v>
      </c>
      <c r="B3240" t="s">
        <v>2978</v>
      </c>
      <c r="D3240">
        <v>500</v>
      </c>
      <c r="F3240">
        <v>1</v>
      </c>
      <c r="G3240" t="s">
        <v>22</v>
      </c>
      <c r="H3240" t="s">
        <v>21</v>
      </c>
      <c r="I3240" t="s">
        <v>60</v>
      </c>
      <c r="J3240" t="s">
        <v>61</v>
      </c>
      <c r="L3240" t="s">
        <v>89</v>
      </c>
    </row>
    <row r="3241" spans="1:13">
      <c r="A3241">
        <v>45930</v>
      </c>
      <c r="B3241" t="s">
        <v>2979</v>
      </c>
      <c r="F3241">
        <v>1</v>
      </c>
      <c r="G3241" t="s">
        <v>750</v>
      </c>
      <c r="H3241" t="s">
        <v>21</v>
      </c>
      <c r="L3241" t="s">
        <v>89</v>
      </c>
    </row>
    <row r="3242" spans="1:13">
      <c r="A3242">
        <v>45930</v>
      </c>
      <c r="B3242" t="s">
        <v>2980</v>
      </c>
      <c r="F3242">
        <v>1</v>
      </c>
      <c r="G3242" t="s">
        <v>98</v>
      </c>
      <c r="H3242" t="s">
        <v>21</v>
      </c>
      <c r="L3242" t="s">
        <v>89</v>
      </c>
    </row>
    <row r="3243" spans="1:13">
      <c r="A3243">
        <v>45930</v>
      </c>
      <c r="B3243" t="s">
        <v>2981</v>
      </c>
      <c r="F3243">
        <v>1</v>
      </c>
      <c r="G3243" t="s">
        <v>0</v>
      </c>
      <c r="L3243" t="s">
        <v>89</v>
      </c>
    </row>
    <row r="3244" spans="1:13">
      <c r="A3244">
        <v>45930</v>
      </c>
      <c r="B3244" t="s">
        <v>2982</v>
      </c>
      <c r="F3244">
        <v>1</v>
      </c>
      <c r="G3244" t="s">
        <v>79</v>
      </c>
      <c r="H3244" t="s">
        <v>21</v>
      </c>
      <c r="L3244" t="s">
        <v>89</v>
      </c>
    </row>
    <row r="3245" spans="1:13">
      <c r="A3245">
        <v>45930</v>
      </c>
      <c r="B3245" t="s">
        <v>2983</v>
      </c>
      <c r="F3245">
        <v>1</v>
      </c>
      <c r="G3245" t="s">
        <v>64</v>
      </c>
      <c r="L3245" t="s">
        <v>89</v>
      </c>
      <c r="M3245" t="s">
        <v>2984</v>
      </c>
    </row>
    <row r="3246" spans="1:13">
      <c r="A3246">
        <v>45930</v>
      </c>
      <c r="B3246" t="s">
        <v>2985</v>
      </c>
      <c r="F3246">
        <v>1</v>
      </c>
      <c r="G3246" t="s">
        <v>590</v>
      </c>
      <c r="H3246" t="s">
        <v>21</v>
      </c>
      <c r="L3246" t="s">
        <v>89</v>
      </c>
    </row>
    <row r="3247" spans="1:13">
      <c r="A3247">
        <v>45930</v>
      </c>
      <c r="B3247" t="s">
        <v>2986</v>
      </c>
      <c r="D3247">
        <v>500</v>
      </c>
      <c r="F3247">
        <v>1</v>
      </c>
      <c r="G3247" t="s">
        <v>22</v>
      </c>
      <c r="H3247" t="s">
        <v>21</v>
      </c>
      <c r="I3247" t="s">
        <v>60</v>
      </c>
      <c r="J3247" t="s">
        <v>61</v>
      </c>
      <c r="L3247" t="s">
        <v>89</v>
      </c>
    </row>
    <row r="3248" spans="1:13">
      <c r="A3248">
        <v>45930</v>
      </c>
      <c r="B3248" t="s">
        <v>2987</v>
      </c>
      <c r="F3248">
        <v>1</v>
      </c>
      <c r="G3248" t="s">
        <v>64</v>
      </c>
      <c r="L3248" t="s">
        <v>89</v>
      </c>
      <c r="M3248" t="s">
        <v>2988</v>
      </c>
    </row>
    <row r="3249" spans="1:13">
      <c r="A3249">
        <v>45931</v>
      </c>
      <c r="B3249" t="s">
        <v>81</v>
      </c>
      <c r="D3249">
        <v>41000</v>
      </c>
      <c r="F3249">
        <v>1</v>
      </c>
      <c r="G3249" t="s">
        <v>74</v>
      </c>
      <c r="H3249" t="s">
        <v>75</v>
      </c>
      <c r="I3249" t="s">
        <v>60</v>
      </c>
      <c r="J3249" t="s">
        <v>61</v>
      </c>
      <c r="L3249" t="s">
        <v>88</v>
      </c>
    </row>
    <row r="3250" spans="1:13">
      <c r="A3250">
        <v>45931</v>
      </c>
      <c r="B3250" t="s">
        <v>2989</v>
      </c>
      <c r="D3250">
        <v>500</v>
      </c>
      <c r="F3250">
        <v>1</v>
      </c>
      <c r="G3250" t="s">
        <v>22</v>
      </c>
      <c r="H3250" t="s">
        <v>21</v>
      </c>
      <c r="I3250" t="s">
        <v>60</v>
      </c>
      <c r="J3250" t="s">
        <v>61</v>
      </c>
      <c r="L3250" t="s">
        <v>89</v>
      </c>
    </row>
    <row r="3251" spans="1:13">
      <c r="A3251">
        <v>45931</v>
      </c>
      <c r="B3251" t="s">
        <v>2347</v>
      </c>
      <c r="D3251">
        <v>500</v>
      </c>
      <c r="F3251">
        <v>1</v>
      </c>
      <c r="G3251" t="s">
        <v>22</v>
      </c>
      <c r="H3251" t="s">
        <v>21</v>
      </c>
      <c r="I3251" t="s">
        <v>60</v>
      </c>
      <c r="J3251" t="s">
        <v>61</v>
      </c>
      <c r="L3251" t="s">
        <v>89</v>
      </c>
    </row>
    <row r="3252" spans="1:13">
      <c r="A3252">
        <v>45931</v>
      </c>
      <c r="B3252" t="s">
        <v>2990</v>
      </c>
      <c r="F3252">
        <v>1</v>
      </c>
      <c r="G3252" t="s">
        <v>79</v>
      </c>
      <c r="H3252" t="s">
        <v>21</v>
      </c>
      <c r="L3252" t="s">
        <v>89</v>
      </c>
    </row>
    <row r="3253" spans="1:13">
      <c r="A3253">
        <v>45931</v>
      </c>
      <c r="B3253" t="s">
        <v>2991</v>
      </c>
      <c r="F3253">
        <v>1</v>
      </c>
      <c r="G3253" t="s">
        <v>79</v>
      </c>
      <c r="H3253" t="s">
        <v>21</v>
      </c>
      <c r="L3253" t="s">
        <v>82</v>
      </c>
    </row>
    <row r="3254" spans="1:13">
      <c r="A3254">
        <v>45931</v>
      </c>
      <c r="B3254" t="s">
        <v>2992</v>
      </c>
      <c r="F3254">
        <v>1</v>
      </c>
      <c r="G3254" t="s">
        <v>2490</v>
      </c>
      <c r="L3254" t="s">
        <v>89</v>
      </c>
      <c r="M3254" t="s">
        <v>2993</v>
      </c>
    </row>
    <row r="3255" spans="1:13">
      <c r="A3255">
        <v>45931</v>
      </c>
      <c r="B3255" t="s">
        <v>2994</v>
      </c>
      <c r="F3255">
        <v>1</v>
      </c>
      <c r="G3255" t="s">
        <v>22</v>
      </c>
      <c r="H3255" t="s">
        <v>21</v>
      </c>
      <c r="L3255" t="s">
        <v>101</v>
      </c>
      <c r="M3255" t="s">
        <v>2995</v>
      </c>
    </row>
    <row r="3256" spans="1:13">
      <c r="A3256">
        <v>45931</v>
      </c>
      <c r="B3256" t="s">
        <v>76</v>
      </c>
      <c r="D3256">
        <v>31200</v>
      </c>
      <c r="G3256" t="s">
        <v>77</v>
      </c>
      <c r="I3256" t="s">
        <v>60</v>
      </c>
      <c r="J3256" t="s">
        <v>61</v>
      </c>
      <c r="L3256" t="s">
        <v>62</v>
      </c>
    </row>
    <row r="3257" spans="1:13">
      <c r="A3257">
        <v>45932</v>
      </c>
      <c r="B3257" t="s">
        <v>81</v>
      </c>
      <c r="D3257">
        <v>74000</v>
      </c>
      <c r="F3257">
        <v>1</v>
      </c>
      <c r="G3257" t="s">
        <v>74</v>
      </c>
      <c r="H3257" t="s">
        <v>75</v>
      </c>
      <c r="I3257" t="s">
        <v>60</v>
      </c>
      <c r="J3257" t="s">
        <v>61</v>
      </c>
      <c r="L3257" t="s">
        <v>88</v>
      </c>
    </row>
    <row r="3258" spans="1:13">
      <c r="A3258">
        <v>45932</v>
      </c>
      <c r="B3258" t="s">
        <v>661</v>
      </c>
      <c r="E3258">
        <v>987891</v>
      </c>
      <c r="F3258">
        <v>1</v>
      </c>
      <c r="G3258" t="s">
        <v>74</v>
      </c>
      <c r="H3258" t="s">
        <v>75</v>
      </c>
      <c r="I3258" t="s">
        <v>60</v>
      </c>
      <c r="J3258" t="s">
        <v>61</v>
      </c>
      <c r="L3258" t="s">
        <v>104</v>
      </c>
    </row>
    <row r="3259" spans="1:13">
      <c r="A3259">
        <v>45932</v>
      </c>
      <c r="B3259" t="s">
        <v>2996</v>
      </c>
      <c r="C3259" t="s">
        <v>2997</v>
      </c>
      <c r="E3259">
        <v>25000</v>
      </c>
      <c r="F3259">
        <v>1</v>
      </c>
      <c r="G3259" t="s">
        <v>65</v>
      </c>
      <c r="H3259" t="s">
        <v>66</v>
      </c>
      <c r="I3259" t="s">
        <v>60</v>
      </c>
      <c r="J3259" t="s">
        <v>61</v>
      </c>
      <c r="L3259" t="s">
        <v>62</v>
      </c>
      <c r="M3259" t="s">
        <v>2998</v>
      </c>
    </row>
    <row r="3260" spans="1:13">
      <c r="A3260">
        <v>45932</v>
      </c>
      <c r="B3260" t="s">
        <v>2948</v>
      </c>
      <c r="D3260">
        <v>500</v>
      </c>
      <c r="F3260">
        <v>1</v>
      </c>
      <c r="G3260" t="s">
        <v>22</v>
      </c>
      <c r="H3260" t="s">
        <v>21</v>
      </c>
      <c r="I3260" t="s">
        <v>60</v>
      </c>
      <c r="J3260" t="s">
        <v>61</v>
      </c>
      <c r="L3260" t="s">
        <v>86</v>
      </c>
    </row>
    <row r="3261" spans="1:13">
      <c r="A3261">
        <v>45932</v>
      </c>
      <c r="B3261" t="s">
        <v>76</v>
      </c>
      <c r="D3261">
        <v>4000</v>
      </c>
      <c r="G3261" t="s">
        <v>77</v>
      </c>
      <c r="I3261" t="s">
        <v>60</v>
      </c>
      <c r="J3261" t="s">
        <v>61</v>
      </c>
      <c r="L3261" t="s">
        <v>62</v>
      </c>
    </row>
    <row r="3262" spans="1:13">
      <c r="A3262">
        <v>45932</v>
      </c>
      <c r="B3262" t="s">
        <v>2999</v>
      </c>
      <c r="D3262">
        <v>500</v>
      </c>
      <c r="F3262">
        <v>0</v>
      </c>
      <c r="G3262" t="s">
        <v>22</v>
      </c>
      <c r="H3262" t="s">
        <v>21</v>
      </c>
      <c r="I3262" t="s">
        <v>60</v>
      </c>
      <c r="J3262" t="s">
        <v>61</v>
      </c>
      <c r="L3262" t="s">
        <v>86</v>
      </c>
      <c r="M3262" t="s">
        <v>548</v>
      </c>
    </row>
    <row r="3263" spans="1:13">
      <c r="A3263">
        <v>45932</v>
      </c>
      <c r="B3263" t="s">
        <v>3000</v>
      </c>
      <c r="D3263">
        <v>500</v>
      </c>
      <c r="F3263">
        <v>0</v>
      </c>
      <c r="G3263" t="s">
        <v>22</v>
      </c>
      <c r="H3263" t="s">
        <v>21</v>
      </c>
      <c r="I3263" t="s">
        <v>60</v>
      </c>
      <c r="J3263" t="s">
        <v>61</v>
      </c>
      <c r="L3263" t="s">
        <v>86</v>
      </c>
      <c r="M3263" t="s">
        <v>548</v>
      </c>
    </row>
    <row r="3264" spans="1:13">
      <c r="A3264">
        <v>45932</v>
      </c>
      <c r="B3264" t="s">
        <v>3001</v>
      </c>
      <c r="D3264">
        <v>500</v>
      </c>
      <c r="F3264">
        <v>1</v>
      </c>
      <c r="G3264" t="s">
        <v>22</v>
      </c>
      <c r="H3264" t="s">
        <v>21</v>
      </c>
      <c r="I3264" t="s">
        <v>60</v>
      </c>
      <c r="J3264" t="s">
        <v>61</v>
      </c>
      <c r="L3264" t="s">
        <v>86</v>
      </c>
    </row>
    <row r="3265" spans="1:13">
      <c r="A3265">
        <v>45933</v>
      </c>
      <c r="B3265" t="s">
        <v>3002</v>
      </c>
      <c r="D3265">
        <v>500</v>
      </c>
      <c r="F3265">
        <v>1</v>
      </c>
      <c r="G3265" t="s">
        <v>22</v>
      </c>
      <c r="H3265" t="s">
        <v>21</v>
      </c>
      <c r="I3265" t="s">
        <v>60</v>
      </c>
      <c r="J3265" t="s">
        <v>61</v>
      </c>
      <c r="L3265" t="s">
        <v>86</v>
      </c>
    </row>
    <row r="3266" spans="1:13">
      <c r="A3266">
        <v>45933</v>
      </c>
      <c r="B3266" t="s">
        <v>63</v>
      </c>
      <c r="D3266">
        <v>100</v>
      </c>
      <c r="F3266">
        <v>1</v>
      </c>
      <c r="G3266" t="s">
        <v>22</v>
      </c>
      <c r="H3266" t="s">
        <v>93</v>
      </c>
      <c r="I3266" t="s">
        <v>60</v>
      </c>
      <c r="J3266" t="s">
        <v>61</v>
      </c>
      <c r="L3266" t="s">
        <v>62</v>
      </c>
    </row>
    <row r="3267" spans="1:13">
      <c r="A3267">
        <v>45933</v>
      </c>
      <c r="B3267" t="s">
        <v>1960</v>
      </c>
      <c r="D3267">
        <v>500</v>
      </c>
      <c r="F3267">
        <v>1</v>
      </c>
      <c r="G3267" t="s">
        <v>22</v>
      </c>
      <c r="H3267" t="s">
        <v>21</v>
      </c>
      <c r="I3267" t="s">
        <v>60</v>
      </c>
      <c r="J3267" t="s">
        <v>61</v>
      </c>
      <c r="L3267" t="s">
        <v>86</v>
      </c>
    </row>
    <row r="3268" spans="1:13">
      <c r="A3268">
        <v>45933</v>
      </c>
      <c r="B3268" t="s">
        <v>81</v>
      </c>
      <c r="D3268">
        <v>116000</v>
      </c>
      <c r="F3268">
        <v>1</v>
      </c>
      <c r="G3268" t="s">
        <v>74</v>
      </c>
      <c r="H3268" t="s">
        <v>75</v>
      </c>
      <c r="I3268" t="s">
        <v>60</v>
      </c>
      <c r="J3268" t="s">
        <v>61</v>
      </c>
      <c r="L3268" t="s">
        <v>88</v>
      </c>
    </row>
    <row r="3269" spans="1:13">
      <c r="A3269">
        <v>45933</v>
      </c>
      <c r="B3269" t="s">
        <v>3003</v>
      </c>
      <c r="F3269">
        <v>1</v>
      </c>
      <c r="G3269" t="s">
        <v>64</v>
      </c>
      <c r="L3269" t="s">
        <v>82</v>
      </c>
      <c r="M3269" t="s">
        <v>3004</v>
      </c>
    </row>
    <row r="3270" spans="1:13">
      <c r="A3270">
        <v>45933</v>
      </c>
      <c r="B3270" t="s">
        <v>3005</v>
      </c>
      <c r="D3270">
        <v>500</v>
      </c>
      <c r="F3270">
        <v>1</v>
      </c>
      <c r="G3270" t="s">
        <v>22</v>
      </c>
      <c r="H3270" t="s">
        <v>21</v>
      </c>
      <c r="I3270" t="s">
        <v>60</v>
      </c>
      <c r="J3270" t="s">
        <v>61</v>
      </c>
      <c r="L3270" t="s">
        <v>86</v>
      </c>
    </row>
    <row r="3271" spans="1:13">
      <c r="A3271">
        <v>45933</v>
      </c>
      <c r="B3271" t="s">
        <v>76</v>
      </c>
      <c r="D3271">
        <v>6000</v>
      </c>
      <c r="G3271" t="s">
        <v>77</v>
      </c>
      <c r="I3271" t="s">
        <v>60</v>
      </c>
      <c r="J3271" t="s">
        <v>61</v>
      </c>
      <c r="L3271" t="s">
        <v>62</v>
      </c>
    </row>
    <row r="3272" spans="1:13">
      <c r="A3272">
        <v>45933</v>
      </c>
      <c r="B3272" t="s">
        <v>84</v>
      </c>
      <c r="D3272">
        <v>-41600</v>
      </c>
      <c r="G3272" t="s">
        <v>77</v>
      </c>
      <c r="I3272" t="s">
        <v>60</v>
      </c>
      <c r="J3272" t="s">
        <v>61</v>
      </c>
      <c r="L3272" t="s">
        <v>62</v>
      </c>
    </row>
    <row r="3273" spans="1:13">
      <c r="A3273">
        <v>45933</v>
      </c>
      <c r="B3273" t="s">
        <v>84</v>
      </c>
      <c r="E3273">
        <v>-2200</v>
      </c>
      <c r="G3273" t="s">
        <v>65</v>
      </c>
      <c r="H3273" t="s">
        <v>85</v>
      </c>
      <c r="I3273" t="s">
        <v>60</v>
      </c>
      <c r="J3273" t="s">
        <v>61</v>
      </c>
      <c r="L3273" t="s">
        <v>62</v>
      </c>
    </row>
    <row r="3274" spans="1:13">
      <c r="A3274">
        <v>45933</v>
      </c>
      <c r="B3274" t="s">
        <v>63</v>
      </c>
      <c r="D3274">
        <v>9000</v>
      </c>
      <c r="G3274" t="s">
        <v>70</v>
      </c>
      <c r="I3274" t="s">
        <v>60</v>
      </c>
      <c r="J3274" t="s">
        <v>61</v>
      </c>
      <c r="L3274" t="s">
        <v>62</v>
      </c>
    </row>
    <row r="3275" spans="1:13">
      <c r="A3275">
        <v>45933</v>
      </c>
      <c r="B3275" t="s">
        <v>3006</v>
      </c>
      <c r="F3275">
        <v>1</v>
      </c>
      <c r="G3275" t="s">
        <v>0</v>
      </c>
      <c r="L3275" t="s">
        <v>86</v>
      </c>
    </row>
    <row r="3276" spans="1:13">
      <c r="A3276">
        <v>45934</v>
      </c>
      <c r="B3276" t="s">
        <v>3007</v>
      </c>
      <c r="D3276">
        <v>500</v>
      </c>
      <c r="F3276">
        <v>1</v>
      </c>
      <c r="G3276" t="s">
        <v>22</v>
      </c>
      <c r="H3276" t="s">
        <v>21</v>
      </c>
      <c r="I3276" t="s">
        <v>60</v>
      </c>
      <c r="J3276" t="s">
        <v>61</v>
      </c>
      <c r="L3276" t="s">
        <v>86</v>
      </c>
    </row>
    <row r="3277" spans="1:13">
      <c r="A3277">
        <v>45934</v>
      </c>
      <c r="B3277" t="s">
        <v>63</v>
      </c>
      <c r="D3277">
        <v>42000</v>
      </c>
      <c r="G3277" t="s">
        <v>70</v>
      </c>
      <c r="I3277" t="s">
        <v>60</v>
      </c>
      <c r="J3277" t="s">
        <v>61</v>
      </c>
      <c r="L3277" t="s">
        <v>62</v>
      </c>
    </row>
    <row r="3278" spans="1:13">
      <c r="A3278">
        <v>45934</v>
      </c>
      <c r="B3278" t="s">
        <v>3008</v>
      </c>
      <c r="D3278">
        <v>500</v>
      </c>
      <c r="F3278">
        <v>1</v>
      </c>
      <c r="G3278" t="s">
        <v>22</v>
      </c>
      <c r="H3278" t="s">
        <v>21</v>
      </c>
      <c r="I3278" t="s">
        <v>60</v>
      </c>
      <c r="J3278" t="s">
        <v>61</v>
      </c>
      <c r="L3278" t="s">
        <v>86</v>
      </c>
    </row>
    <row r="3279" spans="1:13">
      <c r="A3279">
        <v>45934</v>
      </c>
      <c r="B3279" t="s">
        <v>3009</v>
      </c>
      <c r="D3279">
        <v>500</v>
      </c>
      <c r="F3279">
        <v>1</v>
      </c>
      <c r="G3279" t="s">
        <v>22</v>
      </c>
      <c r="H3279" t="s">
        <v>21</v>
      </c>
      <c r="I3279" t="s">
        <v>60</v>
      </c>
      <c r="J3279" t="s">
        <v>61</v>
      </c>
      <c r="L3279" t="s">
        <v>86</v>
      </c>
    </row>
    <row r="3280" spans="1:13">
      <c r="A3280">
        <v>45934</v>
      </c>
      <c r="B3280" t="s">
        <v>3010</v>
      </c>
      <c r="D3280">
        <v>500</v>
      </c>
      <c r="F3280">
        <v>1</v>
      </c>
      <c r="G3280" t="s">
        <v>22</v>
      </c>
      <c r="H3280" t="s">
        <v>21</v>
      </c>
      <c r="I3280" t="s">
        <v>60</v>
      </c>
      <c r="J3280" t="s">
        <v>61</v>
      </c>
      <c r="L3280" t="s">
        <v>86</v>
      </c>
    </row>
    <row r="3281" spans="1:13">
      <c r="A3281">
        <v>45934</v>
      </c>
      <c r="B3281" t="s">
        <v>3011</v>
      </c>
      <c r="F3281">
        <v>1</v>
      </c>
      <c r="G3281" t="s">
        <v>64</v>
      </c>
      <c r="L3281" t="s">
        <v>86</v>
      </c>
      <c r="M3281" t="s">
        <v>96</v>
      </c>
    </row>
    <row r="3282" spans="1:13">
      <c r="A3282">
        <v>45934</v>
      </c>
      <c r="B3282" t="s">
        <v>76</v>
      </c>
      <c r="D3282">
        <v>5000</v>
      </c>
      <c r="G3282" t="s">
        <v>77</v>
      </c>
      <c r="I3282" t="s">
        <v>60</v>
      </c>
      <c r="J3282" t="s">
        <v>61</v>
      </c>
      <c r="L3282" t="s">
        <v>62</v>
      </c>
    </row>
    <row r="3283" spans="1:13">
      <c r="A3283">
        <v>45934</v>
      </c>
      <c r="B3283" t="s">
        <v>84</v>
      </c>
      <c r="D3283">
        <v>-20800</v>
      </c>
      <c r="G3283" t="s">
        <v>77</v>
      </c>
      <c r="I3283" t="s">
        <v>60</v>
      </c>
      <c r="J3283" t="s">
        <v>61</v>
      </c>
      <c r="L3283" t="s">
        <v>62</v>
      </c>
    </row>
    <row r="3284" spans="1:13">
      <c r="A3284">
        <v>45934</v>
      </c>
      <c r="B3284" t="s">
        <v>84</v>
      </c>
      <c r="E3284">
        <v>-1100</v>
      </c>
      <c r="G3284" t="s">
        <v>65</v>
      </c>
      <c r="H3284" t="s">
        <v>85</v>
      </c>
      <c r="I3284" t="s">
        <v>60</v>
      </c>
      <c r="J3284" t="s">
        <v>61</v>
      </c>
      <c r="L3284" t="s">
        <v>62</v>
      </c>
    </row>
    <row r="3285" spans="1:13">
      <c r="A3285">
        <v>45934</v>
      </c>
      <c r="B3285" t="s">
        <v>3012</v>
      </c>
      <c r="D3285">
        <v>500</v>
      </c>
      <c r="F3285">
        <v>1</v>
      </c>
      <c r="G3285" t="s">
        <v>22</v>
      </c>
      <c r="H3285" t="s">
        <v>21</v>
      </c>
      <c r="I3285" t="s">
        <v>60</v>
      </c>
      <c r="J3285" t="s">
        <v>61</v>
      </c>
      <c r="L3285" t="s">
        <v>82</v>
      </c>
    </row>
    <row r="3286" spans="1:13">
      <c r="A3286">
        <v>45934</v>
      </c>
      <c r="B3286" t="s">
        <v>63</v>
      </c>
      <c r="D3286">
        <v>14500</v>
      </c>
      <c r="F3286">
        <v>2</v>
      </c>
      <c r="G3286" t="s">
        <v>70</v>
      </c>
      <c r="I3286" t="s">
        <v>71</v>
      </c>
      <c r="J3286" t="s">
        <v>72</v>
      </c>
      <c r="K3286" t="s">
        <v>3013</v>
      </c>
      <c r="L3286" t="s">
        <v>62</v>
      </c>
      <c r="M3286" t="s">
        <v>90</v>
      </c>
    </row>
    <row r="3287" spans="1:13">
      <c r="A3287">
        <v>45934</v>
      </c>
      <c r="B3287" t="s">
        <v>63</v>
      </c>
      <c r="D3287">
        <v>8000</v>
      </c>
      <c r="F3287">
        <v>1</v>
      </c>
      <c r="G3287" t="s">
        <v>70</v>
      </c>
      <c r="I3287" t="s">
        <v>71</v>
      </c>
      <c r="J3287" t="s">
        <v>535</v>
      </c>
      <c r="K3287" t="s">
        <v>3014</v>
      </c>
      <c r="L3287" t="s">
        <v>62</v>
      </c>
      <c r="M3287" t="s">
        <v>90</v>
      </c>
    </row>
    <row r="3288" spans="1:13">
      <c r="A3288">
        <v>45934</v>
      </c>
      <c r="B3288" t="s">
        <v>3015</v>
      </c>
      <c r="D3288">
        <v>500</v>
      </c>
      <c r="F3288">
        <v>0</v>
      </c>
      <c r="G3288" t="s">
        <v>22</v>
      </c>
      <c r="H3288" t="s">
        <v>21</v>
      </c>
      <c r="I3288" t="s">
        <v>60</v>
      </c>
      <c r="J3288" t="s">
        <v>61</v>
      </c>
      <c r="L3288" t="s">
        <v>82</v>
      </c>
      <c r="M3288" t="s">
        <v>83</v>
      </c>
    </row>
    <row r="3289" spans="1:13">
      <c r="A3289">
        <v>45935</v>
      </c>
      <c r="B3289" t="s">
        <v>3016</v>
      </c>
      <c r="F3289">
        <v>2</v>
      </c>
      <c r="G3289" t="s">
        <v>319</v>
      </c>
      <c r="H3289" t="s">
        <v>21</v>
      </c>
      <c r="L3289" t="s">
        <v>86</v>
      </c>
    </row>
    <row r="3290" spans="1:13">
      <c r="A3290">
        <v>45935</v>
      </c>
      <c r="B3290" t="s">
        <v>63</v>
      </c>
      <c r="D3290">
        <v>11500</v>
      </c>
      <c r="F3290">
        <v>2</v>
      </c>
      <c r="G3290" t="s">
        <v>70</v>
      </c>
      <c r="I3290" t="s">
        <v>71</v>
      </c>
      <c r="J3290" t="s">
        <v>72</v>
      </c>
      <c r="K3290" t="s">
        <v>3017</v>
      </c>
      <c r="L3290" t="s">
        <v>62</v>
      </c>
      <c r="M3290" t="s">
        <v>90</v>
      </c>
    </row>
    <row r="3291" spans="1:13">
      <c r="A3291">
        <v>45935</v>
      </c>
      <c r="B3291" t="s">
        <v>63</v>
      </c>
      <c r="D3291">
        <v>15500</v>
      </c>
      <c r="G3291" t="s">
        <v>70</v>
      </c>
      <c r="I3291" t="s">
        <v>60</v>
      </c>
      <c r="J3291" t="s">
        <v>61</v>
      </c>
      <c r="L3291" t="s">
        <v>62</v>
      </c>
    </row>
    <row r="3292" spans="1:13">
      <c r="A3292">
        <v>45935</v>
      </c>
      <c r="B3292" t="s">
        <v>3018</v>
      </c>
      <c r="D3292">
        <v>500</v>
      </c>
      <c r="F3292">
        <v>1</v>
      </c>
      <c r="G3292" t="s">
        <v>22</v>
      </c>
      <c r="H3292" t="s">
        <v>21</v>
      </c>
      <c r="I3292" t="s">
        <v>60</v>
      </c>
      <c r="J3292" t="s">
        <v>61</v>
      </c>
      <c r="L3292" t="s">
        <v>89</v>
      </c>
    </row>
    <row r="3293" spans="1:13">
      <c r="A3293">
        <v>45935</v>
      </c>
      <c r="B3293" t="s">
        <v>3019</v>
      </c>
      <c r="D3293">
        <v>500</v>
      </c>
      <c r="F3293">
        <v>1</v>
      </c>
      <c r="G3293" t="s">
        <v>22</v>
      </c>
      <c r="H3293" t="s">
        <v>21</v>
      </c>
      <c r="I3293" t="s">
        <v>60</v>
      </c>
      <c r="J3293" t="s">
        <v>61</v>
      </c>
      <c r="L3293" t="s">
        <v>89</v>
      </c>
    </row>
    <row r="3294" spans="1:13">
      <c r="A3294">
        <v>45935</v>
      </c>
      <c r="B3294" t="s">
        <v>3020</v>
      </c>
      <c r="D3294">
        <v>500</v>
      </c>
      <c r="F3294">
        <v>1</v>
      </c>
      <c r="G3294" t="s">
        <v>22</v>
      </c>
      <c r="H3294" t="s">
        <v>21</v>
      </c>
      <c r="I3294" t="s">
        <v>60</v>
      </c>
      <c r="J3294" t="s">
        <v>61</v>
      </c>
      <c r="L3294" t="s">
        <v>89</v>
      </c>
    </row>
    <row r="3295" spans="1:13">
      <c r="A3295">
        <v>45935</v>
      </c>
      <c r="B3295" t="s">
        <v>1898</v>
      </c>
      <c r="F3295">
        <v>1</v>
      </c>
      <c r="G3295" t="s">
        <v>64</v>
      </c>
      <c r="L3295" t="s">
        <v>89</v>
      </c>
      <c r="M3295" t="s">
        <v>3021</v>
      </c>
    </row>
    <row r="3296" spans="1:13">
      <c r="A3296">
        <v>45935</v>
      </c>
      <c r="B3296" t="s">
        <v>3022</v>
      </c>
      <c r="F3296">
        <v>1</v>
      </c>
      <c r="G3296" t="s">
        <v>99</v>
      </c>
      <c r="H3296" t="s">
        <v>21</v>
      </c>
      <c r="L3296" t="s">
        <v>89</v>
      </c>
    </row>
    <row r="3297" spans="1:13">
      <c r="A3297">
        <v>45936</v>
      </c>
      <c r="B3297" t="s">
        <v>81</v>
      </c>
      <c r="D3297">
        <v>277000</v>
      </c>
      <c r="F3297">
        <v>1</v>
      </c>
      <c r="G3297" t="s">
        <v>74</v>
      </c>
      <c r="H3297" t="s">
        <v>75</v>
      </c>
      <c r="I3297" t="s">
        <v>60</v>
      </c>
      <c r="J3297" t="s">
        <v>61</v>
      </c>
      <c r="L3297" t="s">
        <v>88</v>
      </c>
    </row>
    <row r="3298" spans="1:13">
      <c r="A3298">
        <v>45936</v>
      </c>
      <c r="B3298" t="s">
        <v>76</v>
      </c>
      <c r="D3298">
        <v>3000</v>
      </c>
      <c r="G3298" t="s">
        <v>77</v>
      </c>
      <c r="I3298" t="s">
        <v>60</v>
      </c>
      <c r="J3298" t="s">
        <v>61</v>
      </c>
      <c r="L3298" t="s">
        <v>62</v>
      </c>
    </row>
    <row r="3299" spans="1:13">
      <c r="A3299">
        <v>45936</v>
      </c>
      <c r="B3299" t="s">
        <v>3023</v>
      </c>
      <c r="D3299">
        <v>500</v>
      </c>
      <c r="F3299">
        <v>0</v>
      </c>
      <c r="G3299" t="s">
        <v>22</v>
      </c>
      <c r="H3299" t="s">
        <v>21</v>
      </c>
      <c r="I3299" t="s">
        <v>60</v>
      </c>
      <c r="J3299" t="s">
        <v>61</v>
      </c>
      <c r="L3299" t="s">
        <v>89</v>
      </c>
    </row>
    <row r="3300" spans="1:13">
      <c r="A3300">
        <v>45936</v>
      </c>
      <c r="B3300" t="s">
        <v>3024</v>
      </c>
      <c r="F3300">
        <v>1</v>
      </c>
      <c r="G3300" t="s">
        <v>2490</v>
      </c>
      <c r="L3300" t="s">
        <v>82</v>
      </c>
      <c r="M3300" t="s">
        <v>2993</v>
      </c>
    </row>
    <row r="3301" spans="1:13">
      <c r="A3301">
        <v>45936</v>
      </c>
      <c r="B3301" t="s">
        <v>3025</v>
      </c>
      <c r="F3301">
        <v>1</v>
      </c>
      <c r="G3301" t="s">
        <v>79</v>
      </c>
      <c r="H3301" t="s">
        <v>21</v>
      </c>
      <c r="L3301" t="s">
        <v>89</v>
      </c>
    </row>
    <row r="3302" spans="1:13">
      <c r="A3302">
        <v>45936</v>
      </c>
      <c r="B3302" t="s">
        <v>3026</v>
      </c>
      <c r="D3302">
        <v>500</v>
      </c>
      <c r="F3302">
        <v>1</v>
      </c>
      <c r="G3302" t="s">
        <v>22</v>
      </c>
      <c r="H3302" t="s">
        <v>21</v>
      </c>
      <c r="I3302" t="s">
        <v>60</v>
      </c>
      <c r="J3302" t="s">
        <v>61</v>
      </c>
      <c r="L3302" t="s">
        <v>89</v>
      </c>
    </row>
    <row r="3303" spans="1:13">
      <c r="A3303">
        <v>45936</v>
      </c>
      <c r="B3303" t="s">
        <v>3027</v>
      </c>
      <c r="F3303">
        <v>1</v>
      </c>
      <c r="G3303" t="s">
        <v>0</v>
      </c>
      <c r="L3303" t="s">
        <v>86</v>
      </c>
    </row>
    <row r="3304" spans="1:13">
      <c r="A3304">
        <v>45937</v>
      </c>
      <c r="B3304" t="s">
        <v>81</v>
      </c>
      <c r="D3304">
        <v>97000</v>
      </c>
      <c r="F3304">
        <v>1</v>
      </c>
      <c r="G3304" t="s">
        <v>74</v>
      </c>
      <c r="H3304" t="s">
        <v>75</v>
      </c>
      <c r="I3304" t="s">
        <v>60</v>
      </c>
      <c r="J3304" t="s">
        <v>61</v>
      </c>
      <c r="L3304" t="s">
        <v>88</v>
      </c>
    </row>
    <row r="3305" spans="1:13">
      <c r="A3305">
        <v>45937</v>
      </c>
      <c r="B3305" t="s">
        <v>3028</v>
      </c>
      <c r="D3305">
        <v>500</v>
      </c>
      <c r="F3305">
        <v>1</v>
      </c>
      <c r="G3305" t="s">
        <v>22</v>
      </c>
      <c r="H3305" t="s">
        <v>21</v>
      </c>
      <c r="I3305" t="s">
        <v>60</v>
      </c>
      <c r="J3305" t="s">
        <v>61</v>
      </c>
      <c r="L3305" t="s">
        <v>89</v>
      </c>
    </row>
    <row r="3306" spans="1:13">
      <c r="A3306">
        <v>45937</v>
      </c>
      <c r="B3306" t="s">
        <v>3029</v>
      </c>
      <c r="D3306">
        <v>500</v>
      </c>
      <c r="F3306">
        <v>1</v>
      </c>
      <c r="G3306" t="s">
        <v>22</v>
      </c>
      <c r="H3306" t="s">
        <v>21</v>
      </c>
      <c r="I3306" t="s">
        <v>60</v>
      </c>
      <c r="J3306" t="s">
        <v>61</v>
      </c>
      <c r="L3306" t="s">
        <v>89</v>
      </c>
    </row>
    <row r="3307" spans="1:13">
      <c r="A3307">
        <v>45937</v>
      </c>
      <c r="B3307" t="s">
        <v>3030</v>
      </c>
      <c r="D3307">
        <v>500</v>
      </c>
      <c r="F3307">
        <v>1</v>
      </c>
      <c r="G3307" t="s">
        <v>22</v>
      </c>
      <c r="H3307" t="s">
        <v>21</v>
      </c>
      <c r="I3307" t="s">
        <v>60</v>
      </c>
      <c r="J3307" t="s">
        <v>61</v>
      </c>
      <c r="L3307" t="s">
        <v>82</v>
      </c>
    </row>
    <row r="3308" spans="1:13">
      <c r="A3308">
        <v>45937</v>
      </c>
      <c r="B3308" t="s">
        <v>3031</v>
      </c>
      <c r="D3308">
        <v>500</v>
      </c>
      <c r="F3308">
        <v>1</v>
      </c>
      <c r="G3308" t="s">
        <v>22</v>
      </c>
      <c r="H3308" t="s">
        <v>21</v>
      </c>
      <c r="I3308" t="s">
        <v>60</v>
      </c>
      <c r="J3308" t="s">
        <v>61</v>
      </c>
      <c r="L3308" t="s">
        <v>82</v>
      </c>
    </row>
    <row r="3309" spans="1:13">
      <c r="A3309">
        <v>45937</v>
      </c>
      <c r="B3309" t="s">
        <v>3031</v>
      </c>
      <c r="F3309">
        <v>1</v>
      </c>
      <c r="G3309" t="s">
        <v>2490</v>
      </c>
      <c r="L3309" t="s">
        <v>82</v>
      </c>
      <c r="M3309" t="s">
        <v>2993</v>
      </c>
    </row>
    <row r="3310" spans="1:13">
      <c r="A3310">
        <v>45937</v>
      </c>
      <c r="B3310" t="s">
        <v>3032</v>
      </c>
      <c r="F3310">
        <v>1</v>
      </c>
      <c r="G3310" t="s">
        <v>64</v>
      </c>
      <c r="L3310" t="s">
        <v>82</v>
      </c>
      <c r="M3310" t="s">
        <v>96</v>
      </c>
    </row>
    <row r="3311" spans="1:13">
      <c r="A3311">
        <v>45937</v>
      </c>
      <c r="B3311" t="s">
        <v>63</v>
      </c>
      <c r="D3311">
        <v>8000</v>
      </c>
      <c r="G3311" t="s">
        <v>70</v>
      </c>
      <c r="I3311" t="s">
        <v>60</v>
      </c>
      <c r="J3311" t="s">
        <v>61</v>
      </c>
      <c r="L3311" t="s">
        <v>62</v>
      </c>
    </row>
    <row r="3312" spans="1:13">
      <c r="A3312">
        <v>45937</v>
      </c>
      <c r="B3312" t="s">
        <v>3033</v>
      </c>
      <c r="D3312">
        <v>500</v>
      </c>
      <c r="F3312">
        <v>1</v>
      </c>
      <c r="G3312" t="s">
        <v>22</v>
      </c>
      <c r="H3312" t="s">
        <v>21</v>
      </c>
      <c r="I3312" t="s">
        <v>60</v>
      </c>
      <c r="J3312" t="s">
        <v>61</v>
      </c>
      <c r="L3312" t="s">
        <v>82</v>
      </c>
    </row>
    <row r="3313" spans="1:13">
      <c r="A3313">
        <v>45937</v>
      </c>
      <c r="B3313" t="s">
        <v>3034</v>
      </c>
      <c r="F3313">
        <v>1</v>
      </c>
      <c r="G3313" t="s">
        <v>0</v>
      </c>
      <c r="L3313" t="s">
        <v>82</v>
      </c>
    </row>
    <row r="3314" spans="1:13">
      <c r="A3314">
        <v>45938</v>
      </c>
      <c r="B3314" t="s">
        <v>105</v>
      </c>
      <c r="E3314">
        <v>733829</v>
      </c>
      <c r="F3314">
        <v>1</v>
      </c>
      <c r="G3314" t="s">
        <v>74</v>
      </c>
      <c r="H3314" t="s">
        <v>75</v>
      </c>
      <c r="I3314" t="s">
        <v>60</v>
      </c>
      <c r="J3314" t="s">
        <v>61</v>
      </c>
      <c r="L3314" t="s">
        <v>104</v>
      </c>
      <c r="M3314" t="s">
        <v>642</v>
      </c>
    </row>
    <row r="3315" spans="1:13">
      <c r="A3315">
        <v>45938</v>
      </c>
      <c r="B3315" t="s">
        <v>81</v>
      </c>
      <c r="D3315">
        <v>97000</v>
      </c>
      <c r="F3315">
        <v>1</v>
      </c>
      <c r="G3315" t="s">
        <v>74</v>
      </c>
      <c r="H3315" t="s">
        <v>75</v>
      </c>
      <c r="I3315" t="s">
        <v>60</v>
      </c>
      <c r="J3315" t="s">
        <v>61</v>
      </c>
      <c r="L3315" t="s">
        <v>88</v>
      </c>
    </row>
    <row r="3316" spans="1:13">
      <c r="A3316">
        <v>45938</v>
      </c>
      <c r="B3316" t="s">
        <v>3035</v>
      </c>
      <c r="F3316">
        <v>1</v>
      </c>
      <c r="G3316" t="s">
        <v>107</v>
      </c>
      <c r="H3316" t="s">
        <v>21</v>
      </c>
      <c r="L3316" t="s">
        <v>86</v>
      </c>
    </row>
    <row r="3317" spans="1:13">
      <c r="A3317">
        <v>45938</v>
      </c>
      <c r="B3317" t="s">
        <v>3036</v>
      </c>
      <c r="F3317">
        <v>1</v>
      </c>
      <c r="G3317" t="s">
        <v>2490</v>
      </c>
      <c r="L3317" t="s">
        <v>86</v>
      </c>
      <c r="M3317" t="s">
        <v>2993</v>
      </c>
    </row>
    <row r="3318" spans="1:13">
      <c r="A3318">
        <v>45938</v>
      </c>
      <c r="B3318" t="s">
        <v>3037</v>
      </c>
      <c r="D3318">
        <v>500</v>
      </c>
      <c r="F3318">
        <v>1</v>
      </c>
      <c r="G3318" t="s">
        <v>22</v>
      </c>
      <c r="H3318" t="s">
        <v>21</v>
      </c>
      <c r="I3318" t="s">
        <v>60</v>
      </c>
      <c r="J3318" t="s">
        <v>61</v>
      </c>
      <c r="L3318" t="s">
        <v>89</v>
      </c>
    </row>
    <row r="3319" spans="1:13">
      <c r="A3319">
        <v>45938</v>
      </c>
      <c r="B3319" t="s">
        <v>63</v>
      </c>
      <c r="D3319">
        <v>10500</v>
      </c>
      <c r="G3319" t="s">
        <v>70</v>
      </c>
      <c r="I3319" t="s">
        <v>60</v>
      </c>
      <c r="J3319" t="s">
        <v>61</v>
      </c>
      <c r="L3319" t="s">
        <v>62</v>
      </c>
    </row>
    <row r="3320" spans="1:13">
      <c r="A3320">
        <v>45938</v>
      </c>
      <c r="B3320" t="s">
        <v>80</v>
      </c>
      <c r="E3320">
        <v>4456</v>
      </c>
      <c r="F3320">
        <v>1</v>
      </c>
      <c r="G3320" t="s">
        <v>74</v>
      </c>
      <c r="H3320" t="s">
        <v>75</v>
      </c>
      <c r="I3320" t="s">
        <v>60</v>
      </c>
      <c r="J3320" t="s">
        <v>61</v>
      </c>
      <c r="L3320" t="s">
        <v>87</v>
      </c>
    </row>
    <row r="3321" spans="1:13">
      <c r="A3321">
        <v>45938</v>
      </c>
      <c r="B3321" t="s">
        <v>80</v>
      </c>
      <c r="E3321">
        <v>44</v>
      </c>
      <c r="F3321">
        <v>1</v>
      </c>
      <c r="G3321" t="s">
        <v>65</v>
      </c>
      <c r="H3321" t="s">
        <v>66</v>
      </c>
      <c r="I3321" t="s">
        <v>60</v>
      </c>
      <c r="J3321" t="s">
        <v>61</v>
      </c>
      <c r="L3321" t="s">
        <v>62</v>
      </c>
    </row>
    <row r="3322" spans="1:13">
      <c r="A3322">
        <v>45939</v>
      </c>
      <c r="B3322" t="s">
        <v>606</v>
      </c>
      <c r="E3322">
        <v>100000</v>
      </c>
      <c r="F3322">
        <v>1</v>
      </c>
      <c r="G3322" t="s">
        <v>65</v>
      </c>
      <c r="H3322" t="s">
        <v>348</v>
      </c>
      <c r="I3322" t="s">
        <v>60</v>
      </c>
      <c r="J3322" t="s">
        <v>61</v>
      </c>
      <c r="L3322" t="s">
        <v>62</v>
      </c>
      <c r="M3322" t="s">
        <v>3038</v>
      </c>
    </row>
    <row r="3323" spans="1:13">
      <c r="A3323">
        <v>45939</v>
      </c>
      <c r="B3323" t="s">
        <v>604</v>
      </c>
      <c r="E3323">
        <v>100000</v>
      </c>
      <c r="F3323">
        <v>1</v>
      </c>
      <c r="G3323" t="s">
        <v>65</v>
      </c>
      <c r="H3323" t="s">
        <v>348</v>
      </c>
      <c r="I3323" t="s">
        <v>60</v>
      </c>
      <c r="J3323" t="s">
        <v>61</v>
      </c>
      <c r="L3323" t="s">
        <v>62</v>
      </c>
      <c r="M3323" t="s">
        <v>3038</v>
      </c>
    </row>
    <row r="3324" spans="1:13">
      <c r="A3324">
        <v>45939</v>
      </c>
      <c r="B3324" t="s">
        <v>248</v>
      </c>
      <c r="E3324">
        <v>100000</v>
      </c>
      <c r="F3324">
        <v>1</v>
      </c>
      <c r="G3324" t="s">
        <v>65</v>
      </c>
      <c r="H3324" t="s">
        <v>348</v>
      </c>
      <c r="I3324" t="s">
        <v>60</v>
      </c>
      <c r="J3324" t="s">
        <v>61</v>
      </c>
      <c r="L3324" t="s">
        <v>62</v>
      </c>
      <c r="M3324" t="s">
        <v>3038</v>
      </c>
    </row>
    <row r="3325" spans="1:13">
      <c r="A3325">
        <v>45939</v>
      </c>
      <c r="B3325" t="s">
        <v>3039</v>
      </c>
      <c r="D3325">
        <v>500</v>
      </c>
      <c r="F3325">
        <v>1</v>
      </c>
      <c r="G3325" t="s">
        <v>22</v>
      </c>
      <c r="H3325" t="s">
        <v>21</v>
      </c>
      <c r="I3325" t="s">
        <v>60</v>
      </c>
      <c r="J3325" t="s">
        <v>61</v>
      </c>
      <c r="L3325" t="s">
        <v>82</v>
      </c>
    </row>
    <row r="3326" spans="1:13">
      <c r="A3326">
        <v>45939</v>
      </c>
      <c r="B3326" t="s">
        <v>3040</v>
      </c>
      <c r="D3326">
        <v>500</v>
      </c>
      <c r="F3326">
        <v>1</v>
      </c>
      <c r="G3326" t="s">
        <v>22</v>
      </c>
      <c r="H3326" t="s">
        <v>21</v>
      </c>
      <c r="I3326" t="s">
        <v>60</v>
      </c>
      <c r="J3326" t="s">
        <v>61</v>
      </c>
      <c r="L3326" t="s">
        <v>82</v>
      </c>
    </row>
    <row r="3327" spans="1:13">
      <c r="A3327">
        <v>45939</v>
      </c>
      <c r="B3327" t="s">
        <v>3041</v>
      </c>
      <c r="F3327">
        <v>1</v>
      </c>
      <c r="G3327" t="s">
        <v>79</v>
      </c>
      <c r="H3327" t="s">
        <v>21</v>
      </c>
      <c r="L3327" t="s">
        <v>82</v>
      </c>
    </row>
    <row r="3328" spans="1:13">
      <c r="A3328">
        <v>45939</v>
      </c>
      <c r="B3328" t="s">
        <v>3042</v>
      </c>
      <c r="D3328">
        <v>500</v>
      </c>
      <c r="F3328">
        <v>1</v>
      </c>
      <c r="G3328" t="s">
        <v>22</v>
      </c>
      <c r="H3328" t="s">
        <v>21</v>
      </c>
      <c r="I3328" t="s">
        <v>60</v>
      </c>
      <c r="J3328" t="s">
        <v>61</v>
      </c>
      <c r="L3328" t="s">
        <v>86</v>
      </c>
    </row>
    <row r="3329" spans="1:13">
      <c r="A3329">
        <v>45939</v>
      </c>
      <c r="B3329" t="s">
        <v>3043</v>
      </c>
      <c r="D3329">
        <v>500</v>
      </c>
      <c r="F3329">
        <v>1</v>
      </c>
      <c r="G3329" t="s">
        <v>22</v>
      </c>
      <c r="H3329" t="s">
        <v>21</v>
      </c>
      <c r="I3329" t="s">
        <v>60</v>
      </c>
      <c r="J3329" t="s">
        <v>61</v>
      </c>
      <c r="L3329" t="s">
        <v>86</v>
      </c>
    </row>
    <row r="3330" spans="1:13">
      <c r="A3330">
        <v>45939</v>
      </c>
      <c r="B3330" t="s">
        <v>3044</v>
      </c>
      <c r="F3330">
        <v>1</v>
      </c>
      <c r="G3330" t="s">
        <v>99</v>
      </c>
      <c r="H3330" t="s">
        <v>21</v>
      </c>
      <c r="L3330" t="s">
        <v>86</v>
      </c>
    </row>
    <row r="3331" spans="1:13">
      <c r="A3331">
        <v>45939</v>
      </c>
      <c r="B3331" t="s">
        <v>3045</v>
      </c>
      <c r="F3331">
        <v>1</v>
      </c>
      <c r="G3331" t="s">
        <v>64</v>
      </c>
      <c r="L3331" t="s">
        <v>86</v>
      </c>
      <c r="M3331" t="s">
        <v>3046</v>
      </c>
    </row>
    <row r="3332" spans="1:13">
      <c r="A3332">
        <v>45939</v>
      </c>
      <c r="B3332" t="s">
        <v>3047</v>
      </c>
      <c r="D3332">
        <v>500</v>
      </c>
      <c r="F3332">
        <v>0</v>
      </c>
      <c r="G3332" t="s">
        <v>22</v>
      </c>
      <c r="H3332" t="s">
        <v>21</v>
      </c>
      <c r="I3332" t="s">
        <v>60</v>
      </c>
      <c r="J3332" t="s">
        <v>61</v>
      </c>
      <c r="L3332" t="s">
        <v>86</v>
      </c>
      <c r="M3332" t="s">
        <v>3048</v>
      </c>
    </row>
    <row r="3333" spans="1:13">
      <c r="A3333">
        <v>45939</v>
      </c>
      <c r="B3333" t="s">
        <v>3049</v>
      </c>
      <c r="D3333">
        <v>500</v>
      </c>
      <c r="F3333">
        <v>1</v>
      </c>
      <c r="G3333" t="s">
        <v>22</v>
      </c>
      <c r="H3333" t="s">
        <v>21</v>
      </c>
      <c r="I3333" t="s">
        <v>60</v>
      </c>
      <c r="J3333" t="s">
        <v>61</v>
      </c>
      <c r="L3333" t="s">
        <v>86</v>
      </c>
    </row>
    <row r="3334" spans="1:13">
      <c r="A3334">
        <v>45939</v>
      </c>
      <c r="B3334" t="s">
        <v>3050</v>
      </c>
      <c r="D3334">
        <v>500</v>
      </c>
      <c r="F3334">
        <v>1</v>
      </c>
      <c r="G3334" t="s">
        <v>22</v>
      </c>
      <c r="H3334" t="s">
        <v>21</v>
      </c>
      <c r="I3334" t="s">
        <v>60</v>
      </c>
      <c r="J3334" t="s">
        <v>61</v>
      </c>
      <c r="L3334" t="s">
        <v>86</v>
      </c>
    </row>
    <row r="3335" spans="1:13">
      <c r="A3335">
        <v>45939</v>
      </c>
      <c r="B3335" t="s">
        <v>81</v>
      </c>
      <c r="D3335">
        <v>192000</v>
      </c>
      <c r="F3335">
        <v>1</v>
      </c>
      <c r="G3335" t="s">
        <v>74</v>
      </c>
      <c r="H3335" t="s">
        <v>75</v>
      </c>
      <c r="I3335" t="s">
        <v>60</v>
      </c>
      <c r="J3335" t="s">
        <v>61</v>
      </c>
      <c r="L3335" t="s">
        <v>88</v>
      </c>
    </row>
    <row r="3336" spans="1:13">
      <c r="A3336">
        <v>45939</v>
      </c>
      <c r="B3336" t="s">
        <v>63</v>
      </c>
      <c r="D3336">
        <v>6000</v>
      </c>
      <c r="G3336" t="s">
        <v>70</v>
      </c>
      <c r="I3336" t="s">
        <v>60</v>
      </c>
      <c r="J3336" t="s">
        <v>61</v>
      </c>
      <c r="L3336" t="s">
        <v>62</v>
      </c>
    </row>
    <row r="3337" spans="1:13">
      <c r="A3337">
        <v>45939</v>
      </c>
      <c r="B3337" t="s">
        <v>63</v>
      </c>
      <c r="D3337">
        <v>8500</v>
      </c>
      <c r="F3337">
        <v>1</v>
      </c>
      <c r="G3337" t="s">
        <v>70</v>
      </c>
      <c r="I3337" t="s">
        <v>71</v>
      </c>
      <c r="J3337" t="s">
        <v>72</v>
      </c>
      <c r="K3337" t="s">
        <v>3051</v>
      </c>
      <c r="L3337" t="s">
        <v>62</v>
      </c>
      <c r="M3337" t="s">
        <v>90</v>
      </c>
    </row>
    <row r="3338" spans="1:13">
      <c r="A3338">
        <v>45939</v>
      </c>
      <c r="B3338" t="s">
        <v>63</v>
      </c>
      <c r="D3338">
        <v>45000</v>
      </c>
      <c r="F3338">
        <v>3</v>
      </c>
      <c r="G3338" t="s">
        <v>70</v>
      </c>
      <c r="I3338" t="s">
        <v>71</v>
      </c>
      <c r="J3338" t="s">
        <v>72</v>
      </c>
      <c r="K3338" t="s">
        <v>3052</v>
      </c>
      <c r="L3338" t="s">
        <v>62</v>
      </c>
      <c r="M3338" t="s">
        <v>3053</v>
      </c>
    </row>
    <row r="3339" spans="1:13">
      <c r="A3339">
        <v>45939</v>
      </c>
      <c r="B3339" t="s">
        <v>63</v>
      </c>
      <c r="D3339">
        <v>200</v>
      </c>
      <c r="F3339">
        <v>2</v>
      </c>
      <c r="G3339" t="s">
        <v>22</v>
      </c>
      <c r="H3339" t="s">
        <v>93</v>
      </c>
      <c r="I3339" t="s">
        <v>60</v>
      </c>
      <c r="J3339" t="s">
        <v>61</v>
      </c>
      <c r="L3339" t="s">
        <v>62</v>
      </c>
    </row>
    <row r="3340" spans="1:13">
      <c r="A3340">
        <v>45939</v>
      </c>
      <c r="B3340" t="s">
        <v>84</v>
      </c>
      <c r="D3340">
        <v>-41600</v>
      </c>
      <c r="G3340" t="s">
        <v>77</v>
      </c>
      <c r="I3340" t="s">
        <v>60</v>
      </c>
      <c r="J3340" t="s">
        <v>61</v>
      </c>
      <c r="L3340" t="s">
        <v>62</v>
      </c>
    </row>
    <row r="3341" spans="1:13">
      <c r="A3341">
        <v>45939</v>
      </c>
      <c r="B3341" t="s">
        <v>84</v>
      </c>
      <c r="E3341">
        <v>-2200</v>
      </c>
      <c r="G3341" t="s">
        <v>65</v>
      </c>
      <c r="H3341" t="s">
        <v>85</v>
      </c>
      <c r="I3341" t="s">
        <v>60</v>
      </c>
      <c r="J3341" t="s">
        <v>61</v>
      </c>
      <c r="L3341" t="s">
        <v>62</v>
      </c>
    </row>
    <row r="3342" spans="1:13">
      <c r="A3342">
        <v>45940</v>
      </c>
      <c r="B3342" t="s">
        <v>63</v>
      </c>
      <c r="D3342">
        <v>43000</v>
      </c>
      <c r="G3342" t="s">
        <v>70</v>
      </c>
      <c r="I3342" t="s">
        <v>60</v>
      </c>
      <c r="J3342" t="s">
        <v>61</v>
      </c>
      <c r="L3342" t="s">
        <v>62</v>
      </c>
    </row>
    <row r="3343" spans="1:13">
      <c r="A3343">
        <v>45940</v>
      </c>
      <c r="B3343" t="s">
        <v>3054</v>
      </c>
      <c r="F3343">
        <v>1</v>
      </c>
      <c r="G3343" t="s">
        <v>64</v>
      </c>
      <c r="L3343" t="s">
        <v>82</v>
      </c>
      <c r="M3343" t="s">
        <v>3055</v>
      </c>
    </row>
    <row r="3344" spans="1:13">
      <c r="A3344">
        <v>45940</v>
      </c>
      <c r="B3344" t="s">
        <v>3056</v>
      </c>
      <c r="D3344">
        <v>500</v>
      </c>
      <c r="F3344">
        <v>1</v>
      </c>
      <c r="G3344" t="s">
        <v>22</v>
      </c>
      <c r="H3344" t="s">
        <v>21</v>
      </c>
      <c r="I3344" t="s">
        <v>60</v>
      </c>
      <c r="J3344" t="s">
        <v>61</v>
      </c>
      <c r="L3344" t="s">
        <v>89</v>
      </c>
    </row>
    <row r="3345" spans="1:13">
      <c r="A3345">
        <v>45940</v>
      </c>
      <c r="B3345" t="s">
        <v>3057</v>
      </c>
      <c r="F3345">
        <v>1</v>
      </c>
      <c r="G3345" t="s">
        <v>64</v>
      </c>
      <c r="L3345" t="s">
        <v>89</v>
      </c>
      <c r="M3345" t="s">
        <v>3055</v>
      </c>
    </row>
    <row r="3346" spans="1:13">
      <c r="A3346">
        <v>45940</v>
      </c>
      <c r="B3346" t="s">
        <v>3058</v>
      </c>
      <c r="D3346">
        <v>500</v>
      </c>
      <c r="F3346">
        <v>1</v>
      </c>
      <c r="G3346" t="s">
        <v>22</v>
      </c>
      <c r="H3346" t="s">
        <v>21</v>
      </c>
      <c r="I3346" t="s">
        <v>60</v>
      </c>
      <c r="J3346" t="s">
        <v>61</v>
      </c>
      <c r="L3346" t="s">
        <v>89</v>
      </c>
    </row>
    <row r="3347" spans="1:13">
      <c r="A3347">
        <v>45940</v>
      </c>
      <c r="B3347" t="s">
        <v>3059</v>
      </c>
      <c r="D3347">
        <v>500</v>
      </c>
      <c r="F3347">
        <v>0</v>
      </c>
      <c r="G3347" t="s">
        <v>22</v>
      </c>
      <c r="H3347" t="s">
        <v>21</v>
      </c>
      <c r="I3347" t="s">
        <v>60</v>
      </c>
      <c r="J3347" t="s">
        <v>61</v>
      </c>
      <c r="L3347" t="s">
        <v>89</v>
      </c>
      <c r="M3347" t="s">
        <v>83</v>
      </c>
    </row>
    <row r="3348" spans="1:13">
      <c r="A3348">
        <v>45940</v>
      </c>
      <c r="B3348" t="s">
        <v>3060</v>
      </c>
      <c r="D3348">
        <v>500</v>
      </c>
      <c r="F3348">
        <v>1</v>
      </c>
      <c r="G3348" t="s">
        <v>22</v>
      </c>
      <c r="H3348" t="s">
        <v>21</v>
      </c>
      <c r="I3348" t="s">
        <v>60</v>
      </c>
      <c r="J3348" t="s">
        <v>61</v>
      </c>
      <c r="L3348" t="s">
        <v>89</v>
      </c>
    </row>
    <row r="3349" spans="1:13">
      <c r="A3349">
        <v>45940</v>
      </c>
      <c r="B3349" t="s">
        <v>76</v>
      </c>
      <c r="D3349">
        <v>1500</v>
      </c>
      <c r="G3349" t="s">
        <v>77</v>
      </c>
      <c r="I3349" t="s">
        <v>60</v>
      </c>
      <c r="J3349" t="s">
        <v>61</v>
      </c>
      <c r="L3349" t="s">
        <v>62</v>
      </c>
    </row>
    <row r="3350" spans="1:13">
      <c r="A3350">
        <v>45940</v>
      </c>
      <c r="B3350" t="s">
        <v>63</v>
      </c>
      <c r="D3350">
        <v>25000</v>
      </c>
      <c r="F3350">
        <v>1</v>
      </c>
      <c r="G3350" t="s">
        <v>70</v>
      </c>
      <c r="I3350" t="s">
        <v>71</v>
      </c>
      <c r="J3350" t="s">
        <v>72</v>
      </c>
      <c r="K3350" t="s">
        <v>3061</v>
      </c>
      <c r="L3350" t="s">
        <v>62</v>
      </c>
      <c r="M3350" t="s">
        <v>1251</v>
      </c>
    </row>
    <row r="3351" spans="1:13">
      <c r="A3351">
        <v>45940</v>
      </c>
      <c r="B3351" t="s">
        <v>3062</v>
      </c>
      <c r="D3351">
        <v>500</v>
      </c>
      <c r="F3351">
        <v>0</v>
      </c>
      <c r="G3351" t="s">
        <v>22</v>
      </c>
      <c r="H3351" t="s">
        <v>21</v>
      </c>
      <c r="I3351" t="s">
        <v>60</v>
      </c>
      <c r="J3351" t="s">
        <v>61</v>
      </c>
      <c r="L3351" t="s">
        <v>82</v>
      </c>
    </row>
    <row r="3352" spans="1:13">
      <c r="A3352">
        <v>45940</v>
      </c>
      <c r="B3352" t="s">
        <v>3063</v>
      </c>
      <c r="D3352">
        <v>500</v>
      </c>
      <c r="F3352">
        <v>0</v>
      </c>
      <c r="G3352" t="s">
        <v>22</v>
      </c>
      <c r="H3352" t="s">
        <v>21</v>
      </c>
      <c r="I3352" t="s">
        <v>60</v>
      </c>
      <c r="J3352" t="s">
        <v>61</v>
      </c>
      <c r="L3352" t="s">
        <v>82</v>
      </c>
    </row>
    <row r="3353" spans="1:13">
      <c r="A3353">
        <v>45940</v>
      </c>
      <c r="B3353" t="s">
        <v>561</v>
      </c>
      <c r="E3353">
        <v>11000</v>
      </c>
      <c r="F3353">
        <v>1</v>
      </c>
      <c r="G3353" t="s">
        <v>65</v>
      </c>
      <c r="H3353" t="s">
        <v>560</v>
      </c>
      <c r="I3353" t="s">
        <v>60</v>
      </c>
      <c r="J3353" t="s">
        <v>61</v>
      </c>
      <c r="L3353" t="s">
        <v>62</v>
      </c>
      <c r="M3353" t="s">
        <v>561</v>
      </c>
    </row>
    <row r="3354" spans="1:13">
      <c r="A3354">
        <v>45940</v>
      </c>
      <c r="B3354" t="s">
        <v>3064</v>
      </c>
      <c r="D3354">
        <v>500</v>
      </c>
      <c r="F3354">
        <v>1</v>
      </c>
      <c r="G3354" t="s">
        <v>22</v>
      </c>
      <c r="H3354" t="s">
        <v>21</v>
      </c>
      <c r="I3354" t="s">
        <v>60</v>
      </c>
      <c r="J3354" t="s">
        <v>61</v>
      </c>
      <c r="L3354" t="s">
        <v>82</v>
      </c>
    </row>
    <row r="3355" spans="1:13">
      <c r="A3355">
        <v>45940</v>
      </c>
      <c r="B3355" t="s">
        <v>3065</v>
      </c>
      <c r="F3355">
        <v>1</v>
      </c>
      <c r="G3355" t="s">
        <v>0</v>
      </c>
      <c r="L3355" t="s">
        <v>89</v>
      </c>
    </row>
    <row r="3356" spans="1:13">
      <c r="A3356">
        <v>45941</v>
      </c>
      <c r="B3356" t="s">
        <v>196</v>
      </c>
      <c r="E3356">
        <v>7000</v>
      </c>
      <c r="F3356">
        <v>1</v>
      </c>
      <c r="G3356" t="s">
        <v>65</v>
      </c>
      <c r="H3356" t="s">
        <v>560</v>
      </c>
      <c r="I3356" t="s">
        <v>60</v>
      </c>
      <c r="J3356" t="s">
        <v>61</v>
      </c>
      <c r="L3356" t="s">
        <v>62</v>
      </c>
      <c r="M3356" t="s">
        <v>3066</v>
      </c>
    </row>
    <row r="3357" spans="1:13">
      <c r="A3357">
        <v>45941</v>
      </c>
      <c r="B3357" t="s">
        <v>196</v>
      </c>
      <c r="E3357">
        <v>7000</v>
      </c>
      <c r="F3357">
        <v>1</v>
      </c>
      <c r="G3357" t="s">
        <v>65</v>
      </c>
      <c r="H3357" t="s">
        <v>560</v>
      </c>
      <c r="I3357" t="s">
        <v>60</v>
      </c>
      <c r="J3357" t="s">
        <v>61</v>
      </c>
      <c r="L3357" t="s">
        <v>62</v>
      </c>
      <c r="M3357" t="s">
        <v>559</v>
      </c>
    </row>
    <row r="3358" spans="1:13">
      <c r="A3358">
        <v>45941</v>
      </c>
      <c r="B3358" t="s">
        <v>3067</v>
      </c>
      <c r="F3358">
        <v>1</v>
      </c>
      <c r="G3358" t="s">
        <v>2490</v>
      </c>
      <c r="L3358" t="s">
        <v>89</v>
      </c>
      <c r="M3358" t="s">
        <v>2993</v>
      </c>
    </row>
    <row r="3359" spans="1:13">
      <c r="A3359">
        <v>45941</v>
      </c>
      <c r="B3359" t="s">
        <v>3068</v>
      </c>
      <c r="D3359">
        <v>500</v>
      </c>
      <c r="F3359">
        <v>1</v>
      </c>
      <c r="G3359" t="s">
        <v>22</v>
      </c>
      <c r="H3359" t="s">
        <v>21</v>
      </c>
      <c r="I3359" t="s">
        <v>60</v>
      </c>
      <c r="J3359" t="s">
        <v>61</v>
      </c>
      <c r="L3359" t="s">
        <v>89</v>
      </c>
    </row>
    <row r="3360" spans="1:13">
      <c r="A3360">
        <v>45941</v>
      </c>
      <c r="B3360" t="s">
        <v>63</v>
      </c>
      <c r="D3360">
        <v>6500</v>
      </c>
      <c r="F3360">
        <v>1</v>
      </c>
      <c r="G3360" t="s">
        <v>70</v>
      </c>
      <c r="I3360" t="s">
        <v>71</v>
      </c>
      <c r="J3360" t="s">
        <v>72</v>
      </c>
      <c r="K3360" t="s">
        <v>3069</v>
      </c>
      <c r="L3360" t="s">
        <v>62</v>
      </c>
      <c r="M3360" t="s">
        <v>90</v>
      </c>
    </row>
    <row r="3361" spans="1:13">
      <c r="A3361">
        <v>45941</v>
      </c>
      <c r="B3361" t="s">
        <v>63</v>
      </c>
      <c r="D3361">
        <v>8500</v>
      </c>
      <c r="G3361" t="s">
        <v>70</v>
      </c>
      <c r="I3361" t="s">
        <v>60</v>
      </c>
      <c r="J3361" t="s">
        <v>61</v>
      </c>
      <c r="L3361" t="s">
        <v>62</v>
      </c>
    </row>
    <row r="3362" spans="1:13">
      <c r="A3362">
        <v>45941</v>
      </c>
      <c r="B3362" t="s">
        <v>2834</v>
      </c>
      <c r="F3362">
        <v>1</v>
      </c>
      <c r="G3362" t="s">
        <v>64</v>
      </c>
      <c r="L3362" t="s">
        <v>86</v>
      </c>
      <c r="M3362" t="s">
        <v>2898</v>
      </c>
    </row>
    <row r="3363" spans="1:13">
      <c r="A3363">
        <v>45941</v>
      </c>
      <c r="B3363" t="s">
        <v>63</v>
      </c>
      <c r="D3363">
        <v>100</v>
      </c>
      <c r="F3363">
        <v>1</v>
      </c>
      <c r="G3363" t="s">
        <v>22</v>
      </c>
      <c r="H3363" t="s">
        <v>21</v>
      </c>
      <c r="I3363" t="s">
        <v>60</v>
      </c>
      <c r="J3363" t="s">
        <v>61</v>
      </c>
      <c r="L3363" t="s">
        <v>62</v>
      </c>
    </row>
    <row r="3364" spans="1:13">
      <c r="A3364">
        <v>45941</v>
      </c>
      <c r="B3364" t="s">
        <v>3070</v>
      </c>
      <c r="F3364">
        <v>1</v>
      </c>
      <c r="G3364" t="s">
        <v>0</v>
      </c>
      <c r="L3364" t="s">
        <v>86</v>
      </c>
    </row>
    <row r="3365" spans="1:13">
      <c r="A3365">
        <v>45942</v>
      </c>
      <c r="B3365" t="s">
        <v>3071</v>
      </c>
      <c r="F3365">
        <v>1</v>
      </c>
      <c r="G3365" t="s">
        <v>2490</v>
      </c>
      <c r="L3365" t="s">
        <v>82</v>
      </c>
      <c r="M3365" t="s">
        <v>2993</v>
      </c>
    </row>
    <row r="3366" spans="1:13">
      <c r="A3366">
        <v>45942</v>
      </c>
      <c r="B3366" t="s">
        <v>3072</v>
      </c>
      <c r="D3366">
        <v>500</v>
      </c>
      <c r="F3366">
        <v>1</v>
      </c>
      <c r="G3366" t="s">
        <v>22</v>
      </c>
      <c r="H3366" t="s">
        <v>21</v>
      </c>
      <c r="I3366" t="s">
        <v>60</v>
      </c>
      <c r="J3366" t="s">
        <v>61</v>
      </c>
      <c r="L3366" t="s">
        <v>82</v>
      </c>
    </row>
    <row r="3367" spans="1:13">
      <c r="A3367">
        <v>45942</v>
      </c>
      <c r="B3367" t="s">
        <v>3073</v>
      </c>
      <c r="F3367">
        <v>1</v>
      </c>
      <c r="G3367" t="s">
        <v>64</v>
      </c>
      <c r="L3367" t="s">
        <v>82</v>
      </c>
      <c r="M3367" t="s">
        <v>3074</v>
      </c>
    </row>
    <row r="3368" spans="1:13">
      <c r="A3368">
        <v>45942</v>
      </c>
      <c r="B3368" t="s">
        <v>3075</v>
      </c>
      <c r="D3368">
        <v>500</v>
      </c>
      <c r="F3368">
        <v>1</v>
      </c>
      <c r="G3368" t="s">
        <v>22</v>
      </c>
      <c r="H3368" t="s">
        <v>21</v>
      </c>
      <c r="I3368" t="s">
        <v>60</v>
      </c>
      <c r="J3368" t="s">
        <v>61</v>
      </c>
      <c r="L3368" t="s">
        <v>82</v>
      </c>
    </row>
    <row r="3369" spans="1:13">
      <c r="A3369">
        <v>45942</v>
      </c>
      <c r="B3369" t="s">
        <v>3076</v>
      </c>
      <c r="D3369">
        <v>500</v>
      </c>
      <c r="F3369">
        <v>1</v>
      </c>
      <c r="G3369" t="s">
        <v>22</v>
      </c>
      <c r="H3369" t="s">
        <v>21</v>
      </c>
      <c r="I3369" t="s">
        <v>60</v>
      </c>
      <c r="J3369" t="s">
        <v>61</v>
      </c>
      <c r="L3369" t="s">
        <v>82</v>
      </c>
    </row>
    <row r="3370" spans="1:13">
      <c r="A3370">
        <v>45942</v>
      </c>
      <c r="B3370" t="s">
        <v>3077</v>
      </c>
      <c r="D3370">
        <v>500</v>
      </c>
      <c r="F3370">
        <v>1</v>
      </c>
      <c r="G3370" t="s">
        <v>22</v>
      </c>
      <c r="H3370" t="s">
        <v>21</v>
      </c>
      <c r="I3370" t="s">
        <v>60</v>
      </c>
      <c r="J3370" t="s">
        <v>61</v>
      </c>
      <c r="L3370" t="s">
        <v>86</v>
      </c>
    </row>
    <row r="3371" spans="1:13">
      <c r="A3371">
        <v>45942</v>
      </c>
      <c r="B3371" t="s">
        <v>3078</v>
      </c>
      <c r="F3371">
        <v>1</v>
      </c>
      <c r="G3371" t="s">
        <v>79</v>
      </c>
      <c r="H3371" t="s">
        <v>21</v>
      </c>
      <c r="L3371" t="s">
        <v>86</v>
      </c>
    </row>
    <row r="3372" spans="1:13">
      <c r="A3372">
        <v>45942</v>
      </c>
      <c r="B3372" t="s">
        <v>3078</v>
      </c>
      <c r="D3372">
        <v>0</v>
      </c>
      <c r="F3372">
        <v>0</v>
      </c>
      <c r="G3372" t="s">
        <v>22</v>
      </c>
      <c r="H3372" t="s">
        <v>21</v>
      </c>
      <c r="I3372" t="s">
        <v>60</v>
      </c>
      <c r="J3372" t="s">
        <v>61</v>
      </c>
      <c r="L3372" t="s">
        <v>86</v>
      </c>
      <c r="M3372" t="s">
        <v>3079</v>
      </c>
    </row>
    <row r="3373" spans="1:13">
      <c r="A3373">
        <v>45942</v>
      </c>
      <c r="B3373" t="s">
        <v>63</v>
      </c>
      <c r="D3373">
        <v>6000</v>
      </c>
      <c r="G3373" t="s">
        <v>70</v>
      </c>
      <c r="I3373" t="s">
        <v>60</v>
      </c>
      <c r="J3373" t="s">
        <v>61</v>
      </c>
      <c r="L3373" t="s">
        <v>62</v>
      </c>
    </row>
    <row r="3374" spans="1:13">
      <c r="A3374">
        <v>45943</v>
      </c>
      <c r="B3374" t="s">
        <v>81</v>
      </c>
      <c r="D3374">
        <v>166000</v>
      </c>
      <c r="F3374">
        <v>1</v>
      </c>
      <c r="G3374" t="s">
        <v>74</v>
      </c>
      <c r="H3374" t="s">
        <v>75</v>
      </c>
      <c r="I3374" t="s">
        <v>60</v>
      </c>
      <c r="J3374" t="s">
        <v>61</v>
      </c>
      <c r="L3374" t="s">
        <v>88</v>
      </c>
    </row>
    <row r="3375" spans="1:13">
      <c r="A3375">
        <v>45943</v>
      </c>
      <c r="B3375" t="s">
        <v>238</v>
      </c>
      <c r="C3375" t="s">
        <v>3080</v>
      </c>
      <c r="F3375">
        <v>17</v>
      </c>
      <c r="G3375" t="s">
        <v>22</v>
      </c>
      <c r="H3375" t="s">
        <v>21</v>
      </c>
      <c r="L3375" t="s">
        <v>95</v>
      </c>
    </row>
    <row r="3376" spans="1:13">
      <c r="A3376">
        <v>45943</v>
      </c>
      <c r="B3376" t="s">
        <v>3081</v>
      </c>
      <c r="F3376">
        <v>1</v>
      </c>
      <c r="G3376" t="s">
        <v>564</v>
      </c>
      <c r="H3376" t="s">
        <v>21</v>
      </c>
      <c r="L3376" t="s">
        <v>89</v>
      </c>
    </row>
    <row r="3377" spans="1:13">
      <c r="A3377">
        <v>45943</v>
      </c>
      <c r="B3377" t="s">
        <v>3082</v>
      </c>
      <c r="F3377">
        <v>1</v>
      </c>
      <c r="G3377" t="s">
        <v>2490</v>
      </c>
      <c r="L3377" t="s">
        <v>89</v>
      </c>
      <c r="M3377" t="s">
        <v>2993</v>
      </c>
    </row>
    <row r="3378" spans="1:13">
      <c r="A3378">
        <v>45943</v>
      </c>
      <c r="B3378" t="s">
        <v>3083</v>
      </c>
      <c r="D3378">
        <v>500</v>
      </c>
      <c r="F3378">
        <v>1</v>
      </c>
      <c r="G3378" t="s">
        <v>22</v>
      </c>
      <c r="H3378" t="s">
        <v>21</v>
      </c>
      <c r="I3378" t="s">
        <v>60</v>
      </c>
      <c r="J3378" t="s">
        <v>61</v>
      </c>
      <c r="L3378" t="s">
        <v>89</v>
      </c>
    </row>
    <row r="3379" spans="1:13">
      <c r="A3379">
        <v>45943</v>
      </c>
      <c r="B3379" t="s">
        <v>3084</v>
      </c>
      <c r="F3379">
        <v>1</v>
      </c>
      <c r="G3379" t="s">
        <v>79</v>
      </c>
      <c r="H3379" t="s">
        <v>21</v>
      </c>
      <c r="L3379" t="s">
        <v>89</v>
      </c>
    </row>
    <row r="3380" spans="1:13">
      <c r="A3380">
        <v>45943</v>
      </c>
      <c r="B3380" t="s">
        <v>3085</v>
      </c>
      <c r="F3380">
        <v>1</v>
      </c>
      <c r="G3380" t="s">
        <v>64</v>
      </c>
      <c r="L3380" t="s">
        <v>82</v>
      </c>
      <c r="M3380" t="s">
        <v>1345</v>
      </c>
    </row>
    <row r="3381" spans="1:13">
      <c r="A3381">
        <v>45943</v>
      </c>
      <c r="B3381" t="s">
        <v>3086</v>
      </c>
      <c r="D3381">
        <v>500</v>
      </c>
      <c r="F3381">
        <v>1</v>
      </c>
      <c r="G3381" t="s">
        <v>22</v>
      </c>
      <c r="H3381" t="s">
        <v>21</v>
      </c>
      <c r="I3381" t="s">
        <v>60</v>
      </c>
      <c r="J3381" t="s">
        <v>61</v>
      </c>
      <c r="L3381" t="s">
        <v>82</v>
      </c>
    </row>
    <row r="3382" spans="1:13">
      <c r="A3382">
        <v>45943</v>
      </c>
      <c r="B3382" t="s">
        <v>3087</v>
      </c>
      <c r="D3382">
        <v>500</v>
      </c>
      <c r="F3382">
        <v>1</v>
      </c>
      <c r="G3382" t="s">
        <v>22</v>
      </c>
      <c r="H3382" t="s">
        <v>21</v>
      </c>
      <c r="I3382" t="s">
        <v>60</v>
      </c>
      <c r="J3382" t="s">
        <v>61</v>
      </c>
      <c r="L3382" t="s">
        <v>82</v>
      </c>
    </row>
    <row r="3383" spans="1:13">
      <c r="A3383">
        <v>45943</v>
      </c>
      <c r="B3383" t="s">
        <v>63</v>
      </c>
      <c r="D3383">
        <v>18000</v>
      </c>
      <c r="G3383" t="s">
        <v>70</v>
      </c>
      <c r="I3383" t="s">
        <v>60</v>
      </c>
      <c r="J3383" t="s">
        <v>61</v>
      </c>
      <c r="L3383" t="s">
        <v>62</v>
      </c>
    </row>
    <row r="3384" spans="1:13">
      <c r="A3384">
        <v>45943</v>
      </c>
      <c r="B3384" t="s">
        <v>76</v>
      </c>
      <c r="D3384">
        <v>26000</v>
      </c>
      <c r="G3384" t="s">
        <v>77</v>
      </c>
      <c r="I3384" t="s">
        <v>60</v>
      </c>
      <c r="J3384" t="s">
        <v>61</v>
      </c>
      <c r="L3384" t="s">
        <v>62</v>
      </c>
    </row>
    <row r="3385" spans="1:13">
      <c r="A3385">
        <v>45943</v>
      </c>
      <c r="B3385" t="s">
        <v>3088</v>
      </c>
      <c r="F3385">
        <v>1</v>
      </c>
      <c r="G3385" t="s">
        <v>0</v>
      </c>
      <c r="L3385" t="s">
        <v>82</v>
      </c>
    </row>
    <row r="3386" spans="1:13">
      <c r="A3386">
        <v>45944</v>
      </c>
      <c r="B3386" t="s">
        <v>3089</v>
      </c>
      <c r="C3386" t="s">
        <v>3090</v>
      </c>
      <c r="F3386">
        <v>2</v>
      </c>
      <c r="G3386" t="s">
        <v>22</v>
      </c>
      <c r="H3386" t="s">
        <v>1310</v>
      </c>
      <c r="L3386" t="s">
        <v>104</v>
      </c>
      <c r="M3386" t="s">
        <v>3091</v>
      </c>
    </row>
    <row r="3387" spans="1:13">
      <c r="A3387">
        <v>45944</v>
      </c>
      <c r="B3387" t="s">
        <v>3089</v>
      </c>
      <c r="C3387" t="s">
        <v>3090</v>
      </c>
      <c r="F3387">
        <v>2</v>
      </c>
      <c r="G3387" t="s">
        <v>22</v>
      </c>
      <c r="H3387" t="s">
        <v>1191</v>
      </c>
      <c r="L3387" t="s">
        <v>104</v>
      </c>
      <c r="M3387" t="s">
        <v>3092</v>
      </c>
    </row>
    <row r="3388" spans="1:13">
      <c r="A3388">
        <v>45944</v>
      </c>
      <c r="B3388" t="s">
        <v>3093</v>
      </c>
      <c r="D3388">
        <v>500</v>
      </c>
      <c r="F3388">
        <v>1</v>
      </c>
      <c r="G3388" t="s">
        <v>22</v>
      </c>
      <c r="H3388" t="s">
        <v>21</v>
      </c>
      <c r="I3388" t="s">
        <v>60</v>
      </c>
      <c r="J3388" t="s">
        <v>61</v>
      </c>
      <c r="L3388" t="s">
        <v>89</v>
      </c>
    </row>
    <row r="3389" spans="1:13">
      <c r="A3389">
        <v>45944</v>
      </c>
      <c r="B3389" t="s">
        <v>3093</v>
      </c>
      <c r="F3389">
        <v>1</v>
      </c>
      <c r="G3389" t="s">
        <v>64</v>
      </c>
      <c r="L3389" t="s">
        <v>89</v>
      </c>
      <c r="M3389" t="s">
        <v>3094</v>
      </c>
    </row>
    <row r="3390" spans="1:13">
      <c r="A3390">
        <v>45944</v>
      </c>
      <c r="B3390" t="s">
        <v>3095</v>
      </c>
      <c r="F3390">
        <v>1</v>
      </c>
      <c r="G3390" t="s">
        <v>64</v>
      </c>
      <c r="L3390" t="s">
        <v>89</v>
      </c>
      <c r="M3390" t="s">
        <v>3096</v>
      </c>
    </row>
    <row r="3391" spans="1:13">
      <c r="A3391">
        <v>45944</v>
      </c>
      <c r="B3391" t="s">
        <v>81</v>
      </c>
      <c r="D3391">
        <v>93000</v>
      </c>
      <c r="F3391">
        <v>1</v>
      </c>
      <c r="G3391" t="s">
        <v>74</v>
      </c>
      <c r="H3391" t="s">
        <v>75</v>
      </c>
      <c r="I3391" t="s">
        <v>60</v>
      </c>
      <c r="J3391" t="s">
        <v>61</v>
      </c>
      <c r="L3391" t="s">
        <v>88</v>
      </c>
    </row>
    <row r="3392" spans="1:13">
      <c r="A3392">
        <v>45944</v>
      </c>
      <c r="B3392" t="s">
        <v>3097</v>
      </c>
      <c r="F3392">
        <v>1</v>
      </c>
      <c r="G3392" t="s">
        <v>2490</v>
      </c>
      <c r="L3392" t="s">
        <v>89</v>
      </c>
      <c r="M3392" t="s">
        <v>2993</v>
      </c>
    </row>
    <row r="3393" spans="1:13">
      <c r="A3393">
        <v>45944</v>
      </c>
      <c r="B3393" t="s">
        <v>3098</v>
      </c>
      <c r="F3393">
        <v>1</v>
      </c>
      <c r="G3393" t="s">
        <v>377</v>
      </c>
      <c r="H3393" t="s">
        <v>21</v>
      </c>
      <c r="L3393" t="s">
        <v>89</v>
      </c>
    </row>
    <row r="3394" spans="1:13">
      <c r="A3394">
        <v>45944</v>
      </c>
      <c r="B3394" t="s">
        <v>3099</v>
      </c>
      <c r="D3394">
        <v>500</v>
      </c>
      <c r="F3394">
        <v>1</v>
      </c>
      <c r="G3394" t="s">
        <v>22</v>
      </c>
      <c r="H3394" t="s">
        <v>21</v>
      </c>
      <c r="I3394" t="s">
        <v>60</v>
      </c>
      <c r="J3394" t="s">
        <v>61</v>
      </c>
      <c r="L3394" t="s">
        <v>89</v>
      </c>
    </row>
    <row r="3395" spans="1:13">
      <c r="A3395">
        <v>45944</v>
      </c>
      <c r="B3395" t="s">
        <v>63</v>
      </c>
      <c r="D3395">
        <v>6000</v>
      </c>
      <c r="G3395" t="s">
        <v>70</v>
      </c>
      <c r="I3395" t="s">
        <v>60</v>
      </c>
      <c r="J3395" t="s">
        <v>61</v>
      </c>
      <c r="L3395" t="s">
        <v>62</v>
      </c>
    </row>
    <row r="3396" spans="1:13">
      <c r="A3396">
        <v>45944</v>
      </c>
      <c r="B3396" t="s">
        <v>3100</v>
      </c>
      <c r="D3396">
        <v>500</v>
      </c>
      <c r="F3396">
        <v>1</v>
      </c>
      <c r="G3396" t="s">
        <v>22</v>
      </c>
      <c r="H3396" t="s">
        <v>21</v>
      </c>
      <c r="I3396" t="s">
        <v>60</v>
      </c>
      <c r="J3396" t="s">
        <v>61</v>
      </c>
      <c r="L3396" t="s">
        <v>89</v>
      </c>
    </row>
    <row r="3397" spans="1:13">
      <c r="A3397">
        <v>45944</v>
      </c>
      <c r="B3397" t="s">
        <v>76</v>
      </c>
      <c r="D3397">
        <v>2000</v>
      </c>
      <c r="G3397" t="s">
        <v>77</v>
      </c>
      <c r="I3397" t="s">
        <v>60</v>
      </c>
      <c r="J3397" t="s">
        <v>61</v>
      </c>
      <c r="L3397" t="s">
        <v>62</v>
      </c>
    </row>
    <row r="3398" spans="1:13">
      <c r="A3398">
        <v>45944</v>
      </c>
      <c r="B3398" t="s">
        <v>3101</v>
      </c>
      <c r="D3398">
        <v>500</v>
      </c>
      <c r="F3398">
        <v>1</v>
      </c>
      <c r="G3398" t="s">
        <v>22</v>
      </c>
      <c r="H3398" t="s">
        <v>21</v>
      </c>
      <c r="I3398" t="s">
        <v>60</v>
      </c>
      <c r="J3398" t="s">
        <v>61</v>
      </c>
      <c r="L3398" t="s">
        <v>89</v>
      </c>
    </row>
    <row r="3399" spans="1:13">
      <c r="A3399">
        <v>45945</v>
      </c>
      <c r="B3399" t="s">
        <v>63</v>
      </c>
      <c r="D3399">
        <v>600</v>
      </c>
      <c r="F3399">
        <v>6</v>
      </c>
      <c r="G3399" t="s">
        <v>22</v>
      </c>
      <c r="H3399" t="s">
        <v>93</v>
      </c>
      <c r="I3399" t="s">
        <v>60</v>
      </c>
      <c r="J3399" t="s">
        <v>61</v>
      </c>
      <c r="L3399" t="s">
        <v>62</v>
      </c>
    </row>
    <row r="3400" spans="1:13">
      <c r="A3400">
        <v>45945</v>
      </c>
      <c r="B3400" t="s">
        <v>76</v>
      </c>
      <c r="D3400">
        <v>22600</v>
      </c>
      <c r="G3400" t="s">
        <v>77</v>
      </c>
      <c r="I3400" t="s">
        <v>60</v>
      </c>
      <c r="J3400" t="s">
        <v>61</v>
      </c>
      <c r="L3400" t="s">
        <v>62</v>
      </c>
    </row>
    <row r="3401" spans="1:13">
      <c r="A3401">
        <v>45945</v>
      </c>
      <c r="B3401" t="s">
        <v>63</v>
      </c>
      <c r="D3401">
        <v>18396</v>
      </c>
      <c r="G3401" t="s">
        <v>70</v>
      </c>
      <c r="I3401" t="s">
        <v>60</v>
      </c>
      <c r="J3401" t="s">
        <v>61</v>
      </c>
      <c r="L3401" t="s">
        <v>62</v>
      </c>
    </row>
    <row r="3402" spans="1:13">
      <c r="A3402">
        <v>45945</v>
      </c>
      <c r="B3402" t="s">
        <v>648</v>
      </c>
      <c r="F3402">
        <v>1</v>
      </c>
      <c r="G3402" t="s">
        <v>64</v>
      </c>
      <c r="L3402" t="s">
        <v>86</v>
      </c>
      <c r="M3402" t="s">
        <v>96</v>
      </c>
    </row>
    <row r="3403" spans="1:13">
      <c r="A3403">
        <v>45945</v>
      </c>
      <c r="B3403" t="s">
        <v>3102</v>
      </c>
      <c r="F3403">
        <v>1</v>
      </c>
      <c r="G3403" t="s">
        <v>64</v>
      </c>
      <c r="L3403" t="s">
        <v>86</v>
      </c>
      <c r="M3403" t="s">
        <v>96</v>
      </c>
    </row>
    <row r="3404" spans="1:13">
      <c r="A3404">
        <v>45945</v>
      </c>
      <c r="B3404" t="s">
        <v>63</v>
      </c>
      <c r="D3404">
        <v>20500</v>
      </c>
      <c r="F3404">
        <v>3</v>
      </c>
      <c r="G3404" t="s">
        <v>70</v>
      </c>
      <c r="I3404" t="s">
        <v>71</v>
      </c>
      <c r="J3404" t="s">
        <v>72</v>
      </c>
      <c r="K3404" t="s">
        <v>3103</v>
      </c>
      <c r="L3404" t="s">
        <v>62</v>
      </c>
      <c r="M3404" t="s">
        <v>3104</v>
      </c>
    </row>
    <row r="3405" spans="1:13">
      <c r="A3405">
        <v>45945</v>
      </c>
      <c r="B3405" t="s">
        <v>3105</v>
      </c>
      <c r="F3405">
        <v>1</v>
      </c>
      <c r="G3405" t="s">
        <v>64</v>
      </c>
      <c r="L3405" t="s">
        <v>82</v>
      </c>
      <c r="M3405" t="s">
        <v>3106</v>
      </c>
    </row>
    <row r="3406" spans="1:13">
      <c r="A3406">
        <v>45945</v>
      </c>
      <c r="B3406" t="s">
        <v>3107</v>
      </c>
      <c r="D3406">
        <v>500</v>
      </c>
      <c r="F3406">
        <v>1</v>
      </c>
      <c r="G3406" t="s">
        <v>22</v>
      </c>
      <c r="H3406" t="s">
        <v>21</v>
      </c>
      <c r="I3406" t="s">
        <v>60</v>
      </c>
      <c r="J3406" t="s">
        <v>61</v>
      </c>
      <c r="L3406" t="s">
        <v>82</v>
      </c>
    </row>
    <row r="3407" spans="1:13">
      <c r="A3407">
        <v>45945</v>
      </c>
      <c r="B3407" t="s">
        <v>3108</v>
      </c>
      <c r="F3407">
        <v>1</v>
      </c>
      <c r="G3407" t="s">
        <v>22</v>
      </c>
      <c r="H3407" t="s">
        <v>21</v>
      </c>
      <c r="L3407" t="s">
        <v>101</v>
      </c>
      <c r="M3407" t="s">
        <v>2995</v>
      </c>
    </row>
    <row r="3408" spans="1:13">
      <c r="A3408">
        <v>45945</v>
      </c>
      <c r="B3408" t="s">
        <v>3109</v>
      </c>
      <c r="F3408">
        <v>1</v>
      </c>
      <c r="G3408" t="s">
        <v>79</v>
      </c>
      <c r="H3408" t="s">
        <v>21</v>
      </c>
      <c r="L3408" t="s">
        <v>82</v>
      </c>
    </row>
    <row r="3409" spans="1:13">
      <c r="A3409">
        <v>45945</v>
      </c>
      <c r="B3409" t="s">
        <v>3109</v>
      </c>
      <c r="F3409">
        <v>1</v>
      </c>
      <c r="G3409" t="s">
        <v>64</v>
      </c>
      <c r="L3409" t="s">
        <v>82</v>
      </c>
      <c r="M3409" t="s">
        <v>96</v>
      </c>
    </row>
    <row r="3410" spans="1:13">
      <c r="A3410">
        <v>45945</v>
      </c>
      <c r="B3410" t="s">
        <v>3110</v>
      </c>
      <c r="F3410">
        <v>1</v>
      </c>
      <c r="G3410" t="s">
        <v>64</v>
      </c>
      <c r="L3410" t="s">
        <v>82</v>
      </c>
      <c r="M3410" t="s">
        <v>96</v>
      </c>
    </row>
    <row r="3411" spans="1:13">
      <c r="A3411">
        <v>45945</v>
      </c>
      <c r="B3411" t="s">
        <v>3111</v>
      </c>
      <c r="F3411">
        <v>1</v>
      </c>
      <c r="G3411" t="s">
        <v>64</v>
      </c>
      <c r="L3411" t="s">
        <v>82</v>
      </c>
      <c r="M3411" t="s">
        <v>3112</v>
      </c>
    </row>
    <row r="3412" spans="1:13">
      <c r="A3412">
        <v>45946</v>
      </c>
      <c r="B3412" t="s">
        <v>3113</v>
      </c>
      <c r="D3412">
        <v>500</v>
      </c>
      <c r="F3412">
        <v>1</v>
      </c>
      <c r="G3412" t="s">
        <v>22</v>
      </c>
      <c r="H3412" t="s">
        <v>21</v>
      </c>
      <c r="I3412" t="s">
        <v>60</v>
      </c>
      <c r="J3412" t="s">
        <v>61</v>
      </c>
      <c r="L3412" t="s">
        <v>89</v>
      </c>
    </row>
    <row r="3413" spans="1:13">
      <c r="A3413">
        <v>45946</v>
      </c>
      <c r="B3413" t="s">
        <v>3114</v>
      </c>
      <c r="D3413">
        <v>500</v>
      </c>
      <c r="F3413">
        <v>1</v>
      </c>
      <c r="G3413" t="s">
        <v>22</v>
      </c>
      <c r="H3413" t="s">
        <v>21</v>
      </c>
      <c r="I3413" t="s">
        <v>60</v>
      </c>
      <c r="J3413" t="s">
        <v>61</v>
      </c>
      <c r="L3413" t="s">
        <v>89</v>
      </c>
    </row>
    <row r="3414" spans="1:13">
      <c r="A3414">
        <v>45946</v>
      </c>
      <c r="B3414" t="s">
        <v>727</v>
      </c>
      <c r="C3414" t="s">
        <v>3115</v>
      </c>
      <c r="E3414">
        <v>35000</v>
      </c>
      <c r="F3414">
        <v>1</v>
      </c>
      <c r="G3414" t="s">
        <v>65</v>
      </c>
      <c r="H3414" t="s">
        <v>265</v>
      </c>
      <c r="I3414" t="s">
        <v>60</v>
      </c>
      <c r="J3414" t="s">
        <v>61</v>
      </c>
      <c r="L3414" t="s">
        <v>62</v>
      </c>
      <c r="M3414" t="s">
        <v>3116</v>
      </c>
    </row>
    <row r="3415" spans="1:13">
      <c r="A3415">
        <v>45946</v>
      </c>
      <c r="B3415" t="s">
        <v>727</v>
      </c>
      <c r="C3415" t="s">
        <v>3117</v>
      </c>
      <c r="E3415">
        <v>35000</v>
      </c>
      <c r="F3415">
        <v>1</v>
      </c>
      <c r="G3415" t="s">
        <v>65</v>
      </c>
      <c r="H3415" t="s">
        <v>265</v>
      </c>
      <c r="I3415" t="s">
        <v>60</v>
      </c>
      <c r="J3415" t="s">
        <v>61</v>
      </c>
      <c r="L3415" t="s">
        <v>768</v>
      </c>
      <c r="M3415" t="s">
        <v>661</v>
      </c>
    </row>
    <row r="3416" spans="1:13">
      <c r="A3416">
        <v>45946</v>
      </c>
      <c r="B3416" t="s">
        <v>63</v>
      </c>
      <c r="D3416">
        <v>100</v>
      </c>
      <c r="F3416">
        <v>1</v>
      </c>
      <c r="G3416" t="s">
        <v>22</v>
      </c>
      <c r="H3416" t="s">
        <v>93</v>
      </c>
      <c r="I3416" t="s">
        <v>60</v>
      </c>
      <c r="J3416" t="s">
        <v>61</v>
      </c>
      <c r="L3416" t="s">
        <v>62</v>
      </c>
    </row>
    <row r="3417" spans="1:13">
      <c r="A3417">
        <v>45946</v>
      </c>
      <c r="B3417" t="s">
        <v>76</v>
      </c>
      <c r="D3417">
        <v>1000</v>
      </c>
      <c r="G3417" t="s">
        <v>77</v>
      </c>
      <c r="I3417" t="s">
        <v>60</v>
      </c>
      <c r="J3417" t="s">
        <v>61</v>
      </c>
      <c r="L3417" t="s">
        <v>62</v>
      </c>
    </row>
    <row r="3418" spans="1:13">
      <c r="A3418">
        <v>45946</v>
      </c>
      <c r="B3418" t="s">
        <v>3118</v>
      </c>
      <c r="D3418">
        <v>500</v>
      </c>
      <c r="F3418">
        <v>0</v>
      </c>
      <c r="G3418" t="s">
        <v>22</v>
      </c>
      <c r="H3418" t="s">
        <v>21</v>
      </c>
      <c r="I3418" t="s">
        <v>60</v>
      </c>
      <c r="J3418" t="s">
        <v>61</v>
      </c>
      <c r="L3418" t="s">
        <v>86</v>
      </c>
      <c r="M3418" t="s">
        <v>3048</v>
      </c>
    </row>
    <row r="3419" spans="1:13">
      <c r="A3419">
        <v>45946</v>
      </c>
      <c r="B3419" t="s">
        <v>3119</v>
      </c>
      <c r="D3419">
        <v>500</v>
      </c>
      <c r="F3419">
        <v>1</v>
      </c>
      <c r="G3419" t="s">
        <v>22</v>
      </c>
      <c r="H3419" t="s">
        <v>21</v>
      </c>
      <c r="I3419" t="s">
        <v>60</v>
      </c>
      <c r="J3419" t="s">
        <v>61</v>
      </c>
      <c r="L3419" t="s">
        <v>86</v>
      </c>
    </row>
    <row r="3420" spans="1:13">
      <c r="A3420">
        <v>45946</v>
      </c>
      <c r="B3420" t="s">
        <v>3120</v>
      </c>
      <c r="D3420">
        <v>500</v>
      </c>
      <c r="F3420">
        <v>1</v>
      </c>
      <c r="G3420" t="s">
        <v>22</v>
      </c>
      <c r="H3420" t="s">
        <v>21</v>
      </c>
      <c r="I3420" t="s">
        <v>60</v>
      </c>
      <c r="J3420" t="s">
        <v>61</v>
      </c>
      <c r="L3420" t="s">
        <v>86</v>
      </c>
    </row>
    <row r="3421" spans="1:13">
      <c r="A3421">
        <v>45946</v>
      </c>
      <c r="B3421" t="s">
        <v>3121</v>
      </c>
      <c r="F3421">
        <v>1</v>
      </c>
      <c r="G3421" t="s">
        <v>0</v>
      </c>
      <c r="L3421" t="s">
        <v>82</v>
      </c>
    </row>
    <row r="3422" spans="1:13">
      <c r="A3422">
        <v>45947</v>
      </c>
      <c r="B3422" t="s">
        <v>3122</v>
      </c>
      <c r="F3422">
        <v>1</v>
      </c>
      <c r="G3422" t="s">
        <v>64</v>
      </c>
      <c r="L3422" t="s">
        <v>82</v>
      </c>
      <c r="M3422" t="s">
        <v>3123</v>
      </c>
    </row>
    <row r="3423" spans="1:13">
      <c r="A3423">
        <v>45947</v>
      </c>
      <c r="B3423" t="s">
        <v>63</v>
      </c>
      <c r="D3423">
        <v>13000</v>
      </c>
      <c r="F3423">
        <v>1</v>
      </c>
      <c r="G3423" t="s">
        <v>70</v>
      </c>
      <c r="I3423" t="s">
        <v>71</v>
      </c>
      <c r="J3423" t="s">
        <v>72</v>
      </c>
      <c r="K3423" t="s">
        <v>3124</v>
      </c>
      <c r="L3423" t="s">
        <v>62</v>
      </c>
      <c r="M3423" t="s">
        <v>90</v>
      </c>
    </row>
    <row r="3424" spans="1:13">
      <c r="A3424">
        <v>45947</v>
      </c>
      <c r="B3424" t="s">
        <v>3125</v>
      </c>
      <c r="F3424">
        <v>1</v>
      </c>
      <c r="G3424" t="s">
        <v>64</v>
      </c>
      <c r="L3424" t="s">
        <v>82</v>
      </c>
      <c r="M3424" t="s">
        <v>3004</v>
      </c>
    </row>
    <row r="3425" spans="1:13">
      <c r="A3425">
        <v>45947</v>
      </c>
      <c r="B3425" t="s">
        <v>63</v>
      </c>
      <c r="D3425">
        <v>19000</v>
      </c>
      <c r="F3425">
        <v>1</v>
      </c>
      <c r="G3425" t="s">
        <v>70</v>
      </c>
      <c r="I3425" t="s">
        <v>71</v>
      </c>
      <c r="J3425" t="s">
        <v>72</v>
      </c>
      <c r="K3425" t="s">
        <v>3126</v>
      </c>
      <c r="L3425" t="s">
        <v>62</v>
      </c>
      <c r="M3425" t="s">
        <v>90</v>
      </c>
    </row>
    <row r="3426" spans="1:13">
      <c r="A3426">
        <v>45947</v>
      </c>
      <c r="B3426" t="s">
        <v>3127</v>
      </c>
      <c r="F3426">
        <v>1</v>
      </c>
      <c r="G3426" t="s">
        <v>64</v>
      </c>
      <c r="L3426" t="s">
        <v>82</v>
      </c>
      <c r="M3426" t="s">
        <v>3128</v>
      </c>
    </row>
    <row r="3427" spans="1:13">
      <c r="A3427">
        <v>45947</v>
      </c>
      <c r="B3427" t="s">
        <v>76</v>
      </c>
      <c r="D3427">
        <v>9600</v>
      </c>
      <c r="G3427" t="s">
        <v>77</v>
      </c>
      <c r="I3427" t="s">
        <v>60</v>
      </c>
      <c r="J3427" t="s">
        <v>61</v>
      </c>
      <c r="L3427" t="s">
        <v>62</v>
      </c>
    </row>
    <row r="3428" spans="1:13">
      <c r="A3428">
        <v>45947</v>
      </c>
      <c r="B3428" t="s">
        <v>63</v>
      </c>
      <c r="D3428">
        <v>200</v>
      </c>
      <c r="F3428">
        <v>2</v>
      </c>
      <c r="G3428" t="s">
        <v>22</v>
      </c>
      <c r="H3428" t="s">
        <v>93</v>
      </c>
      <c r="I3428" t="s">
        <v>60</v>
      </c>
      <c r="J3428" t="s">
        <v>61</v>
      </c>
      <c r="L3428" t="s">
        <v>62</v>
      </c>
    </row>
    <row r="3429" spans="1:13">
      <c r="A3429">
        <v>45947</v>
      </c>
      <c r="B3429" t="s">
        <v>3129</v>
      </c>
      <c r="F3429">
        <v>1</v>
      </c>
      <c r="G3429" t="s">
        <v>0</v>
      </c>
      <c r="L3429" t="s">
        <v>89</v>
      </c>
    </row>
    <row r="3430" spans="1:13">
      <c r="A3430">
        <v>45948</v>
      </c>
      <c r="B3430" t="s">
        <v>196</v>
      </c>
      <c r="E3430">
        <v>7000</v>
      </c>
      <c r="F3430">
        <v>1</v>
      </c>
      <c r="G3430" t="s">
        <v>65</v>
      </c>
      <c r="H3430" t="s">
        <v>560</v>
      </c>
      <c r="I3430" t="s">
        <v>60</v>
      </c>
      <c r="J3430" t="s">
        <v>61</v>
      </c>
      <c r="L3430" t="s">
        <v>62</v>
      </c>
      <c r="M3430" t="s">
        <v>559</v>
      </c>
    </row>
    <row r="3431" spans="1:13">
      <c r="A3431">
        <v>45948</v>
      </c>
      <c r="B3431" t="s">
        <v>3130</v>
      </c>
      <c r="F3431">
        <v>1</v>
      </c>
      <c r="G3431" t="s">
        <v>64</v>
      </c>
      <c r="L3431" t="s">
        <v>82</v>
      </c>
      <c r="M3431" t="s">
        <v>96</v>
      </c>
    </row>
    <row r="3432" spans="1:13">
      <c r="A3432">
        <v>45948</v>
      </c>
      <c r="B3432" t="s">
        <v>3131</v>
      </c>
      <c r="F3432">
        <v>1</v>
      </c>
      <c r="G3432" t="s">
        <v>64</v>
      </c>
      <c r="L3432" t="s">
        <v>82</v>
      </c>
      <c r="M3432" t="s">
        <v>3132</v>
      </c>
    </row>
    <row r="3433" spans="1:13">
      <c r="A3433">
        <v>45948</v>
      </c>
      <c r="B3433" t="s">
        <v>63</v>
      </c>
      <c r="D3433">
        <v>53500</v>
      </c>
      <c r="G3433" t="s">
        <v>70</v>
      </c>
      <c r="I3433" t="s">
        <v>60</v>
      </c>
      <c r="J3433" t="s">
        <v>61</v>
      </c>
      <c r="L3433" t="s">
        <v>62</v>
      </c>
    </row>
    <row r="3434" spans="1:13">
      <c r="A3434">
        <v>45948</v>
      </c>
      <c r="B3434" t="s">
        <v>63</v>
      </c>
      <c r="D3434">
        <v>17500</v>
      </c>
      <c r="F3434">
        <v>2</v>
      </c>
      <c r="G3434" t="s">
        <v>70</v>
      </c>
      <c r="I3434" t="s">
        <v>71</v>
      </c>
      <c r="J3434" t="s">
        <v>72</v>
      </c>
      <c r="K3434" t="s">
        <v>3133</v>
      </c>
      <c r="L3434" t="s">
        <v>62</v>
      </c>
      <c r="M3434" t="s">
        <v>90</v>
      </c>
    </row>
    <row r="3435" spans="1:13">
      <c r="A3435">
        <v>45948</v>
      </c>
      <c r="B3435" t="s">
        <v>63</v>
      </c>
      <c r="D3435">
        <v>33500</v>
      </c>
      <c r="F3435">
        <v>3</v>
      </c>
      <c r="G3435" t="s">
        <v>70</v>
      </c>
      <c r="I3435" t="s">
        <v>71</v>
      </c>
      <c r="J3435" t="s">
        <v>72</v>
      </c>
      <c r="K3435" t="s">
        <v>3134</v>
      </c>
      <c r="L3435" t="s">
        <v>62</v>
      </c>
      <c r="M3435" t="s">
        <v>90</v>
      </c>
    </row>
    <row r="3436" spans="1:13">
      <c r="A3436">
        <v>45948</v>
      </c>
      <c r="B3436" t="s">
        <v>63</v>
      </c>
      <c r="D3436">
        <v>18500</v>
      </c>
      <c r="F3436">
        <v>1</v>
      </c>
      <c r="G3436" t="s">
        <v>70</v>
      </c>
      <c r="I3436" t="s">
        <v>71</v>
      </c>
      <c r="J3436" t="s">
        <v>72</v>
      </c>
      <c r="K3436" t="s">
        <v>3135</v>
      </c>
      <c r="L3436" t="s">
        <v>62</v>
      </c>
      <c r="M3436" t="s">
        <v>90</v>
      </c>
    </row>
    <row r="3437" spans="1:13">
      <c r="A3437">
        <v>45948</v>
      </c>
      <c r="B3437" t="s">
        <v>63</v>
      </c>
      <c r="D3437">
        <v>8000</v>
      </c>
      <c r="F3437">
        <v>1</v>
      </c>
      <c r="G3437" t="s">
        <v>70</v>
      </c>
      <c r="I3437" t="s">
        <v>71</v>
      </c>
      <c r="J3437" t="s">
        <v>72</v>
      </c>
      <c r="K3437" t="s">
        <v>3136</v>
      </c>
      <c r="L3437" t="s">
        <v>62</v>
      </c>
      <c r="M3437" t="s">
        <v>90</v>
      </c>
    </row>
    <row r="3438" spans="1:13">
      <c r="A3438">
        <v>45948</v>
      </c>
      <c r="B3438" t="s">
        <v>63</v>
      </c>
      <c r="D3438">
        <v>6000</v>
      </c>
      <c r="F3438">
        <v>1</v>
      </c>
      <c r="G3438" t="s">
        <v>70</v>
      </c>
      <c r="I3438" t="s">
        <v>71</v>
      </c>
      <c r="J3438" t="s">
        <v>72</v>
      </c>
      <c r="K3438" t="s">
        <v>3137</v>
      </c>
      <c r="L3438" t="s">
        <v>62</v>
      </c>
      <c r="M3438" t="s">
        <v>90</v>
      </c>
    </row>
    <row r="3439" spans="1:13">
      <c r="A3439">
        <v>45948</v>
      </c>
      <c r="B3439" t="s">
        <v>3138</v>
      </c>
      <c r="F3439">
        <v>1</v>
      </c>
      <c r="G3439" t="s">
        <v>64</v>
      </c>
      <c r="L3439" t="s">
        <v>89</v>
      </c>
      <c r="M3439" t="s">
        <v>3123</v>
      </c>
    </row>
    <row r="3440" spans="1:13">
      <c r="A3440">
        <v>45948</v>
      </c>
      <c r="B3440" t="s">
        <v>3139</v>
      </c>
      <c r="D3440">
        <v>500</v>
      </c>
      <c r="F3440">
        <v>1</v>
      </c>
      <c r="G3440" t="s">
        <v>22</v>
      </c>
      <c r="H3440" t="s">
        <v>21</v>
      </c>
      <c r="I3440" t="s">
        <v>60</v>
      </c>
      <c r="J3440" t="s">
        <v>61</v>
      </c>
      <c r="L3440" t="s">
        <v>86</v>
      </c>
    </row>
    <row r="3441" spans="1:13">
      <c r="A3441">
        <v>45948</v>
      </c>
      <c r="B3441" t="s">
        <v>3140</v>
      </c>
      <c r="F3441">
        <v>1</v>
      </c>
      <c r="G3441" t="s">
        <v>64</v>
      </c>
      <c r="L3441" t="s">
        <v>89</v>
      </c>
      <c r="M3441" t="s">
        <v>96</v>
      </c>
    </row>
    <row r="3442" spans="1:13">
      <c r="A3442">
        <v>45948</v>
      </c>
      <c r="B3442" t="s">
        <v>3141</v>
      </c>
      <c r="F3442">
        <v>1</v>
      </c>
      <c r="G3442" t="s">
        <v>79</v>
      </c>
      <c r="H3442" t="s">
        <v>21</v>
      </c>
      <c r="L3442" t="s">
        <v>86</v>
      </c>
    </row>
    <row r="3443" spans="1:13">
      <c r="A3443">
        <v>45948</v>
      </c>
      <c r="B3443" t="s">
        <v>3142</v>
      </c>
      <c r="F3443">
        <v>1</v>
      </c>
      <c r="G3443" t="s">
        <v>22</v>
      </c>
      <c r="H3443" t="s">
        <v>21</v>
      </c>
      <c r="L3443" t="s">
        <v>461</v>
      </c>
      <c r="M3443" t="s">
        <v>3143</v>
      </c>
    </row>
    <row r="3444" spans="1:13">
      <c r="A3444">
        <v>45948</v>
      </c>
      <c r="B3444" t="s">
        <v>3144</v>
      </c>
      <c r="F3444">
        <v>1</v>
      </c>
      <c r="G3444" t="s">
        <v>64</v>
      </c>
      <c r="L3444" t="s">
        <v>82</v>
      </c>
      <c r="M3444" t="s">
        <v>3145</v>
      </c>
    </row>
    <row r="3445" spans="1:13">
      <c r="A3445">
        <v>45948</v>
      </c>
      <c r="B3445" t="s">
        <v>3146</v>
      </c>
      <c r="F3445">
        <v>2</v>
      </c>
      <c r="G3445" t="s">
        <v>590</v>
      </c>
      <c r="H3445" t="s">
        <v>21</v>
      </c>
      <c r="L3445" t="s">
        <v>89</v>
      </c>
    </row>
    <row r="3446" spans="1:13">
      <c r="A3446">
        <v>45948</v>
      </c>
      <c r="B3446" t="s">
        <v>3147</v>
      </c>
      <c r="D3446">
        <v>500</v>
      </c>
      <c r="F3446">
        <v>1</v>
      </c>
      <c r="G3446" t="s">
        <v>22</v>
      </c>
      <c r="H3446" t="s">
        <v>21</v>
      </c>
      <c r="I3446" t="s">
        <v>60</v>
      </c>
      <c r="J3446" t="s">
        <v>61</v>
      </c>
      <c r="L3446" t="s">
        <v>86</v>
      </c>
    </row>
    <row r="3447" spans="1:13">
      <c r="A3447">
        <v>45948</v>
      </c>
      <c r="B3447" t="s">
        <v>3148</v>
      </c>
      <c r="D3447">
        <v>500</v>
      </c>
      <c r="F3447">
        <v>1</v>
      </c>
      <c r="G3447" t="s">
        <v>22</v>
      </c>
      <c r="H3447" t="s">
        <v>21</v>
      </c>
      <c r="I3447" t="s">
        <v>60</v>
      </c>
      <c r="J3447" t="s">
        <v>61</v>
      </c>
      <c r="L3447" t="s">
        <v>89</v>
      </c>
    </row>
    <row r="3448" spans="1:13">
      <c r="A3448">
        <v>45948</v>
      </c>
      <c r="B3448" t="s">
        <v>84</v>
      </c>
      <c r="D3448">
        <v>-62400</v>
      </c>
      <c r="G3448" t="s">
        <v>77</v>
      </c>
      <c r="I3448" t="s">
        <v>60</v>
      </c>
      <c r="J3448" t="s">
        <v>61</v>
      </c>
      <c r="L3448" t="s">
        <v>62</v>
      </c>
    </row>
    <row r="3449" spans="1:13">
      <c r="A3449">
        <v>45948</v>
      </c>
      <c r="B3449" t="s">
        <v>84</v>
      </c>
      <c r="E3449">
        <v>-3300</v>
      </c>
      <c r="G3449" t="s">
        <v>65</v>
      </c>
      <c r="H3449" t="s">
        <v>85</v>
      </c>
      <c r="I3449" t="s">
        <v>60</v>
      </c>
      <c r="J3449" t="s">
        <v>61</v>
      </c>
      <c r="L3449" t="s">
        <v>62</v>
      </c>
    </row>
    <row r="3450" spans="1:13">
      <c r="A3450">
        <v>45948</v>
      </c>
      <c r="B3450" t="s">
        <v>63</v>
      </c>
      <c r="D3450">
        <v>100</v>
      </c>
      <c r="F3450">
        <v>1</v>
      </c>
      <c r="G3450" t="s">
        <v>22</v>
      </c>
      <c r="H3450" t="s">
        <v>21</v>
      </c>
      <c r="I3450" t="s">
        <v>60</v>
      </c>
      <c r="J3450" t="s">
        <v>61</v>
      </c>
      <c r="L3450" t="s">
        <v>62</v>
      </c>
    </row>
    <row r="3451" spans="1:13">
      <c r="A3451">
        <v>45948</v>
      </c>
      <c r="B3451" t="s">
        <v>3149</v>
      </c>
      <c r="F3451">
        <v>1</v>
      </c>
      <c r="G3451" t="s">
        <v>64</v>
      </c>
      <c r="L3451" t="s">
        <v>86</v>
      </c>
      <c r="M3451" t="s">
        <v>3150</v>
      </c>
    </row>
    <row r="3452" spans="1:13">
      <c r="A3452">
        <v>45948</v>
      </c>
      <c r="B3452" t="s">
        <v>3151</v>
      </c>
      <c r="D3452">
        <v>500</v>
      </c>
      <c r="F3452">
        <v>1</v>
      </c>
      <c r="G3452" t="s">
        <v>22</v>
      </c>
      <c r="H3452" t="s">
        <v>21</v>
      </c>
      <c r="I3452" t="s">
        <v>60</v>
      </c>
      <c r="J3452" t="s">
        <v>61</v>
      </c>
      <c r="L3452" t="s">
        <v>86</v>
      </c>
    </row>
    <row r="3453" spans="1:13">
      <c r="A3453">
        <v>45948</v>
      </c>
      <c r="B3453" t="s">
        <v>3152</v>
      </c>
      <c r="F3453">
        <v>1</v>
      </c>
      <c r="G3453" t="s">
        <v>64</v>
      </c>
      <c r="L3453" t="s">
        <v>86</v>
      </c>
      <c r="M3453" t="s">
        <v>96</v>
      </c>
    </row>
    <row r="3454" spans="1:13">
      <c r="A3454">
        <v>45948</v>
      </c>
      <c r="B3454" t="s">
        <v>3153</v>
      </c>
      <c r="F3454">
        <v>1</v>
      </c>
      <c r="G3454" t="s">
        <v>64</v>
      </c>
      <c r="L3454" t="s">
        <v>86</v>
      </c>
      <c r="M3454" t="s">
        <v>96</v>
      </c>
    </row>
    <row r="3455" spans="1:13">
      <c r="A3455">
        <v>45949</v>
      </c>
      <c r="B3455" t="s">
        <v>63</v>
      </c>
      <c r="D3455">
        <v>34500</v>
      </c>
      <c r="G3455" t="s">
        <v>70</v>
      </c>
      <c r="I3455" t="s">
        <v>60</v>
      </c>
      <c r="J3455" t="s">
        <v>61</v>
      </c>
      <c r="L3455" t="s">
        <v>62</v>
      </c>
    </row>
    <row r="3456" spans="1:13">
      <c r="A3456">
        <v>45949</v>
      </c>
      <c r="B3456" t="s">
        <v>80</v>
      </c>
      <c r="E3456">
        <v>20302</v>
      </c>
      <c r="F3456">
        <v>1</v>
      </c>
      <c r="G3456" t="s">
        <v>74</v>
      </c>
      <c r="H3456" t="s">
        <v>75</v>
      </c>
      <c r="I3456" t="s">
        <v>60</v>
      </c>
      <c r="J3456" t="s">
        <v>61</v>
      </c>
      <c r="L3456" t="s">
        <v>87</v>
      </c>
    </row>
    <row r="3457" spans="1:13">
      <c r="A3457">
        <v>45949</v>
      </c>
      <c r="B3457" t="s">
        <v>80</v>
      </c>
      <c r="E3457">
        <v>198</v>
      </c>
      <c r="F3457">
        <v>1</v>
      </c>
      <c r="G3457" t="s">
        <v>65</v>
      </c>
      <c r="H3457" t="s">
        <v>66</v>
      </c>
      <c r="I3457" t="s">
        <v>60</v>
      </c>
      <c r="J3457" t="s">
        <v>61</v>
      </c>
      <c r="L3457" t="s">
        <v>62</v>
      </c>
    </row>
    <row r="3458" spans="1:13">
      <c r="A3458">
        <v>45949</v>
      </c>
      <c r="B3458" t="s">
        <v>63</v>
      </c>
      <c r="D3458">
        <v>100</v>
      </c>
      <c r="F3458">
        <v>1</v>
      </c>
      <c r="G3458" t="s">
        <v>22</v>
      </c>
      <c r="H3458" t="s">
        <v>21</v>
      </c>
      <c r="I3458" t="s">
        <v>60</v>
      </c>
      <c r="J3458" t="s">
        <v>61</v>
      </c>
      <c r="L3458" t="s">
        <v>62</v>
      </c>
    </row>
    <row r="3459" spans="1:13">
      <c r="A3459">
        <v>45949</v>
      </c>
      <c r="B3459" t="s">
        <v>3154</v>
      </c>
      <c r="D3459">
        <v>500</v>
      </c>
      <c r="F3459">
        <v>1</v>
      </c>
      <c r="G3459" t="s">
        <v>22</v>
      </c>
      <c r="H3459" t="s">
        <v>21</v>
      </c>
      <c r="I3459" t="s">
        <v>60</v>
      </c>
      <c r="J3459" t="s">
        <v>61</v>
      </c>
      <c r="L3459" t="s">
        <v>86</v>
      </c>
    </row>
    <row r="3460" spans="1:13">
      <c r="A3460">
        <v>45949</v>
      </c>
      <c r="B3460" t="s">
        <v>3155</v>
      </c>
      <c r="F3460">
        <v>1</v>
      </c>
      <c r="G3460" t="s">
        <v>79</v>
      </c>
      <c r="H3460" t="s">
        <v>21</v>
      </c>
      <c r="L3460" t="s">
        <v>89</v>
      </c>
    </row>
    <row r="3461" spans="1:13">
      <c r="A3461">
        <v>45949</v>
      </c>
      <c r="B3461" t="s">
        <v>3156</v>
      </c>
      <c r="D3461">
        <v>500</v>
      </c>
      <c r="F3461">
        <v>1</v>
      </c>
      <c r="G3461" t="s">
        <v>22</v>
      </c>
      <c r="H3461" t="s">
        <v>21</v>
      </c>
      <c r="I3461" t="s">
        <v>60</v>
      </c>
      <c r="J3461" t="s">
        <v>61</v>
      </c>
      <c r="L3461" t="s">
        <v>89</v>
      </c>
    </row>
    <row r="3462" spans="1:13">
      <c r="A3462">
        <v>45950</v>
      </c>
      <c r="B3462" t="s">
        <v>102</v>
      </c>
      <c r="C3462" t="s">
        <v>3157</v>
      </c>
      <c r="F3462">
        <v>18</v>
      </c>
      <c r="G3462" t="s">
        <v>22</v>
      </c>
      <c r="H3462" t="s">
        <v>21</v>
      </c>
      <c r="L3462" t="s">
        <v>95</v>
      </c>
    </row>
    <row r="3463" spans="1:13">
      <c r="A3463">
        <v>45950</v>
      </c>
      <c r="B3463" t="s">
        <v>3158</v>
      </c>
      <c r="F3463">
        <v>1</v>
      </c>
      <c r="G3463" t="s">
        <v>79</v>
      </c>
      <c r="H3463" t="s">
        <v>21</v>
      </c>
      <c r="L3463" t="s">
        <v>89</v>
      </c>
    </row>
    <row r="3464" spans="1:13">
      <c r="A3464">
        <v>45950</v>
      </c>
      <c r="B3464" t="s">
        <v>3159</v>
      </c>
      <c r="D3464">
        <v>500</v>
      </c>
      <c r="F3464">
        <v>1</v>
      </c>
      <c r="G3464" t="s">
        <v>22</v>
      </c>
      <c r="H3464" t="s">
        <v>21</v>
      </c>
      <c r="I3464" t="s">
        <v>60</v>
      </c>
      <c r="J3464" t="s">
        <v>61</v>
      </c>
      <c r="L3464" t="s">
        <v>89</v>
      </c>
    </row>
    <row r="3465" spans="1:13">
      <c r="A3465">
        <v>45950</v>
      </c>
      <c r="B3465" t="s">
        <v>3160</v>
      </c>
      <c r="D3465">
        <v>500</v>
      </c>
      <c r="F3465">
        <v>1</v>
      </c>
      <c r="G3465" t="s">
        <v>22</v>
      </c>
      <c r="H3465" t="s">
        <v>21</v>
      </c>
      <c r="I3465" t="s">
        <v>60</v>
      </c>
      <c r="J3465" t="s">
        <v>61</v>
      </c>
      <c r="L3465" t="s">
        <v>89</v>
      </c>
    </row>
    <row r="3466" spans="1:13">
      <c r="A3466">
        <v>45950</v>
      </c>
      <c r="B3466" t="s">
        <v>3161</v>
      </c>
      <c r="D3466">
        <v>500</v>
      </c>
      <c r="F3466">
        <v>1</v>
      </c>
      <c r="G3466" t="s">
        <v>22</v>
      </c>
      <c r="H3466" t="s">
        <v>21</v>
      </c>
      <c r="I3466" t="s">
        <v>60</v>
      </c>
      <c r="J3466" t="s">
        <v>61</v>
      </c>
      <c r="L3466" t="s">
        <v>82</v>
      </c>
    </row>
    <row r="3467" spans="1:13">
      <c r="A3467">
        <v>45950</v>
      </c>
      <c r="B3467" t="s">
        <v>3162</v>
      </c>
      <c r="D3467">
        <v>500</v>
      </c>
      <c r="F3467">
        <v>1</v>
      </c>
      <c r="G3467" t="s">
        <v>22</v>
      </c>
      <c r="H3467" t="s">
        <v>21</v>
      </c>
      <c r="I3467" t="s">
        <v>60</v>
      </c>
      <c r="J3467" t="s">
        <v>61</v>
      </c>
      <c r="L3467" t="s">
        <v>82</v>
      </c>
    </row>
    <row r="3468" spans="1:13">
      <c r="A3468">
        <v>45950</v>
      </c>
      <c r="B3468" t="s">
        <v>63</v>
      </c>
      <c r="D3468">
        <v>200</v>
      </c>
      <c r="F3468">
        <v>2</v>
      </c>
      <c r="G3468" t="s">
        <v>22</v>
      </c>
      <c r="H3468" t="s">
        <v>93</v>
      </c>
      <c r="I3468" t="s">
        <v>60</v>
      </c>
      <c r="J3468" t="s">
        <v>61</v>
      </c>
      <c r="L3468" t="s">
        <v>62</v>
      </c>
    </row>
    <row r="3469" spans="1:13">
      <c r="A3469">
        <v>45950</v>
      </c>
      <c r="B3469" t="s">
        <v>63</v>
      </c>
      <c r="D3469">
        <v>6000</v>
      </c>
      <c r="G3469" t="s">
        <v>70</v>
      </c>
      <c r="I3469" t="s">
        <v>60</v>
      </c>
      <c r="J3469" t="s">
        <v>61</v>
      </c>
      <c r="L3469" t="s">
        <v>62</v>
      </c>
    </row>
    <row r="3470" spans="1:13">
      <c r="A3470">
        <v>45950</v>
      </c>
      <c r="B3470" t="s">
        <v>719</v>
      </c>
      <c r="E3470">
        <v>407130</v>
      </c>
      <c r="F3470">
        <v>1</v>
      </c>
      <c r="G3470" t="s">
        <v>65</v>
      </c>
      <c r="H3470" t="s">
        <v>348</v>
      </c>
      <c r="I3470" t="s">
        <v>60</v>
      </c>
      <c r="J3470" t="s">
        <v>61</v>
      </c>
      <c r="L3470" t="s">
        <v>88</v>
      </c>
      <c r="M3470" t="s">
        <v>3163</v>
      </c>
    </row>
    <row r="3471" spans="1:13">
      <c r="A3471">
        <v>45950</v>
      </c>
      <c r="B3471" t="s">
        <v>3164</v>
      </c>
      <c r="D3471">
        <v>500</v>
      </c>
      <c r="F3471">
        <v>0</v>
      </c>
      <c r="G3471" t="s">
        <v>22</v>
      </c>
      <c r="H3471" t="s">
        <v>21</v>
      </c>
      <c r="I3471" t="s">
        <v>60</v>
      </c>
      <c r="J3471" t="s">
        <v>61</v>
      </c>
      <c r="L3471" t="s">
        <v>89</v>
      </c>
      <c r="M3471" t="s">
        <v>83</v>
      </c>
    </row>
    <row r="3472" spans="1:13">
      <c r="A3472">
        <v>45950</v>
      </c>
      <c r="B3472" t="s">
        <v>3165</v>
      </c>
      <c r="E3472">
        <v>500</v>
      </c>
      <c r="F3472">
        <v>1</v>
      </c>
      <c r="G3472" t="s">
        <v>65</v>
      </c>
      <c r="H3472" t="s">
        <v>66</v>
      </c>
      <c r="I3472" t="s">
        <v>60</v>
      </c>
      <c r="J3472" t="s">
        <v>61</v>
      </c>
      <c r="L3472" t="s">
        <v>62</v>
      </c>
    </row>
    <row r="3473" spans="1:13">
      <c r="A3473">
        <v>45950</v>
      </c>
      <c r="B3473" t="s">
        <v>3166</v>
      </c>
      <c r="F3473">
        <v>1</v>
      </c>
      <c r="G3473" t="s">
        <v>64</v>
      </c>
      <c r="L3473" t="s">
        <v>89</v>
      </c>
      <c r="M3473" t="s">
        <v>3055</v>
      </c>
    </row>
    <row r="3474" spans="1:13">
      <c r="A3474">
        <v>45950</v>
      </c>
      <c r="B3474" t="s">
        <v>3167</v>
      </c>
      <c r="D3474">
        <v>500</v>
      </c>
      <c r="F3474">
        <v>1</v>
      </c>
      <c r="G3474" t="s">
        <v>22</v>
      </c>
      <c r="H3474" t="s">
        <v>21</v>
      </c>
      <c r="I3474" t="s">
        <v>60</v>
      </c>
      <c r="J3474" t="s">
        <v>61</v>
      </c>
      <c r="L3474" t="s">
        <v>82</v>
      </c>
    </row>
    <row r="3475" spans="1:13">
      <c r="A3475">
        <v>45950</v>
      </c>
      <c r="B3475" t="s">
        <v>3168</v>
      </c>
      <c r="F3475">
        <v>1</v>
      </c>
      <c r="G3475" t="s">
        <v>64</v>
      </c>
      <c r="L3475" t="s">
        <v>82</v>
      </c>
      <c r="M3475" t="s">
        <v>2408</v>
      </c>
    </row>
    <row r="3476" spans="1:13">
      <c r="A3476">
        <v>45950</v>
      </c>
      <c r="B3476" t="s">
        <v>3169</v>
      </c>
      <c r="D3476">
        <v>500</v>
      </c>
      <c r="F3476">
        <v>0</v>
      </c>
      <c r="G3476" t="s">
        <v>22</v>
      </c>
      <c r="H3476" t="s">
        <v>21</v>
      </c>
      <c r="I3476" t="s">
        <v>60</v>
      </c>
      <c r="J3476" t="s">
        <v>61</v>
      </c>
      <c r="L3476" t="s">
        <v>82</v>
      </c>
      <c r="M3476" t="s">
        <v>83</v>
      </c>
    </row>
    <row r="3477" spans="1:13">
      <c r="A3477">
        <v>45950</v>
      </c>
      <c r="B3477" t="s">
        <v>3170</v>
      </c>
      <c r="D3477">
        <v>500</v>
      </c>
      <c r="F3477">
        <v>1</v>
      </c>
      <c r="G3477" t="s">
        <v>22</v>
      </c>
      <c r="H3477" t="s">
        <v>21</v>
      </c>
      <c r="I3477" t="s">
        <v>60</v>
      </c>
      <c r="J3477" t="s">
        <v>61</v>
      </c>
      <c r="L3477" t="s">
        <v>82</v>
      </c>
    </row>
    <row r="3478" spans="1:13">
      <c r="A3478">
        <v>45950</v>
      </c>
      <c r="B3478" t="s">
        <v>3171</v>
      </c>
      <c r="F3478">
        <v>1</v>
      </c>
      <c r="G3478" t="s">
        <v>64</v>
      </c>
      <c r="L3478" t="s">
        <v>82</v>
      </c>
      <c r="M3478" t="s">
        <v>96</v>
      </c>
    </row>
    <row r="3479" spans="1:13">
      <c r="A3479">
        <v>45950</v>
      </c>
      <c r="B3479" t="s">
        <v>3172</v>
      </c>
      <c r="D3479">
        <v>500</v>
      </c>
      <c r="F3479">
        <v>1</v>
      </c>
      <c r="G3479" t="s">
        <v>22</v>
      </c>
      <c r="H3479" t="s">
        <v>21</v>
      </c>
      <c r="I3479" t="s">
        <v>60</v>
      </c>
      <c r="J3479" t="s">
        <v>61</v>
      </c>
      <c r="L3479" t="s">
        <v>82</v>
      </c>
    </row>
    <row r="3480" spans="1:13">
      <c r="A3480">
        <v>45951</v>
      </c>
      <c r="B3480" t="s">
        <v>3173</v>
      </c>
      <c r="F3480">
        <v>2</v>
      </c>
      <c r="G3480" t="s">
        <v>79</v>
      </c>
      <c r="H3480" t="s">
        <v>21</v>
      </c>
      <c r="L3480" t="s">
        <v>82</v>
      </c>
    </row>
    <row r="3481" spans="1:13">
      <c r="A3481">
        <v>45951</v>
      </c>
      <c r="B3481" t="s">
        <v>3174</v>
      </c>
      <c r="D3481">
        <v>500</v>
      </c>
      <c r="F3481">
        <v>1</v>
      </c>
      <c r="G3481" t="s">
        <v>22</v>
      </c>
      <c r="H3481" t="s">
        <v>21</v>
      </c>
      <c r="I3481" t="s">
        <v>60</v>
      </c>
      <c r="J3481" t="s">
        <v>61</v>
      </c>
      <c r="L3481" t="s">
        <v>89</v>
      </c>
    </row>
    <row r="3482" spans="1:13">
      <c r="A3482">
        <v>45951</v>
      </c>
      <c r="B3482" t="s">
        <v>3175</v>
      </c>
      <c r="F3482">
        <v>1</v>
      </c>
      <c r="G3482" t="s">
        <v>64</v>
      </c>
      <c r="L3482" t="s">
        <v>89</v>
      </c>
      <c r="M3482" t="s">
        <v>96</v>
      </c>
    </row>
    <row r="3483" spans="1:13">
      <c r="A3483">
        <v>45951</v>
      </c>
      <c r="B3483" t="s">
        <v>63</v>
      </c>
      <c r="D3483">
        <v>6500</v>
      </c>
      <c r="G3483" t="s">
        <v>70</v>
      </c>
      <c r="I3483" t="s">
        <v>60</v>
      </c>
      <c r="J3483" t="s">
        <v>61</v>
      </c>
      <c r="L3483" t="s">
        <v>62</v>
      </c>
    </row>
    <row r="3484" spans="1:13">
      <c r="A3484">
        <v>45951</v>
      </c>
      <c r="B3484" t="s">
        <v>3176</v>
      </c>
      <c r="F3484">
        <v>1</v>
      </c>
      <c r="G3484" t="s">
        <v>64</v>
      </c>
      <c r="L3484" t="s">
        <v>82</v>
      </c>
      <c r="M3484" t="s">
        <v>3055</v>
      </c>
    </row>
    <row r="3485" spans="1:13">
      <c r="A3485">
        <v>45951</v>
      </c>
      <c r="B3485" t="s">
        <v>3177</v>
      </c>
      <c r="F3485">
        <v>1</v>
      </c>
      <c r="G3485" t="s">
        <v>79</v>
      </c>
      <c r="H3485" t="s">
        <v>21</v>
      </c>
      <c r="L3485" t="s">
        <v>89</v>
      </c>
    </row>
    <row r="3486" spans="1:13">
      <c r="A3486">
        <v>45951</v>
      </c>
      <c r="B3486" t="s">
        <v>3178</v>
      </c>
      <c r="F3486">
        <v>1</v>
      </c>
      <c r="G3486" t="s">
        <v>564</v>
      </c>
      <c r="H3486" t="s">
        <v>21</v>
      </c>
      <c r="L3486" t="s">
        <v>82</v>
      </c>
    </row>
    <row r="3487" spans="1:13">
      <c r="A3487">
        <v>45951</v>
      </c>
      <c r="B3487" t="s">
        <v>3179</v>
      </c>
      <c r="F3487">
        <v>1</v>
      </c>
      <c r="G3487" t="s">
        <v>79</v>
      </c>
      <c r="H3487" t="s">
        <v>21</v>
      </c>
      <c r="L3487" t="s">
        <v>89</v>
      </c>
    </row>
    <row r="3488" spans="1:13">
      <c r="A3488">
        <v>45952</v>
      </c>
      <c r="B3488" t="s">
        <v>63</v>
      </c>
      <c r="D3488">
        <v>8000</v>
      </c>
      <c r="F3488">
        <v>1</v>
      </c>
      <c r="G3488" t="s">
        <v>70</v>
      </c>
      <c r="I3488" t="s">
        <v>71</v>
      </c>
      <c r="J3488" t="s">
        <v>72</v>
      </c>
      <c r="K3488" t="s">
        <v>3180</v>
      </c>
      <c r="L3488" t="s">
        <v>62</v>
      </c>
      <c r="M3488" t="s">
        <v>90</v>
      </c>
    </row>
    <row r="3489" spans="1:13">
      <c r="A3489">
        <v>45952</v>
      </c>
      <c r="B3489" t="s">
        <v>63</v>
      </c>
      <c r="D3489">
        <v>11000</v>
      </c>
      <c r="F3489">
        <v>1</v>
      </c>
      <c r="G3489" t="s">
        <v>70</v>
      </c>
      <c r="I3489" t="s">
        <v>71</v>
      </c>
      <c r="J3489" t="s">
        <v>72</v>
      </c>
      <c r="K3489" t="s">
        <v>3181</v>
      </c>
      <c r="L3489" t="s">
        <v>62</v>
      </c>
      <c r="M3489" t="s">
        <v>90</v>
      </c>
    </row>
    <row r="3490" spans="1:13">
      <c r="A3490">
        <v>45952</v>
      </c>
      <c r="B3490" t="s">
        <v>63</v>
      </c>
      <c r="D3490">
        <v>22000</v>
      </c>
      <c r="F3490">
        <v>2</v>
      </c>
      <c r="G3490" t="s">
        <v>70</v>
      </c>
      <c r="I3490" t="s">
        <v>71</v>
      </c>
      <c r="J3490" t="s">
        <v>72</v>
      </c>
      <c r="K3490" t="s">
        <v>3182</v>
      </c>
      <c r="L3490" t="s">
        <v>62</v>
      </c>
      <c r="M3490" t="s">
        <v>90</v>
      </c>
    </row>
    <row r="3491" spans="1:13">
      <c r="A3491">
        <v>45952</v>
      </c>
      <c r="B3491" t="s">
        <v>63</v>
      </c>
      <c r="D3491">
        <v>1000</v>
      </c>
      <c r="F3491">
        <v>10</v>
      </c>
      <c r="G3491" t="s">
        <v>22</v>
      </c>
      <c r="H3491" t="s">
        <v>93</v>
      </c>
      <c r="I3491" t="s">
        <v>60</v>
      </c>
      <c r="J3491" t="s">
        <v>61</v>
      </c>
      <c r="L3491" t="s">
        <v>62</v>
      </c>
    </row>
    <row r="3492" spans="1:13">
      <c r="A3492">
        <v>45952</v>
      </c>
      <c r="B3492" t="s">
        <v>3183</v>
      </c>
      <c r="D3492">
        <v>500</v>
      </c>
      <c r="F3492">
        <v>1</v>
      </c>
      <c r="G3492" t="s">
        <v>22</v>
      </c>
      <c r="H3492" t="s">
        <v>21</v>
      </c>
      <c r="I3492" t="s">
        <v>60</v>
      </c>
      <c r="J3492" t="s">
        <v>61</v>
      </c>
      <c r="L3492" t="s">
        <v>82</v>
      </c>
    </row>
    <row r="3493" spans="1:13">
      <c r="A3493">
        <v>45952</v>
      </c>
      <c r="B3493" t="s">
        <v>546</v>
      </c>
      <c r="F3493">
        <v>-34</v>
      </c>
      <c r="G3493" t="s">
        <v>22</v>
      </c>
      <c r="H3493" t="s">
        <v>93</v>
      </c>
      <c r="L3493" t="s">
        <v>461</v>
      </c>
    </row>
    <row r="3494" spans="1:13">
      <c r="A3494">
        <v>45953</v>
      </c>
      <c r="B3494" t="s">
        <v>63</v>
      </c>
      <c r="D3494">
        <v>6104</v>
      </c>
      <c r="G3494" t="s">
        <v>70</v>
      </c>
      <c r="I3494" t="s">
        <v>60</v>
      </c>
      <c r="J3494" t="s">
        <v>61</v>
      </c>
      <c r="L3494" t="s">
        <v>62</v>
      </c>
    </row>
    <row r="3495" spans="1:13">
      <c r="A3495">
        <v>45953</v>
      </c>
      <c r="B3495" t="s">
        <v>3184</v>
      </c>
      <c r="D3495">
        <v>500</v>
      </c>
      <c r="F3495">
        <v>1</v>
      </c>
      <c r="G3495" t="s">
        <v>22</v>
      </c>
      <c r="H3495" t="s">
        <v>21</v>
      </c>
      <c r="I3495" t="s">
        <v>60</v>
      </c>
      <c r="J3495" t="s">
        <v>61</v>
      </c>
      <c r="L3495" t="s">
        <v>89</v>
      </c>
    </row>
    <row r="3496" spans="1:13">
      <c r="A3496">
        <v>45953</v>
      </c>
      <c r="B3496" t="s">
        <v>773</v>
      </c>
      <c r="C3496" t="s">
        <v>3185</v>
      </c>
      <c r="E3496">
        <v>202398.09</v>
      </c>
      <c r="F3496">
        <v>1</v>
      </c>
      <c r="G3496" t="s">
        <v>65</v>
      </c>
      <c r="H3496" t="s">
        <v>265</v>
      </c>
      <c r="I3496" t="s">
        <v>60</v>
      </c>
      <c r="J3496" t="s">
        <v>61</v>
      </c>
      <c r="L3496" t="s">
        <v>62</v>
      </c>
      <c r="M3496" t="s">
        <v>3186</v>
      </c>
    </row>
    <row r="3497" spans="1:13">
      <c r="A3497">
        <v>45953</v>
      </c>
      <c r="B3497" t="s">
        <v>3187</v>
      </c>
      <c r="F3497">
        <v>1</v>
      </c>
      <c r="G3497" t="s">
        <v>79</v>
      </c>
      <c r="H3497" t="s">
        <v>21</v>
      </c>
      <c r="L3497" t="s">
        <v>89</v>
      </c>
    </row>
    <row r="3498" spans="1:13">
      <c r="A3498">
        <v>45953</v>
      </c>
      <c r="B3498" t="s">
        <v>3188</v>
      </c>
      <c r="F3498">
        <v>1</v>
      </c>
      <c r="G3498" t="s">
        <v>2490</v>
      </c>
      <c r="L3498" t="s">
        <v>89</v>
      </c>
      <c r="M3498" t="s">
        <v>2993</v>
      </c>
    </row>
    <row r="3499" spans="1:13">
      <c r="A3499">
        <v>45953</v>
      </c>
      <c r="B3499" t="s">
        <v>3189</v>
      </c>
      <c r="F3499">
        <v>1</v>
      </c>
      <c r="G3499" t="s">
        <v>2490</v>
      </c>
      <c r="L3499" t="s">
        <v>89</v>
      </c>
      <c r="M3499" t="s">
        <v>2993</v>
      </c>
    </row>
    <row r="3500" spans="1:13">
      <c r="A3500">
        <v>45953</v>
      </c>
      <c r="B3500" t="s">
        <v>63</v>
      </c>
      <c r="D3500">
        <v>6500</v>
      </c>
      <c r="F3500">
        <v>1</v>
      </c>
      <c r="G3500" t="s">
        <v>70</v>
      </c>
      <c r="I3500" t="s">
        <v>71</v>
      </c>
      <c r="J3500" t="s">
        <v>535</v>
      </c>
      <c r="K3500" t="s">
        <v>3190</v>
      </c>
      <c r="L3500" t="s">
        <v>62</v>
      </c>
      <c r="M3500" t="s">
        <v>90</v>
      </c>
    </row>
    <row r="3501" spans="1:13">
      <c r="A3501">
        <v>45953</v>
      </c>
      <c r="B3501" t="s">
        <v>3191</v>
      </c>
      <c r="D3501">
        <v>70887.89</v>
      </c>
      <c r="F3501">
        <v>1</v>
      </c>
      <c r="G3501" t="s">
        <v>64</v>
      </c>
      <c r="I3501" t="s">
        <v>60</v>
      </c>
      <c r="J3501" t="s">
        <v>61</v>
      </c>
      <c r="L3501" t="s">
        <v>86</v>
      </c>
      <c r="M3501" t="s">
        <v>3192</v>
      </c>
    </row>
    <row r="3502" spans="1:13">
      <c r="A3502">
        <v>45953</v>
      </c>
      <c r="B3502" t="s">
        <v>3193</v>
      </c>
      <c r="D3502">
        <v>500</v>
      </c>
      <c r="F3502">
        <v>1</v>
      </c>
      <c r="G3502" t="s">
        <v>22</v>
      </c>
      <c r="H3502" t="s">
        <v>21</v>
      </c>
      <c r="I3502" t="s">
        <v>60</v>
      </c>
      <c r="J3502" t="s">
        <v>61</v>
      </c>
      <c r="L3502" t="s">
        <v>86</v>
      </c>
    </row>
    <row r="3503" spans="1:13">
      <c r="A3503">
        <v>45953</v>
      </c>
      <c r="B3503" t="s">
        <v>3194</v>
      </c>
      <c r="F3503">
        <v>1</v>
      </c>
      <c r="G3503" t="s">
        <v>64</v>
      </c>
      <c r="L3503" t="s">
        <v>86</v>
      </c>
      <c r="M3503" t="s">
        <v>1282</v>
      </c>
    </row>
    <row r="3504" spans="1:13">
      <c r="A3504">
        <v>45953</v>
      </c>
      <c r="B3504" t="s">
        <v>63</v>
      </c>
      <c r="D3504">
        <v>100</v>
      </c>
      <c r="F3504">
        <v>1</v>
      </c>
      <c r="G3504" t="s">
        <v>22</v>
      </c>
      <c r="H3504" t="s">
        <v>93</v>
      </c>
      <c r="I3504" t="s">
        <v>60</v>
      </c>
      <c r="J3504" t="s">
        <v>61</v>
      </c>
      <c r="L3504" t="s">
        <v>62</v>
      </c>
    </row>
    <row r="3505" spans="1:13">
      <c r="A3505">
        <v>45953</v>
      </c>
      <c r="B3505" t="s">
        <v>63</v>
      </c>
      <c r="D3505">
        <v>12000</v>
      </c>
      <c r="F3505">
        <v>1</v>
      </c>
      <c r="G3505" t="s">
        <v>70</v>
      </c>
      <c r="I3505" t="s">
        <v>71</v>
      </c>
      <c r="J3505" t="s">
        <v>535</v>
      </c>
      <c r="K3505" t="s">
        <v>3195</v>
      </c>
      <c r="L3505" t="s">
        <v>62</v>
      </c>
      <c r="M3505" t="s">
        <v>90</v>
      </c>
    </row>
    <row r="3506" spans="1:13">
      <c r="A3506">
        <v>45954</v>
      </c>
      <c r="B3506" t="s">
        <v>3196</v>
      </c>
      <c r="F3506">
        <v>1</v>
      </c>
      <c r="G3506" t="s">
        <v>64</v>
      </c>
      <c r="L3506" t="s">
        <v>82</v>
      </c>
      <c r="M3506" t="s">
        <v>96</v>
      </c>
    </row>
    <row r="3507" spans="1:13">
      <c r="A3507">
        <v>45954</v>
      </c>
      <c r="B3507" t="s">
        <v>3197</v>
      </c>
      <c r="F3507">
        <v>1</v>
      </c>
      <c r="G3507" t="s">
        <v>79</v>
      </c>
      <c r="H3507" t="s">
        <v>21</v>
      </c>
      <c r="L3507" t="s">
        <v>89</v>
      </c>
    </row>
    <row r="3508" spans="1:13">
      <c r="A3508">
        <v>45954</v>
      </c>
      <c r="B3508" t="s">
        <v>3197</v>
      </c>
      <c r="D3508">
        <v>163799.1</v>
      </c>
      <c r="F3508">
        <v>1</v>
      </c>
      <c r="G3508" t="s">
        <v>64</v>
      </c>
      <c r="I3508" t="s">
        <v>60</v>
      </c>
      <c r="J3508" t="s">
        <v>61</v>
      </c>
      <c r="L3508" t="s">
        <v>89</v>
      </c>
    </row>
    <row r="3509" spans="1:13">
      <c r="A3509">
        <v>45954</v>
      </c>
      <c r="B3509" t="s">
        <v>3198</v>
      </c>
      <c r="D3509">
        <v>100000</v>
      </c>
      <c r="F3509">
        <v>1</v>
      </c>
      <c r="G3509" t="s">
        <v>64</v>
      </c>
      <c r="I3509" t="s">
        <v>60</v>
      </c>
      <c r="J3509" t="s">
        <v>61</v>
      </c>
      <c r="L3509" t="s">
        <v>82</v>
      </c>
      <c r="M3509" t="s">
        <v>3199</v>
      </c>
    </row>
    <row r="3510" spans="1:13">
      <c r="A3510">
        <v>45954</v>
      </c>
      <c r="B3510" t="s">
        <v>63</v>
      </c>
      <c r="D3510">
        <v>8000</v>
      </c>
      <c r="F3510">
        <v>1</v>
      </c>
      <c r="G3510" t="s">
        <v>70</v>
      </c>
      <c r="I3510" t="s">
        <v>71</v>
      </c>
      <c r="J3510" t="s">
        <v>72</v>
      </c>
      <c r="K3510" t="s">
        <v>3200</v>
      </c>
      <c r="L3510" t="s">
        <v>62</v>
      </c>
      <c r="M3510" t="s">
        <v>90</v>
      </c>
    </row>
    <row r="3511" spans="1:13">
      <c r="A3511">
        <v>45954</v>
      </c>
      <c r="B3511" t="s">
        <v>76</v>
      </c>
      <c r="D3511">
        <v>4000</v>
      </c>
      <c r="G3511" t="s">
        <v>77</v>
      </c>
      <c r="I3511" t="s">
        <v>60</v>
      </c>
      <c r="J3511" t="s">
        <v>61</v>
      </c>
      <c r="L3511" t="s">
        <v>62</v>
      </c>
    </row>
    <row r="3512" spans="1:13">
      <c r="A3512">
        <v>45954</v>
      </c>
      <c r="B3512" t="s">
        <v>3201</v>
      </c>
      <c r="F3512">
        <v>2</v>
      </c>
      <c r="G3512" t="s">
        <v>603</v>
      </c>
      <c r="H3512" t="s">
        <v>21</v>
      </c>
      <c r="L3512" t="s">
        <v>89</v>
      </c>
    </row>
    <row r="3513" spans="1:13">
      <c r="A3513">
        <v>45955</v>
      </c>
      <c r="B3513" t="s">
        <v>3202</v>
      </c>
      <c r="F3513">
        <v>1</v>
      </c>
      <c r="G3513" t="s">
        <v>79</v>
      </c>
      <c r="H3513" t="s">
        <v>21</v>
      </c>
      <c r="L3513" t="s">
        <v>89</v>
      </c>
    </row>
    <row r="3514" spans="1:13">
      <c r="A3514">
        <v>45955</v>
      </c>
      <c r="B3514" t="s">
        <v>63</v>
      </c>
      <c r="D3514">
        <v>20000</v>
      </c>
      <c r="F3514">
        <v>2</v>
      </c>
      <c r="G3514" t="s">
        <v>70</v>
      </c>
      <c r="I3514" t="s">
        <v>71</v>
      </c>
      <c r="J3514" t="s">
        <v>535</v>
      </c>
      <c r="K3514" t="s">
        <v>3203</v>
      </c>
      <c r="L3514" t="s">
        <v>62</v>
      </c>
      <c r="M3514" t="s">
        <v>90</v>
      </c>
    </row>
    <row r="3515" spans="1:13">
      <c r="A3515">
        <v>45955</v>
      </c>
      <c r="B3515" t="s">
        <v>3204</v>
      </c>
      <c r="D3515">
        <v>500</v>
      </c>
      <c r="F3515">
        <v>0</v>
      </c>
      <c r="G3515" t="s">
        <v>22</v>
      </c>
      <c r="H3515" t="s">
        <v>21</v>
      </c>
      <c r="I3515" t="s">
        <v>60</v>
      </c>
      <c r="J3515" t="s">
        <v>61</v>
      </c>
      <c r="L3515" t="s">
        <v>89</v>
      </c>
      <c r="M3515" t="s">
        <v>3048</v>
      </c>
    </row>
    <row r="3516" spans="1:13">
      <c r="A3516">
        <v>45955</v>
      </c>
      <c r="B3516" t="s">
        <v>3205</v>
      </c>
      <c r="F3516">
        <v>1</v>
      </c>
      <c r="G3516" t="s">
        <v>590</v>
      </c>
      <c r="H3516" t="s">
        <v>21</v>
      </c>
      <c r="L3516" t="s">
        <v>89</v>
      </c>
    </row>
    <row r="3517" spans="1:13">
      <c r="A3517">
        <v>45955</v>
      </c>
      <c r="B3517" t="s">
        <v>63</v>
      </c>
      <c r="D3517">
        <v>10000</v>
      </c>
      <c r="G3517" t="s">
        <v>70</v>
      </c>
      <c r="I3517" t="s">
        <v>60</v>
      </c>
      <c r="J3517" t="s">
        <v>61</v>
      </c>
      <c r="L3517" t="s">
        <v>62</v>
      </c>
    </row>
    <row r="3518" spans="1:13">
      <c r="A3518">
        <v>45955</v>
      </c>
      <c r="B3518" t="s">
        <v>3206</v>
      </c>
      <c r="D3518">
        <v>500</v>
      </c>
      <c r="F3518">
        <v>0</v>
      </c>
      <c r="G3518" t="s">
        <v>22</v>
      </c>
      <c r="H3518" t="s">
        <v>21</v>
      </c>
      <c r="I3518" t="s">
        <v>60</v>
      </c>
      <c r="J3518" t="s">
        <v>61</v>
      </c>
      <c r="L3518" t="s">
        <v>86</v>
      </c>
      <c r="M3518" t="s">
        <v>3048</v>
      </c>
    </row>
    <row r="3519" spans="1:13">
      <c r="A3519">
        <v>45955</v>
      </c>
      <c r="B3519" t="s">
        <v>3207</v>
      </c>
      <c r="D3519">
        <v>500</v>
      </c>
      <c r="F3519">
        <v>1</v>
      </c>
      <c r="G3519" t="s">
        <v>22</v>
      </c>
      <c r="H3519" t="s">
        <v>21</v>
      </c>
      <c r="I3519" t="s">
        <v>60</v>
      </c>
      <c r="J3519" t="s">
        <v>61</v>
      </c>
      <c r="L3519" t="s">
        <v>86</v>
      </c>
    </row>
    <row r="3520" spans="1:13">
      <c r="A3520">
        <v>45955</v>
      </c>
      <c r="B3520" t="s">
        <v>3208</v>
      </c>
      <c r="F3520">
        <v>1</v>
      </c>
      <c r="G3520" t="s">
        <v>590</v>
      </c>
      <c r="H3520" t="s">
        <v>21</v>
      </c>
      <c r="L3520" t="s">
        <v>89</v>
      </c>
    </row>
    <row r="3521" spans="1:13">
      <c r="A3521">
        <v>45955</v>
      </c>
      <c r="B3521" t="s">
        <v>3209</v>
      </c>
      <c r="F3521">
        <v>1</v>
      </c>
      <c r="G3521" t="s">
        <v>590</v>
      </c>
      <c r="H3521" t="s">
        <v>21</v>
      </c>
      <c r="L3521" t="s">
        <v>86</v>
      </c>
    </row>
    <row r="3522" spans="1:13">
      <c r="A3522">
        <v>45955</v>
      </c>
      <c r="B3522" t="s">
        <v>3210</v>
      </c>
      <c r="D3522">
        <v>500</v>
      </c>
      <c r="F3522">
        <v>1</v>
      </c>
      <c r="G3522" t="s">
        <v>22</v>
      </c>
      <c r="H3522" t="s">
        <v>21</v>
      </c>
      <c r="I3522" t="s">
        <v>60</v>
      </c>
      <c r="J3522" t="s">
        <v>61</v>
      </c>
      <c r="L3522" t="s">
        <v>86</v>
      </c>
    </row>
    <row r="3523" spans="1:13">
      <c r="A3523">
        <v>45955</v>
      </c>
      <c r="B3523" t="s">
        <v>63</v>
      </c>
      <c r="D3523">
        <v>100</v>
      </c>
      <c r="F3523">
        <v>1</v>
      </c>
      <c r="G3523" t="s">
        <v>22</v>
      </c>
      <c r="H3523" t="s">
        <v>93</v>
      </c>
      <c r="I3523" t="s">
        <v>60</v>
      </c>
      <c r="J3523" t="s">
        <v>61</v>
      </c>
      <c r="L3523" t="s">
        <v>62</v>
      </c>
    </row>
    <row r="3524" spans="1:13">
      <c r="A3524">
        <v>45955</v>
      </c>
      <c r="B3524" t="s">
        <v>3211</v>
      </c>
      <c r="F3524">
        <v>1</v>
      </c>
      <c r="G3524" t="s">
        <v>0</v>
      </c>
      <c r="L3524" t="s">
        <v>82</v>
      </c>
    </row>
    <row r="3525" spans="1:13">
      <c r="A3525">
        <v>45956</v>
      </c>
      <c r="B3525" t="s">
        <v>196</v>
      </c>
      <c r="E3525">
        <v>7000</v>
      </c>
      <c r="F3525">
        <v>1</v>
      </c>
      <c r="G3525" t="s">
        <v>65</v>
      </c>
      <c r="H3525" t="s">
        <v>560</v>
      </c>
      <c r="I3525" t="s">
        <v>60</v>
      </c>
      <c r="J3525" t="s">
        <v>61</v>
      </c>
      <c r="L3525" t="s">
        <v>62</v>
      </c>
      <c r="M3525" t="s">
        <v>559</v>
      </c>
    </row>
    <row r="3526" spans="1:13">
      <c r="A3526">
        <v>45956</v>
      </c>
      <c r="B3526" t="s">
        <v>3212</v>
      </c>
      <c r="D3526">
        <v>500</v>
      </c>
      <c r="F3526">
        <v>0</v>
      </c>
      <c r="G3526" t="s">
        <v>22</v>
      </c>
      <c r="H3526" t="s">
        <v>21</v>
      </c>
      <c r="I3526" t="s">
        <v>60</v>
      </c>
      <c r="J3526" t="s">
        <v>61</v>
      </c>
      <c r="L3526" t="s">
        <v>82</v>
      </c>
    </row>
    <row r="3527" spans="1:13">
      <c r="A3527">
        <v>45956</v>
      </c>
      <c r="B3527" t="s">
        <v>3165</v>
      </c>
      <c r="E3527">
        <v>500</v>
      </c>
      <c r="F3527">
        <v>1</v>
      </c>
      <c r="G3527" t="s">
        <v>65</v>
      </c>
      <c r="H3527" t="s">
        <v>66</v>
      </c>
      <c r="I3527" t="s">
        <v>60</v>
      </c>
      <c r="J3527" t="s">
        <v>61</v>
      </c>
      <c r="L3527" t="s">
        <v>62</v>
      </c>
    </row>
    <row r="3528" spans="1:13">
      <c r="A3528">
        <v>45956</v>
      </c>
      <c r="B3528" t="s">
        <v>3213</v>
      </c>
      <c r="D3528">
        <v>155499.01</v>
      </c>
      <c r="F3528">
        <v>1</v>
      </c>
      <c r="G3528" t="s">
        <v>64</v>
      </c>
      <c r="I3528" t="s">
        <v>60</v>
      </c>
      <c r="J3528" t="s">
        <v>61</v>
      </c>
      <c r="L3528" t="s">
        <v>82</v>
      </c>
      <c r="M3528" t="s">
        <v>3214</v>
      </c>
    </row>
    <row r="3529" spans="1:13">
      <c r="A3529">
        <v>45956</v>
      </c>
      <c r="B3529" t="s">
        <v>63</v>
      </c>
      <c r="D3529">
        <v>19500</v>
      </c>
      <c r="G3529" t="s">
        <v>70</v>
      </c>
      <c r="I3529" t="s">
        <v>60</v>
      </c>
      <c r="J3529" t="s">
        <v>61</v>
      </c>
      <c r="L3529" t="s">
        <v>62</v>
      </c>
    </row>
    <row r="3530" spans="1:13">
      <c r="A3530">
        <v>45956</v>
      </c>
      <c r="B3530" t="s">
        <v>2452</v>
      </c>
      <c r="D3530">
        <v>500</v>
      </c>
      <c r="F3530">
        <v>0</v>
      </c>
      <c r="G3530" t="s">
        <v>22</v>
      </c>
      <c r="H3530" t="s">
        <v>21</v>
      </c>
      <c r="I3530" t="s">
        <v>60</v>
      </c>
      <c r="J3530" t="s">
        <v>61</v>
      </c>
      <c r="L3530" t="s">
        <v>82</v>
      </c>
    </row>
    <row r="3531" spans="1:13">
      <c r="A3531">
        <v>45956</v>
      </c>
      <c r="B3531" t="s">
        <v>817</v>
      </c>
      <c r="D3531">
        <v>500</v>
      </c>
      <c r="F3531">
        <v>0</v>
      </c>
      <c r="G3531" t="s">
        <v>22</v>
      </c>
      <c r="H3531" t="s">
        <v>21</v>
      </c>
      <c r="I3531" t="s">
        <v>60</v>
      </c>
      <c r="J3531" t="s">
        <v>61</v>
      </c>
      <c r="L3531" t="s">
        <v>86</v>
      </c>
      <c r="M3531" t="s">
        <v>3048</v>
      </c>
    </row>
    <row r="3532" spans="1:13">
      <c r="A3532">
        <v>45956</v>
      </c>
      <c r="B3532" t="s">
        <v>2467</v>
      </c>
      <c r="D3532">
        <v>500</v>
      </c>
      <c r="F3532">
        <v>1</v>
      </c>
      <c r="G3532" t="s">
        <v>22</v>
      </c>
      <c r="H3532" t="s">
        <v>21</v>
      </c>
      <c r="I3532" t="s">
        <v>60</v>
      </c>
      <c r="J3532" t="s">
        <v>61</v>
      </c>
      <c r="L3532" t="s">
        <v>82</v>
      </c>
    </row>
    <row r="3533" spans="1:13">
      <c r="A3533">
        <v>45956</v>
      </c>
      <c r="B3533" t="s">
        <v>3215</v>
      </c>
      <c r="D3533">
        <v>500</v>
      </c>
      <c r="F3533">
        <v>1</v>
      </c>
      <c r="G3533" t="s">
        <v>22</v>
      </c>
      <c r="H3533" t="s">
        <v>21</v>
      </c>
      <c r="I3533" t="s">
        <v>60</v>
      </c>
      <c r="J3533" t="s">
        <v>61</v>
      </c>
      <c r="L3533" t="s">
        <v>86</v>
      </c>
    </row>
    <row r="3534" spans="1:13">
      <c r="A3534">
        <v>45956</v>
      </c>
      <c r="B3534" t="s">
        <v>3216</v>
      </c>
      <c r="F3534">
        <v>1</v>
      </c>
      <c r="G3534" t="s">
        <v>64</v>
      </c>
      <c r="L3534" t="s">
        <v>86</v>
      </c>
      <c r="M3534" t="s">
        <v>3217</v>
      </c>
    </row>
    <row r="3535" spans="1:13">
      <c r="A3535">
        <v>45956</v>
      </c>
      <c r="B3535" t="s">
        <v>3218</v>
      </c>
      <c r="F3535">
        <v>1</v>
      </c>
      <c r="G3535" t="s">
        <v>64</v>
      </c>
      <c r="L3535" t="s">
        <v>86</v>
      </c>
      <c r="M3535" t="s">
        <v>3217</v>
      </c>
    </row>
    <row r="3536" spans="1:13">
      <c r="A3536">
        <v>45956</v>
      </c>
      <c r="B3536" t="s">
        <v>3219</v>
      </c>
      <c r="D3536">
        <v>500</v>
      </c>
      <c r="F3536">
        <v>0</v>
      </c>
      <c r="G3536" t="s">
        <v>22</v>
      </c>
      <c r="I3536" t="s">
        <v>60</v>
      </c>
      <c r="J3536" t="s">
        <v>61</v>
      </c>
      <c r="L3536" t="s">
        <v>86</v>
      </c>
      <c r="M3536" t="s">
        <v>3048</v>
      </c>
    </row>
    <row r="3537" spans="1:13">
      <c r="A3537">
        <v>45956</v>
      </c>
      <c r="B3537" t="s">
        <v>63</v>
      </c>
      <c r="D3537">
        <v>8000</v>
      </c>
      <c r="F3537">
        <v>1</v>
      </c>
      <c r="G3537" t="s">
        <v>70</v>
      </c>
      <c r="I3537" t="s">
        <v>71</v>
      </c>
      <c r="J3537" t="s">
        <v>535</v>
      </c>
      <c r="K3537" t="s">
        <v>3220</v>
      </c>
      <c r="L3537" t="s">
        <v>62</v>
      </c>
      <c r="M3537" t="s">
        <v>90</v>
      </c>
    </row>
    <row r="3538" spans="1:13">
      <c r="A3538">
        <v>45957</v>
      </c>
      <c r="B3538" t="s">
        <v>773</v>
      </c>
      <c r="C3538" t="s">
        <v>3221</v>
      </c>
      <c r="E3538">
        <v>175576.73</v>
      </c>
      <c r="F3538">
        <v>1</v>
      </c>
      <c r="G3538" t="s">
        <v>65</v>
      </c>
      <c r="H3538" t="s">
        <v>265</v>
      </c>
      <c r="I3538" t="s">
        <v>60</v>
      </c>
      <c r="J3538" t="s">
        <v>61</v>
      </c>
      <c r="L3538" t="s">
        <v>62</v>
      </c>
      <c r="M3538" t="s">
        <v>3222</v>
      </c>
    </row>
    <row r="3539" spans="1:13">
      <c r="A3539">
        <v>45957</v>
      </c>
      <c r="B3539" t="s">
        <v>102</v>
      </c>
      <c r="C3539" t="s">
        <v>3223</v>
      </c>
      <c r="F3539">
        <v>5</v>
      </c>
      <c r="G3539" t="s">
        <v>22</v>
      </c>
      <c r="H3539" t="s">
        <v>21</v>
      </c>
      <c r="L3539" t="s">
        <v>95</v>
      </c>
    </row>
    <row r="3540" spans="1:13">
      <c r="A3540">
        <v>45957</v>
      </c>
      <c r="B3540" t="s">
        <v>63</v>
      </c>
      <c r="D3540">
        <v>23500</v>
      </c>
      <c r="G3540" t="s">
        <v>70</v>
      </c>
      <c r="I3540" t="s">
        <v>60</v>
      </c>
      <c r="J3540" t="s">
        <v>61</v>
      </c>
      <c r="L3540" t="s">
        <v>62</v>
      </c>
    </row>
    <row r="3541" spans="1:13">
      <c r="A3541">
        <v>45957</v>
      </c>
      <c r="B3541" t="s">
        <v>3224</v>
      </c>
      <c r="F3541">
        <v>2</v>
      </c>
      <c r="G3541" t="s">
        <v>319</v>
      </c>
      <c r="H3541" t="s">
        <v>21</v>
      </c>
      <c r="L3541" t="s">
        <v>89</v>
      </c>
      <c r="M3541" t="s">
        <v>3225</v>
      </c>
    </row>
    <row r="3542" spans="1:13">
      <c r="A3542">
        <v>45957</v>
      </c>
      <c r="B3542" t="s">
        <v>3226</v>
      </c>
      <c r="F3542">
        <v>1</v>
      </c>
      <c r="G3542" t="s">
        <v>590</v>
      </c>
      <c r="H3542" t="s">
        <v>21</v>
      </c>
      <c r="L3542" t="s">
        <v>89</v>
      </c>
    </row>
    <row r="3543" spans="1:13">
      <c r="A3543">
        <v>45957</v>
      </c>
      <c r="B3543" t="s">
        <v>2844</v>
      </c>
      <c r="D3543">
        <v>500</v>
      </c>
      <c r="F3543">
        <v>1</v>
      </c>
      <c r="G3543" t="s">
        <v>22</v>
      </c>
      <c r="H3543" t="s">
        <v>21</v>
      </c>
      <c r="I3543" t="s">
        <v>60</v>
      </c>
      <c r="J3543" t="s">
        <v>61</v>
      </c>
      <c r="L3543" t="s">
        <v>89</v>
      </c>
    </row>
    <row r="3544" spans="1:13">
      <c r="A3544">
        <v>45957</v>
      </c>
      <c r="B3544" t="s">
        <v>3227</v>
      </c>
      <c r="F3544">
        <v>1</v>
      </c>
      <c r="G3544" t="s">
        <v>64</v>
      </c>
      <c r="L3544" t="s">
        <v>82</v>
      </c>
      <c r="M3544" t="s">
        <v>96</v>
      </c>
    </row>
    <row r="3545" spans="1:13">
      <c r="A3545">
        <v>45957</v>
      </c>
      <c r="B3545" t="s">
        <v>63</v>
      </c>
      <c r="D3545">
        <v>800</v>
      </c>
      <c r="F3545">
        <v>8</v>
      </c>
      <c r="G3545" t="s">
        <v>22</v>
      </c>
      <c r="H3545" t="s">
        <v>93</v>
      </c>
      <c r="I3545" t="s">
        <v>60</v>
      </c>
      <c r="J3545" t="s">
        <v>61</v>
      </c>
      <c r="L3545" t="s">
        <v>62</v>
      </c>
    </row>
    <row r="3546" spans="1:13">
      <c r="A3546">
        <v>45957</v>
      </c>
      <c r="B3546" t="s">
        <v>63</v>
      </c>
      <c r="D3546">
        <v>8000</v>
      </c>
      <c r="G3546" t="s">
        <v>70</v>
      </c>
      <c r="I3546" t="s">
        <v>60</v>
      </c>
      <c r="J3546" t="s">
        <v>61</v>
      </c>
      <c r="L3546" t="s">
        <v>62</v>
      </c>
    </row>
    <row r="3547" spans="1:13">
      <c r="A3547">
        <v>45957</v>
      </c>
      <c r="B3547" t="s">
        <v>3228</v>
      </c>
      <c r="D3547">
        <v>500</v>
      </c>
      <c r="F3547">
        <v>0</v>
      </c>
      <c r="G3547" t="s">
        <v>22</v>
      </c>
      <c r="H3547" t="s">
        <v>21</v>
      </c>
      <c r="I3547" t="s">
        <v>60</v>
      </c>
      <c r="J3547" t="s">
        <v>61</v>
      </c>
      <c r="L3547" t="s">
        <v>89</v>
      </c>
      <c r="M3547" t="s">
        <v>83</v>
      </c>
    </row>
    <row r="3548" spans="1:13">
      <c r="A3548">
        <v>45957</v>
      </c>
      <c r="B3548" t="s">
        <v>3165</v>
      </c>
      <c r="E3548">
        <v>500</v>
      </c>
      <c r="F3548">
        <v>1</v>
      </c>
      <c r="G3548" t="s">
        <v>65</v>
      </c>
      <c r="H3548" t="s">
        <v>66</v>
      </c>
      <c r="I3548" t="s">
        <v>60</v>
      </c>
      <c r="J3548" t="s">
        <v>61</v>
      </c>
      <c r="L3548" t="s">
        <v>62</v>
      </c>
    </row>
    <row r="3549" spans="1:13">
      <c r="A3549">
        <v>45957</v>
      </c>
      <c r="B3549" t="s">
        <v>3229</v>
      </c>
      <c r="D3549">
        <v>500</v>
      </c>
      <c r="F3549">
        <v>1</v>
      </c>
      <c r="G3549" t="s">
        <v>22</v>
      </c>
      <c r="H3549" t="s">
        <v>21</v>
      </c>
      <c r="I3549" t="s">
        <v>60</v>
      </c>
      <c r="J3549" t="s">
        <v>61</v>
      </c>
      <c r="L3549" t="s">
        <v>89</v>
      </c>
    </row>
    <row r="3550" spans="1:13">
      <c r="A3550">
        <v>45958</v>
      </c>
      <c r="B3550" t="s">
        <v>3230</v>
      </c>
      <c r="D3550">
        <v>500</v>
      </c>
      <c r="F3550">
        <v>0</v>
      </c>
      <c r="G3550" t="s">
        <v>22</v>
      </c>
      <c r="H3550" t="s">
        <v>21</v>
      </c>
      <c r="I3550" t="s">
        <v>60</v>
      </c>
      <c r="J3550" t="s">
        <v>61</v>
      </c>
      <c r="L3550" t="s">
        <v>89</v>
      </c>
      <c r="M3550" t="s">
        <v>83</v>
      </c>
    </row>
    <row r="3551" spans="1:13">
      <c r="A3551">
        <v>45958</v>
      </c>
      <c r="B3551" t="s">
        <v>3230</v>
      </c>
      <c r="F3551">
        <v>1</v>
      </c>
      <c r="G3551" t="s">
        <v>2490</v>
      </c>
      <c r="L3551" t="s">
        <v>89</v>
      </c>
      <c r="M3551" t="s">
        <v>2993</v>
      </c>
    </row>
    <row r="3552" spans="1:13">
      <c r="A3552">
        <v>45958</v>
      </c>
      <c r="B3552" t="s">
        <v>3231</v>
      </c>
      <c r="D3552">
        <v>500</v>
      </c>
      <c r="F3552">
        <v>1</v>
      </c>
      <c r="G3552" t="s">
        <v>22</v>
      </c>
      <c r="H3552" t="s">
        <v>21</v>
      </c>
      <c r="I3552" t="s">
        <v>60</v>
      </c>
      <c r="J3552" t="s">
        <v>61</v>
      </c>
      <c r="L3552" t="s">
        <v>89</v>
      </c>
    </row>
    <row r="3553" spans="1:13">
      <c r="A3553">
        <v>45958</v>
      </c>
      <c r="B3553" t="s">
        <v>3232</v>
      </c>
      <c r="F3553">
        <v>1</v>
      </c>
      <c r="G3553" t="s">
        <v>64</v>
      </c>
      <c r="L3553" t="s">
        <v>89</v>
      </c>
      <c r="M3553" t="s">
        <v>96</v>
      </c>
    </row>
    <row r="3554" spans="1:13">
      <c r="A3554">
        <v>45958</v>
      </c>
      <c r="B3554" t="s">
        <v>63</v>
      </c>
      <c r="D3554">
        <v>31000</v>
      </c>
      <c r="G3554" t="s">
        <v>70</v>
      </c>
      <c r="I3554" t="s">
        <v>60</v>
      </c>
      <c r="J3554" t="s">
        <v>61</v>
      </c>
      <c r="L3554" t="s">
        <v>62</v>
      </c>
    </row>
    <row r="3555" spans="1:13">
      <c r="A3555">
        <v>45958</v>
      </c>
      <c r="B3555" t="s">
        <v>3233</v>
      </c>
      <c r="D3555">
        <v>500</v>
      </c>
      <c r="F3555">
        <v>1</v>
      </c>
      <c r="G3555" t="s">
        <v>22</v>
      </c>
      <c r="H3555" t="s">
        <v>21</v>
      </c>
      <c r="I3555" t="s">
        <v>60</v>
      </c>
      <c r="J3555" t="s">
        <v>61</v>
      </c>
      <c r="L3555" t="s">
        <v>89</v>
      </c>
    </row>
    <row r="3556" spans="1:13">
      <c r="A3556">
        <v>45958</v>
      </c>
      <c r="B3556" t="s">
        <v>3234</v>
      </c>
      <c r="F3556">
        <v>1</v>
      </c>
      <c r="G3556" t="s">
        <v>319</v>
      </c>
      <c r="H3556" t="s">
        <v>21</v>
      </c>
      <c r="L3556" t="s">
        <v>89</v>
      </c>
    </row>
    <row r="3557" spans="1:13">
      <c r="A3557">
        <v>45958</v>
      </c>
      <c r="B3557" t="s">
        <v>3235</v>
      </c>
      <c r="F3557">
        <v>1</v>
      </c>
      <c r="G3557" t="s">
        <v>319</v>
      </c>
      <c r="H3557" t="s">
        <v>21</v>
      </c>
      <c r="L3557" t="s">
        <v>89</v>
      </c>
    </row>
    <row r="3558" spans="1:13">
      <c r="A3558">
        <v>45958</v>
      </c>
      <c r="B3558" t="s">
        <v>3236</v>
      </c>
      <c r="D3558">
        <v>500</v>
      </c>
      <c r="F3558">
        <v>1</v>
      </c>
      <c r="G3558" t="s">
        <v>22</v>
      </c>
      <c r="H3558" t="s">
        <v>21</v>
      </c>
      <c r="I3558" t="s">
        <v>60</v>
      </c>
      <c r="J3558" t="s">
        <v>61</v>
      </c>
      <c r="L3558" t="s">
        <v>89</v>
      </c>
    </row>
    <row r="3559" spans="1:13">
      <c r="A3559">
        <v>45958</v>
      </c>
      <c r="B3559" t="s">
        <v>3237</v>
      </c>
      <c r="F3559">
        <v>1</v>
      </c>
      <c r="G3559" t="s">
        <v>0</v>
      </c>
      <c r="L3559" t="s">
        <v>89</v>
      </c>
    </row>
    <row r="3560" spans="1:13">
      <c r="A3560">
        <v>45958</v>
      </c>
      <c r="B3560" t="s">
        <v>3238</v>
      </c>
      <c r="F3560">
        <v>1</v>
      </c>
      <c r="G3560" t="s">
        <v>0</v>
      </c>
      <c r="L3560" t="s">
        <v>89</v>
      </c>
    </row>
    <row r="3561" spans="1:13">
      <c r="A3561">
        <v>45959</v>
      </c>
      <c r="B3561" t="s">
        <v>81</v>
      </c>
      <c r="D3561">
        <v>48600</v>
      </c>
      <c r="F3561">
        <v>1</v>
      </c>
      <c r="G3561" t="s">
        <v>74</v>
      </c>
      <c r="H3561" t="s">
        <v>75</v>
      </c>
      <c r="I3561" t="s">
        <v>60</v>
      </c>
      <c r="J3561" t="s">
        <v>61</v>
      </c>
      <c r="L3561" t="s">
        <v>88</v>
      </c>
    </row>
    <row r="3562" spans="1:13">
      <c r="A3562">
        <v>45959</v>
      </c>
      <c r="B3562" t="s">
        <v>76</v>
      </c>
      <c r="D3562">
        <v>41500</v>
      </c>
      <c r="G3562" t="s">
        <v>77</v>
      </c>
      <c r="I3562" t="s">
        <v>60</v>
      </c>
      <c r="J3562" t="s">
        <v>61</v>
      </c>
      <c r="L3562" t="s">
        <v>62</v>
      </c>
    </row>
    <row r="3563" spans="1:13">
      <c r="A3563">
        <v>45959</v>
      </c>
      <c r="B3563" t="s">
        <v>3239</v>
      </c>
      <c r="F3563">
        <v>1</v>
      </c>
      <c r="G3563" t="s">
        <v>377</v>
      </c>
      <c r="H3563" t="s">
        <v>21</v>
      </c>
      <c r="L3563" t="s">
        <v>86</v>
      </c>
    </row>
    <row r="3564" spans="1:13">
      <c r="A3564">
        <v>45959</v>
      </c>
      <c r="B3564" t="s">
        <v>63</v>
      </c>
      <c r="D3564">
        <v>23500</v>
      </c>
      <c r="F3564">
        <v>2</v>
      </c>
      <c r="G3564" t="s">
        <v>70</v>
      </c>
      <c r="I3564" t="s">
        <v>71</v>
      </c>
      <c r="J3564" t="s">
        <v>535</v>
      </c>
      <c r="K3564" t="s">
        <v>3240</v>
      </c>
      <c r="L3564" t="s">
        <v>62</v>
      </c>
      <c r="M3564" t="s">
        <v>90</v>
      </c>
    </row>
    <row r="3565" spans="1:13">
      <c r="A3565">
        <v>45959</v>
      </c>
      <c r="B3565" t="s">
        <v>63</v>
      </c>
      <c r="D3565">
        <v>6000</v>
      </c>
      <c r="F3565">
        <v>1</v>
      </c>
      <c r="G3565" t="s">
        <v>70</v>
      </c>
      <c r="I3565" t="s">
        <v>71</v>
      </c>
      <c r="J3565" t="s">
        <v>72</v>
      </c>
      <c r="K3565" t="s">
        <v>3241</v>
      </c>
      <c r="L3565" t="s">
        <v>62</v>
      </c>
      <c r="M3565" t="s">
        <v>90</v>
      </c>
    </row>
    <row r="3566" spans="1:13">
      <c r="A3566">
        <v>45959</v>
      </c>
      <c r="B3566" t="s">
        <v>3242</v>
      </c>
      <c r="F3566">
        <v>1</v>
      </c>
      <c r="G3566" t="s">
        <v>64</v>
      </c>
      <c r="L3566" t="s">
        <v>86</v>
      </c>
      <c r="M3566" t="s">
        <v>3243</v>
      </c>
    </row>
    <row r="3567" spans="1:13">
      <c r="A3567">
        <v>45959</v>
      </c>
      <c r="B3567" t="s">
        <v>63</v>
      </c>
      <c r="D3567">
        <v>17500</v>
      </c>
      <c r="G3567" t="s">
        <v>70</v>
      </c>
      <c r="I3567" t="s">
        <v>60</v>
      </c>
      <c r="J3567" t="s">
        <v>61</v>
      </c>
      <c r="L3567" t="s">
        <v>62</v>
      </c>
    </row>
    <row r="3568" spans="1:13">
      <c r="A3568">
        <v>45959</v>
      </c>
      <c r="B3568" t="s">
        <v>3244</v>
      </c>
      <c r="F3568">
        <v>1</v>
      </c>
      <c r="G3568" t="s">
        <v>603</v>
      </c>
      <c r="H3568" t="s">
        <v>21</v>
      </c>
      <c r="L3568" t="s">
        <v>82</v>
      </c>
    </row>
    <row r="3569" spans="1:13">
      <c r="A3569">
        <v>45959</v>
      </c>
      <c r="B3569" t="s">
        <v>3245</v>
      </c>
      <c r="F3569">
        <v>1</v>
      </c>
      <c r="G3569" t="s">
        <v>2490</v>
      </c>
      <c r="L3569" t="s">
        <v>89</v>
      </c>
      <c r="M3569" t="s">
        <v>2993</v>
      </c>
    </row>
    <row r="3570" spans="1:13">
      <c r="A3570">
        <v>45959</v>
      </c>
      <c r="B3570" t="s">
        <v>3246</v>
      </c>
      <c r="D3570">
        <v>500</v>
      </c>
      <c r="F3570">
        <v>0</v>
      </c>
      <c r="G3570" t="s">
        <v>22</v>
      </c>
      <c r="H3570" t="s">
        <v>21</v>
      </c>
      <c r="I3570" t="s">
        <v>60</v>
      </c>
      <c r="J3570" t="s">
        <v>61</v>
      </c>
      <c r="L3570" t="s">
        <v>82</v>
      </c>
      <c r="M3570" t="s">
        <v>83</v>
      </c>
    </row>
    <row r="3571" spans="1:13">
      <c r="A3571">
        <v>45959</v>
      </c>
      <c r="B3571" t="s">
        <v>63</v>
      </c>
      <c r="D3571">
        <v>3100</v>
      </c>
      <c r="F3571">
        <v>31</v>
      </c>
      <c r="G3571" t="s">
        <v>22</v>
      </c>
      <c r="H3571" t="s">
        <v>93</v>
      </c>
      <c r="I3571" t="s">
        <v>60</v>
      </c>
      <c r="J3571" t="s">
        <v>61</v>
      </c>
      <c r="L3571" t="s">
        <v>62</v>
      </c>
    </row>
    <row r="3572" spans="1:13">
      <c r="A3572">
        <v>45959</v>
      </c>
      <c r="B3572" t="s">
        <v>3247</v>
      </c>
      <c r="F3572">
        <v>1</v>
      </c>
      <c r="G3572" t="s">
        <v>0</v>
      </c>
      <c r="L3572" t="s">
        <v>82</v>
      </c>
    </row>
    <row r="3573" spans="1:13">
      <c r="A3573">
        <v>45959</v>
      </c>
      <c r="B3573" t="s">
        <v>3248</v>
      </c>
      <c r="F3573">
        <v>1</v>
      </c>
      <c r="G3573" t="s">
        <v>0</v>
      </c>
      <c r="L3573" t="s">
        <v>89</v>
      </c>
    </row>
    <row r="3574" spans="1:13">
      <c r="A3574">
        <v>45960</v>
      </c>
      <c r="B3574" t="s">
        <v>81</v>
      </c>
      <c r="D3574">
        <v>40000</v>
      </c>
      <c r="F3574">
        <v>1</v>
      </c>
      <c r="G3574" t="s">
        <v>74</v>
      </c>
      <c r="H3574" t="s">
        <v>75</v>
      </c>
      <c r="I3574" t="s">
        <v>60</v>
      </c>
      <c r="J3574" t="s">
        <v>61</v>
      </c>
      <c r="L3574" t="s">
        <v>88</v>
      </c>
    </row>
    <row r="3575" spans="1:13">
      <c r="A3575">
        <v>45960</v>
      </c>
      <c r="B3575" t="s">
        <v>3249</v>
      </c>
      <c r="F3575">
        <v>1</v>
      </c>
      <c r="G3575" t="s">
        <v>564</v>
      </c>
      <c r="H3575" t="s">
        <v>21</v>
      </c>
      <c r="L3575" t="s">
        <v>89</v>
      </c>
    </row>
    <row r="3576" spans="1:13">
      <c r="A3576">
        <v>45960</v>
      </c>
      <c r="B3576" t="s">
        <v>3250</v>
      </c>
      <c r="D3576">
        <v>500</v>
      </c>
      <c r="F3576">
        <v>1</v>
      </c>
      <c r="G3576" t="s">
        <v>22</v>
      </c>
      <c r="H3576" t="s">
        <v>21</v>
      </c>
      <c r="I3576" t="s">
        <v>60</v>
      </c>
      <c r="J3576" t="s">
        <v>61</v>
      </c>
      <c r="L3576" t="s">
        <v>89</v>
      </c>
    </row>
    <row r="3577" spans="1:13">
      <c r="A3577">
        <v>45960</v>
      </c>
      <c r="B3577" t="s">
        <v>3250</v>
      </c>
      <c r="F3577">
        <v>1</v>
      </c>
      <c r="G3577" t="s">
        <v>64</v>
      </c>
      <c r="L3577" t="s">
        <v>89</v>
      </c>
      <c r="M3577" t="s">
        <v>3251</v>
      </c>
    </row>
    <row r="3578" spans="1:13">
      <c r="A3578">
        <v>45960</v>
      </c>
      <c r="B3578" t="s">
        <v>63</v>
      </c>
      <c r="D3578">
        <v>8000</v>
      </c>
      <c r="F3578">
        <v>1</v>
      </c>
      <c r="G3578" t="s">
        <v>70</v>
      </c>
      <c r="I3578" t="s">
        <v>71</v>
      </c>
      <c r="J3578" t="s">
        <v>72</v>
      </c>
      <c r="K3578" t="s">
        <v>3252</v>
      </c>
      <c r="L3578" t="s">
        <v>62</v>
      </c>
      <c r="M3578" t="s">
        <v>90</v>
      </c>
    </row>
    <row r="3579" spans="1:13">
      <c r="A3579">
        <v>45960</v>
      </c>
      <c r="B3579" t="s">
        <v>63</v>
      </c>
      <c r="D3579">
        <v>26000</v>
      </c>
      <c r="F3579">
        <v>3</v>
      </c>
      <c r="G3579" t="s">
        <v>70</v>
      </c>
      <c r="I3579" t="s">
        <v>71</v>
      </c>
      <c r="J3579" t="s">
        <v>72</v>
      </c>
      <c r="K3579" t="s">
        <v>3253</v>
      </c>
      <c r="L3579" t="s">
        <v>62</v>
      </c>
      <c r="M3579" t="s">
        <v>90</v>
      </c>
    </row>
    <row r="3580" spans="1:13">
      <c r="A3580">
        <v>45960</v>
      </c>
      <c r="B3580" t="s">
        <v>3254</v>
      </c>
      <c r="D3580">
        <v>500</v>
      </c>
      <c r="F3580">
        <v>1</v>
      </c>
      <c r="G3580" t="s">
        <v>22</v>
      </c>
      <c r="H3580" t="s">
        <v>21</v>
      </c>
      <c r="I3580" t="s">
        <v>60</v>
      </c>
      <c r="J3580" t="s">
        <v>61</v>
      </c>
      <c r="L3580" t="s">
        <v>82</v>
      </c>
    </row>
    <row r="3581" spans="1:13">
      <c r="A3581">
        <v>45960</v>
      </c>
      <c r="B3581" t="s">
        <v>3255</v>
      </c>
      <c r="F3581">
        <v>1</v>
      </c>
      <c r="G3581" t="s">
        <v>0</v>
      </c>
      <c r="L3581" t="s">
        <v>86</v>
      </c>
    </row>
    <row r="3582" spans="1:13">
      <c r="A3582">
        <v>45960</v>
      </c>
      <c r="B3582" t="s">
        <v>3256</v>
      </c>
      <c r="F3582">
        <v>1</v>
      </c>
      <c r="G3582" t="s">
        <v>0</v>
      </c>
      <c r="L3582" t="s">
        <v>89</v>
      </c>
    </row>
    <row r="3583" spans="1:13">
      <c r="A3583">
        <v>45961</v>
      </c>
      <c r="B3583" t="s">
        <v>81</v>
      </c>
      <c r="D3583">
        <v>91000</v>
      </c>
      <c r="F3583">
        <v>1</v>
      </c>
      <c r="G3583" t="s">
        <v>74</v>
      </c>
      <c r="H3583" t="s">
        <v>75</v>
      </c>
      <c r="I3583" t="s">
        <v>60</v>
      </c>
      <c r="J3583" t="s">
        <v>61</v>
      </c>
      <c r="L3583" t="s">
        <v>88</v>
      </c>
    </row>
    <row r="3584" spans="1:13">
      <c r="A3584">
        <v>45961</v>
      </c>
      <c r="B3584" t="s">
        <v>559</v>
      </c>
      <c r="E3584">
        <v>7000</v>
      </c>
      <c r="F3584">
        <v>1</v>
      </c>
      <c r="G3584" t="s">
        <v>65</v>
      </c>
      <c r="H3584" t="s">
        <v>560</v>
      </c>
      <c r="I3584" t="s">
        <v>60</v>
      </c>
      <c r="J3584" t="s">
        <v>61</v>
      </c>
      <c r="L3584" t="s">
        <v>62</v>
      </c>
    </row>
    <row r="3585" spans="1:13">
      <c r="A3585">
        <v>45961</v>
      </c>
      <c r="B3585" t="s">
        <v>3257</v>
      </c>
      <c r="D3585">
        <v>500</v>
      </c>
      <c r="F3585">
        <v>1</v>
      </c>
      <c r="G3585" t="s">
        <v>22</v>
      </c>
      <c r="H3585" t="s">
        <v>21</v>
      </c>
      <c r="I3585" t="s">
        <v>60</v>
      </c>
      <c r="J3585" t="s">
        <v>61</v>
      </c>
      <c r="L3585" t="s">
        <v>89</v>
      </c>
    </row>
    <row r="3586" spans="1:13">
      <c r="A3586">
        <v>45961</v>
      </c>
      <c r="B3586" t="s">
        <v>3258</v>
      </c>
      <c r="F3586">
        <v>1</v>
      </c>
      <c r="G3586" t="s">
        <v>98</v>
      </c>
      <c r="H3586" t="s">
        <v>21</v>
      </c>
      <c r="L3586" t="s">
        <v>89</v>
      </c>
    </row>
    <row r="3587" spans="1:13">
      <c r="A3587">
        <v>45961</v>
      </c>
      <c r="B3587" t="s">
        <v>3259</v>
      </c>
      <c r="F3587">
        <v>1</v>
      </c>
      <c r="G3587" t="s">
        <v>2490</v>
      </c>
      <c r="L3587" t="s">
        <v>86</v>
      </c>
    </row>
    <row r="3588" spans="1:13">
      <c r="A3588">
        <v>45961</v>
      </c>
      <c r="B3588" t="s">
        <v>3260</v>
      </c>
      <c r="F3588">
        <v>1</v>
      </c>
      <c r="G3588" t="s">
        <v>2490</v>
      </c>
      <c r="L3588" t="s">
        <v>82</v>
      </c>
    </row>
    <row r="3589" spans="1:13">
      <c r="A3589">
        <v>45961</v>
      </c>
      <c r="B3589" t="s">
        <v>3261</v>
      </c>
      <c r="F3589">
        <v>1</v>
      </c>
      <c r="G3589" t="s">
        <v>99</v>
      </c>
      <c r="H3589" t="s">
        <v>21</v>
      </c>
      <c r="L3589" t="s">
        <v>82</v>
      </c>
    </row>
    <row r="3590" spans="1:13">
      <c r="A3590">
        <v>45961</v>
      </c>
      <c r="B3590" t="s">
        <v>3262</v>
      </c>
      <c r="F3590">
        <v>1</v>
      </c>
      <c r="G3590" t="s">
        <v>79</v>
      </c>
      <c r="H3590" t="s">
        <v>21</v>
      </c>
      <c r="L3590" t="s">
        <v>82</v>
      </c>
    </row>
    <row r="3591" spans="1:13">
      <c r="A3591">
        <v>45961</v>
      </c>
      <c r="B3591" t="s">
        <v>63</v>
      </c>
      <c r="D3591">
        <v>53000</v>
      </c>
      <c r="G3591" t="s">
        <v>70</v>
      </c>
      <c r="I3591" t="s">
        <v>60</v>
      </c>
      <c r="J3591" t="s">
        <v>61</v>
      </c>
      <c r="L3591" t="s">
        <v>62</v>
      </c>
    </row>
    <row r="3592" spans="1:13">
      <c r="A3592">
        <v>45961</v>
      </c>
      <c r="B3592" t="s">
        <v>3263</v>
      </c>
      <c r="F3592">
        <v>1</v>
      </c>
      <c r="G3592" t="s">
        <v>64</v>
      </c>
      <c r="L3592" t="s">
        <v>82</v>
      </c>
      <c r="M3592" t="s">
        <v>96</v>
      </c>
    </row>
    <row r="3593" spans="1:13">
      <c r="A3593">
        <v>45961</v>
      </c>
      <c r="B3593" t="s">
        <v>3264</v>
      </c>
      <c r="F3593">
        <v>1</v>
      </c>
      <c r="G3593" t="s">
        <v>79</v>
      </c>
      <c r="H3593" t="s">
        <v>21</v>
      </c>
      <c r="L3593" t="s">
        <v>82</v>
      </c>
    </row>
    <row r="3594" spans="1:13">
      <c r="A3594">
        <v>45961</v>
      </c>
      <c r="B3594" t="s">
        <v>3265</v>
      </c>
      <c r="F3594">
        <v>1</v>
      </c>
      <c r="G3594" t="s">
        <v>64</v>
      </c>
      <c r="L3594" t="s">
        <v>82</v>
      </c>
      <c r="M3594" t="s">
        <v>96</v>
      </c>
    </row>
    <row r="3595" spans="1:13">
      <c r="A3595">
        <v>45961</v>
      </c>
      <c r="B3595" t="s">
        <v>3266</v>
      </c>
      <c r="F3595">
        <v>1</v>
      </c>
      <c r="G3595" t="s">
        <v>64</v>
      </c>
      <c r="L3595" t="s">
        <v>82</v>
      </c>
      <c r="M3595" t="s">
        <v>96</v>
      </c>
    </row>
    <row r="3596" spans="1:13">
      <c r="A3596">
        <v>45961</v>
      </c>
      <c r="B3596" t="s">
        <v>871</v>
      </c>
      <c r="F3596">
        <v>1</v>
      </c>
      <c r="G3596" t="s">
        <v>64</v>
      </c>
      <c r="L3596" t="s">
        <v>82</v>
      </c>
      <c r="M3596" t="s">
        <v>3267</v>
      </c>
    </row>
    <row r="3597" spans="1:13">
      <c r="A3597">
        <v>45961</v>
      </c>
      <c r="B3597" t="s">
        <v>63</v>
      </c>
      <c r="D3597">
        <v>200</v>
      </c>
      <c r="F3597">
        <v>2</v>
      </c>
      <c r="G3597" t="s">
        <v>22</v>
      </c>
      <c r="H3597" t="s">
        <v>93</v>
      </c>
      <c r="I3597" t="s">
        <v>60</v>
      </c>
      <c r="J3597" t="s">
        <v>61</v>
      </c>
      <c r="L3597" t="s">
        <v>62</v>
      </c>
    </row>
    <row r="3598" spans="1:13">
      <c r="A3598">
        <v>45962</v>
      </c>
      <c r="B3598" t="s">
        <v>3268</v>
      </c>
      <c r="F3598">
        <v>1</v>
      </c>
      <c r="G3598" t="s">
        <v>64</v>
      </c>
      <c r="L3598" t="s">
        <v>82</v>
      </c>
      <c r="M3598" t="s">
        <v>96</v>
      </c>
    </row>
    <row r="3599" spans="1:13">
      <c r="A3599">
        <v>45962</v>
      </c>
      <c r="B3599" t="s">
        <v>3269</v>
      </c>
      <c r="D3599">
        <v>500</v>
      </c>
      <c r="F3599">
        <v>1</v>
      </c>
      <c r="G3599" t="s">
        <v>22</v>
      </c>
      <c r="H3599" t="s">
        <v>21</v>
      </c>
      <c r="I3599" t="s">
        <v>60</v>
      </c>
      <c r="J3599" t="s">
        <v>61</v>
      </c>
      <c r="L3599" t="s">
        <v>82</v>
      </c>
    </row>
    <row r="3600" spans="1:13">
      <c r="A3600">
        <v>45962</v>
      </c>
      <c r="B3600" t="s">
        <v>63</v>
      </c>
      <c r="D3600">
        <v>74000</v>
      </c>
      <c r="G3600" t="s">
        <v>70</v>
      </c>
      <c r="I3600" t="s">
        <v>60</v>
      </c>
      <c r="J3600" t="s">
        <v>61</v>
      </c>
      <c r="L3600" t="s">
        <v>62</v>
      </c>
    </row>
    <row r="3601" spans="1:13">
      <c r="A3601">
        <v>45962</v>
      </c>
      <c r="B3601" t="s">
        <v>84</v>
      </c>
      <c r="D3601">
        <v>-20800</v>
      </c>
      <c r="G3601" t="s">
        <v>77</v>
      </c>
      <c r="I3601" t="s">
        <v>60</v>
      </c>
      <c r="J3601" t="s">
        <v>61</v>
      </c>
      <c r="L3601" t="s">
        <v>62</v>
      </c>
    </row>
    <row r="3602" spans="1:13">
      <c r="A3602">
        <v>45962</v>
      </c>
      <c r="B3602" t="s">
        <v>84</v>
      </c>
      <c r="E3602">
        <v>-1100</v>
      </c>
      <c r="G3602" t="s">
        <v>65</v>
      </c>
      <c r="H3602" t="s">
        <v>85</v>
      </c>
      <c r="I3602" t="s">
        <v>60</v>
      </c>
      <c r="J3602" t="s">
        <v>61</v>
      </c>
      <c r="L3602" t="s">
        <v>62</v>
      </c>
    </row>
    <row r="3603" spans="1:13">
      <c r="A3603">
        <v>45962</v>
      </c>
      <c r="B3603" t="s">
        <v>3270</v>
      </c>
      <c r="D3603">
        <v>500</v>
      </c>
      <c r="F3603">
        <v>0</v>
      </c>
      <c r="G3603" t="s">
        <v>22</v>
      </c>
      <c r="H3603" t="s">
        <v>21</v>
      </c>
      <c r="I3603" t="s">
        <v>60</v>
      </c>
      <c r="J3603" t="s">
        <v>61</v>
      </c>
      <c r="L3603" t="s">
        <v>86</v>
      </c>
    </row>
    <row r="3604" spans="1:13">
      <c r="A3604">
        <v>45962</v>
      </c>
      <c r="B3604" t="s">
        <v>3271</v>
      </c>
      <c r="F3604">
        <v>1</v>
      </c>
      <c r="G3604" t="s">
        <v>64</v>
      </c>
      <c r="L3604" t="s">
        <v>89</v>
      </c>
      <c r="M3604" t="s">
        <v>96</v>
      </c>
    </row>
    <row r="3605" spans="1:13">
      <c r="A3605">
        <v>45962</v>
      </c>
      <c r="B3605" t="s">
        <v>3272</v>
      </c>
      <c r="F3605">
        <v>2</v>
      </c>
      <c r="G3605" t="s">
        <v>377</v>
      </c>
      <c r="H3605" t="s">
        <v>21</v>
      </c>
      <c r="L3605" t="s">
        <v>86</v>
      </c>
      <c r="M3605" t="s">
        <v>327</v>
      </c>
    </row>
    <row r="3606" spans="1:13">
      <c r="A3606">
        <v>45962</v>
      </c>
      <c r="B3606" t="s">
        <v>3273</v>
      </c>
      <c r="D3606">
        <v>500</v>
      </c>
      <c r="F3606">
        <v>1</v>
      </c>
      <c r="G3606" t="s">
        <v>22</v>
      </c>
      <c r="H3606" t="s">
        <v>21</v>
      </c>
      <c r="I3606" t="s">
        <v>60</v>
      </c>
      <c r="J3606" t="s">
        <v>61</v>
      </c>
      <c r="L3606" t="s">
        <v>86</v>
      </c>
    </row>
    <row r="3607" spans="1:13">
      <c r="A3607">
        <v>45962</v>
      </c>
      <c r="B3607" t="s">
        <v>3274</v>
      </c>
      <c r="D3607">
        <v>500</v>
      </c>
      <c r="F3607">
        <v>1</v>
      </c>
      <c r="G3607" t="s">
        <v>22</v>
      </c>
      <c r="H3607" t="s">
        <v>21</v>
      </c>
      <c r="I3607" t="s">
        <v>60</v>
      </c>
      <c r="J3607" t="s">
        <v>61</v>
      </c>
      <c r="L3607" t="s">
        <v>86</v>
      </c>
    </row>
    <row r="3608" spans="1:13">
      <c r="A3608">
        <v>45962</v>
      </c>
      <c r="B3608" t="s">
        <v>3275</v>
      </c>
      <c r="F3608">
        <v>1</v>
      </c>
      <c r="G3608" t="s">
        <v>64</v>
      </c>
      <c r="L3608" t="s">
        <v>86</v>
      </c>
      <c r="M3608" t="s">
        <v>96</v>
      </c>
    </row>
    <row r="3609" spans="1:13">
      <c r="A3609">
        <v>45962</v>
      </c>
      <c r="B3609" t="s">
        <v>3276</v>
      </c>
      <c r="D3609">
        <v>500</v>
      </c>
      <c r="F3609">
        <v>0</v>
      </c>
      <c r="G3609" t="s">
        <v>22</v>
      </c>
      <c r="H3609" t="s">
        <v>21</v>
      </c>
      <c r="I3609" t="s">
        <v>60</v>
      </c>
      <c r="J3609" t="s">
        <v>61</v>
      </c>
      <c r="L3609" t="s">
        <v>86</v>
      </c>
      <c r="M3609" t="s">
        <v>83</v>
      </c>
    </row>
    <row r="3610" spans="1:13">
      <c r="A3610">
        <v>45962</v>
      </c>
      <c r="B3610" t="s">
        <v>3277</v>
      </c>
      <c r="D3610">
        <v>350000</v>
      </c>
      <c r="F3610">
        <v>1</v>
      </c>
      <c r="G3610" t="s">
        <v>22</v>
      </c>
      <c r="H3610" t="s">
        <v>1310</v>
      </c>
      <c r="I3610" t="s">
        <v>71</v>
      </c>
      <c r="J3610" t="s">
        <v>72</v>
      </c>
      <c r="K3610" t="s">
        <v>3278</v>
      </c>
      <c r="L3610" t="s">
        <v>86</v>
      </c>
      <c r="M3610" t="s">
        <v>3279</v>
      </c>
    </row>
    <row r="3611" spans="1:13">
      <c r="A3611">
        <v>45962</v>
      </c>
      <c r="B3611" t="s">
        <v>63</v>
      </c>
      <c r="D3611">
        <v>200</v>
      </c>
      <c r="F3611">
        <v>2</v>
      </c>
      <c r="G3611" t="s">
        <v>22</v>
      </c>
      <c r="H3611" t="s">
        <v>93</v>
      </c>
      <c r="I3611" t="s">
        <v>60</v>
      </c>
      <c r="J3611" t="s">
        <v>61</v>
      </c>
      <c r="L3611" t="s">
        <v>62</v>
      </c>
    </row>
    <row r="3612" spans="1:13">
      <c r="A3612">
        <v>45962</v>
      </c>
      <c r="B3612" t="s">
        <v>63</v>
      </c>
      <c r="E3612">
        <v>2500</v>
      </c>
      <c r="F3612">
        <v>1</v>
      </c>
      <c r="G3612" t="s">
        <v>65</v>
      </c>
      <c r="H3612" t="s">
        <v>66</v>
      </c>
      <c r="I3612" t="s">
        <v>60</v>
      </c>
      <c r="J3612" t="s">
        <v>61</v>
      </c>
      <c r="L3612" t="s">
        <v>62</v>
      </c>
      <c r="M3612" t="s">
        <v>3280</v>
      </c>
    </row>
    <row r="3613" spans="1:13">
      <c r="A3613">
        <v>45962</v>
      </c>
      <c r="B3613" t="s">
        <v>546</v>
      </c>
      <c r="F3613">
        <v>-30</v>
      </c>
      <c r="G3613" t="s">
        <v>22</v>
      </c>
      <c r="H3613" t="s">
        <v>93</v>
      </c>
      <c r="L3613" t="s">
        <v>101</v>
      </c>
    </row>
    <row r="3614" spans="1:13">
      <c r="A3614">
        <v>45962</v>
      </c>
      <c r="B3614" t="s">
        <v>3281</v>
      </c>
      <c r="F3614">
        <v>1</v>
      </c>
      <c r="G3614" t="s">
        <v>0</v>
      </c>
      <c r="L3614" t="s">
        <v>82</v>
      </c>
      <c r="M3614">
        <v>42556096</v>
      </c>
    </row>
    <row r="3615" spans="1:13">
      <c r="A3615">
        <v>45963</v>
      </c>
      <c r="B3615" t="s">
        <v>76</v>
      </c>
      <c r="D3615">
        <v>500</v>
      </c>
      <c r="G3615" t="s">
        <v>77</v>
      </c>
      <c r="I3615" t="s">
        <v>60</v>
      </c>
      <c r="J3615" t="s">
        <v>61</v>
      </c>
      <c r="L3615" t="s">
        <v>62</v>
      </c>
    </row>
    <row r="3616" spans="1:13">
      <c r="A3616">
        <v>45963</v>
      </c>
      <c r="B3616" t="s">
        <v>3282</v>
      </c>
      <c r="D3616">
        <v>500</v>
      </c>
      <c r="F3616">
        <v>0</v>
      </c>
      <c r="G3616" t="s">
        <v>22</v>
      </c>
      <c r="H3616" t="s">
        <v>21</v>
      </c>
      <c r="I3616" t="s">
        <v>60</v>
      </c>
      <c r="J3616" t="s">
        <v>61</v>
      </c>
      <c r="L3616" t="s">
        <v>89</v>
      </c>
    </row>
    <row r="3617" spans="1:13">
      <c r="A3617">
        <v>45963</v>
      </c>
      <c r="B3617" t="s">
        <v>3283</v>
      </c>
      <c r="F3617">
        <v>1</v>
      </c>
      <c r="G3617" t="s">
        <v>64</v>
      </c>
      <c r="L3617" t="s">
        <v>89</v>
      </c>
      <c r="M3617" t="s">
        <v>96</v>
      </c>
    </row>
    <row r="3618" spans="1:13">
      <c r="A3618">
        <v>45963</v>
      </c>
      <c r="B3618" t="s">
        <v>63</v>
      </c>
      <c r="E3618">
        <v>500</v>
      </c>
      <c r="F3618">
        <v>1</v>
      </c>
      <c r="G3618" t="s">
        <v>65</v>
      </c>
      <c r="H3618" t="s">
        <v>66</v>
      </c>
      <c r="I3618" t="s">
        <v>60</v>
      </c>
      <c r="J3618" t="s">
        <v>61</v>
      </c>
      <c r="L3618" t="s">
        <v>62</v>
      </c>
      <c r="M3618" t="s">
        <v>3280</v>
      </c>
    </row>
    <row r="3619" spans="1:13">
      <c r="A3619">
        <v>45964</v>
      </c>
      <c r="B3619" t="s">
        <v>81</v>
      </c>
      <c r="D3619">
        <v>86500</v>
      </c>
      <c r="F3619">
        <v>1</v>
      </c>
      <c r="G3619" t="s">
        <v>74</v>
      </c>
      <c r="H3619" t="s">
        <v>75</v>
      </c>
      <c r="I3619" t="s">
        <v>60</v>
      </c>
      <c r="J3619" t="s">
        <v>61</v>
      </c>
      <c r="L3619" t="s">
        <v>88</v>
      </c>
    </row>
    <row r="3620" spans="1:13">
      <c r="A3620">
        <v>45964</v>
      </c>
      <c r="B3620" t="s">
        <v>63</v>
      </c>
      <c r="D3620">
        <v>63500</v>
      </c>
      <c r="G3620" t="s">
        <v>70</v>
      </c>
      <c r="I3620" t="s">
        <v>60</v>
      </c>
      <c r="J3620" t="s">
        <v>61</v>
      </c>
      <c r="L3620" t="s">
        <v>62</v>
      </c>
    </row>
    <row r="3621" spans="1:13">
      <c r="A3621">
        <v>45964</v>
      </c>
      <c r="B3621" t="s">
        <v>102</v>
      </c>
      <c r="C3621" t="s">
        <v>3284</v>
      </c>
      <c r="F3621">
        <v>10</v>
      </c>
      <c r="G3621" t="s">
        <v>22</v>
      </c>
      <c r="H3621" t="s">
        <v>21</v>
      </c>
      <c r="L3621" t="s">
        <v>95</v>
      </c>
    </row>
    <row r="3622" spans="1:13">
      <c r="A3622">
        <v>45964</v>
      </c>
      <c r="B3622" t="s">
        <v>3285</v>
      </c>
      <c r="F3622">
        <v>1</v>
      </c>
      <c r="G3622" t="s">
        <v>564</v>
      </c>
      <c r="H3622" t="s">
        <v>21</v>
      </c>
      <c r="L3622" t="s">
        <v>82</v>
      </c>
      <c r="M3622" t="s">
        <v>327</v>
      </c>
    </row>
    <row r="3623" spans="1:13">
      <c r="A3623">
        <v>45964</v>
      </c>
      <c r="B3623" t="s">
        <v>3286</v>
      </c>
      <c r="F3623">
        <v>1</v>
      </c>
      <c r="G3623" t="s">
        <v>319</v>
      </c>
      <c r="H3623" t="s">
        <v>21</v>
      </c>
      <c r="L3623" t="s">
        <v>82</v>
      </c>
      <c r="M3623" t="s">
        <v>3287</v>
      </c>
    </row>
    <row r="3624" spans="1:13">
      <c r="A3624">
        <v>45964</v>
      </c>
      <c r="B3624" t="s">
        <v>3288</v>
      </c>
      <c r="D3624">
        <v>500</v>
      </c>
      <c r="F3624">
        <v>1</v>
      </c>
      <c r="G3624" t="s">
        <v>22</v>
      </c>
      <c r="H3624" t="s">
        <v>21</v>
      </c>
      <c r="I3624" t="s">
        <v>60</v>
      </c>
      <c r="J3624" t="s">
        <v>61</v>
      </c>
      <c r="L3624" t="s">
        <v>82</v>
      </c>
    </row>
    <row r="3625" spans="1:13">
      <c r="A3625">
        <v>45964</v>
      </c>
      <c r="B3625" t="s">
        <v>3289</v>
      </c>
      <c r="D3625">
        <v>500</v>
      </c>
      <c r="F3625">
        <v>1</v>
      </c>
      <c r="G3625" t="s">
        <v>22</v>
      </c>
      <c r="H3625" t="s">
        <v>21</v>
      </c>
      <c r="I3625" t="s">
        <v>60</v>
      </c>
      <c r="J3625" t="s">
        <v>61</v>
      </c>
      <c r="L3625" t="s">
        <v>82</v>
      </c>
    </row>
    <row r="3626" spans="1:13">
      <c r="A3626">
        <v>45964</v>
      </c>
      <c r="B3626" t="s">
        <v>3289</v>
      </c>
      <c r="F3626">
        <v>1</v>
      </c>
      <c r="G3626" t="s">
        <v>2490</v>
      </c>
      <c r="L3626" t="s">
        <v>82</v>
      </c>
      <c r="M3626" t="s">
        <v>2993</v>
      </c>
    </row>
    <row r="3627" spans="1:13">
      <c r="A3627">
        <v>45964</v>
      </c>
      <c r="B3627" t="s">
        <v>3289</v>
      </c>
      <c r="F3627">
        <v>1</v>
      </c>
      <c r="G3627" t="s">
        <v>64</v>
      </c>
      <c r="L3627" t="s">
        <v>82</v>
      </c>
      <c r="M3627" t="s">
        <v>96</v>
      </c>
    </row>
    <row r="3628" spans="1:13">
      <c r="A3628">
        <v>45964</v>
      </c>
      <c r="B3628" t="s">
        <v>3290</v>
      </c>
      <c r="F3628">
        <v>1</v>
      </c>
      <c r="G3628" t="s">
        <v>79</v>
      </c>
      <c r="H3628" t="s">
        <v>21</v>
      </c>
      <c r="L3628" t="s">
        <v>89</v>
      </c>
      <c r="M3628" t="s">
        <v>327</v>
      </c>
    </row>
    <row r="3629" spans="1:13">
      <c r="A3629">
        <v>45964</v>
      </c>
      <c r="B3629" t="s">
        <v>3291</v>
      </c>
      <c r="F3629">
        <v>2</v>
      </c>
      <c r="G3629" t="s">
        <v>79</v>
      </c>
      <c r="H3629" t="s">
        <v>21</v>
      </c>
      <c r="L3629" t="s">
        <v>82</v>
      </c>
      <c r="M3629" t="s">
        <v>327</v>
      </c>
    </row>
    <row r="3630" spans="1:13">
      <c r="A3630">
        <v>45964</v>
      </c>
      <c r="B3630" t="s">
        <v>3292</v>
      </c>
      <c r="D3630">
        <v>500</v>
      </c>
      <c r="F3630">
        <v>1</v>
      </c>
      <c r="G3630" t="s">
        <v>22</v>
      </c>
      <c r="H3630" t="s">
        <v>21</v>
      </c>
      <c r="I3630" t="s">
        <v>60</v>
      </c>
      <c r="J3630" t="s">
        <v>61</v>
      </c>
      <c r="L3630" t="s">
        <v>89</v>
      </c>
    </row>
    <row r="3631" spans="1:13">
      <c r="A3631">
        <v>45964</v>
      </c>
      <c r="B3631" t="s">
        <v>3293</v>
      </c>
      <c r="D3631">
        <v>500</v>
      </c>
      <c r="F3631">
        <v>1</v>
      </c>
      <c r="G3631" t="s">
        <v>22</v>
      </c>
      <c r="H3631" t="s">
        <v>21</v>
      </c>
      <c r="I3631" t="s">
        <v>60</v>
      </c>
      <c r="J3631" t="s">
        <v>61</v>
      </c>
      <c r="L3631" t="s">
        <v>89</v>
      </c>
    </row>
    <row r="3632" spans="1:13">
      <c r="A3632">
        <v>45964</v>
      </c>
      <c r="B3632" t="s">
        <v>3294</v>
      </c>
      <c r="F3632">
        <v>1</v>
      </c>
      <c r="G3632" t="s">
        <v>64</v>
      </c>
      <c r="L3632" t="s">
        <v>89</v>
      </c>
      <c r="M3632" t="s">
        <v>3295</v>
      </c>
    </row>
    <row r="3633" spans="1:13">
      <c r="A3633">
        <v>45964</v>
      </c>
      <c r="B3633" t="s">
        <v>3296</v>
      </c>
      <c r="F3633">
        <v>2</v>
      </c>
      <c r="G3633" t="s">
        <v>79</v>
      </c>
      <c r="H3633" t="s">
        <v>21</v>
      </c>
      <c r="L3633" t="s">
        <v>89</v>
      </c>
      <c r="M3633" t="s">
        <v>327</v>
      </c>
    </row>
    <row r="3634" spans="1:13">
      <c r="A3634">
        <v>45964</v>
      </c>
      <c r="B3634" t="s">
        <v>63</v>
      </c>
      <c r="E3634">
        <v>2000</v>
      </c>
      <c r="F3634">
        <v>1</v>
      </c>
      <c r="G3634" t="s">
        <v>65</v>
      </c>
      <c r="H3634" t="s">
        <v>66</v>
      </c>
      <c r="I3634" t="s">
        <v>60</v>
      </c>
      <c r="J3634" t="s">
        <v>61</v>
      </c>
      <c r="L3634" t="s">
        <v>62</v>
      </c>
      <c r="M3634" t="s">
        <v>3280</v>
      </c>
    </row>
    <row r="3635" spans="1:13">
      <c r="A3635">
        <v>45964</v>
      </c>
      <c r="B3635" t="s">
        <v>3297</v>
      </c>
      <c r="F3635">
        <v>1</v>
      </c>
      <c r="G3635" t="s">
        <v>0</v>
      </c>
      <c r="L3635" t="s">
        <v>89</v>
      </c>
      <c r="M3635">
        <v>42656918</v>
      </c>
    </row>
    <row r="3636" spans="1:13">
      <c r="A3636">
        <v>45965</v>
      </c>
      <c r="B3636" t="s">
        <v>81</v>
      </c>
      <c r="D3636">
        <v>55800</v>
      </c>
      <c r="F3636">
        <v>1</v>
      </c>
      <c r="G3636" t="s">
        <v>74</v>
      </c>
      <c r="H3636" t="s">
        <v>75</v>
      </c>
      <c r="I3636" t="s">
        <v>60</v>
      </c>
      <c r="J3636" t="s">
        <v>61</v>
      </c>
      <c r="L3636" t="s">
        <v>88</v>
      </c>
    </row>
    <row r="3637" spans="1:13">
      <c r="A3637">
        <v>45965</v>
      </c>
      <c r="B3637" t="s">
        <v>3298</v>
      </c>
      <c r="D3637">
        <v>500</v>
      </c>
      <c r="F3637">
        <v>1</v>
      </c>
      <c r="G3637" t="s">
        <v>22</v>
      </c>
      <c r="H3637" t="s">
        <v>21</v>
      </c>
      <c r="I3637" t="s">
        <v>60</v>
      </c>
      <c r="J3637" t="s">
        <v>61</v>
      </c>
      <c r="L3637" t="s">
        <v>86</v>
      </c>
    </row>
    <row r="3638" spans="1:13">
      <c r="A3638">
        <v>45965</v>
      </c>
      <c r="B3638" t="s">
        <v>3299</v>
      </c>
      <c r="F3638">
        <v>1</v>
      </c>
      <c r="G3638" t="s">
        <v>64</v>
      </c>
      <c r="L3638" t="s">
        <v>82</v>
      </c>
      <c r="M3638" t="s">
        <v>96</v>
      </c>
    </row>
    <row r="3639" spans="1:13">
      <c r="A3639">
        <v>45965</v>
      </c>
      <c r="B3639" t="s">
        <v>3300</v>
      </c>
      <c r="D3639">
        <v>500</v>
      </c>
      <c r="F3639">
        <v>0</v>
      </c>
      <c r="G3639" t="s">
        <v>22</v>
      </c>
      <c r="H3639" t="s">
        <v>21</v>
      </c>
      <c r="I3639" t="s">
        <v>60</v>
      </c>
      <c r="J3639" t="s">
        <v>61</v>
      </c>
      <c r="L3639" t="s">
        <v>82</v>
      </c>
      <c r="M3639" t="s">
        <v>83</v>
      </c>
    </row>
    <row r="3640" spans="1:13">
      <c r="A3640">
        <v>45965</v>
      </c>
      <c r="B3640" t="s">
        <v>63</v>
      </c>
      <c r="D3640">
        <v>6500</v>
      </c>
      <c r="G3640" t="s">
        <v>70</v>
      </c>
      <c r="I3640" t="s">
        <v>60</v>
      </c>
      <c r="J3640" t="s">
        <v>61</v>
      </c>
      <c r="L3640" t="s">
        <v>62</v>
      </c>
    </row>
    <row r="3641" spans="1:13">
      <c r="A3641">
        <v>45965</v>
      </c>
      <c r="B3641" t="s">
        <v>76</v>
      </c>
      <c r="D3641">
        <v>12000</v>
      </c>
      <c r="G3641" t="s">
        <v>77</v>
      </c>
      <c r="I3641" t="s">
        <v>60</v>
      </c>
      <c r="J3641" t="s">
        <v>61</v>
      </c>
      <c r="L3641" t="s">
        <v>62</v>
      </c>
    </row>
    <row r="3642" spans="1:13">
      <c r="A3642">
        <v>45965</v>
      </c>
      <c r="B3642" t="s">
        <v>63</v>
      </c>
      <c r="D3642">
        <v>500</v>
      </c>
      <c r="F3642">
        <v>2</v>
      </c>
      <c r="G3642" t="s">
        <v>22</v>
      </c>
      <c r="H3642" t="s">
        <v>93</v>
      </c>
      <c r="I3642" t="s">
        <v>60</v>
      </c>
      <c r="J3642" t="s">
        <v>61</v>
      </c>
      <c r="L3642" t="s">
        <v>62</v>
      </c>
    </row>
    <row r="3643" spans="1:13">
      <c r="A3643">
        <v>45965</v>
      </c>
      <c r="B3643" t="s">
        <v>3301</v>
      </c>
      <c r="D3643">
        <v>500</v>
      </c>
      <c r="F3643">
        <v>1</v>
      </c>
      <c r="G3643" t="s">
        <v>22</v>
      </c>
      <c r="H3643" t="s">
        <v>21</v>
      </c>
      <c r="I3643" t="s">
        <v>60</v>
      </c>
      <c r="J3643" t="s">
        <v>61</v>
      </c>
      <c r="L3643" t="s">
        <v>86</v>
      </c>
    </row>
    <row r="3644" spans="1:13">
      <c r="A3644">
        <v>45965</v>
      </c>
      <c r="B3644" t="s">
        <v>3302</v>
      </c>
      <c r="F3644">
        <v>1</v>
      </c>
      <c r="G3644" t="s">
        <v>2490</v>
      </c>
      <c r="L3644" t="s">
        <v>86</v>
      </c>
      <c r="M3644" t="s">
        <v>2993</v>
      </c>
    </row>
    <row r="3645" spans="1:13">
      <c r="A3645">
        <v>45965</v>
      </c>
      <c r="B3645" t="s">
        <v>63</v>
      </c>
      <c r="E3645">
        <v>1500</v>
      </c>
      <c r="F3645">
        <v>1</v>
      </c>
      <c r="G3645" t="s">
        <v>65</v>
      </c>
      <c r="H3645" t="s">
        <v>66</v>
      </c>
      <c r="I3645" t="s">
        <v>60</v>
      </c>
      <c r="J3645" t="s">
        <v>61</v>
      </c>
      <c r="L3645" t="s">
        <v>62</v>
      </c>
      <c r="M3645" t="s">
        <v>3280</v>
      </c>
    </row>
    <row r="3646" spans="1:13">
      <c r="A3646">
        <v>45966</v>
      </c>
      <c r="B3646" t="s">
        <v>81</v>
      </c>
      <c r="D3646">
        <v>119900</v>
      </c>
      <c r="F3646">
        <v>1</v>
      </c>
      <c r="G3646" t="s">
        <v>74</v>
      </c>
      <c r="H3646" t="s">
        <v>75</v>
      </c>
      <c r="I3646" t="s">
        <v>60</v>
      </c>
      <c r="J3646" t="s">
        <v>61</v>
      </c>
      <c r="L3646" t="s">
        <v>88</v>
      </c>
    </row>
    <row r="3647" spans="1:13">
      <c r="A3647">
        <v>45966</v>
      </c>
      <c r="B3647" t="s">
        <v>3303</v>
      </c>
      <c r="D3647">
        <v>500</v>
      </c>
      <c r="F3647">
        <v>1</v>
      </c>
      <c r="G3647" t="s">
        <v>22</v>
      </c>
      <c r="H3647" t="s">
        <v>21</v>
      </c>
      <c r="I3647" t="s">
        <v>60</v>
      </c>
      <c r="J3647" t="s">
        <v>61</v>
      </c>
      <c r="L3647" t="s">
        <v>89</v>
      </c>
    </row>
    <row r="3648" spans="1:13">
      <c r="A3648">
        <v>45966</v>
      </c>
      <c r="B3648" t="s">
        <v>3304</v>
      </c>
      <c r="F3648">
        <v>1</v>
      </c>
      <c r="G3648" t="s">
        <v>79</v>
      </c>
      <c r="H3648" t="s">
        <v>21</v>
      </c>
      <c r="L3648" t="s">
        <v>89</v>
      </c>
      <c r="M3648" t="s">
        <v>327</v>
      </c>
    </row>
    <row r="3649" spans="1:13">
      <c r="A3649">
        <v>45966</v>
      </c>
      <c r="B3649" t="s">
        <v>3305</v>
      </c>
      <c r="D3649">
        <v>500</v>
      </c>
      <c r="F3649">
        <v>1</v>
      </c>
      <c r="G3649" t="s">
        <v>22</v>
      </c>
      <c r="H3649" t="s">
        <v>21</v>
      </c>
      <c r="I3649" t="s">
        <v>60</v>
      </c>
      <c r="J3649" t="s">
        <v>61</v>
      </c>
      <c r="L3649" t="s">
        <v>82</v>
      </c>
    </row>
    <row r="3650" spans="1:13">
      <c r="A3650">
        <v>45966</v>
      </c>
      <c r="B3650" t="s">
        <v>3306</v>
      </c>
      <c r="D3650">
        <v>500</v>
      </c>
      <c r="F3650">
        <v>1</v>
      </c>
      <c r="G3650" t="s">
        <v>22</v>
      </c>
      <c r="H3650" t="s">
        <v>21</v>
      </c>
      <c r="I3650" t="s">
        <v>60</v>
      </c>
      <c r="J3650" t="s">
        <v>61</v>
      </c>
      <c r="L3650" t="s">
        <v>82</v>
      </c>
    </row>
    <row r="3651" spans="1:13">
      <c r="A3651">
        <v>45966</v>
      </c>
      <c r="B3651" t="s">
        <v>63</v>
      </c>
      <c r="D3651">
        <v>3839</v>
      </c>
      <c r="G3651" t="s">
        <v>70</v>
      </c>
      <c r="I3651" t="s">
        <v>60</v>
      </c>
      <c r="J3651" t="s">
        <v>61</v>
      </c>
      <c r="L3651" t="s">
        <v>62</v>
      </c>
    </row>
    <row r="3652" spans="1:13">
      <c r="A3652">
        <v>45966</v>
      </c>
      <c r="B3652" t="s">
        <v>3307</v>
      </c>
      <c r="E3652">
        <v>3839</v>
      </c>
      <c r="F3652">
        <v>1</v>
      </c>
      <c r="G3652" t="s">
        <v>65</v>
      </c>
      <c r="H3652" t="s">
        <v>66</v>
      </c>
      <c r="I3652" t="s">
        <v>60</v>
      </c>
      <c r="J3652" t="s">
        <v>61</v>
      </c>
      <c r="L3652" t="s">
        <v>0</v>
      </c>
    </row>
    <row r="3653" spans="1:13">
      <c r="A3653">
        <v>45966</v>
      </c>
      <c r="B3653" t="s">
        <v>3308</v>
      </c>
      <c r="F3653">
        <v>1</v>
      </c>
      <c r="G3653" t="s">
        <v>590</v>
      </c>
      <c r="H3653" t="s">
        <v>21</v>
      </c>
      <c r="L3653" t="s">
        <v>82</v>
      </c>
      <c r="M3653" t="s">
        <v>3309</v>
      </c>
    </row>
    <row r="3654" spans="1:13">
      <c r="A3654">
        <v>45966</v>
      </c>
      <c r="B3654" t="s">
        <v>3029</v>
      </c>
      <c r="F3654">
        <v>1</v>
      </c>
      <c r="G3654" t="s">
        <v>2490</v>
      </c>
      <c r="L3654" t="s">
        <v>82</v>
      </c>
      <c r="M3654" t="s">
        <v>2993</v>
      </c>
    </row>
    <row r="3655" spans="1:13">
      <c r="A3655">
        <v>45966</v>
      </c>
      <c r="B3655" t="s">
        <v>63</v>
      </c>
      <c r="D3655">
        <v>12500</v>
      </c>
      <c r="F3655">
        <v>2</v>
      </c>
      <c r="G3655" t="s">
        <v>70</v>
      </c>
      <c r="I3655" t="s">
        <v>71</v>
      </c>
      <c r="J3655" t="s">
        <v>72</v>
      </c>
      <c r="K3655" t="s">
        <v>3310</v>
      </c>
      <c r="L3655" t="s">
        <v>62</v>
      </c>
      <c r="M3655" t="s">
        <v>90</v>
      </c>
    </row>
    <row r="3656" spans="1:13">
      <c r="A3656">
        <v>45966</v>
      </c>
      <c r="B3656" t="s">
        <v>63</v>
      </c>
      <c r="E3656">
        <v>2500</v>
      </c>
      <c r="F3656">
        <v>1</v>
      </c>
      <c r="G3656" t="s">
        <v>65</v>
      </c>
      <c r="H3656" t="s">
        <v>66</v>
      </c>
      <c r="I3656" t="s">
        <v>60</v>
      </c>
      <c r="J3656" t="s">
        <v>61</v>
      </c>
      <c r="L3656" t="s">
        <v>62</v>
      </c>
      <c r="M3656" t="s">
        <v>3280</v>
      </c>
    </row>
    <row r="3657" spans="1:13">
      <c r="A3657">
        <v>45967</v>
      </c>
      <c r="B3657" t="s">
        <v>81</v>
      </c>
      <c r="D3657">
        <v>40000</v>
      </c>
      <c r="F3657">
        <v>1</v>
      </c>
      <c r="G3657" t="s">
        <v>74</v>
      </c>
      <c r="H3657" t="s">
        <v>75</v>
      </c>
      <c r="I3657" t="s">
        <v>60</v>
      </c>
      <c r="J3657" t="s">
        <v>61</v>
      </c>
      <c r="L3657" t="s">
        <v>88</v>
      </c>
    </row>
    <row r="3658" spans="1:13">
      <c r="A3658">
        <v>45967</v>
      </c>
      <c r="B3658" t="s">
        <v>661</v>
      </c>
      <c r="E3658">
        <v>806007</v>
      </c>
      <c r="F3658">
        <v>1</v>
      </c>
      <c r="G3658" t="s">
        <v>74</v>
      </c>
      <c r="H3658" t="s">
        <v>75</v>
      </c>
      <c r="I3658" t="s">
        <v>60</v>
      </c>
      <c r="J3658" t="s">
        <v>61</v>
      </c>
      <c r="L3658" t="s">
        <v>104</v>
      </c>
      <c r="M3658" t="s">
        <v>937</v>
      </c>
    </row>
    <row r="3659" spans="1:13">
      <c r="A3659">
        <v>45967</v>
      </c>
      <c r="B3659" t="s">
        <v>3311</v>
      </c>
      <c r="D3659">
        <v>500</v>
      </c>
      <c r="F3659">
        <v>1</v>
      </c>
      <c r="G3659" t="s">
        <v>22</v>
      </c>
      <c r="H3659" t="s">
        <v>21</v>
      </c>
      <c r="I3659" t="s">
        <v>60</v>
      </c>
      <c r="J3659" t="s">
        <v>61</v>
      </c>
      <c r="L3659" t="s">
        <v>89</v>
      </c>
    </row>
    <row r="3660" spans="1:13">
      <c r="A3660">
        <v>45967</v>
      </c>
      <c r="B3660" t="s">
        <v>3312</v>
      </c>
      <c r="D3660">
        <v>500</v>
      </c>
      <c r="F3660">
        <v>1</v>
      </c>
      <c r="G3660" t="s">
        <v>22</v>
      </c>
      <c r="H3660" t="s">
        <v>21</v>
      </c>
      <c r="I3660" t="s">
        <v>60</v>
      </c>
      <c r="J3660" t="s">
        <v>61</v>
      </c>
      <c r="L3660" t="s">
        <v>89</v>
      </c>
    </row>
    <row r="3661" spans="1:13">
      <c r="A3661">
        <v>45967</v>
      </c>
      <c r="B3661" t="s">
        <v>3313</v>
      </c>
      <c r="F3661">
        <v>1</v>
      </c>
      <c r="G3661" t="s">
        <v>22</v>
      </c>
      <c r="H3661" t="s">
        <v>21</v>
      </c>
      <c r="L3661" t="s">
        <v>101</v>
      </c>
      <c r="M3661" t="s">
        <v>3314</v>
      </c>
    </row>
    <row r="3662" spans="1:13">
      <c r="A3662">
        <v>45967</v>
      </c>
      <c r="B3662" t="s">
        <v>3315</v>
      </c>
      <c r="F3662">
        <v>1</v>
      </c>
      <c r="G3662" t="s">
        <v>79</v>
      </c>
      <c r="H3662" t="s">
        <v>21</v>
      </c>
      <c r="L3662" t="s">
        <v>89</v>
      </c>
      <c r="M3662" t="s">
        <v>327</v>
      </c>
    </row>
    <row r="3663" spans="1:13">
      <c r="A3663">
        <v>45967</v>
      </c>
      <c r="B3663" t="s">
        <v>3316</v>
      </c>
      <c r="D3663">
        <v>500</v>
      </c>
      <c r="F3663">
        <v>0</v>
      </c>
      <c r="G3663" t="s">
        <v>22</v>
      </c>
      <c r="H3663" t="s">
        <v>21</v>
      </c>
      <c r="I3663" t="s">
        <v>60</v>
      </c>
      <c r="J3663" t="s">
        <v>61</v>
      </c>
      <c r="L3663" t="s">
        <v>89</v>
      </c>
    </row>
    <row r="3664" spans="1:13">
      <c r="A3664">
        <v>45967</v>
      </c>
      <c r="B3664" t="s">
        <v>3317</v>
      </c>
      <c r="D3664">
        <v>500</v>
      </c>
      <c r="F3664">
        <v>0</v>
      </c>
      <c r="G3664" t="s">
        <v>22</v>
      </c>
      <c r="H3664" t="s">
        <v>21</v>
      </c>
      <c r="I3664" t="s">
        <v>60</v>
      </c>
      <c r="J3664" t="s">
        <v>61</v>
      </c>
      <c r="L3664" t="s">
        <v>86</v>
      </c>
    </row>
    <row r="3665" spans="1:13">
      <c r="A3665">
        <v>45967</v>
      </c>
      <c r="B3665" t="s">
        <v>63</v>
      </c>
      <c r="D3665">
        <v>46000</v>
      </c>
      <c r="G3665" t="s">
        <v>70</v>
      </c>
      <c r="I3665" t="s">
        <v>60</v>
      </c>
      <c r="J3665" t="s">
        <v>61</v>
      </c>
      <c r="L3665" t="s">
        <v>62</v>
      </c>
    </row>
    <row r="3666" spans="1:13">
      <c r="A3666">
        <v>45967</v>
      </c>
      <c r="B3666" t="s">
        <v>80</v>
      </c>
      <c r="E3666">
        <v>12379</v>
      </c>
      <c r="F3666">
        <v>1</v>
      </c>
      <c r="G3666" t="s">
        <v>74</v>
      </c>
      <c r="H3666" t="s">
        <v>75</v>
      </c>
      <c r="I3666" t="s">
        <v>60</v>
      </c>
      <c r="J3666" t="s">
        <v>61</v>
      </c>
      <c r="L3666" t="s">
        <v>87</v>
      </c>
    </row>
    <row r="3667" spans="1:13">
      <c r="A3667">
        <v>45967</v>
      </c>
      <c r="B3667" t="s">
        <v>80</v>
      </c>
      <c r="E3667">
        <v>121</v>
      </c>
      <c r="F3667">
        <v>1</v>
      </c>
      <c r="G3667" t="s">
        <v>65</v>
      </c>
      <c r="H3667" t="s">
        <v>66</v>
      </c>
      <c r="I3667" t="s">
        <v>60</v>
      </c>
      <c r="J3667" t="s">
        <v>61</v>
      </c>
      <c r="L3667" t="s">
        <v>62</v>
      </c>
    </row>
    <row r="3668" spans="1:13">
      <c r="A3668">
        <v>45967</v>
      </c>
      <c r="B3668" t="s">
        <v>63</v>
      </c>
      <c r="D3668">
        <v>12000</v>
      </c>
      <c r="F3668">
        <v>1</v>
      </c>
      <c r="G3668" t="s">
        <v>70</v>
      </c>
      <c r="I3668" t="s">
        <v>71</v>
      </c>
      <c r="J3668" t="s">
        <v>72</v>
      </c>
      <c r="K3668" t="s">
        <v>3318</v>
      </c>
      <c r="L3668" t="s">
        <v>62</v>
      </c>
      <c r="M3668" t="s">
        <v>90</v>
      </c>
    </row>
    <row r="3669" spans="1:13">
      <c r="A3669">
        <v>45967</v>
      </c>
      <c r="B3669" t="s">
        <v>76</v>
      </c>
      <c r="D3669">
        <v>16200</v>
      </c>
      <c r="G3669" t="s">
        <v>77</v>
      </c>
      <c r="I3669" t="s">
        <v>60</v>
      </c>
      <c r="J3669" t="s">
        <v>61</v>
      </c>
      <c r="L3669" t="s">
        <v>62</v>
      </c>
    </row>
    <row r="3670" spans="1:13">
      <c r="A3670">
        <v>45967</v>
      </c>
      <c r="B3670" t="s">
        <v>3319</v>
      </c>
      <c r="F3670">
        <v>1</v>
      </c>
      <c r="G3670" t="s">
        <v>79</v>
      </c>
      <c r="H3670" t="s">
        <v>21</v>
      </c>
      <c r="L3670" t="s">
        <v>86</v>
      </c>
      <c r="M3670" t="s">
        <v>327</v>
      </c>
    </row>
    <row r="3671" spans="1:13">
      <c r="A3671">
        <v>45967</v>
      </c>
      <c r="B3671" t="s">
        <v>3320</v>
      </c>
      <c r="D3671">
        <v>500</v>
      </c>
      <c r="F3671">
        <v>1</v>
      </c>
      <c r="G3671" t="s">
        <v>22</v>
      </c>
      <c r="H3671" t="s">
        <v>21</v>
      </c>
      <c r="I3671" t="s">
        <v>60</v>
      </c>
      <c r="J3671" t="s">
        <v>61</v>
      </c>
      <c r="L3671" t="s">
        <v>86</v>
      </c>
    </row>
    <row r="3672" spans="1:13">
      <c r="A3672">
        <v>45967</v>
      </c>
      <c r="B3672" t="s">
        <v>3321</v>
      </c>
      <c r="D3672">
        <v>500</v>
      </c>
      <c r="F3672">
        <v>1</v>
      </c>
      <c r="G3672" t="s">
        <v>22</v>
      </c>
      <c r="H3672" t="s">
        <v>21</v>
      </c>
      <c r="I3672" t="s">
        <v>60</v>
      </c>
      <c r="J3672" t="s">
        <v>61</v>
      </c>
      <c r="L3672" t="s">
        <v>86</v>
      </c>
    </row>
    <row r="3673" spans="1:13">
      <c r="A3673">
        <v>45967</v>
      </c>
      <c r="B3673" t="s">
        <v>3322</v>
      </c>
      <c r="D3673">
        <v>500</v>
      </c>
      <c r="F3673">
        <v>0</v>
      </c>
      <c r="G3673" t="s">
        <v>22</v>
      </c>
      <c r="H3673" t="s">
        <v>21</v>
      </c>
      <c r="I3673" t="s">
        <v>60</v>
      </c>
      <c r="J3673" t="s">
        <v>61</v>
      </c>
      <c r="L3673" t="s">
        <v>89</v>
      </c>
      <c r="M3673" t="s">
        <v>3048</v>
      </c>
    </row>
    <row r="3674" spans="1:13">
      <c r="A3674">
        <v>45967</v>
      </c>
      <c r="B3674" t="s">
        <v>3323</v>
      </c>
      <c r="D3674">
        <v>500</v>
      </c>
      <c r="F3674">
        <v>1</v>
      </c>
      <c r="G3674" t="s">
        <v>22</v>
      </c>
      <c r="H3674" t="s">
        <v>21</v>
      </c>
      <c r="I3674" t="s">
        <v>60</v>
      </c>
      <c r="J3674" t="s">
        <v>61</v>
      </c>
      <c r="L3674" t="s">
        <v>86</v>
      </c>
    </row>
    <row r="3675" spans="1:13">
      <c r="A3675">
        <v>45967</v>
      </c>
      <c r="B3675" t="s">
        <v>3313</v>
      </c>
      <c r="D3675">
        <v>500</v>
      </c>
      <c r="F3675">
        <v>1</v>
      </c>
      <c r="G3675" t="s">
        <v>22</v>
      </c>
      <c r="H3675" t="s">
        <v>21</v>
      </c>
      <c r="I3675" t="s">
        <v>60</v>
      </c>
      <c r="J3675" t="s">
        <v>61</v>
      </c>
      <c r="L3675" t="s">
        <v>86</v>
      </c>
    </row>
    <row r="3676" spans="1:13">
      <c r="A3676">
        <v>45967</v>
      </c>
      <c r="B3676" t="s">
        <v>3324</v>
      </c>
      <c r="D3676">
        <v>500</v>
      </c>
      <c r="F3676">
        <v>1</v>
      </c>
      <c r="G3676" t="s">
        <v>22</v>
      </c>
      <c r="H3676" t="s">
        <v>21</v>
      </c>
      <c r="I3676" t="s">
        <v>60</v>
      </c>
      <c r="J3676" t="s">
        <v>61</v>
      </c>
      <c r="L3676" t="s">
        <v>86</v>
      </c>
    </row>
    <row r="3677" spans="1:13">
      <c r="A3677">
        <v>45967</v>
      </c>
      <c r="B3677" t="s">
        <v>80</v>
      </c>
      <c r="E3677">
        <v>33176</v>
      </c>
      <c r="F3677">
        <v>1</v>
      </c>
      <c r="G3677" t="s">
        <v>74</v>
      </c>
      <c r="H3677" t="s">
        <v>75</v>
      </c>
      <c r="I3677" t="s">
        <v>60</v>
      </c>
      <c r="J3677" t="s">
        <v>61</v>
      </c>
      <c r="L3677" t="s">
        <v>305</v>
      </c>
    </row>
    <row r="3678" spans="1:13">
      <c r="A3678">
        <v>45967</v>
      </c>
      <c r="B3678" t="s">
        <v>80</v>
      </c>
      <c r="E3678">
        <v>324</v>
      </c>
      <c r="F3678">
        <v>1</v>
      </c>
      <c r="G3678" t="s">
        <v>65</v>
      </c>
      <c r="H3678" t="s">
        <v>66</v>
      </c>
      <c r="I3678" t="s">
        <v>60</v>
      </c>
      <c r="J3678" t="s">
        <v>61</v>
      </c>
      <c r="L3678" t="s">
        <v>62</v>
      </c>
    </row>
    <row r="3679" spans="1:13">
      <c r="A3679">
        <v>45967</v>
      </c>
      <c r="B3679" t="s">
        <v>63</v>
      </c>
      <c r="D3679">
        <v>1100</v>
      </c>
      <c r="F3679">
        <v>11</v>
      </c>
      <c r="G3679" t="s">
        <v>22</v>
      </c>
      <c r="H3679" t="s">
        <v>93</v>
      </c>
      <c r="I3679" t="s">
        <v>60</v>
      </c>
      <c r="J3679" t="s">
        <v>61</v>
      </c>
      <c r="L3679" t="s">
        <v>62</v>
      </c>
    </row>
    <row r="3680" spans="1:13">
      <c r="A3680">
        <v>45967</v>
      </c>
      <c r="B3680" t="s">
        <v>3325</v>
      </c>
      <c r="F3680">
        <v>1</v>
      </c>
      <c r="G3680" t="s">
        <v>64</v>
      </c>
      <c r="L3680" t="s">
        <v>86</v>
      </c>
      <c r="M3680" t="s">
        <v>96</v>
      </c>
    </row>
    <row r="3681" spans="1:13">
      <c r="A3681">
        <v>45967</v>
      </c>
      <c r="B3681" t="s">
        <v>63</v>
      </c>
      <c r="E3681">
        <v>5000</v>
      </c>
      <c r="F3681">
        <v>1</v>
      </c>
      <c r="G3681" t="s">
        <v>65</v>
      </c>
      <c r="H3681" t="s">
        <v>66</v>
      </c>
      <c r="I3681" t="s">
        <v>60</v>
      </c>
      <c r="J3681" t="s">
        <v>61</v>
      </c>
      <c r="L3681" t="s">
        <v>62</v>
      </c>
      <c r="M3681" t="s">
        <v>3280</v>
      </c>
    </row>
    <row r="3682" spans="1:13">
      <c r="A3682">
        <v>45968</v>
      </c>
      <c r="B3682" t="s">
        <v>81</v>
      </c>
      <c r="D3682">
        <v>10000</v>
      </c>
      <c r="F3682">
        <v>1</v>
      </c>
      <c r="G3682" t="s">
        <v>74</v>
      </c>
      <c r="H3682" t="s">
        <v>75</v>
      </c>
      <c r="I3682" t="s">
        <v>60</v>
      </c>
      <c r="J3682" t="s">
        <v>61</v>
      </c>
      <c r="L3682" t="s">
        <v>88</v>
      </c>
    </row>
    <row r="3683" spans="1:13">
      <c r="A3683">
        <v>45968</v>
      </c>
      <c r="B3683" t="s">
        <v>3326</v>
      </c>
      <c r="D3683">
        <v>500</v>
      </c>
      <c r="F3683">
        <v>1</v>
      </c>
      <c r="G3683" t="s">
        <v>22</v>
      </c>
      <c r="H3683" t="s">
        <v>21</v>
      </c>
      <c r="I3683" t="s">
        <v>60</v>
      </c>
      <c r="J3683" t="s">
        <v>61</v>
      </c>
      <c r="L3683" t="s">
        <v>86</v>
      </c>
    </row>
    <row r="3684" spans="1:13">
      <c r="A3684">
        <v>45968</v>
      </c>
      <c r="B3684" t="s">
        <v>3327</v>
      </c>
      <c r="F3684">
        <v>1</v>
      </c>
      <c r="G3684" t="s">
        <v>64</v>
      </c>
      <c r="L3684" t="s">
        <v>86</v>
      </c>
      <c r="M3684" t="s">
        <v>96</v>
      </c>
    </row>
    <row r="3685" spans="1:13">
      <c r="A3685">
        <v>45968</v>
      </c>
      <c r="B3685" t="s">
        <v>3328</v>
      </c>
      <c r="F3685">
        <v>2</v>
      </c>
      <c r="G3685" t="s">
        <v>99</v>
      </c>
      <c r="H3685" t="s">
        <v>21</v>
      </c>
      <c r="L3685" t="s">
        <v>82</v>
      </c>
      <c r="M3685" t="s">
        <v>3329</v>
      </c>
    </row>
    <row r="3686" spans="1:13">
      <c r="A3686">
        <v>45968</v>
      </c>
      <c r="B3686" t="s">
        <v>3330</v>
      </c>
      <c r="F3686">
        <v>2</v>
      </c>
      <c r="G3686" t="s">
        <v>79</v>
      </c>
      <c r="H3686" t="s">
        <v>21</v>
      </c>
      <c r="L3686" t="s">
        <v>86</v>
      </c>
      <c r="M3686" t="s">
        <v>327</v>
      </c>
    </row>
    <row r="3687" spans="1:13">
      <c r="A3687">
        <v>45968</v>
      </c>
      <c r="B3687" t="s">
        <v>63</v>
      </c>
      <c r="D3687">
        <v>9500</v>
      </c>
      <c r="G3687" t="s">
        <v>70</v>
      </c>
      <c r="I3687" t="s">
        <v>60</v>
      </c>
      <c r="J3687" t="s">
        <v>61</v>
      </c>
      <c r="L3687" t="s">
        <v>62</v>
      </c>
    </row>
    <row r="3688" spans="1:13">
      <c r="A3688">
        <v>45968</v>
      </c>
      <c r="B3688" t="s">
        <v>3331</v>
      </c>
      <c r="F3688">
        <v>1</v>
      </c>
      <c r="G3688" t="s">
        <v>64</v>
      </c>
      <c r="L3688" t="s">
        <v>82</v>
      </c>
      <c r="M3688" t="s">
        <v>96</v>
      </c>
    </row>
    <row r="3689" spans="1:13">
      <c r="A3689">
        <v>45968</v>
      </c>
      <c r="B3689" t="s">
        <v>63</v>
      </c>
      <c r="D3689">
        <v>16000</v>
      </c>
      <c r="F3689">
        <v>1</v>
      </c>
      <c r="G3689" t="s">
        <v>70</v>
      </c>
      <c r="I3689" t="s">
        <v>71</v>
      </c>
      <c r="J3689" t="s">
        <v>72</v>
      </c>
      <c r="K3689" t="s">
        <v>3332</v>
      </c>
      <c r="L3689" t="s">
        <v>62</v>
      </c>
      <c r="M3689" t="s">
        <v>918</v>
      </c>
    </row>
    <row r="3690" spans="1:13">
      <c r="A3690">
        <v>45968</v>
      </c>
      <c r="B3690" t="s">
        <v>63</v>
      </c>
      <c r="E3690">
        <v>500</v>
      </c>
      <c r="F3690">
        <v>1</v>
      </c>
      <c r="G3690" t="s">
        <v>65</v>
      </c>
      <c r="H3690" t="s">
        <v>66</v>
      </c>
      <c r="I3690" t="s">
        <v>60</v>
      </c>
      <c r="J3690" t="s">
        <v>61</v>
      </c>
      <c r="L3690" t="s">
        <v>62</v>
      </c>
      <c r="M3690" t="s">
        <v>3280</v>
      </c>
    </row>
    <row r="3691" spans="1:13">
      <c r="A3691">
        <v>45969</v>
      </c>
      <c r="B3691" t="s">
        <v>3333</v>
      </c>
      <c r="F3691">
        <v>1</v>
      </c>
      <c r="G3691" t="s">
        <v>564</v>
      </c>
      <c r="H3691" t="s">
        <v>21</v>
      </c>
      <c r="L3691" t="s">
        <v>89</v>
      </c>
      <c r="M3691" t="s">
        <v>327</v>
      </c>
    </row>
    <row r="3692" spans="1:13">
      <c r="A3692">
        <v>45969</v>
      </c>
      <c r="B3692" t="s">
        <v>3334</v>
      </c>
      <c r="D3692">
        <v>500</v>
      </c>
      <c r="F3692">
        <v>1</v>
      </c>
      <c r="G3692" t="s">
        <v>22</v>
      </c>
      <c r="H3692" t="s">
        <v>21</v>
      </c>
      <c r="I3692" t="s">
        <v>60</v>
      </c>
      <c r="J3692" t="s">
        <v>61</v>
      </c>
      <c r="L3692" t="s">
        <v>89</v>
      </c>
    </row>
    <row r="3693" spans="1:13">
      <c r="A3693">
        <v>45969</v>
      </c>
      <c r="B3693" t="s">
        <v>63</v>
      </c>
      <c r="E3693">
        <v>3000</v>
      </c>
      <c r="F3693">
        <v>1</v>
      </c>
      <c r="G3693" t="s">
        <v>65</v>
      </c>
      <c r="H3693" t="s">
        <v>66</v>
      </c>
      <c r="I3693" t="s">
        <v>60</v>
      </c>
      <c r="J3693" t="s">
        <v>61</v>
      </c>
      <c r="L3693" t="s">
        <v>62</v>
      </c>
      <c r="M3693" t="s">
        <v>3280</v>
      </c>
    </row>
    <row r="3694" spans="1:13">
      <c r="A3694">
        <v>45969</v>
      </c>
      <c r="B3694" t="s">
        <v>559</v>
      </c>
      <c r="E3694">
        <v>7000</v>
      </c>
      <c r="F3694">
        <v>1</v>
      </c>
      <c r="G3694" t="s">
        <v>65</v>
      </c>
      <c r="H3694" t="s">
        <v>560</v>
      </c>
      <c r="I3694" t="s">
        <v>60</v>
      </c>
      <c r="J3694" t="s">
        <v>61</v>
      </c>
      <c r="L3694" t="s">
        <v>62</v>
      </c>
    </row>
    <row r="3695" spans="1:13">
      <c r="A3695">
        <v>45969</v>
      </c>
      <c r="B3695" t="s">
        <v>3335</v>
      </c>
      <c r="F3695">
        <v>1</v>
      </c>
      <c r="G3695" t="s">
        <v>64</v>
      </c>
      <c r="L3695" t="s">
        <v>82</v>
      </c>
      <c r="M3695" t="s">
        <v>96</v>
      </c>
    </row>
    <row r="3696" spans="1:13">
      <c r="A3696">
        <v>45969</v>
      </c>
      <c r="B3696" t="s">
        <v>3336</v>
      </c>
      <c r="F3696">
        <v>1</v>
      </c>
      <c r="G3696" t="s">
        <v>64</v>
      </c>
      <c r="L3696" t="s">
        <v>89</v>
      </c>
      <c r="M3696" t="s">
        <v>96</v>
      </c>
    </row>
    <row r="3697" spans="1:13">
      <c r="A3697">
        <v>45969</v>
      </c>
      <c r="B3697" t="s">
        <v>63</v>
      </c>
      <c r="D3697">
        <v>31500</v>
      </c>
      <c r="G3697" t="s">
        <v>70</v>
      </c>
      <c r="I3697" t="s">
        <v>60</v>
      </c>
      <c r="J3697" t="s">
        <v>61</v>
      </c>
      <c r="L3697" t="s">
        <v>62</v>
      </c>
    </row>
    <row r="3698" spans="1:13">
      <c r="A3698">
        <v>45969</v>
      </c>
      <c r="B3698" t="s">
        <v>76</v>
      </c>
      <c r="D3698">
        <v>2000</v>
      </c>
      <c r="G3698" t="s">
        <v>77</v>
      </c>
      <c r="I3698" t="s">
        <v>60</v>
      </c>
      <c r="J3698" t="s">
        <v>61</v>
      </c>
      <c r="L3698" t="s">
        <v>62</v>
      </c>
    </row>
    <row r="3699" spans="1:13">
      <c r="A3699">
        <v>45969</v>
      </c>
      <c r="B3699" t="s">
        <v>63</v>
      </c>
      <c r="D3699">
        <v>15500</v>
      </c>
      <c r="F3699">
        <v>1</v>
      </c>
      <c r="G3699" t="s">
        <v>70</v>
      </c>
      <c r="I3699" t="s">
        <v>71</v>
      </c>
      <c r="J3699" t="s">
        <v>535</v>
      </c>
      <c r="K3699" t="s">
        <v>3337</v>
      </c>
      <c r="L3699" t="s">
        <v>62</v>
      </c>
      <c r="M3699" t="s">
        <v>90</v>
      </c>
    </row>
    <row r="3700" spans="1:13">
      <c r="A3700">
        <v>45969</v>
      </c>
      <c r="B3700" t="s">
        <v>3338</v>
      </c>
      <c r="D3700">
        <v>500</v>
      </c>
      <c r="F3700">
        <v>0</v>
      </c>
      <c r="G3700" t="s">
        <v>22</v>
      </c>
      <c r="H3700" t="s">
        <v>21</v>
      </c>
      <c r="I3700" t="s">
        <v>60</v>
      </c>
      <c r="J3700" t="s">
        <v>61</v>
      </c>
      <c r="L3700" t="s">
        <v>86</v>
      </c>
      <c r="M3700" t="s">
        <v>3048</v>
      </c>
    </row>
    <row r="3701" spans="1:13">
      <c r="A3701">
        <v>45969</v>
      </c>
      <c r="B3701" t="s">
        <v>3339</v>
      </c>
      <c r="F3701">
        <v>1</v>
      </c>
      <c r="G3701" t="s">
        <v>64</v>
      </c>
      <c r="L3701" t="s">
        <v>89</v>
      </c>
      <c r="M3701" t="s">
        <v>96</v>
      </c>
    </row>
    <row r="3702" spans="1:13">
      <c r="A3702">
        <v>45969</v>
      </c>
      <c r="B3702" t="s">
        <v>3340</v>
      </c>
      <c r="F3702">
        <v>1</v>
      </c>
      <c r="G3702" t="s">
        <v>79</v>
      </c>
      <c r="H3702" t="s">
        <v>21</v>
      </c>
      <c r="L3702" t="s">
        <v>86</v>
      </c>
      <c r="M3702" t="s">
        <v>327</v>
      </c>
    </row>
    <row r="3703" spans="1:13">
      <c r="A3703">
        <v>45969</v>
      </c>
      <c r="B3703" t="s">
        <v>3341</v>
      </c>
      <c r="D3703">
        <v>500</v>
      </c>
      <c r="F3703">
        <v>0</v>
      </c>
      <c r="G3703" t="s">
        <v>22</v>
      </c>
      <c r="H3703" t="s">
        <v>21</v>
      </c>
      <c r="I3703" t="s">
        <v>60</v>
      </c>
      <c r="J3703" t="s">
        <v>61</v>
      </c>
      <c r="L3703" t="s">
        <v>86</v>
      </c>
      <c r="M3703" t="s">
        <v>3048</v>
      </c>
    </row>
    <row r="3704" spans="1:13">
      <c r="A3704">
        <v>45969</v>
      </c>
      <c r="B3704" t="s">
        <v>3342</v>
      </c>
      <c r="D3704">
        <v>500</v>
      </c>
      <c r="F3704">
        <v>0</v>
      </c>
      <c r="G3704" t="s">
        <v>22</v>
      </c>
      <c r="H3704" t="s">
        <v>21</v>
      </c>
      <c r="I3704" t="s">
        <v>60</v>
      </c>
      <c r="J3704" t="s">
        <v>61</v>
      </c>
      <c r="L3704" t="s">
        <v>86</v>
      </c>
      <c r="M3704" t="s">
        <v>3048</v>
      </c>
    </row>
    <row r="3705" spans="1:13">
      <c r="A3705">
        <v>45969</v>
      </c>
      <c r="B3705" t="s">
        <v>3343</v>
      </c>
      <c r="D3705">
        <v>500</v>
      </c>
      <c r="F3705">
        <v>1</v>
      </c>
      <c r="G3705" t="s">
        <v>22</v>
      </c>
      <c r="H3705" t="s">
        <v>21</v>
      </c>
      <c r="I3705" t="s">
        <v>60</v>
      </c>
      <c r="J3705" t="s">
        <v>61</v>
      </c>
      <c r="L3705" t="s">
        <v>86</v>
      </c>
    </row>
    <row r="3706" spans="1:13">
      <c r="A3706">
        <v>45969</v>
      </c>
      <c r="B3706" t="s">
        <v>3344</v>
      </c>
      <c r="D3706">
        <v>500</v>
      </c>
      <c r="F3706">
        <v>1</v>
      </c>
      <c r="G3706" t="s">
        <v>22</v>
      </c>
      <c r="H3706" t="s">
        <v>21</v>
      </c>
      <c r="I3706" t="s">
        <v>60</v>
      </c>
      <c r="J3706" t="s">
        <v>61</v>
      </c>
      <c r="L3706" t="s">
        <v>86</v>
      </c>
    </row>
    <row r="3707" spans="1:13">
      <c r="A3707">
        <v>45969</v>
      </c>
      <c r="B3707" t="s">
        <v>63</v>
      </c>
      <c r="D3707">
        <v>6000</v>
      </c>
      <c r="F3707">
        <v>1</v>
      </c>
      <c r="G3707" t="s">
        <v>70</v>
      </c>
      <c r="I3707" t="s">
        <v>71</v>
      </c>
      <c r="J3707" t="s">
        <v>72</v>
      </c>
      <c r="K3707" t="s">
        <v>3345</v>
      </c>
      <c r="L3707" t="s">
        <v>62</v>
      </c>
      <c r="M3707" t="s">
        <v>90</v>
      </c>
    </row>
    <row r="3708" spans="1:13">
      <c r="A3708">
        <v>45970</v>
      </c>
      <c r="B3708" t="s">
        <v>3346</v>
      </c>
      <c r="F3708">
        <v>1</v>
      </c>
      <c r="G3708" t="s">
        <v>64</v>
      </c>
      <c r="L3708" t="s">
        <v>89</v>
      </c>
      <c r="M3708" t="s">
        <v>96</v>
      </c>
    </row>
    <row r="3709" spans="1:13">
      <c r="A3709">
        <v>45970</v>
      </c>
      <c r="B3709" t="s">
        <v>3347</v>
      </c>
      <c r="F3709">
        <v>1</v>
      </c>
      <c r="G3709" t="s">
        <v>2490</v>
      </c>
      <c r="L3709" t="s">
        <v>89</v>
      </c>
      <c r="M3709" t="s">
        <v>2993</v>
      </c>
    </row>
    <row r="3710" spans="1:13">
      <c r="A3710">
        <v>45970</v>
      </c>
      <c r="B3710" t="s">
        <v>3348</v>
      </c>
      <c r="F3710">
        <v>1</v>
      </c>
      <c r="G3710" t="s">
        <v>64</v>
      </c>
      <c r="L3710" t="s">
        <v>82</v>
      </c>
      <c r="M3710" t="s">
        <v>96</v>
      </c>
    </row>
    <row r="3711" spans="1:13">
      <c r="A3711">
        <v>45970</v>
      </c>
      <c r="B3711" t="s">
        <v>3349</v>
      </c>
      <c r="F3711">
        <v>1</v>
      </c>
      <c r="G3711" t="s">
        <v>64</v>
      </c>
      <c r="L3711" t="s">
        <v>86</v>
      </c>
      <c r="M3711" t="s">
        <v>96</v>
      </c>
    </row>
    <row r="3712" spans="1:13">
      <c r="A3712">
        <v>45970</v>
      </c>
      <c r="B3712" t="s">
        <v>3350</v>
      </c>
      <c r="D3712">
        <v>500</v>
      </c>
      <c r="F3712">
        <v>1</v>
      </c>
      <c r="G3712" t="s">
        <v>22</v>
      </c>
      <c r="H3712" t="s">
        <v>21</v>
      </c>
      <c r="I3712" t="s">
        <v>60</v>
      </c>
      <c r="J3712" t="s">
        <v>61</v>
      </c>
      <c r="L3712" t="s">
        <v>82</v>
      </c>
    </row>
    <row r="3713" spans="1:13">
      <c r="A3713">
        <v>45970</v>
      </c>
      <c r="B3713" t="s">
        <v>3351</v>
      </c>
      <c r="F3713">
        <v>1</v>
      </c>
      <c r="G3713" t="s">
        <v>319</v>
      </c>
      <c r="H3713" t="s">
        <v>21</v>
      </c>
      <c r="L3713" t="s">
        <v>89</v>
      </c>
      <c r="M3713" t="s">
        <v>3352</v>
      </c>
    </row>
    <row r="3714" spans="1:13">
      <c r="A3714">
        <v>45970</v>
      </c>
      <c r="B3714" t="s">
        <v>63</v>
      </c>
      <c r="D3714">
        <v>3999</v>
      </c>
      <c r="G3714" t="s">
        <v>70</v>
      </c>
      <c r="I3714" t="s">
        <v>60</v>
      </c>
      <c r="J3714" t="s">
        <v>61</v>
      </c>
      <c r="L3714" t="s">
        <v>62</v>
      </c>
    </row>
    <row r="3715" spans="1:13">
      <c r="A3715">
        <v>45970</v>
      </c>
      <c r="B3715" t="s">
        <v>3353</v>
      </c>
      <c r="F3715">
        <v>1</v>
      </c>
      <c r="G3715" t="s">
        <v>79</v>
      </c>
      <c r="H3715" t="s">
        <v>21</v>
      </c>
      <c r="L3715" t="s">
        <v>82</v>
      </c>
      <c r="M3715" t="s">
        <v>327</v>
      </c>
    </row>
    <row r="3716" spans="1:13">
      <c r="A3716">
        <v>45970</v>
      </c>
      <c r="B3716" t="s">
        <v>3354</v>
      </c>
      <c r="D3716">
        <v>500</v>
      </c>
      <c r="F3716">
        <v>1</v>
      </c>
      <c r="G3716" t="s">
        <v>22</v>
      </c>
      <c r="H3716" t="s">
        <v>21</v>
      </c>
      <c r="I3716" t="s">
        <v>60</v>
      </c>
      <c r="J3716" t="s">
        <v>61</v>
      </c>
      <c r="L3716" t="s">
        <v>89</v>
      </c>
    </row>
    <row r="3717" spans="1:13">
      <c r="A3717">
        <v>45970</v>
      </c>
      <c r="B3717" t="s">
        <v>3355</v>
      </c>
      <c r="D3717">
        <v>500</v>
      </c>
      <c r="F3717">
        <v>1</v>
      </c>
      <c r="G3717" t="s">
        <v>22</v>
      </c>
      <c r="H3717" t="s">
        <v>21</v>
      </c>
      <c r="I3717" t="s">
        <v>60</v>
      </c>
      <c r="J3717" t="s">
        <v>61</v>
      </c>
      <c r="L3717" t="s">
        <v>82</v>
      </c>
    </row>
    <row r="3718" spans="1:13">
      <c r="A3718">
        <v>45970</v>
      </c>
      <c r="B3718" t="s">
        <v>3355</v>
      </c>
      <c r="F3718">
        <v>1</v>
      </c>
      <c r="G3718" t="s">
        <v>64</v>
      </c>
      <c r="L3718" t="s">
        <v>82</v>
      </c>
      <c r="M3718" t="s">
        <v>96</v>
      </c>
    </row>
    <row r="3719" spans="1:13">
      <c r="A3719">
        <v>45970</v>
      </c>
      <c r="B3719" t="s">
        <v>3356</v>
      </c>
      <c r="F3719">
        <v>1</v>
      </c>
      <c r="G3719" t="s">
        <v>64</v>
      </c>
      <c r="L3719" t="s">
        <v>89</v>
      </c>
      <c r="M3719" t="s">
        <v>96</v>
      </c>
    </row>
    <row r="3720" spans="1:13">
      <c r="A3720">
        <v>45970</v>
      </c>
      <c r="B3720" t="s">
        <v>3357</v>
      </c>
      <c r="D3720">
        <v>500</v>
      </c>
      <c r="F3720">
        <v>1</v>
      </c>
      <c r="G3720" t="s">
        <v>22</v>
      </c>
      <c r="H3720" t="s">
        <v>21</v>
      </c>
      <c r="I3720" t="s">
        <v>60</v>
      </c>
      <c r="J3720" t="s">
        <v>61</v>
      </c>
      <c r="L3720" t="s">
        <v>89</v>
      </c>
    </row>
    <row r="3721" spans="1:13">
      <c r="A3721">
        <v>45970</v>
      </c>
      <c r="B3721" t="s">
        <v>3358</v>
      </c>
      <c r="F3721">
        <v>1</v>
      </c>
      <c r="G3721" t="s">
        <v>79</v>
      </c>
      <c r="H3721" t="s">
        <v>21</v>
      </c>
      <c r="L3721" t="s">
        <v>89</v>
      </c>
      <c r="M3721" t="s">
        <v>327</v>
      </c>
    </row>
    <row r="3722" spans="1:13">
      <c r="A3722">
        <v>45970</v>
      </c>
      <c r="B3722" t="s">
        <v>3359</v>
      </c>
      <c r="F3722">
        <v>1</v>
      </c>
      <c r="G3722" t="s">
        <v>107</v>
      </c>
      <c r="H3722" t="s">
        <v>21</v>
      </c>
      <c r="L3722" t="s">
        <v>89</v>
      </c>
      <c r="M3722" t="s">
        <v>3352</v>
      </c>
    </row>
    <row r="3723" spans="1:13">
      <c r="A3723">
        <v>45970</v>
      </c>
      <c r="B3723" t="s">
        <v>3360</v>
      </c>
      <c r="F3723">
        <v>1</v>
      </c>
      <c r="G3723" t="s">
        <v>64</v>
      </c>
      <c r="L3723" t="s">
        <v>89</v>
      </c>
      <c r="M3723" t="s">
        <v>327</v>
      </c>
    </row>
    <row r="3724" spans="1:13">
      <c r="A3724">
        <v>45970</v>
      </c>
      <c r="B3724" t="s">
        <v>63</v>
      </c>
      <c r="E3724">
        <v>2000</v>
      </c>
      <c r="F3724">
        <v>1</v>
      </c>
      <c r="G3724" t="s">
        <v>65</v>
      </c>
      <c r="H3724" t="s">
        <v>66</v>
      </c>
      <c r="I3724" t="s">
        <v>60</v>
      </c>
      <c r="J3724" t="s">
        <v>61</v>
      </c>
      <c r="L3724" t="s">
        <v>62</v>
      </c>
      <c r="M3724" t="s">
        <v>3280</v>
      </c>
    </row>
    <row r="3725" spans="1:13">
      <c r="A3725">
        <v>45971</v>
      </c>
      <c r="B3725" t="s">
        <v>81</v>
      </c>
      <c r="D3725">
        <v>143500</v>
      </c>
      <c r="F3725">
        <v>1</v>
      </c>
      <c r="G3725" t="s">
        <v>74</v>
      </c>
      <c r="H3725" t="s">
        <v>75</v>
      </c>
      <c r="I3725" t="s">
        <v>60</v>
      </c>
      <c r="J3725" t="s">
        <v>61</v>
      </c>
      <c r="L3725" t="s">
        <v>88</v>
      </c>
    </row>
    <row r="3726" spans="1:13">
      <c r="A3726">
        <v>45971</v>
      </c>
      <c r="B3726" t="s">
        <v>3361</v>
      </c>
      <c r="F3726">
        <v>1</v>
      </c>
      <c r="G3726" t="s">
        <v>22</v>
      </c>
      <c r="H3726" t="s">
        <v>21</v>
      </c>
      <c r="L3726" t="s">
        <v>101</v>
      </c>
      <c r="M3726" t="s">
        <v>3362</v>
      </c>
    </row>
    <row r="3727" spans="1:13">
      <c r="A3727">
        <v>45971</v>
      </c>
      <c r="B3727" t="s">
        <v>3363</v>
      </c>
      <c r="F3727">
        <v>1</v>
      </c>
      <c r="G3727" t="s">
        <v>377</v>
      </c>
      <c r="H3727" t="s">
        <v>21</v>
      </c>
      <c r="L3727" t="s">
        <v>82</v>
      </c>
      <c r="M3727" t="s">
        <v>327</v>
      </c>
    </row>
    <row r="3728" spans="1:13">
      <c r="A3728">
        <v>45971</v>
      </c>
      <c r="B3728" t="s">
        <v>3364</v>
      </c>
      <c r="F3728">
        <v>1</v>
      </c>
      <c r="G3728" t="s">
        <v>377</v>
      </c>
      <c r="H3728" t="s">
        <v>21</v>
      </c>
      <c r="L3728" t="s">
        <v>89</v>
      </c>
      <c r="M3728" t="s">
        <v>327</v>
      </c>
    </row>
    <row r="3729" spans="1:13">
      <c r="A3729">
        <v>45971</v>
      </c>
      <c r="B3729" t="s">
        <v>3365</v>
      </c>
      <c r="D3729">
        <v>500</v>
      </c>
      <c r="F3729">
        <v>1</v>
      </c>
      <c r="G3729" t="s">
        <v>22</v>
      </c>
      <c r="H3729" t="s">
        <v>21</v>
      </c>
      <c r="I3729" t="s">
        <v>60</v>
      </c>
      <c r="J3729" t="s">
        <v>61</v>
      </c>
      <c r="L3729" t="s">
        <v>82</v>
      </c>
    </row>
    <row r="3730" spans="1:13">
      <c r="A3730">
        <v>45971</v>
      </c>
      <c r="B3730" t="s">
        <v>63</v>
      </c>
      <c r="D3730">
        <v>14000</v>
      </c>
      <c r="G3730" t="s">
        <v>70</v>
      </c>
      <c r="I3730" t="s">
        <v>60</v>
      </c>
      <c r="J3730" t="s">
        <v>61</v>
      </c>
      <c r="L3730" t="s">
        <v>82</v>
      </c>
    </row>
    <row r="3731" spans="1:13">
      <c r="A3731">
        <v>45971</v>
      </c>
      <c r="B3731" t="s">
        <v>3366</v>
      </c>
      <c r="F3731">
        <v>1</v>
      </c>
      <c r="G3731" t="s">
        <v>79</v>
      </c>
      <c r="H3731" t="s">
        <v>21</v>
      </c>
      <c r="L3731" t="s">
        <v>82</v>
      </c>
      <c r="M3731" t="s">
        <v>327</v>
      </c>
    </row>
    <row r="3732" spans="1:13">
      <c r="A3732">
        <v>45971</v>
      </c>
      <c r="B3732" t="s">
        <v>3367</v>
      </c>
      <c r="D3732">
        <v>500</v>
      </c>
      <c r="F3732">
        <v>1</v>
      </c>
      <c r="G3732" t="s">
        <v>22</v>
      </c>
      <c r="H3732" t="s">
        <v>21</v>
      </c>
      <c r="I3732" t="s">
        <v>60</v>
      </c>
      <c r="J3732" t="s">
        <v>61</v>
      </c>
      <c r="L3732" t="s">
        <v>82</v>
      </c>
    </row>
    <row r="3733" spans="1:13">
      <c r="A3733">
        <v>45971</v>
      </c>
      <c r="B3733" t="s">
        <v>3368</v>
      </c>
      <c r="F3733">
        <v>1</v>
      </c>
      <c r="G3733" t="s">
        <v>64</v>
      </c>
      <c r="L3733" t="s">
        <v>82</v>
      </c>
      <c r="M3733" t="s">
        <v>96</v>
      </c>
    </row>
    <row r="3734" spans="1:13">
      <c r="A3734">
        <v>45971</v>
      </c>
      <c r="B3734" t="s">
        <v>3369</v>
      </c>
      <c r="F3734">
        <v>1</v>
      </c>
      <c r="G3734" t="s">
        <v>564</v>
      </c>
      <c r="H3734" t="s">
        <v>21</v>
      </c>
      <c r="L3734" t="s">
        <v>82</v>
      </c>
      <c r="M3734" t="s">
        <v>327</v>
      </c>
    </row>
    <row r="3735" spans="1:13">
      <c r="A3735">
        <v>45971</v>
      </c>
      <c r="B3735" t="s">
        <v>3370</v>
      </c>
      <c r="F3735">
        <v>1</v>
      </c>
      <c r="G3735" t="s">
        <v>64</v>
      </c>
      <c r="L3735" t="s">
        <v>82</v>
      </c>
      <c r="M3735" t="s">
        <v>96</v>
      </c>
    </row>
    <row r="3736" spans="1:13">
      <c r="A3736">
        <v>45971</v>
      </c>
      <c r="B3736" t="s">
        <v>3371</v>
      </c>
      <c r="D3736">
        <v>500</v>
      </c>
      <c r="F3736">
        <v>1</v>
      </c>
      <c r="G3736" t="s">
        <v>22</v>
      </c>
      <c r="H3736" t="s">
        <v>21</v>
      </c>
      <c r="I3736" t="s">
        <v>60</v>
      </c>
      <c r="J3736" t="s">
        <v>61</v>
      </c>
      <c r="L3736" t="s">
        <v>82</v>
      </c>
    </row>
    <row r="3737" spans="1:13">
      <c r="A3737">
        <v>45971</v>
      </c>
      <c r="B3737" t="s">
        <v>63</v>
      </c>
      <c r="E3737">
        <v>1500</v>
      </c>
      <c r="F3737">
        <v>1</v>
      </c>
      <c r="G3737" t="s">
        <v>65</v>
      </c>
      <c r="H3737" t="s">
        <v>66</v>
      </c>
      <c r="I3737" t="s">
        <v>60</v>
      </c>
      <c r="J3737" t="s">
        <v>61</v>
      </c>
      <c r="L3737" t="s">
        <v>62</v>
      </c>
      <c r="M3737" t="s">
        <v>3280</v>
      </c>
    </row>
    <row r="3738" spans="1:13">
      <c r="A3738">
        <v>45971</v>
      </c>
      <c r="B3738" t="s">
        <v>3372</v>
      </c>
      <c r="F3738">
        <v>1</v>
      </c>
      <c r="G3738" t="s">
        <v>0</v>
      </c>
      <c r="L3738" t="s">
        <v>82</v>
      </c>
      <c r="M3738">
        <v>42718805</v>
      </c>
    </row>
    <row r="3739" spans="1:13">
      <c r="A3739">
        <v>45971</v>
      </c>
      <c r="B3739" t="s">
        <v>3373</v>
      </c>
      <c r="F3739">
        <v>1</v>
      </c>
      <c r="G3739" t="s">
        <v>0</v>
      </c>
      <c r="L3739" t="s">
        <v>82</v>
      </c>
      <c r="M3739">
        <v>42948882</v>
      </c>
    </row>
    <row r="3740" spans="1:13">
      <c r="A3740">
        <v>45972</v>
      </c>
      <c r="B3740" t="s">
        <v>81</v>
      </c>
      <c r="D3740">
        <v>152000</v>
      </c>
      <c r="F3740">
        <v>1</v>
      </c>
      <c r="G3740" t="s">
        <v>74</v>
      </c>
      <c r="H3740" t="s">
        <v>75</v>
      </c>
      <c r="I3740" t="s">
        <v>60</v>
      </c>
      <c r="J3740" t="s">
        <v>61</v>
      </c>
      <c r="L3740" t="s">
        <v>88</v>
      </c>
    </row>
    <row r="3741" spans="1:13">
      <c r="A3741">
        <v>45972</v>
      </c>
      <c r="B3741" t="s">
        <v>63</v>
      </c>
      <c r="D3741">
        <v>55000</v>
      </c>
      <c r="G3741" t="s">
        <v>70</v>
      </c>
      <c r="I3741" t="s">
        <v>60</v>
      </c>
      <c r="J3741" t="s">
        <v>61</v>
      </c>
      <c r="L3741" t="s">
        <v>62</v>
      </c>
    </row>
    <row r="3742" spans="1:13">
      <c r="A3742">
        <v>45972</v>
      </c>
      <c r="B3742" t="s">
        <v>3374</v>
      </c>
      <c r="F3742">
        <v>1</v>
      </c>
      <c r="G3742" t="s">
        <v>64</v>
      </c>
      <c r="L3742" t="s">
        <v>82</v>
      </c>
      <c r="M3742" t="s">
        <v>96</v>
      </c>
    </row>
    <row r="3743" spans="1:13">
      <c r="A3743">
        <v>45972</v>
      </c>
      <c r="B3743" t="s">
        <v>3375</v>
      </c>
      <c r="D3743">
        <v>500</v>
      </c>
      <c r="F3743">
        <v>1</v>
      </c>
      <c r="G3743" t="s">
        <v>22</v>
      </c>
      <c r="H3743" t="s">
        <v>21</v>
      </c>
      <c r="I3743" t="s">
        <v>60</v>
      </c>
      <c r="J3743" t="s">
        <v>61</v>
      </c>
      <c r="L3743" t="s">
        <v>89</v>
      </c>
    </row>
    <row r="3744" spans="1:13">
      <c r="A3744">
        <v>45972</v>
      </c>
      <c r="B3744" t="s">
        <v>3376</v>
      </c>
      <c r="F3744">
        <v>1</v>
      </c>
      <c r="G3744" t="s">
        <v>603</v>
      </c>
      <c r="H3744" t="s">
        <v>21</v>
      </c>
      <c r="L3744" t="s">
        <v>82</v>
      </c>
      <c r="M3744" t="s">
        <v>3377</v>
      </c>
    </row>
    <row r="3745" spans="1:13">
      <c r="A3745">
        <v>45972</v>
      </c>
      <c r="B3745" t="s">
        <v>3376</v>
      </c>
      <c r="F3745">
        <v>1</v>
      </c>
      <c r="G3745" t="s">
        <v>99</v>
      </c>
      <c r="H3745" t="s">
        <v>21</v>
      </c>
      <c r="L3745" t="s">
        <v>82</v>
      </c>
      <c r="M3745" t="s">
        <v>3377</v>
      </c>
    </row>
    <row r="3746" spans="1:13">
      <c r="A3746">
        <v>45972</v>
      </c>
      <c r="B3746" t="s">
        <v>3378</v>
      </c>
      <c r="F3746">
        <v>1</v>
      </c>
      <c r="G3746" t="s">
        <v>377</v>
      </c>
      <c r="H3746" t="s">
        <v>21</v>
      </c>
      <c r="L3746" t="s">
        <v>89</v>
      </c>
      <c r="M3746" t="s">
        <v>327</v>
      </c>
    </row>
    <row r="3747" spans="1:13">
      <c r="A3747">
        <v>45972</v>
      </c>
      <c r="B3747" t="s">
        <v>3379</v>
      </c>
      <c r="F3747">
        <v>1</v>
      </c>
      <c r="G3747" t="s">
        <v>79</v>
      </c>
      <c r="H3747" t="s">
        <v>21</v>
      </c>
      <c r="L3747" t="s">
        <v>82</v>
      </c>
      <c r="M3747" t="s">
        <v>327</v>
      </c>
    </row>
    <row r="3748" spans="1:13">
      <c r="A3748">
        <v>45972</v>
      </c>
      <c r="B3748" t="s">
        <v>3380</v>
      </c>
      <c r="F3748">
        <v>1</v>
      </c>
      <c r="G3748" t="s">
        <v>79</v>
      </c>
      <c r="H3748" t="s">
        <v>21</v>
      </c>
      <c r="L3748" t="s">
        <v>82</v>
      </c>
      <c r="M3748" t="s">
        <v>327</v>
      </c>
    </row>
    <row r="3749" spans="1:13">
      <c r="A3749">
        <v>45972</v>
      </c>
      <c r="B3749" t="s">
        <v>3381</v>
      </c>
      <c r="F3749">
        <v>1</v>
      </c>
      <c r="G3749" t="s">
        <v>79</v>
      </c>
      <c r="H3749" t="s">
        <v>21</v>
      </c>
      <c r="L3749" t="s">
        <v>82</v>
      </c>
      <c r="M3749" t="s">
        <v>327</v>
      </c>
    </row>
    <row r="3750" spans="1:13">
      <c r="A3750">
        <v>45972</v>
      </c>
      <c r="B3750" t="s">
        <v>3382</v>
      </c>
      <c r="F3750">
        <v>1</v>
      </c>
      <c r="G3750" t="s">
        <v>64</v>
      </c>
      <c r="L3750" t="s">
        <v>82</v>
      </c>
      <c r="M3750" t="s">
        <v>96</v>
      </c>
    </row>
    <row r="3751" spans="1:13">
      <c r="A3751">
        <v>45972</v>
      </c>
      <c r="B3751" t="s">
        <v>3383</v>
      </c>
      <c r="D3751">
        <v>500</v>
      </c>
      <c r="F3751">
        <v>1</v>
      </c>
      <c r="G3751" t="s">
        <v>22</v>
      </c>
      <c r="H3751" t="s">
        <v>21</v>
      </c>
      <c r="I3751" t="s">
        <v>60</v>
      </c>
      <c r="J3751" t="s">
        <v>61</v>
      </c>
      <c r="L3751" t="s">
        <v>82</v>
      </c>
    </row>
    <row r="3752" spans="1:13">
      <c r="A3752">
        <v>45972</v>
      </c>
      <c r="B3752" t="s">
        <v>63</v>
      </c>
      <c r="E3752">
        <v>1000</v>
      </c>
      <c r="F3752">
        <v>1</v>
      </c>
      <c r="G3752" t="s">
        <v>65</v>
      </c>
      <c r="H3752" t="s">
        <v>66</v>
      </c>
      <c r="I3752" t="s">
        <v>60</v>
      </c>
      <c r="J3752" t="s">
        <v>61</v>
      </c>
      <c r="L3752" t="s">
        <v>62</v>
      </c>
      <c r="M3752" t="s">
        <v>3280</v>
      </c>
    </row>
    <row r="3753" spans="1:13">
      <c r="A3753">
        <v>45973</v>
      </c>
      <c r="B3753" t="s">
        <v>81</v>
      </c>
      <c r="D3753">
        <v>49000</v>
      </c>
      <c r="F3753">
        <v>1</v>
      </c>
      <c r="G3753" t="s">
        <v>74</v>
      </c>
      <c r="H3753" t="s">
        <v>75</v>
      </c>
      <c r="I3753" t="s">
        <v>60</v>
      </c>
      <c r="J3753" t="s">
        <v>61</v>
      </c>
      <c r="L3753" t="s">
        <v>88</v>
      </c>
    </row>
    <row r="3754" spans="1:13">
      <c r="A3754">
        <v>45973</v>
      </c>
      <c r="B3754" t="s">
        <v>3384</v>
      </c>
      <c r="F3754">
        <v>1</v>
      </c>
      <c r="G3754" t="s">
        <v>79</v>
      </c>
      <c r="H3754" t="s">
        <v>21</v>
      </c>
      <c r="L3754" t="s">
        <v>86</v>
      </c>
      <c r="M3754" t="s">
        <v>327</v>
      </c>
    </row>
    <row r="3755" spans="1:13">
      <c r="A3755">
        <v>45973</v>
      </c>
      <c r="B3755" t="s">
        <v>63</v>
      </c>
      <c r="D3755">
        <v>1000</v>
      </c>
      <c r="F3755">
        <v>10</v>
      </c>
      <c r="G3755" t="s">
        <v>22</v>
      </c>
      <c r="H3755" t="s">
        <v>93</v>
      </c>
      <c r="I3755" t="s">
        <v>60</v>
      </c>
      <c r="J3755" t="s">
        <v>61</v>
      </c>
      <c r="L3755" t="s">
        <v>62</v>
      </c>
    </row>
    <row r="3756" spans="1:13">
      <c r="A3756">
        <v>45973</v>
      </c>
      <c r="B3756" t="s">
        <v>63</v>
      </c>
      <c r="D3756">
        <v>46000</v>
      </c>
      <c r="G3756" t="s">
        <v>70</v>
      </c>
      <c r="I3756" t="s">
        <v>60</v>
      </c>
      <c r="J3756" t="s">
        <v>61</v>
      </c>
      <c r="L3756" t="s">
        <v>62</v>
      </c>
    </row>
    <row r="3757" spans="1:13">
      <c r="A3757">
        <v>45973</v>
      </c>
      <c r="B3757" t="s">
        <v>3385</v>
      </c>
      <c r="F3757">
        <v>1</v>
      </c>
      <c r="G3757" t="s">
        <v>79</v>
      </c>
      <c r="H3757" t="s">
        <v>21</v>
      </c>
      <c r="L3757" t="s">
        <v>82</v>
      </c>
      <c r="M3757" t="s">
        <v>327</v>
      </c>
    </row>
    <row r="3758" spans="1:13">
      <c r="A3758">
        <v>45973</v>
      </c>
      <c r="B3758" t="s">
        <v>3386</v>
      </c>
      <c r="D3758">
        <v>500</v>
      </c>
      <c r="F3758">
        <v>0</v>
      </c>
      <c r="G3758" t="s">
        <v>22</v>
      </c>
      <c r="H3758" t="s">
        <v>21</v>
      </c>
      <c r="I3758" t="s">
        <v>60</v>
      </c>
      <c r="J3758" t="s">
        <v>61</v>
      </c>
      <c r="L3758" t="s">
        <v>86</v>
      </c>
      <c r="M3758" t="s">
        <v>83</v>
      </c>
    </row>
    <row r="3759" spans="1:13">
      <c r="A3759">
        <v>45973</v>
      </c>
      <c r="B3759" t="s">
        <v>3387</v>
      </c>
      <c r="D3759">
        <v>500</v>
      </c>
      <c r="F3759">
        <v>1</v>
      </c>
      <c r="G3759" t="s">
        <v>22</v>
      </c>
      <c r="H3759" t="s">
        <v>21</v>
      </c>
      <c r="I3759" t="s">
        <v>60</v>
      </c>
      <c r="J3759" t="s">
        <v>61</v>
      </c>
      <c r="L3759" t="s">
        <v>86</v>
      </c>
    </row>
    <row r="3760" spans="1:13">
      <c r="A3760">
        <v>45973</v>
      </c>
      <c r="B3760" t="s">
        <v>2713</v>
      </c>
      <c r="D3760">
        <v>500</v>
      </c>
      <c r="F3760">
        <v>1</v>
      </c>
      <c r="G3760" t="s">
        <v>22</v>
      </c>
      <c r="H3760" t="s">
        <v>21</v>
      </c>
      <c r="I3760" t="s">
        <v>60</v>
      </c>
      <c r="J3760" t="s">
        <v>61</v>
      </c>
      <c r="L3760" t="s">
        <v>82</v>
      </c>
    </row>
    <row r="3761" spans="1:13">
      <c r="A3761">
        <v>45973</v>
      </c>
      <c r="B3761" t="s">
        <v>3388</v>
      </c>
      <c r="F3761">
        <v>1</v>
      </c>
      <c r="G3761" t="s">
        <v>64</v>
      </c>
      <c r="L3761" t="s">
        <v>82</v>
      </c>
      <c r="M3761" t="s">
        <v>96</v>
      </c>
    </row>
    <row r="3762" spans="1:13">
      <c r="A3762">
        <v>45973</v>
      </c>
      <c r="B3762" t="s">
        <v>63</v>
      </c>
      <c r="E3762">
        <v>1500</v>
      </c>
      <c r="F3762">
        <v>1</v>
      </c>
      <c r="G3762" t="s">
        <v>65</v>
      </c>
      <c r="H3762" t="s">
        <v>66</v>
      </c>
      <c r="I3762" t="s">
        <v>60</v>
      </c>
      <c r="J3762" t="s">
        <v>61</v>
      </c>
      <c r="L3762" t="s">
        <v>62</v>
      </c>
      <c r="M3762" t="s">
        <v>3280</v>
      </c>
    </row>
    <row r="3763" spans="1:13">
      <c r="A3763">
        <v>45973</v>
      </c>
      <c r="B3763" t="s">
        <v>3389</v>
      </c>
      <c r="F3763">
        <v>1</v>
      </c>
      <c r="G3763" t="s">
        <v>0</v>
      </c>
      <c r="L3763" t="s">
        <v>89</v>
      </c>
      <c r="M3763">
        <v>43055978</v>
      </c>
    </row>
    <row r="3764" spans="1:13">
      <c r="A3764">
        <v>45974</v>
      </c>
      <c r="B3764" t="s">
        <v>81</v>
      </c>
      <c r="D3764">
        <v>52000</v>
      </c>
      <c r="F3764">
        <v>1</v>
      </c>
      <c r="G3764" t="s">
        <v>74</v>
      </c>
      <c r="H3764" t="s">
        <v>75</v>
      </c>
      <c r="I3764" t="s">
        <v>60</v>
      </c>
      <c r="J3764" t="s">
        <v>61</v>
      </c>
      <c r="L3764" t="s">
        <v>88</v>
      </c>
    </row>
    <row r="3765" spans="1:13">
      <c r="A3765">
        <v>45974</v>
      </c>
      <c r="B3765" t="s">
        <v>63</v>
      </c>
      <c r="D3765">
        <v>8000</v>
      </c>
      <c r="F3765">
        <v>1</v>
      </c>
      <c r="G3765" t="s">
        <v>70</v>
      </c>
      <c r="I3765" t="s">
        <v>71</v>
      </c>
      <c r="J3765" t="s">
        <v>72</v>
      </c>
      <c r="K3765" t="s">
        <v>3390</v>
      </c>
      <c r="L3765" t="s">
        <v>62</v>
      </c>
      <c r="M3765" t="s">
        <v>90</v>
      </c>
    </row>
    <row r="3766" spans="1:13">
      <c r="A3766">
        <v>45974</v>
      </c>
      <c r="B3766" t="s">
        <v>105</v>
      </c>
      <c r="E3766">
        <v>752235</v>
      </c>
      <c r="F3766">
        <v>1</v>
      </c>
      <c r="G3766" t="s">
        <v>74</v>
      </c>
      <c r="H3766" t="s">
        <v>75</v>
      </c>
      <c r="I3766" t="s">
        <v>60</v>
      </c>
      <c r="J3766" t="s">
        <v>61</v>
      </c>
      <c r="L3766" t="s">
        <v>104</v>
      </c>
    </row>
    <row r="3767" spans="1:13">
      <c r="A3767">
        <v>45974</v>
      </c>
      <c r="B3767" t="s">
        <v>3391</v>
      </c>
      <c r="D3767">
        <v>500</v>
      </c>
      <c r="F3767">
        <v>1</v>
      </c>
      <c r="G3767" t="s">
        <v>22</v>
      </c>
      <c r="H3767" t="s">
        <v>21</v>
      </c>
      <c r="I3767" t="s">
        <v>60</v>
      </c>
      <c r="J3767" t="s">
        <v>61</v>
      </c>
      <c r="L3767" t="s">
        <v>86</v>
      </c>
    </row>
    <row r="3768" spans="1:13">
      <c r="A3768">
        <v>45974</v>
      </c>
      <c r="B3768" t="s">
        <v>3392</v>
      </c>
      <c r="D3768">
        <v>500</v>
      </c>
      <c r="F3768">
        <v>1</v>
      </c>
      <c r="G3768" t="s">
        <v>22</v>
      </c>
      <c r="H3768" t="s">
        <v>21</v>
      </c>
      <c r="I3768" t="s">
        <v>60</v>
      </c>
      <c r="J3768" t="s">
        <v>61</v>
      </c>
      <c r="L3768" t="s">
        <v>86</v>
      </c>
    </row>
    <row r="3769" spans="1:13">
      <c r="A3769">
        <v>45974</v>
      </c>
      <c r="B3769" t="s">
        <v>3393</v>
      </c>
      <c r="D3769">
        <v>500</v>
      </c>
      <c r="F3769">
        <v>0</v>
      </c>
      <c r="G3769" t="s">
        <v>22</v>
      </c>
      <c r="H3769" t="s">
        <v>21</v>
      </c>
      <c r="I3769" t="s">
        <v>60</v>
      </c>
      <c r="J3769" t="s">
        <v>61</v>
      </c>
      <c r="L3769" t="s">
        <v>86</v>
      </c>
      <c r="M3769" t="s">
        <v>3048</v>
      </c>
    </row>
    <row r="3770" spans="1:13">
      <c r="A3770">
        <v>45974</v>
      </c>
      <c r="B3770" t="s">
        <v>3394</v>
      </c>
      <c r="F3770">
        <v>1</v>
      </c>
      <c r="G3770" t="s">
        <v>79</v>
      </c>
      <c r="H3770" t="s">
        <v>21</v>
      </c>
      <c r="L3770" t="s">
        <v>86</v>
      </c>
      <c r="M3770" t="s">
        <v>327</v>
      </c>
    </row>
    <row r="3771" spans="1:13">
      <c r="A3771">
        <v>45974</v>
      </c>
      <c r="B3771" t="s">
        <v>63</v>
      </c>
      <c r="D3771">
        <v>200</v>
      </c>
      <c r="F3771">
        <v>2</v>
      </c>
      <c r="G3771" t="s">
        <v>22</v>
      </c>
      <c r="H3771" t="s">
        <v>93</v>
      </c>
      <c r="I3771" t="s">
        <v>60</v>
      </c>
      <c r="J3771" t="s">
        <v>61</v>
      </c>
      <c r="L3771" t="s">
        <v>62</v>
      </c>
    </row>
    <row r="3772" spans="1:13">
      <c r="A3772">
        <v>45974</v>
      </c>
      <c r="B3772" t="s">
        <v>63</v>
      </c>
      <c r="E3772">
        <v>1500</v>
      </c>
      <c r="F3772">
        <v>1</v>
      </c>
      <c r="G3772" t="s">
        <v>65</v>
      </c>
      <c r="H3772" t="s">
        <v>66</v>
      </c>
      <c r="I3772" t="s">
        <v>60</v>
      </c>
      <c r="J3772" t="s">
        <v>61</v>
      </c>
      <c r="L3772" t="s">
        <v>62</v>
      </c>
      <c r="M3772" t="s">
        <v>3280</v>
      </c>
    </row>
    <row r="3773" spans="1:13">
      <c r="A3773">
        <v>45975</v>
      </c>
      <c r="B3773" t="s">
        <v>81</v>
      </c>
      <c r="D3773">
        <v>41400</v>
      </c>
      <c r="F3773">
        <v>1</v>
      </c>
      <c r="G3773" t="s">
        <v>74</v>
      </c>
      <c r="H3773" t="s">
        <v>75</v>
      </c>
      <c r="I3773" t="s">
        <v>60</v>
      </c>
      <c r="J3773" t="s">
        <v>61</v>
      </c>
      <c r="L3773" t="s">
        <v>88</v>
      </c>
    </row>
    <row r="3774" spans="1:13">
      <c r="A3774">
        <v>45975</v>
      </c>
      <c r="B3774" t="s">
        <v>3395</v>
      </c>
      <c r="F3774">
        <v>1</v>
      </c>
      <c r="G3774" t="s">
        <v>64</v>
      </c>
      <c r="L3774" t="s">
        <v>82</v>
      </c>
      <c r="M3774" t="s">
        <v>96</v>
      </c>
    </row>
    <row r="3775" spans="1:13">
      <c r="A3775">
        <v>45975</v>
      </c>
      <c r="B3775" t="s">
        <v>63</v>
      </c>
      <c r="D3775">
        <v>42000</v>
      </c>
      <c r="G3775" t="s">
        <v>70</v>
      </c>
      <c r="I3775" t="s">
        <v>60</v>
      </c>
      <c r="J3775" t="s">
        <v>61</v>
      </c>
      <c r="L3775" t="s">
        <v>62</v>
      </c>
    </row>
    <row r="3776" spans="1:13">
      <c r="A3776">
        <v>45975</v>
      </c>
      <c r="B3776" t="s">
        <v>63</v>
      </c>
      <c r="D3776">
        <v>8000</v>
      </c>
      <c r="F3776">
        <v>1</v>
      </c>
      <c r="G3776" t="s">
        <v>70</v>
      </c>
      <c r="I3776" t="s">
        <v>71</v>
      </c>
      <c r="J3776" t="s">
        <v>72</v>
      </c>
      <c r="K3776" t="s">
        <v>3396</v>
      </c>
      <c r="L3776" t="s">
        <v>62</v>
      </c>
      <c r="M3776" t="s">
        <v>90</v>
      </c>
    </row>
    <row r="3777" spans="1:13">
      <c r="A3777">
        <v>45975</v>
      </c>
      <c r="B3777" t="s">
        <v>290</v>
      </c>
      <c r="C3777" t="s">
        <v>3397</v>
      </c>
      <c r="E3777">
        <v>26484.99</v>
      </c>
      <c r="F3777">
        <v>1</v>
      </c>
      <c r="G3777" t="s">
        <v>65</v>
      </c>
      <c r="H3777" t="s">
        <v>66</v>
      </c>
      <c r="I3777" t="s">
        <v>60</v>
      </c>
      <c r="J3777" t="s">
        <v>61</v>
      </c>
      <c r="L3777" t="s">
        <v>62</v>
      </c>
      <c r="M3777" t="s">
        <v>1044</v>
      </c>
    </row>
    <row r="3778" spans="1:13">
      <c r="A3778">
        <v>45975</v>
      </c>
      <c r="B3778" t="s">
        <v>3398</v>
      </c>
      <c r="F3778">
        <v>1</v>
      </c>
      <c r="G3778" t="s">
        <v>2490</v>
      </c>
      <c r="L3778" t="s">
        <v>82</v>
      </c>
      <c r="M3778" t="s">
        <v>2993</v>
      </c>
    </row>
    <row r="3779" spans="1:13">
      <c r="A3779">
        <v>45975</v>
      </c>
      <c r="B3779" t="s">
        <v>3399</v>
      </c>
      <c r="F3779">
        <v>1</v>
      </c>
      <c r="G3779" t="s">
        <v>64</v>
      </c>
      <c r="L3779" t="s">
        <v>89</v>
      </c>
      <c r="M3779" t="s">
        <v>96</v>
      </c>
    </row>
    <row r="3780" spans="1:13">
      <c r="A3780">
        <v>45975</v>
      </c>
      <c r="B3780" t="s">
        <v>3400</v>
      </c>
      <c r="D3780">
        <v>500</v>
      </c>
      <c r="F3780">
        <v>1</v>
      </c>
      <c r="G3780" t="s">
        <v>22</v>
      </c>
      <c r="H3780" t="s">
        <v>21</v>
      </c>
      <c r="I3780" t="s">
        <v>60</v>
      </c>
      <c r="J3780" t="s">
        <v>61</v>
      </c>
      <c r="L3780" t="s">
        <v>89</v>
      </c>
    </row>
    <row r="3781" spans="1:13">
      <c r="A3781">
        <v>45975</v>
      </c>
      <c r="B3781" t="s">
        <v>63</v>
      </c>
      <c r="E3781">
        <v>500</v>
      </c>
      <c r="F3781">
        <v>1</v>
      </c>
      <c r="G3781" t="s">
        <v>65</v>
      </c>
      <c r="H3781" t="s">
        <v>66</v>
      </c>
      <c r="I3781" t="s">
        <v>60</v>
      </c>
      <c r="J3781" t="s">
        <v>61</v>
      </c>
      <c r="L3781" t="s">
        <v>62</v>
      </c>
      <c r="M3781" t="s">
        <v>3280</v>
      </c>
    </row>
    <row r="3782" spans="1:13">
      <c r="A3782">
        <v>45976</v>
      </c>
      <c r="B3782" t="s">
        <v>84</v>
      </c>
      <c r="D3782">
        <v>-52000</v>
      </c>
      <c r="G3782" t="s">
        <v>77</v>
      </c>
      <c r="I3782" t="s">
        <v>60</v>
      </c>
      <c r="J3782" t="s">
        <v>61</v>
      </c>
      <c r="L3782" t="s">
        <v>62</v>
      </c>
    </row>
    <row r="3783" spans="1:13">
      <c r="A3783">
        <v>45976</v>
      </c>
      <c r="B3783" t="s">
        <v>84</v>
      </c>
      <c r="E3783">
        <v>-2750</v>
      </c>
      <c r="G3783" t="s">
        <v>65</v>
      </c>
      <c r="H3783" t="s">
        <v>85</v>
      </c>
      <c r="I3783" t="s">
        <v>60</v>
      </c>
      <c r="J3783" t="s">
        <v>61</v>
      </c>
      <c r="L3783" t="s">
        <v>62</v>
      </c>
    </row>
    <row r="3784" spans="1:13">
      <c r="A3784">
        <v>45976</v>
      </c>
      <c r="B3784" t="s">
        <v>546</v>
      </c>
      <c r="F3784">
        <v>-20</v>
      </c>
      <c r="G3784" t="s">
        <v>22</v>
      </c>
      <c r="H3784" t="s">
        <v>93</v>
      </c>
      <c r="L3784" t="s">
        <v>101</v>
      </c>
    </row>
    <row r="3785" spans="1:13">
      <c r="A3785">
        <v>45976</v>
      </c>
      <c r="B3785" t="s">
        <v>63</v>
      </c>
      <c r="D3785">
        <v>100</v>
      </c>
      <c r="F3785">
        <v>1</v>
      </c>
      <c r="G3785" t="s">
        <v>22</v>
      </c>
      <c r="H3785" t="s">
        <v>93</v>
      </c>
      <c r="I3785" t="s">
        <v>60</v>
      </c>
      <c r="J3785" t="s">
        <v>61</v>
      </c>
      <c r="L3785" t="s">
        <v>62</v>
      </c>
    </row>
    <row r="3786" spans="1:13">
      <c r="A3786">
        <v>45976</v>
      </c>
      <c r="B3786" t="s">
        <v>76</v>
      </c>
      <c r="D3786">
        <v>9420</v>
      </c>
      <c r="G3786" t="s">
        <v>77</v>
      </c>
      <c r="I3786" t="s">
        <v>60</v>
      </c>
      <c r="J3786" t="s">
        <v>61</v>
      </c>
      <c r="L3786" t="s">
        <v>62</v>
      </c>
    </row>
    <row r="3787" spans="1:13">
      <c r="A3787">
        <v>45976</v>
      </c>
      <c r="B3787" t="s">
        <v>3401</v>
      </c>
      <c r="D3787">
        <v>500</v>
      </c>
      <c r="F3787">
        <v>1</v>
      </c>
      <c r="G3787" t="s">
        <v>22</v>
      </c>
      <c r="H3787" t="s">
        <v>21</v>
      </c>
      <c r="I3787" t="s">
        <v>60</v>
      </c>
      <c r="J3787" t="s">
        <v>61</v>
      </c>
      <c r="L3787" t="s">
        <v>82</v>
      </c>
    </row>
    <row r="3788" spans="1:13">
      <c r="A3788">
        <v>45976</v>
      </c>
      <c r="B3788" t="s">
        <v>3402</v>
      </c>
      <c r="F3788">
        <v>1</v>
      </c>
      <c r="G3788" t="s">
        <v>64</v>
      </c>
      <c r="L3788" t="s">
        <v>82</v>
      </c>
      <c r="M3788" t="s">
        <v>96</v>
      </c>
    </row>
    <row r="3789" spans="1:13">
      <c r="A3789">
        <v>45976</v>
      </c>
      <c r="B3789" t="s">
        <v>63</v>
      </c>
      <c r="D3789">
        <v>14500</v>
      </c>
      <c r="G3789" t="s">
        <v>70</v>
      </c>
      <c r="I3789" t="s">
        <v>60</v>
      </c>
      <c r="J3789" t="s">
        <v>61</v>
      </c>
      <c r="L3789" t="s">
        <v>62</v>
      </c>
    </row>
    <row r="3790" spans="1:13">
      <c r="A3790">
        <v>45976</v>
      </c>
      <c r="B3790" t="s">
        <v>3403</v>
      </c>
      <c r="F3790">
        <v>1</v>
      </c>
      <c r="G3790" t="s">
        <v>79</v>
      </c>
      <c r="H3790" t="s">
        <v>21</v>
      </c>
      <c r="L3790" t="s">
        <v>86</v>
      </c>
      <c r="M3790" t="s">
        <v>327</v>
      </c>
    </row>
    <row r="3791" spans="1:13">
      <c r="A3791">
        <v>45976</v>
      </c>
      <c r="B3791" t="s">
        <v>81</v>
      </c>
      <c r="E3791">
        <v>6000</v>
      </c>
      <c r="F3791">
        <v>1</v>
      </c>
      <c r="G3791" t="s">
        <v>74</v>
      </c>
      <c r="H3791" t="s">
        <v>75</v>
      </c>
      <c r="I3791" t="s">
        <v>60</v>
      </c>
      <c r="J3791" t="s">
        <v>61</v>
      </c>
      <c r="L3791" t="s">
        <v>104</v>
      </c>
    </row>
    <row r="3792" spans="1:13">
      <c r="A3792">
        <v>45976</v>
      </c>
      <c r="B3792" t="s">
        <v>63</v>
      </c>
      <c r="E3792">
        <v>500</v>
      </c>
      <c r="F3792">
        <v>1</v>
      </c>
      <c r="G3792" t="s">
        <v>65</v>
      </c>
      <c r="H3792" t="s">
        <v>66</v>
      </c>
      <c r="I3792" t="s">
        <v>60</v>
      </c>
      <c r="J3792" t="s">
        <v>61</v>
      </c>
      <c r="L3792" t="s">
        <v>62</v>
      </c>
      <c r="M3792" t="s">
        <v>3280</v>
      </c>
    </row>
    <row r="3793" spans="1:13">
      <c r="A3793">
        <v>45976</v>
      </c>
      <c r="B3793" t="s">
        <v>3404</v>
      </c>
      <c r="F3793">
        <v>1</v>
      </c>
      <c r="G3793" t="s">
        <v>0</v>
      </c>
      <c r="L3793" t="s">
        <v>82</v>
      </c>
      <c r="M3793">
        <v>43296375</v>
      </c>
    </row>
    <row r="3794" spans="1:13">
      <c r="A3794">
        <v>45977</v>
      </c>
      <c r="B3794" t="s">
        <v>76</v>
      </c>
      <c r="D3794">
        <v>9600</v>
      </c>
      <c r="G3794" t="s">
        <v>77</v>
      </c>
      <c r="I3794" t="s">
        <v>60</v>
      </c>
      <c r="J3794" t="s">
        <v>61</v>
      </c>
      <c r="L3794" t="s">
        <v>62</v>
      </c>
    </row>
    <row r="3795" spans="1:13">
      <c r="A3795">
        <v>45977</v>
      </c>
      <c r="B3795" t="s">
        <v>3405</v>
      </c>
      <c r="D3795">
        <v>500</v>
      </c>
      <c r="F3795">
        <v>1</v>
      </c>
      <c r="G3795" t="s">
        <v>22</v>
      </c>
      <c r="H3795" t="s">
        <v>21</v>
      </c>
      <c r="I3795" t="s">
        <v>60</v>
      </c>
      <c r="J3795" t="s">
        <v>61</v>
      </c>
      <c r="L3795" t="s">
        <v>89</v>
      </c>
    </row>
    <row r="3796" spans="1:13">
      <c r="A3796">
        <v>45977</v>
      </c>
      <c r="B3796" t="s">
        <v>3406</v>
      </c>
      <c r="D3796">
        <v>500</v>
      </c>
      <c r="F3796">
        <v>1</v>
      </c>
      <c r="G3796" t="s">
        <v>22</v>
      </c>
      <c r="H3796" t="s">
        <v>21</v>
      </c>
      <c r="I3796" t="s">
        <v>60</v>
      </c>
      <c r="J3796" t="s">
        <v>61</v>
      </c>
      <c r="L3796" t="s">
        <v>89</v>
      </c>
    </row>
    <row r="3797" spans="1:13">
      <c r="A3797">
        <v>45977</v>
      </c>
      <c r="B3797" t="s">
        <v>3407</v>
      </c>
      <c r="F3797">
        <v>1</v>
      </c>
      <c r="G3797" t="s">
        <v>79</v>
      </c>
      <c r="H3797" t="s">
        <v>21</v>
      </c>
      <c r="L3797" t="s">
        <v>89</v>
      </c>
      <c r="M3797" t="s">
        <v>327</v>
      </c>
    </row>
    <row r="3798" spans="1:13">
      <c r="A3798">
        <v>45977</v>
      </c>
      <c r="B3798" t="s">
        <v>3408</v>
      </c>
      <c r="F3798">
        <v>1</v>
      </c>
      <c r="G3798" t="s">
        <v>99</v>
      </c>
      <c r="H3798" t="s">
        <v>21</v>
      </c>
      <c r="L3798" t="s">
        <v>89</v>
      </c>
      <c r="M3798" t="s">
        <v>3409</v>
      </c>
    </row>
    <row r="3799" spans="1:13">
      <c r="A3799">
        <v>45977</v>
      </c>
      <c r="B3799" t="s">
        <v>3410</v>
      </c>
      <c r="D3799">
        <v>500</v>
      </c>
      <c r="F3799">
        <v>1</v>
      </c>
      <c r="G3799" t="s">
        <v>22</v>
      </c>
      <c r="H3799" t="s">
        <v>21</v>
      </c>
      <c r="I3799" t="s">
        <v>60</v>
      </c>
      <c r="J3799" t="s">
        <v>61</v>
      </c>
      <c r="L3799" t="s">
        <v>89</v>
      </c>
    </row>
    <row r="3800" spans="1:13">
      <c r="A3800">
        <v>45977</v>
      </c>
      <c r="B3800" t="s">
        <v>63</v>
      </c>
      <c r="E3800">
        <v>1500</v>
      </c>
      <c r="F3800">
        <v>1</v>
      </c>
      <c r="G3800" t="s">
        <v>65</v>
      </c>
      <c r="H3800" t="s">
        <v>66</v>
      </c>
      <c r="I3800" t="s">
        <v>60</v>
      </c>
      <c r="J3800" t="s">
        <v>61</v>
      </c>
      <c r="L3800" t="s">
        <v>62</v>
      </c>
      <c r="M3800" t="s">
        <v>3280</v>
      </c>
    </row>
    <row r="3801" spans="1:13">
      <c r="A3801">
        <v>45978</v>
      </c>
      <c r="B3801" t="s">
        <v>81</v>
      </c>
      <c r="D3801">
        <v>101000</v>
      </c>
      <c r="F3801">
        <v>1</v>
      </c>
      <c r="G3801" t="s">
        <v>74</v>
      </c>
      <c r="H3801" t="s">
        <v>75</v>
      </c>
      <c r="I3801" t="s">
        <v>60</v>
      </c>
      <c r="J3801" t="s">
        <v>61</v>
      </c>
      <c r="L3801" t="s">
        <v>88</v>
      </c>
    </row>
    <row r="3802" spans="1:13">
      <c r="A3802">
        <v>45978</v>
      </c>
      <c r="B3802" t="s">
        <v>102</v>
      </c>
      <c r="C3802" t="s">
        <v>3411</v>
      </c>
      <c r="F3802">
        <v>22</v>
      </c>
      <c r="G3802" t="s">
        <v>22</v>
      </c>
      <c r="H3802" t="s">
        <v>21</v>
      </c>
      <c r="L3802" t="s">
        <v>95</v>
      </c>
    </row>
    <row r="3803" spans="1:13">
      <c r="A3803">
        <v>45978</v>
      </c>
      <c r="B3803" t="s">
        <v>3412</v>
      </c>
      <c r="D3803">
        <v>500</v>
      </c>
      <c r="F3803">
        <v>1</v>
      </c>
      <c r="G3803" t="s">
        <v>22</v>
      </c>
      <c r="H3803" t="s">
        <v>21</v>
      </c>
      <c r="I3803" t="s">
        <v>60</v>
      </c>
      <c r="J3803" t="s">
        <v>61</v>
      </c>
      <c r="L3803" t="s">
        <v>86</v>
      </c>
    </row>
    <row r="3804" spans="1:13">
      <c r="A3804">
        <v>45978</v>
      </c>
      <c r="B3804" t="s">
        <v>63</v>
      </c>
      <c r="E3804">
        <v>2500</v>
      </c>
      <c r="F3804">
        <v>1</v>
      </c>
      <c r="G3804" t="s">
        <v>65</v>
      </c>
      <c r="H3804" t="s">
        <v>66</v>
      </c>
      <c r="I3804" t="s">
        <v>60</v>
      </c>
      <c r="J3804" t="s">
        <v>61</v>
      </c>
      <c r="L3804" t="s">
        <v>62</v>
      </c>
      <c r="M3804" t="s">
        <v>3280</v>
      </c>
    </row>
    <row r="3805" spans="1:13">
      <c r="A3805">
        <v>45978</v>
      </c>
      <c r="B3805" t="s">
        <v>3413</v>
      </c>
      <c r="F3805">
        <v>3</v>
      </c>
      <c r="G3805" t="s">
        <v>79</v>
      </c>
      <c r="H3805" t="s">
        <v>21</v>
      </c>
      <c r="L3805" t="s">
        <v>89</v>
      </c>
      <c r="M3805" t="s">
        <v>327</v>
      </c>
    </row>
    <row r="3806" spans="1:13">
      <c r="A3806">
        <v>45978</v>
      </c>
      <c r="B3806" t="s">
        <v>3414</v>
      </c>
      <c r="F3806">
        <v>1</v>
      </c>
      <c r="G3806" t="s">
        <v>79</v>
      </c>
      <c r="H3806" t="s">
        <v>21</v>
      </c>
      <c r="L3806" t="s">
        <v>89</v>
      </c>
      <c r="M3806" t="s">
        <v>327</v>
      </c>
    </row>
    <row r="3807" spans="1:13">
      <c r="A3807">
        <v>45978</v>
      </c>
      <c r="B3807" t="s">
        <v>3415</v>
      </c>
      <c r="D3807">
        <v>500</v>
      </c>
      <c r="F3807">
        <v>1</v>
      </c>
      <c r="G3807" t="s">
        <v>22</v>
      </c>
      <c r="H3807" t="s">
        <v>21</v>
      </c>
      <c r="I3807" t="s">
        <v>60</v>
      </c>
      <c r="J3807" t="s">
        <v>61</v>
      </c>
      <c r="L3807" t="s">
        <v>89</v>
      </c>
    </row>
    <row r="3808" spans="1:13">
      <c r="A3808">
        <v>45978</v>
      </c>
      <c r="B3808" t="s">
        <v>3416</v>
      </c>
      <c r="F3808">
        <v>1</v>
      </c>
      <c r="G3808" t="s">
        <v>590</v>
      </c>
      <c r="H3808" t="s">
        <v>21</v>
      </c>
      <c r="L3808" t="s">
        <v>82</v>
      </c>
      <c r="M3808" t="s">
        <v>3417</v>
      </c>
    </row>
    <row r="3809" spans="1:13">
      <c r="A3809">
        <v>45978</v>
      </c>
      <c r="B3809" t="s">
        <v>3418</v>
      </c>
      <c r="D3809">
        <v>500</v>
      </c>
      <c r="F3809">
        <v>1</v>
      </c>
      <c r="G3809" t="s">
        <v>22</v>
      </c>
      <c r="H3809" t="s">
        <v>21</v>
      </c>
      <c r="I3809" t="s">
        <v>60</v>
      </c>
      <c r="J3809" t="s">
        <v>61</v>
      </c>
      <c r="L3809" t="s">
        <v>89</v>
      </c>
    </row>
    <row r="3810" spans="1:13">
      <c r="A3810">
        <v>45978</v>
      </c>
      <c r="B3810" t="s">
        <v>3419</v>
      </c>
      <c r="D3810">
        <v>500</v>
      </c>
      <c r="F3810">
        <v>1</v>
      </c>
      <c r="G3810" t="s">
        <v>22</v>
      </c>
      <c r="H3810" t="s">
        <v>21</v>
      </c>
      <c r="I3810" t="s">
        <v>60</v>
      </c>
      <c r="J3810" t="s">
        <v>61</v>
      </c>
      <c r="L3810" t="s">
        <v>89</v>
      </c>
    </row>
    <row r="3811" spans="1:13">
      <c r="A3811">
        <v>45978</v>
      </c>
      <c r="B3811" t="s">
        <v>3420</v>
      </c>
      <c r="F3811">
        <v>1</v>
      </c>
      <c r="G3811" t="s">
        <v>79</v>
      </c>
      <c r="H3811" t="s">
        <v>21</v>
      </c>
      <c r="L3811" t="s">
        <v>89</v>
      </c>
      <c r="M3811" t="s">
        <v>327</v>
      </c>
    </row>
    <row r="3812" spans="1:13">
      <c r="A3812">
        <v>45978</v>
      </c>
      <c r="B3812" t="s">
        <v>3421</v>
      </c>
      <c r="F3812">
        <v>1</v>
      </c>
      <c r="G3812" t="s">
        <v>2490</v>
      </c>
      <c r="L3812" t="s">
        <v>89</v>
      </c>
      <c r="M3812" t="s">
        <v>2993</v>
      </c>
    </row>
    <row r="3813" spans="1:13">
      <c r="A3813">
        <v>45978</v>
      </c>
      <c r="B3813" t="s">
        <v>3422</v>
      </c>
      <c r="D3813">
        <v>500</v>
      </c>
      <c r="F3813">
        <v>1</v>
      </c>
      <c r="G3813" t="s">
        <v>22</v>
      </c>
      <c r="H3813" t="s">
        <v>21</v>
      </c>
      <c r="I3813" t="s">
        <v>60</v>
      </c>
      <c r="J3813" t="s">
        <v>61</v>
      </c>
      <c r="L3813" t="s">
        <v>89</v>
      </c>
    </row>
    <row r="3814" spans="1:13">
      <c r="A3814">
        <v>45978</v>
      </c>
      <c r="B3814" t="s">
        <v>3423</v>
      </c>
      <c r="F3814">
        <v>1</v>
      </c>
      <c r="G3814" t="s">
        <v>590</v>
      </c>
      <c r="H3814" t="s">
        <v>21</v>
      </c>
      <c r="L3814" t="s">
        <v>89</v>
      </c>
      <c r="M3814" t="s">
        <v>3424</v>
      </c>
    </row>
    <row r="3815" spans="1:13">
      <c r="A3815">
        <v>45978</v>
      </c>
      <c r="B3815" t="s">
        <v>3425</v>
      </c>
      <c r="F3815">
        <v>1</v>
      </c>
      <c r="G3815" t="s">
        <v>590</v>
      </c>
      <c r="H3815" t="s">
        <v>21</v>
      </c>
      <c r="L3815" t="s">
        <v>89</v>
      </c>
      <c r="M3815" t="s">
        <v>3424</v>
      </c>
    </row>
    <row r="3816" spans="1:13">
      <c r="A3816">
        <v>45978</v>
      </c>
      <c r="B3816" t="s">
        <v>3426</v>
      </c>
      <c r="D3816">
        <v>6000</v>
      </c>
      <c r="G3816" t="s">
        <v>70</v>
      </c>
      <c r="I3816" t="s">
        <v>60</v>
      </c>
      <c r="J3816" t="s">
        <v>61</v>
      </c>
      <c r="L3816" t="s">
        <v>62</v>
      </c>
    </row>
    <row r="3817" spans="1:13">
      <c r="A3817">
        <v>45978</v>
      </c>
      <c r="B3817" t="s">
        <v>76</v>
      </c>
      <c r="D3817">
        <v>16800</v>
      </c>
      <c r="G3817" t="s">
        <v>77</v>
      </c>
      <c r="I3817" t="s">
        <v>60</v>
      </c>
      <c r="J3817" t="s">
        <v>61</v>
      </c>
      <c r="L3817" t="s">
        <v>62</v>
      </c>
    </row>
    <row r="3818" spans="1:13">
      <c r="A3818">
        <v>45979</v>
      </c>
      <c r="B3818" t="s">
        <v>3427</v>
      </c>
      <c r="D3818">
        <v>500</v>
      </c>
      <c r="F3818">
        <v>1</v>
      </c>
      <c r="G3818" t="s">
        <v>22</v>
      </c>
      <c r="H3818" t="s">
        <v>21</v>
      </c>
      <c r="I3818" t="s">
        <v>60</v>
      </c>
      <c r="J3818" t="s">
        <v>61</v>
      </c>
      <c r="L3818" t="s">
        <v>89</v>
      </c>
    </row>
    <row r="3819" spans="1:13">
      <c r="A3819">
        <v>45979</v>
      </c>
      <c r="B3819" t="s">
        <v>3428</v>
      </c>
      <c r="D3819">
        <v>500</v>
      </c>
      <c r="F3819">
        <v>1</v>
      </c>
      <c r="G3819" t="s">
        <v>22</v>
      </c>
      <c r="H3819" t="s">
        <v>21</v>
      </c>
      <c r="I3819" t="s">
        <v>60</v>
      </c>
      <c r="J3819" t="s">
        <v>61</v>
      </c>
      <c r="L3819" t="s">
        <v>89</v>
      </c>
    </row>
    <row r="3820" spans="1:13">
      <c r="A3820">
        <v>45979</v>
      </c>
      <c r="B3820" t="s">
        <v>3429</v>
      </c>
      <c r="D3820">
        <v>500</v>
      </c>
      <c r="F3820">
        <v>1</v>
      </c>
      <c r="G3820" t="s">
        <v>22</v>
      </c>
      <c r="H3820" t="s">
        <v>21</v>
      </c>
      <c r="I3820" t="s">
        <v>60</v>
      </c>
      <c r="J3820" t="s">
        <v>61</v>
      </c>
      <c r="L3820" t="s">
        <v>86</v>
      </c>
    </row>
    <row r="3821" spans="1:13">
      <c r="A3821">
        <v>45979</v>
      </c>
      <c r="B3821" t="s">
        <v>3430</v>
      </c>
      <c r="D3821">
        <v>500</v>
      </c>
      <c r="F3821">
        <v>1</v>
      </c>
      <c r="G3821" t="s">
        <v>22</v>
      </c>
      <c r="H3821" t="s">
        <v>21</v>
      </c>
      <c r="I3821" t="s">
        <v>60</v>
      </c>
      <c r="J3821" t="s">
        <v>61</v>
      </c>
      <c r="L3821" t="s">
        <v>86</v>
      </c>
    </row>
    <row r="3822" spans="1:13">
      <c r="A3822">
        <v>45979</v>
      </c>
      <c r="B3822" t="s">
        <v>63</v>
      </c>
      <c r="D3822">
        <v>200</v>
      </c>
      <c r="F3822">
        <v>2</v>
      </c>
      <c r="G3822" t="s">
        <v>22</v>
      </c>
      <c r="H3822" t="s">
        <v>93</v>
      </c>
      <c r="I3822" t="s">
        <v>60</v>
      </c>
      <c r="J3822" t="s">
        <v>61</v>
      </c>
      <c r="L3822" t="s">
        <v>62</v>
      </c>
    </row>
    <row r="3823" spans="1:13">
      <c r="A3823">
        <v>45979</v>
      </c>
      <c r="B3823" t="s">
        <v>3431</v>
      </c>
      <c r="F3823">
        <v>1</v>
      </c>
      <c r="G3823" t="s">
        <v>64</v>
      </c>
      <c r="L3823" t="s">
        <v>86</v>
      </c>
      <c r="M3823" t="s">
        <v>96</v>
      </c>
    </row>
    <row r="3824" spans="1:13">
      <c r="A3824">
        <v>45979</v>
      </c>
      <c r="B3824" t="s">
        <v>3432</v>
      </c>
      <c r="D3824">
        <v>500</v>
      </c>
      <c r="F3824">
        <v>1</v>
      </c>
      <c r="G3824" t="s">
        <v>22</v>
      </c>
      <c r="H3824" t="s">
        <v>21</v>
      </c>
      <c r="I3824" t="s">
        <v>60</v>
      </c>
      <c r="J3824" t="s">
        <v>61</v>
      </c>
      <c r="L3824" t="s">
        <v>86</v>
      </c>
    </row>
    <row r="3825" spans="1:13">
      <c r="A3825">
        <v>45979</v>
      </c>
      <c r="B3825" t="s">
        <v>3432</v>
      </c>
      <c r="F3825">
        <v>1</v>
      </c>
      <c r="G3825" t="s">
        <v>2490</v>
      </c>
      <c r="L3825" t="s">
        <v>86</v>
      </c>
      <c r="M3825" t="s">
        <v>2993</v>
      </c>
    </row>
    <row r="3826" spans="1:13">
      <c r="A3826">
        <v>45979</v>
      </c>
      <c r="B3826" t="s">
        <v>3433</v>
      </c>
      <c r="F3826">
        <v>1</v>
      </c>
      <c r="G3826" t="s">
        <v>64</v>
      </c>
      <c r="L3826" t="s">
        <v>89</v>
      </c>
      <c r="M3826" t="s">
        <v>96</v>
      </c>
    </row>
    <row r="3827" spans="1:13">
      <c r="A3827">
        <v>45979</v>
      </c>
      <c r="B3827" t="s">
        <v>63</v>
      </c>
      <c r="E3827">
        <v>2500</v>
      </c>
      <c r="F3827">
        <v>1</v>
      </c>
      <c r="G3827" t="s">
        <v>65</v>
      </c>
      <c r="H3827" t="s">
        <v>66</v>
      </c>
      <c r="I3827" t="s">
        <v>60</v>
      </c>
      <c r="J3827" t="s">
        <v>61</v>
      </c>
      <c r="L3827" t="s">
        <v>62</v>
      </c>
      <c r="M3827" t="s">
        <v>3280</v>
      </c>
    </row>
    <row r="3828" spans="1:13">
      <c r="A3828">
        <v>45979</v>
      </c>
      <c r="B3828" t="s">
        <v>3434</v>
      </c>
      <c r="F3828">
        <v>1</v>
      </c>
      <c r="G3828" t="s">
        <v>0</v>
      </c>
      <c r="L3828" t="s">
        <v>89</v>
      </c>
      <c r="M3828">
        <v>43224068</v>
      </c>
    </row>
    <row r="3829" spans="1:13">
      <c r="A3829">
        <v>45980</v>
      </c>
      <c r="B3829" t="s">
        <v>81</v>
      </c>
      <c r="D3829">
        <v>140500</v>
      </c>
      <c r="F3829">
        <v>1</v>
      </c>
      <c r="G3829" t="s">
        <v>74</v>
      </c>
      <c r="H3829" t="s">
        <v>75</v>
      </c>
      <c r="I3829" t="s">
        <v>60</v>
      </c>
      <c r="J3829" t="s">
        <v>61</v>
      </c>
      <c r="L3829" t="s">
        <v>88</v>
      </c>
    </row>
    <row r="3830" spans="1:13">
      <c r="A3830">
        <v>45980</v>
      </c>
      <c r="B3830" t="s">
        <v>3435</v>
      </c>
      <c r="F3830">
        <v>1</v>
      </c>
      <c r="G3830" t="s">
        <v>64</v>
      </c>
      <c r="L3830" t="s">
        <v>86</v>
      </c>
      <c r="M3830" t="s">
        <v>96</v>
      </c>
    </row>
    <row r="3831" spans="1:13">
      <c r="A3831">
        <v>45980</v>
      </c>
      <c r="B3831" t="s">
        <v>84</v>
      </c>
      <c r="D3831">
        <v>-41600</v>
      </c>
      <c r="G3831" t="s">
        <v>77</v>
      </c>
      <c r="I3831" t="s">
        <v>60</v>
      </c>
      <c r="J3831" t="s">
        <v>61</v>
      </c>
      <c r="L3831" t="s">
        <v>62</v>
      </c>
    </row>
    <row r="3832" spans="1:13">
      <c r="A3832">
        <v>45980</v>
      </c>
      <c r="B3832" t="s">
        <v>84</v>
      </c>
      <c r="E3832">
        <v>-2200</v>
      </c>
      <c r="G3832" t="s">
        <v>65</v>
      </c>
      <c r="H3832" t="s">
        <v>85</v>
      </c>
      <c r="I3832" t="s">
        <v>60</v>
      </c>
      <c r="J3832" t="s">
        <v>61</v>
      </c>
      <c r="L3832" t="s">
        <v>62</v>
      </c>
    </row>
    <row r="3833" spans="1:13">
      <c r="A3833">
        <v>45980</v>
      </c>
      <c r="B3833" t="s">
        <v>63</v>
      </c>
      <c r="D3833">
        <v>8000</v>
      </c>
      <c r="F3833">
        <v>1</v>
      </c>
      <c r="G3833" t="s">
        <v>70</v>
      </c>
      <c r="I3833" t="s">
        <v>71</v>
      </c>
      <c r="J3833" t="s">
        <v>72</v>
      </c>
      <c r="K3833" t="s">
        <v>3436</v>
      </c>
      <c r="L3833" t="s">
        <v>62</v>
      </c>
      <c r="M3833" t="s">
        <v>3437</v>
      </c>
    </row>
    <row r="3834" spans="1:13">
      <c r="A3834">
        <v>45980</v>
      </c>
      <c r="B3834" t="s">
        <v>63</v>
      </c>
      <c r="D3834">
        <v>15500</v>
      </c>
      <c r="F3834">
        <v>1</v>
      </c>
      <c r="G3834" t="s">
        <v>70</v>
      </c>
      <c r="I3834" t="s">
        <v>71</v>
      </c>
      <c r="J3834" t="s">
        <v>72</v>
      </c>
      <c r="K3834" t="s">
        <v>3438</v>
      </c>
      <c r="L3834" t="s">
        <v>62</v>
      </c>
      <c r="M3834" t="s">
        <v>90</v>
      </c>
    </row>
    <row r="3835" spans="1:13">
      <c r="A3835">
        <v>45980</v>
      </c>
      <c r="B3835" t="s">
        <v>63</v>
      </c>
      <c r="D3835">
        <v>100</v>
      </c>
      <c r="F3835">
        <v>1</v>
      </c>
      <c r="G3835" t="s">
        <v>22</v>
      </c>
      <c r="H3835" t="s">
        <v>93</v>
      </c>
      <c r="I3835" t="s">
        <v>60</v>
      </c>
      <c r="J3835" t="s">
        <v>61</v>
      </c>
      <c r="L3835" t="s">
        <v>62</v>
      </c>
    </row>
    <row r="3836" spans="1:13">
      <c r="A3836">
        <v>45980</v>
      </c>
      <c r="B3836" t="s">
        <v>3439</v>
      </c>
      <c r="D3836">
        <v>500</v>
      </c>
      <c r="F3836">
        <v>1</v>
      </c>
      <c r="G3836" t="s">
        <v>22</v>
      </c>
      <c r="H3836" t="s">
        <v>21</v>
      </c>
      <c r="I3836" t="s">
        <v>60</v>
      </c>
      <c r="J3836" t="s">
        <v>61</v>
      </c>
      <c r="L3836" t="s">
        <v>86</v>
      </c>
    </row>
    <row r="3837" spans="1:13">
      <c r="A3837">
        <v>45980</v>
      </c>
      <c r="B3837" t="s">
        <v>3440</v>
      </c>
      <c r="D3837">
        <v>500</v>
      </c>
      <c r="F3837">
        <v>1</v>
      </c>
      <c r="G3837" t="s">
        <v>22</v>
      </c>
      <c r="H3837" t="s">
        <v>21</v>
      </c>
      <c r="I3837" t="s">
        <v>60</v>
      </c>
      <c r="J3837" t="s">
        <v>61</v>
      </c>
      <c r="L3837" t="s">
        <v>82</v>
      </c>
    </row>
    <row r="3838" spans="1:13">
      <c r="A3838">
        <v>45980</v>
      </c>
      <c r="B3838" t="s">
        <v>3440</v>
      </c>
      <c r="F3838">
        <v>1</v>
      </c>
      <c r="G3838" t="s">
        <v>64</v>
      </c>
      <c r="L3838" t="s">
        <v>82</v>
      </c>
      <c r="M3838" t="s">
        <v>96</v>
      </c>
    </row>
    <row r="3839" spans="1:13">
      <c r="A3839">
        <v>45980</v>
      </c>
      <c r="B3839" t="s">
        <v>3441</v>
      </c>
      <c r="F3839">
        <v>1</v>
      </c>
      <c r="G3839" t="s">
        <v>79</v>
      </c>
      <c r="H3839" t="s">
        <v>21</v>
      </c>
      <c r="L3839" t="s">
        <v>82</v>
      </c>
      <c r="M3839" t="s">
        <v>327</v>
      </c>
    </row>
    <row r="3840" spans="1:13">
      <c r="A3840">
        <v>45980</v>
      </c>
      <c r="B3840" t="s">
        <v>3442</v>
      </c>
      <c r="D3840">
        <v>500</v>
      </c>
      <c r="F3840">
        <v>1</v>
      </c>
      <c r="G3840" t="s">
        <v>22</v>
      </c>
      <c r="H3840" t="s">
        <v>21</v>
      </c>
      <c r="I3840" t="s">
        <v>60</v>
      </c>
      <c r="J3840" t="s">
        <v>61</v>
      </c>
      <c r="L3840" t="s">
        <v>82</v>
      </c>
    </row>
    <row r="3841" spans="1:13">
      <c r="A3841">
        <v>45980</v>
      </c>
      <c r="B3841" t="s">
        <v>3443</v>
      </c>
      <c r="D3841">
        <v>500</v>
      </c>
      <c r="F3841">
        <v>1</v>
      </c>
      <c r="G3841" t="s">
        <v>22</v>
      </c>
      <c r="H3841" t="s">
        <v>21</v>
      </c>
      <c r="I3841" t="s">
        <v>60</v>
      </c>
      <c r="J3841" t="s">
        <v>61</v>
      </c>
      <c r="L3841" t="s">
        <v>82</v>
      </c>
    </row>
    <row r="3842" spans="1:13">
      <c r="A3842">
        <v>45980</v>
      </c>
      <c r="B3842" t="s">
        <v>63</v>
      </c>
      <c r="D3842">
        <v>36044</v>
      </c>
      <c r="G3842" t="s">
        <v>70</v>
      </c>
      <c r="I3842" t="s">
        <v>60</v>
      </c>
      <c r="J3842" t="s">
        <v>61</v>
      </c>
      <c r="L3842" t="s">
        <v>62</v>
      </c>
    </row>
    <row r="3843" spans="1:13">
      <c r="A3843">
        <v>45980</v>
      </c>
      <c r="B3843" t="s">
        <v>3444</v>
      </c>
      <c r="E3843">
        <v>3044</v>
      </c>
      <c r="F3843">
        <v>1</v>
      </c>
      <c r="G3843" t="s">
        <v>65</v>
      </c>
      <c r="H3843" t="s">
        <v>66</v>
      </c>
      <c r="I3843" t="s">
        <v>60</v>
      </c>
      <c r="J3843" t="s">
        <v>61</v>
      </c>
      <c r="L3843" t="s">
        <v>88</v>
      </c>
      <c r="M3843" t="s">
        <v>3445</v>
      </c>
    </row>
    <row r="3844" spans="1:13">
      <c r="A3844">
        <v>45980</v>
      </c>
      <c r="B3844" t="s">
        <v>3446</v>
      </c>
      <c r="D3844">
        <v>500</v>
      </c>
      <c r="F3844">
        <v>1</v>
      </c>
      <c r="G3844" t="s">
        <v>22</v>
      </c>
      <c r="H3844" t="s">
        <v>21</v>
      </c>
      <c r="I3844" t="s">
        <v>60</v>
      </c>
      <c r="J3844" t="s">
        <v>61</v>
      </c>
      <c r="L3844" t="s">
        <v>82</v>
      </c>
    </row>
    <row r="3845" spans="1:13">
      <c r="A3845">
        <v>45980</v>
      </c>
      <c r="B3845" t="s">
        <v>3447</v>
      </c>
      <c r="D3845">
        <v>500</v>
      </c>
      <c r="F3845">
        <v>1</v>
      </c>
      <c r="G3845" t="s">
        <v>22</v>
      </c>
      <c r="H3845" t="s">
        <v>21</v>
      </c>
      <c r="I3845" t="s">
        <v>60</v>
      </c>
      <c r="J3845" t="s">
        <v>61</v>
      </c>
      <c r="L3845" t="s">
        <v>82</v>
      </c>
    </row>
    <row r="3846" spans="1:13">
      <c r="A3846">
        <v>45980</v>
      </c>
      <c r="B3846" t="s">
        <v>63</v>
      </c>
      <c r="E3846">
        <v>3000</v>
      </c>
      <c r="F3846">
        <v>1</v>
      </c>
      <c r="G3846" t="s">
        <v>65</v>
      </c>
      <c r="H3846" t="s">
        <v>66</v>
      </c>
      <c r="I3846" t="s">
        <v>60</v>
      </c>
      <c r="J3846" t="s">
        <v>61</v>
      </c>
      <c r="L3846" t="s">
        <v>62</v>
      </c>
      <c r="M3846" t="s">
        <v>3280</v>
      </c>
    </row>
    <row r="3847" spans="1:13">
      <c r="A3847">
        <v>45980</v>
      </c>
      <c r="B3847" t="s">
        <v>3448</v>
      </c>
      <c r="F3847">
        <v>1</v>
      </c>
      <c r="G3847" t="s">
        <v>0</v>
      </c>
      <c r="L3847" t="s">
        <v>89</v>
      </c>
      <c r="M3847">
        <v>43407947</v>
      </c>
    </row>
    <row r="3848" spans="1:13">
      <c r="A3848">
        <v>45980</v>
      </c>
      <c r="B3848" t="s">
        <v>3449</v>
      </c>
      <c r="F3848">
        <v>1</v>
      </c>
      <c r="G3848" t="s">
        <v>0</v>
      </c>
      <c r="L3848" t="s">
        <v>86</v>
      </c>
      <c r="M3848">
        <v>43453565</v>
      </c>
    </row>
    <row r="3849" spans="1:13">
      <c r="A3849">
        <v>45981</v>
      </c>
      <c r="B3849" t="s">
        <v>81</v>
      </c>
      <c r="D3849">
        <v>281500</v>
      </c>
      <c r="F3849">
        <v>1</v>
      </c>
      <c r="G3849" t="s">
        <v>74</v>
      </c>
      <c r="H3849" t="s">
        <v>75</v>
      </c>
      <c r="I3849" t="s">
        <v>60</v>
      </c>
      <c r="J3849" t="s">
        <v>61</v>
      </c>
      <c r="L3849" t="s">
        <v>88</v>
      </c>
    </row>
    <row r="3850" spans="1:13">
      <c r="A3850">
        <v>45981</v>
      </c>
      <c r="B3850" t="s">
        <v>63</v>
      </c>
      <c r="D3850">
        <v>22000</v>
      </c>
      <c r="G3850" t="s">
        <v>70</v>
      </c>
      <c r="I3850" t="s">
        <v>60</v>
      </c>
      <c r="J3850" t="s">
        <v>61</v>
      </c>
      <c r="L3850" t="s">
        <v>62</v>
      </c>
    </row>
    <row r="3851" spans="1:13">
      <c r="A3851">
        <v>45981</v>
      </c>
      <c r="B3851" t="s">
        <v>3450</v>
      </c>
      <c r="D3851">
        <v>500</v>
      </c>
      <c r="F3851">
        <v>1</v>
      </c>
      <c r="G3851" t="s">
        <v>22</v>
      </c>
      <c r="H3851" t="s">
        <v>21</v>
      </c>
      <c r="I3851" t="s">
        <v>60</v>
      </c>
      <c r="J3851" t="s">
        <v>61</v>
      </c>
      <c r="L3851" t="s">
        <v>86</v>
      </c>
    </row>
    <row r="3852" spans="1:13">
      <c r="A3852">
        <v>45981</v>
      </c>
      <c r="B3852" t="s">
        <v>76</v>
      </c>
      <c r="D3852">
        <v>36600</v>
      </c>
      <c r="G3852" t="s">
        <v>77</v>
      </c>
      <c r="I3852" t="s">
        <v>60</v>
      </c>
      <c r="J3852" t="s">
        <v>61</v>
      </c>
      <c r="L3852" t="s">
        <v>62</v>
      </c>
    </row>
    <row r="3853" spans="1:13">
      <c r="A3853">
        <v>45981</v>
      </c>
      <c r="B3853" t="s">
        <v>63</v>
      </c>
      <c r="D3853">
        <v>100</v>
      </c>
      <c r="F3853">
        <v>1</v>
      </c>
      <c r="G3853" t="s">
        <v>22</v>
      </c>
      <c r="H3853" t="s">
        <v>21</v>
      </c>
      <c r="I3853" t="s">
        <v>60</v>
      </c>
      <c r="J3853" t="s">
        <v>61</v>
      </c>
      <c r="L3853" t="s">
        <v>62</v>
      </c>
    </row>
    <row r="3854" spans="1:13">
      <c r="A3854">
        <v>45981</v>
      </c>
      <c r="B3854" t="s">
        <v>3451</v>
      </c>
      <c r="D3854">
        <v>500</v>
      </c>
      <c r="F3854">
        <v>1</v>
      </c>
      <c r="G3854" t="s">
        <v>22</v>
      </c>
      <c r="H3854" t="s">
        <v>21</v>
      </c>
      <c r="I3854" t="s">
        <v>60</v>
      </c>
      <c r="J3854" t="s">
        <v>61</v>
      </c>
      <c r="L3854" t="s">
        <v>86</v>
      </c>
    </row>
    <row r="3855" spans="1:13">
      <c r="A3855">
        <v>45981</v>
      </c>
      <c r="B3855" t="s">
        <v>3452</v>
      </c>
      <c r="D3855">
        <v>500</v>
      </c>
      <c r="F3855">
        <v>1</v>
      </c>
      <c r="G3855" t="s">
        <v>22</v>
      </c>
      <c r="H3855" t="s">
        <v>21</v>
      </c>
      <c r="I3855" t="s">
        <v>60</v>
      </c>
      <c r="J3855" t="s">
        <v>61</v>
      </c>
      <c r="L3855" t="s">
        <v>82</v>
      </c>
    </row>
    <row r="3856" spans="1:13">
      <c r="A3856">
        <v>45981</v>
      </c>
      <c r="B3856" t="s">
        <v>3453</v>
      </c>
      <c r="D3856">
        <v>500</v>
      </c>
      <c r="F3856">
        <v>1</v>
      </c>
      <c r="G3856" t="s">
        <v>22</v>
      </c>
      <c r="H3856" t="s">
        <v>21</v>
      </c>
      <c r="I3856" t="s">
        <v>60</v>
      </c>
      <c r="J3856" t="s">
        <v>61</v>
      </c>
      <c r="L3856" t="s">
        <v>86</v>
      </c>
    </row>
    <row r="3857" spans="1:13">
      <c r="A3857">
        <v>45981</v>
      </c>
      <c r="B3857" t="s">
        <v>3454</v>
      </c>
      <c r="D3857">
        <v>500</v>
      </c>
      <c r="F3857">
        <v>1</v>
      </c>
      <c r="G3857" t="s">
        <v>22</v>
      </c>
      <c r="H3857" t="s">
        <v>21</v>
      </c>
      <c r="I3857" t="s">
        <v>60</v>
      </c>
      <c r="J3857" t="s">
        <v>61</v>
      </c>
      <c r="L3857" t="s">
        <v>82</v>
      </c>
    </row>
    <row r="3858" spans="1:13">
      <c r="A3858">
        <v>45981</v>
      </c>
      <c r="B3858" t="s">
        <v>3455</v>
      </c>
      <c r="D3858">
        <v>500</v>
      </c>
      <c r="F3858">
        <v>1</v>
      </c>
      <c r="G3858" t="s">
        <v>22</v>
      </c>
      <c r="H3858" t="s">
        <v>21</v>
      </c>
      <c r="I3858" t="s">
        <v>60</v>
      </c>
      <c r="J3858" t="s">
        <v>61</v>
      </c>
      <c r="L3858" t="s">
        <v>82</v>
      </c>
    </row>
    <row r="3859" spans="1:13">
      <c r="A3859">
        <v>45981</v>
      </c>
      <c r="B3859" t="s">
        <v>3456</v>
      </c>
      <c r="D3859">
        <v>500</v>
      </c>
      <c r="F3859">
        <v>1</v>
      </c>
      <c r="G3859" t="s">
        <v>22</v>
      </c>
      <c r="H3859" t="s">
        <v>21</v>
      </c>
      <c r="I3859" t="s">
        <v>60</v>
      </c>
      <c r="J3859" t="s">
        <v>61</v>
      </c>
      <c r="L3859" t="s">
        <v>82</v>
      </c>
    </row>
    <row r="3860" spans="1:13">
      <c r="A3860">
        <v>45981</v>
      </c>
      <c r="B3860" t="s">
        <v>3457</v>
      </c>
      <c r="D3860">
        <v>500</v>
      </c>
      <c r="F3860">
        <v>1</v>
      </c>
      <c r="G3860" t="s">
        <v>22</v>
      </c>
      <c r="H3860" t="s">
        <v>21</v>
      </c>
      <c r="I3860" t="s">
        <v>60</v>
      </c>
      <c r="J3860" t="s">
        <v>61</v>
      </c>
      <c r="L3860" t="s">
        <v>82</v>
      </c>
    </row>
    <row r="3861" spans="1:13">
      <c r="A3861">
        <v>45981</v>
      </c>
      <c r="B3861" t="s">
        <v>3458</v>
      </c>
      <c r="F3861">
        <v>1</v>
      </c>
      <c r="G3861" t="s">
        <v>750</v>
      </c>
      <c r="H3861" t="s">
        <v>21</v>
      </c>
      <c r="L3861" t="s">
        <v>82</v>
      </c>
      <c r="M3861" t="s">
        <v>327</v>
      </c>
    </row>
    <row r="3862" spans="1:13">
      <c r="A3862">
        <v>45981</v>
      </c>
      <c r="B3862" t="s">
        <v>63</v>
      </c>
      <c r="E3862">
        <v>4000</v>
      </c>
      <c r="F3862">
        <v>1</v>
      </c>
      <c r="G3862" t="s">
        <v>65</v>
      </c>
      <c r="H3862" t="s">
        <v>66</v>
      </c>
      <c r="I3862" t="s">
        <v>60</v>
      </c>
      <c r="J3862" t="s">
        <v>61</v>
      </c>
      <c r="L3862" t="s">
        <v>62</v>
      </c>
      <c r="M3862" t="s">
        <v>3280</v>
      </c>
    </row>
    <row r="3863" spans="1:13">
      <c r="A3863">
        <v>45982</v>
      </c>
      <c r="B3863" t="s">
        <v>559</v>
      </c>
      <c r="E3863">
        <v>7000</v>
      </c>
      <c r="F3863">
        <v>1</v>
      </c>
      <c r="G3863" t="s">
        <v>65</v>
      </c>
      <c r="H3863" t="s">
        <v>560</v>
      </c>
      <c r="I3863" t="s">
        <v>60</v>
      </c>
      <c r="J3863" t="s">
        <v>61</v>
      </c>
      <c r="L3863" t="s">
        <v>62</v>
      </c>
    </row>
    <row r="3864" spans="1:13">
      <c r="A3864">
        <v>45982</v>
      </c>
      <c r="B3864" t="s">
        <v>3459</v>
      </c>
      <c r="D3864">
        <v>500</v>
      </c>
      <c r="F3864">
        <v>1</v>
      </c>
      <c r="G3864" t="s">
        <v>22</v>
      </c>
      <c r="H3864" t="s">
        <v>21</v>
      </c>
      <c r="I3864" t="s">
        <v>60</v>
      </c>
      <c r="J3864" t="s">
        <v>61</v>
      </c>
      <c r="L3864" t="s">
        <v>89</v>
      </c>
    </row>
    <row r="3865" spans="1:13">
      <c r="A3865">
        <v>45982</v>
      </c>
      <c r="B3865" t="s">
        <v>3460</v>
      </c>
      <c r="F3865">
        <v>1</v>
      </c>
      <c r="G3865" t="s">
        <v>79</v>
      </c>
      <c r="H3865" t="s">
        <v>21</v>
      </c>
      <c r="L3865" t="s">
        <v>89</v>
      </c>
      <c r="M3865" t="s">
        <v>327</v>
      </c>
    </row>
    <row r="3866" spans="1:13">
      <c r="A3866">
        <v>45982</v>
      </c>
      <c r="B3866" t="s">
        <v>3461</v>
      </c>
      <c r="D3866">
        <v>500</v>
      </c>
      <c r="F3866">
        <v>1</v>
      </c>
      <c r="G3866" t="s">
        <v>22</v>
      </c>
      <c r="H3866" t="s">
        <v>21</v>
      </c>
      <c r="I3866" t="s">
        <v>60</v>
      </c>
      <c r="J3866" t="s">
        <v>61</v>
      </c>
      <c r="L3866" t="s">
        <v>89</v>
      </c>
    </row>
    <row r="3867" spans="1:13">
      <c r="A3867">
        <v>45982</v>
      </c>
      <c r="B3867" t="s">
        <v>2351</v>
      </c>
      <c r="D3867">
        <v>500</v>
      </c>
      <c r="F3867">
        <v>1</v>
      </c>
      <c r="G3867" t="s">
        <v>22</v>
      </c>
      <c r="H3867" t="s">
        <v>21</v>
      </c>
      <c r="I3867" t="s">
        <v>60</v>
      </c>
      <c r="J3867" t="s">
        <v>61</v>
      </c>
      <c r="L3867" t="s">
        <v>89</v>
      </c>
    </row>
    <row r="3868" spans="1:13">
      <c r="A3868">
        <v>45982</v>
      </c>
      <c r="B3868" t="s">
        <v>3462</v>
      </c>
      <c r="F3868">
        <v>1</v>
      </c>
      <c r="G3868" t="s">
        <v>79</v>
      </c>
      <c r="H3868" t="s">
        <v>21</v>
      </c>
      <c r="L3868" t="s">
        <v>89</v>
      </c>
      <c r="M3868" t="s">
        <v>327</v>
      </c>
    </row>
    <row r="3869" spans="1:13">
      <c r="A3869">
        <v>45982</v>
      </c>
      <c r="B3869" t="s">
        <v>719</v>
      </c>
      <c r="E3869">
        <v>387500</v>
      </c>
      <c r="F3869">
        <v>1</v>
      </c>
      <c r="G3869" t="s">
        <v>65</v>
      </c>
      <c r="H3869" t="s">
        <v>348</v>
      </c>
      <c r="I3869" t="s">
        <v>60</v>
      </c>
      <c r="J3869" t="s">
        <v>61</v>
      </c>
      <c r="L3869" t="s">
        <v>88</v>
      </c>
      <c r="M3869" t="s">
        <v>670</v>
      </c>
    </row>
    <row r="3870" spans="1:13">
      <c r="A3870">
        <v>45982</v>
      </c>
      <c r="B3870" t="s">
        <v>606</v>
      </c>
      <c r="E3870">
        <v>70000</v>
      </c>
      <c r="F3870">
        <v>1</v>
      </c>
      <c r="G3870" t="s">
        <v>65</v>
      </c>
      <c r="H3870" t="s">
        <v>348</v>
      </c>
      <c r="I3870" t="s">
        <v>60</v>
      </c>
      <c r="J3870" t="s">
        <v>61</v>
      </c>
      <c r="L3870" t="s">
        <v>62</v>
      </c>
      <c r="M3870" t="s">
        <v>3463</v>
      </c>
    </row>
    <row r="3871" spans="1:13">
      <c r="A3871">
        <v>45982</v>
      </c>
      <c r="B3871" t="s">
        <v>604</v>
      </c>
      <c r="E3871">
        <v>70000</v>
      </c>
      <c r="F3871">
        <v>1</v>
      </c>
      <c r="G3871" t="s">
        <v>65</v>
      </c>
      <c r="H3871" t="s">
        <v>348</v>
      </c>
      <c r="I3871" t="s">
        <v>60</v>
      </c>
      <c r="J3871" t="s">
        <v>61</v>
      </c>
      <c r="L3871" t="s">
        <v>62</v>
      </c>
      <c r="M3871" t="s">
        <v>3463</v>
      </c>
    </row>
    <row r="3872" spans="1:13">
      <c r="A3872">
        <v>45982</v>
      </c>
      <c r="B3872" t="s">
        <v>248</v>
      </c>
      <c r="E3872">
        <v>70000</v>
      </c>
      <c r="F3872">
        <v>1</v>
      </c>
      <c r="G3872" t="s">
        <v>65</v>
      </c>
      <c r="H3872" t="s">
        <v>348</v>
      </c>
      <c r="I3872" t="s">
        <v>60</v>
      </c>
      <c r="J3872" t="s">
        <v>61</v>
      </c>
      <c r="L3872" t="s">
        <v>62</v>
      </c>
      <c r="M3872" t="s">
        <v>3463</v>
      </c>
    </row>
    <row r="3873" spans="1:13">
      <c r="A3873">
        <v>45982</v>
      </c>
      <c r="B3873" t="s">
        <v>63</v>
      </c>
      <c r="E3873">
        <v>1500</v>
      </c>
      <c r="F3873">
        <v>1</v>
      </c>
      <c r="G3873" t="s">
        <v>65</v>
      </c>
      <c r="H3873" t="s">
        <v>66</v>
      </c>
      <c r="I3873" t="s">
        <v>60</v>
      </c>
      <c r="J3873" t="s">
        <v>61</v>
      </c>
      <c r="L3873" t="s">
        <v>62</v>
      </c>
      <c r="M3873" t="s">
        <v>3280</v>
      </c>
    </row>
    <row r="3874" spans="1:13">
      <c r="A3874">
        <v>45983</v>
      </c>
      <c r="B3874" t="s">
        <v>2850</v>
      </c>
      <c r="D3874">
        <v>500</v>
      </c>
      <c r="F3874">
        <v>1</v>
      </c>
      <c r="G3874" t="s">
        <v>22</v>
      </c>
      <c r="H3874" t="s">
        <v>21</v>
      </c>
      <c r="I3874" t="s">
        <v>60</v>
      </c>
      <c r="J3874" t="s">
        <v>61</v>
      </c>
      <c r="L3874" t="s">
        <v>89</v>
      </c>
    </row>
    <row r="3875" spans="1:13">
      <c r="A3875">
        <v>45983</v>
      </c>
      <c r="B3875" t="s">
        <v>3464</v>
      </c>
      <c r="D3875">
        <v>500</v>
      </c>
      <c r="F3875">
        <v>1</v>
      </c>
      <c r="G3875" t="s">
        <v>22</v>
      </c>
      <c r="H3875" t="s">
        <v>21</v>
      </c>
      <c r="I3875" t="s">
        <v>60</v>
      </c>
      <c r="J3875" t="s">
        <v>61</v>
      </c>
      <c r="L3875" t="s">
        <v>89</v>
      </c>
    </row>
    <row r="3876" spans="1:13">
      <c r="A3876">
        <v>45983</v>
      </c>
      <c r="B3876" t="s">
        <v>3465</v>
      </c>
      <c r="F3876">
        <v>1</v>
      </c>
      <c r="G3876" t="s">
        <v>79</v>
      </c>
      <c r="H3876" t="s">
        <v>21</v>
      </c>
      <c r="L3876" t="s">
        <v>89</v>
      </c>
      <c r="M3876" t="s">
        <v>327</v>
      </c>
    </row>
    <row r="3877" spans="1:13">
      <c r="A3877">
        <v>45983</v>
      </c>
      <c r="B3877" t="s">
        <v>3466</v>
      </c>
      <c r="F3877">
        <v>1</v>
      </c>
      <c r="G3877" t="s">
        <v>64</v>
      </c>
      <c r="L3877" t="s">
        <v>82</v>
      </c>
      <c r="M3877" t="s">
        <v>96</v>
      </c>
    </row>
    <row r="3878" spans="1:13">
      <c r="A3878">
        <v>45983</v>
      </c>
      <c r="B3878" t="s">
        <v>3467</v>
      </c>
      <c r="F3878">
        <v>1</v>
      </c>
      <c r="G3878" t="s">
        <v>64</v>
      </c>
      <c r="L3878" t="s">
        <v>82</v>
      </c>
      <c r="M3878" t="s">
        <v>96</v>
      </c>
    </row>
    <row r="3879" spans="1:13">
      <c r="A3879">
        <v>45983</v>
      </c>
      <c r="B3879" t="s">
        <v>3468</v>
      </c>
      <c r="F3879">
        <v>1</v>
      </c>
      <c r="G3879" t="s">
        <v>79</v>
      </c>
      <c r="H3879" t="s">
        <v>21</v>
      </c>
      <c r="L3879" t="s">
        <v>82</v>
      </c>
      <c r="M3879" t="s">
        <v>327</v>
      </c>
    </row>
    <row r="3880" spans="1:13">
      <c r="A3880">
        <v>45983</v>
      </c>
      <c r="B3880" t="s">
        <v>63</v>
      </c>
      <c r="E3880">
        <v>1000</v>
      </c>
      <c r="F3880">
        <v>1</v>
      </c>
      <c r="G3880" t="s">
        <v>65</v>
      </c>
      <c r="H3880" t="s">
        <v>66</v>
      </c>
      <c r="I3880" t="s">
        <v>60</v>
      </c>
      <c r="J3880" t="s">
        <v>61</v>
      </c>
      <c r="L3880" t="s">
        <v>62</v>
      </c>
      <c r="M3880" t="s">
        <v>3280</v>
      </c>
    </row>
    <row r="3881" spans="1:13">
      <c r="A3881">
        <v>45984</v>
      </c>
      <c r="B3881" t="s">
        <v>3469</v>
      </c>
      <c r="F3881">
        <v>1</v>
      </c>
      <c r="G3881" t="s">
        <v>64</v>
      </c>
      <c r="L3881" t="s">
        <v>82</v>
      </c>
      <c r="M3881" t="s">
        <v>3470</v>
      </c>
    </row>
    <row r="3882" spans="1:13">
      <c r="A3882">
        <v>45984</v>
      </c>
      <c r="B3882" t="s">
        <v>3471</v>
      </c>
      <c r="F3882">
        <v>1</v>
      </c>
      <c r="G3882" t="s">
        <v>64</v>
      </c>
      <c r="L3882" t="s">
        <v>82</v>
      </c>
      <c r="M3882" t="s">
        <v>3472</v>
      </c>
    </row>
    <row r="3883" spans="1:13">
      <c r="A3883">
        <v>45984</v>
      </c>
      <c r="B3883" t="s">
        <v>3473</v>
      </c>
      <c r="D3883">
        <v>500</v>
      </c>
      <c r="F3883">
        <v>1</v>
      </c>
      <c r="G3883" t="s">
        <v>22</v>
      </c>
      <c r="H3883" t="s">
        <v>21</v>
      </c>
      <c r="I3883" t="s">
        <v>60</v>
      </c>
      <c r="J3883" t="s">
        <v>61</v>
      </c>
      <c r="L3883" t="s">
        <v>82</v>
      </c>
    </row>
    <row r="3884" spans="1:13">
      <c r="A3884">
        <v>45984</v>
      </c>
      <c r="B3884" t="s">
        <v>3474</v>
      </c>
      <c r="D3884">
        <v>500</v>
      </c>
      <c r="F3884">
        <v>1</v>
      </c>
      <c r="G3884" t="s">
        <v>22</v>
      </c>
      <c r="H3884" t="s">
        <v>21</v>
      </c>
      <c r="I3884" t="s">
        <v>60</v>
      </c>
      <c r="J3884" t="s">
        <v>61</v>
      </c>
      <c r="L3884" t="s">
        <v>82</v>
      </c>
    </row>
    <row r="3885" spans="1:13">
      <c r="A3885">
        <v>45984</v>
      </c>
      <c r="B3885" t="s">
        <v>3475</v>
      </c>
      <c r="D3885">
        <v>500</v>
      </c>
      <c r="F3885">
        <v>1</v>
      </c>
      <c r="G3885" t="s">
        <v>22</v>
      </c>
      <c r="H3885" t="s">
        <v>21</v>
      </c>
      <c r="I3885" t="s">
        <v>60</v>
      </c>
      <c r="J3885" t="s">
        <v>61</v>
      </c>
      <c r="L3885" t="s">
        <v>89</v>
      </c>
    </row>
    <row r="3886" spans="1:13">
      <c r="A3886">
        <v>45984</v>
      </c>
      <c r="B3886" t="s">
        <v>63</v>
      </c>
      <c r="D3886">
        <v>31500</v>
      </c>
      <c r="G3886" t="s">
        <v>70</v>
      </c>
      <c r="I3886" t="s">
        <v>60</v>
      </c>
      <c r="J3886" t="s">
        <v>61</v>
      </c>
      <c r="L3886" t="s">
        <v>62</v>
      </c>
    </row>
    <row r="3887" spans="1:13">
      <c r="A3887">
        <v>45984</v>
      </c>
      <c r="B3887" t="s">
        <v>76</v>
      </c>
      <c r="D3887">
        <v>14200</v>
      </c>
      <c r="G3887" t="s">
        <v>77</v>
      </c>
      <c r="I3887" t="s">
        <v>60</v>
      </c>
      <c r="J3887" t="s">
        <v>61</v>
      </c>
      <c r="L3887" t="s">
        <v>62</v>
      </c>
    </row>
    <row r="3888" spans="1:13">
      <c r="A3888">
        <v>45984</v>
      </c>
      <c r="B3888" t="s">
        <v>3476</v>
      </c>
      <c r="D3888">
        <v>500</v>
      </c>
      <c r="F3888">
        <v>1</v>
      </c>
      <c r="G3888" t="s">
        <v>22</v>
      </c>
      <c r="H3888" t="s">
        <v>21</v>
      </c>
      <c r="I3888" t="s">
        <v>60</v>
      </c>
      <c r="J3888" t="s">
        <v>61</v>
      </c>
      <c r="L3888" t="s">
        <v>89</v>
      </c>
    </row>
    <row r="3889" spans="1:13">
      <c r="A3889">
        <v>45984</v>
      </c>
      <c r="B3889" t="s">
        <v>3477</v>
      </c>
      <c r="D3889">
        <v>300000</v>
      </c>
      <c r="F3889">
        <v>1</v>
      </c>
      <c r="G3889" t="s">
        <v>64</v>
      </c>
      <c r="I3889" t="s">
        <v>60</v>
      </c>
      <c r="J3889" t="s">
        <v>61</v>
      </c>
      <c r="L3889" t="s">
        <v>89</v>
      </c>
      <c r="M3889" t="s">
        <v>96</v>
      </c>
    </row>
    <row r="3890" spans="1:13">
      <c r="A3890">
        <v>45984</v>
      </c>
      <c r="B3890" t="s">
        <v>3478</v>
      </c>
      <c r="F3890">
        <v>1</v>
      </c>
      <c r="G3890" t="s">
        <v>587</v>
      </c>
      <c r="H3890" t="s">
        <v>21</v>
      </c>
      <c r="L3890" t="s">
        <v>89</v>
      </c>
      <c r="M3890" t="s">
        <v>327</v>
      </c>
    </row>
    <row r="3891" spans="1:13">
      <c r="A3891">
        <v>45984</v>
      </c>
      <c r="B3891" t="s">
        <v>63</v>
      </c>
      <c r="E3891">
        <v>2000</v>
      </c>
      <c r="F3891">
        <v>1</v>
      </c>
      <c r="G3891" t="s">
        <v>65</v>
      </c>
      <c r="H3891" t="s">
        <v>66</v>
      </c>
      <c r="I3891" t="s">
        <v>60</v>
      </c>
      <c r="J3891" t="s">
        <v>61</v>
      </c>
      <c r="L3891" t="s">
        <v>62</v>
      </c>
      <c r="M3891" t="s">
        <v>3280</v>
      </c>
    </row>
    <row r="3892" spans="1:13">
      <c r="A3892">
        <v>45985</v>
      </c>
      <c r="B3892" t="s">
        <v>63</v>
      </c>
      <c r="D3892">
        <v>45500</v>
      </c>
      <c r="G3892" t="s">
        <v>70</v>
      </c>
      <c r="I3892" t="s">
        <v>60</v>
      </c>
      <c r="J3892" t="s">
        <v>61</v>
      </c>
      <c r="L3892" t="s">
        <v>62</v>
      </c>
    </row>
    <row r="3893" spans="1:13">
      <c r="A3893">
        <v>45985</v>
      </c>
      <c r="B3893" t="s">
        <v>203</v>
      </c>
      <c r="F3893">
        <v>1</v>
      </c>
      <c r="G3893" t="s">
        <v>2490</v>
      </c>
      <c r="L3893" t="s">
        <v>82</v>
      </c>
      <c r="M3893" t="s">
        <v>2993</v>
      </c>
    </row>
    <row r="3894" spans="1:13">
      <c r="A3894">
        <v>45985</v>
      </c>
      <c r="B3894" t="s">
        <v>3479</v>
      </c>
      <c r="D3894">
        <v>500</v>
      </c>
      <c r="F3894">
        <v>1</v>
      </c>
      <c r="G3894" t="s">
        <v>22</v>
      </c>
      <c r="H3894" t="s">
        <v>21</v>
      </c>
      <c r="I3894" t="s">
        <v>60</v>
      </c>
      <c r="J3894" t="s">
        <v>61</v>
      </c>
      <c r="L3894" t="s">
        <v>89</v>
      </c>
    </row>
    <row r="3895" spans="1:13">
      <c r="A3895">
        <v>45985</v>
      </c>
      <c r="B3895" t="s">
        <v>3480</v>
      </c>
      <c r="D3895">
        <v>500</v>
      </c>
      <c r="F3895">
        <v>1</v>
      </c>
      <c r="G3895" t="s">
        <v>22</v>
      </c>
      <c r="H3895" t="s">
        <v>21</v>
      </c>
      <c r="I3895" t="s">
        <v>60</v>
      </c>
      <c r="J3895" t="s">
        <v>61</v>
      </c>
      <c r="L3895" t="s">
        <v>89</v>
      </c>
    </row>
    <row r="3896" spans="1:13">
      <c r="A3896">
        <v>45985</v>
      </c>
      <c r="B3896" t="s">
        <v>3481</v>
      </c>
      <c r="F3896">
        <v>1</v>
      </c>
      <c r="G3896" t="s">
        <v>377</v>
      </c>
      <c r="H3896" t="s">
        <v>21</v>
      </c>
      <c r="I3896" t="s">
        <v>60</v>
      </c>
      <c r="J3896" t="s">
        <v>61</v>
      </c>
      <c r="L3896" t="s">
        <v>89</v>
      </c>
      <c r="M3896" t="s">
        <v>327</v>
      </c>
    </row>
    <row r="3897" spans="1:13">
      <c r="A3897">
        <v>45985</v>
      </c>
      <c r="B3897" t="s">
        <v>3482</v>
      </c>
      <c r="F3897">
        <v>1</v>
      </c>
      <c r="G3897" t="s">
        <v>79</v>
      </c>
      <c r="H3897" t="s">
        <v>21</v>
      </c>
      <c r="I3897" t="s">
        <v>60</v>
      </c>
      <c r="J3897" t="s">
        <v>61</v>
      </c>
      <c r="L3897" t="s">
        <v>89</v>
      </c>
      <c r="M3897" t="s">
        <v>327</v>
      </c>
    </row>
    <row r="3898" spans="1:13">
      <c r="A3898">
        <v>45985</v>
      </c>
      <c r="B3898" t="s">
        <v>63</v>
      </c>
      <c r="E3898">
        <v>1000</v>
      </c>
      <c r="F3898">
        <v>1</v>
      </c>
      <c r="G3898" t="s">
        <v>65</v>
      </c>
      <c r="H3898" t="s">
        <v>66</v>
      </c>
      <c r="I3898" t="s">
        <v>60</v>
      </c>
      <c r="J3898" t="s">
        <v>61</v>
      </c>
      <c r="L3898" t="s">
        <v>62</v>
      </c>
      <c r="M3898" t="s">
        <v>3280</v>
      </c>
    </row>
    <row r="3899" spans="1:13">
      <c r="A3899">
        <v>45986</v>
      </c>
      <c r="B3899" t="s">
        <v>3483</v>
      </c>
      <c r="E3899">
        <v>499330</v>
      </c>
      <c r="F3899">
        <v>1</v>
      </c>
      <c r="G3899" t="s">
        <v>65</v>
      </c>
      <c r="H3899" t="s">
        <v>348</v>
      </c>
      <c r="I3899" t="s">
        <v>60</v>
      </c>
      <c r="J3899" t="s">
        <v>61</v>
      </c>
      <c r="L3899" t="s">
        <v>214</v>
      </c>
      <c r="M3899" t="s">
        <v>670</v>
      </c>
    </row>
    <row r="3900" spans="1:13">
      <c r="A3900">
        <v>45986</v>
      </c>
      <c r="B3900" t="s">
        <v>2239</v>
      </c>
      <c r="C3900" t="s">
        <v>3484</v>
      </c>
      <c r="E3900">
        <v>35000</v>
      </c>
      <c r="F3900">
        <v>1</v>
      </c>
      <c r="G3900" t="s">
        <v>65</v>
      </c>
      <c r="H3900" t="s">
        <v>265</v>
      </c>
      <c r="I3900" t="s">
        <v>60</v>
      </c>
      <c r="J3900" t="s">
        <v>61</v>
      </c>
      <c r="L3900" t="s">
        <v>62</v>
      </c>
      <c r="M3900" t="s">
        <v>2238</v>
      </c>
    </row>
    <row r="3901" spans="1:13">
      <c r="A3901">
        <v>45986</v>
      </c>
      <c r="B3901" t="s">
        <v>2239</v>
      </c>
      <c r="C3901" t="s">
        <v>3485</v>
      </c>
      <c r="E3901">
        <v>35000</v>
      </c>
      <c r="F3901">
        <v>1</v>
      </c>
      <c r="G3901" t="s">
        <v>65</v>
      </c>
      <c r="H3901" t="s">
        <v>265</v>
      </c>
      <c r="I3901" t="s">
        <v>60</v>
      </c>
      <c r="J3901" t="s">
        <v>61</v>
      </c>
      <c r="L3901" t="s">
        <v>62</v>
      </c>
      <c r="M3901" t="s">
        <v>3486</v>
      </c>
    </row>
    <row r="3902" spans="1:13">
      <c r="A3902">
        <v>45986</v>
      </c>
      <c r="B3902" t="s">
        <v>63</v>
      </c>
      <c r="D3902">
        <v>22500</v>
      </c>
      <c r="G3902" t="s">
        <v>70</v>
      </c>
      <c r="I3902" t="s">
        <v>60</v>
      </c>
      <c r="J3902" t="s">
        <v>61</v>
      </c>
      <c r="L3902" t="s">
        <v>62</v>
      </c>
    </row>
    <row r="3903" spans="1:13">
      <c r="A3903">
        <v>45986</v>
      </c>
      <c r="B3903" t="s">
        <v>102</v>
      </c>
      <c r="C3903" t="s">
        <v>3487</v>
      </c>
      <c r="F3903">
        <v>15</v>
      </c>
      <c r="G3903" t="s">
        <v>22</v>
      </c>
      <c r="H3903" t="s">
        <v>21</v>
      </c>
      <c r="L3903" t="s">
        <v>95</v>
      </c>
    </row>
    <row r="3904" spans="1:13">
      <c r="A3904">
        <v>45986</v>
      </c>
      <c r="B3904" t="s">
        <v>3488</v>
      </c>
      <c r="D3904">
        <v>500</v>
      </c>
      <c r="F3904">
        <v>1</v>
      </c>
      <c r="G3904" t="s">
        <v>22</v>
      </c>
      <c r="H3904" t="s">
        <v>21</v>
      </c>
      <c r="I3904" t="s">
        <v>60</v>
      </c>
      <c r="J3904" t="s">
        <v>61</v>
      </c>
      <c r="L3904" t="s">
        <v>89</v>
      </c>
    </row>
    <row r="3905" spans="1:13">
      <c r="A3905">
        <v>45986</v>
      </c>
      <c r="B3905" t="s">
        <v>3489</v>
      </c>
      <c r="D3905">
        <v>500</v>
      </c>
      <c r="F3905">
        <v>1</v>
      </c>
      <c r="G3905" t="s">
        <v>22</v>
      </c>
      <c r="H3905" t="s">
        <v>21</v>
      </c>
      <c r="I3905" t="s">
        <v>60</v>
      </c>
      <c r="J3905" t="s">
        <v>61</v>
      </c>
      <c r="L3905" t="s">
        <v>89</v>
      </c>
    </row>
    <row r="3906" spans="1:13">
      <c r="A3906">
        <v>45986</v>
      </c>
      <c r="B3906" t="s">
        <v>3490</v>
      </c>
      <c r="D3906">
        <v>500</v>
      </c>
      <c r="F3906">
        <v>1</v>
      </c>
      <c r="G3906" t="s">
        <v>22</v>
      </c>
      <c r="H3906" t="s">
        <v>21</v>
      </c>
      <c r="I3906" t="s">
        <v>60</v>
      </c>
      <c r="J3906" t="s">
        <v>61</v>
      </c>
      <c r="L3906" t="s">
        <v>89</v>
      </c>
    </row>
    <row r="3907" spans="1:13">
      <c r="A3907">
        <v>45986</v>
      </c>
      <c r="B3907" t="s">
        <v>3491</v>
      </c>
      <c r="D3907">
        <v>500</v>
      </c>
      <c r="F3907">
        <v>1</v>
      </c>
      <c r="G3907" t="s">
        <v>22</v>
      </c>
      <c r="H3907" t="s">
        <v>21</v>
      </c>
      <c r="I3907" t="s">
        <v>60</v>
      </c>
      <c r="J3907" t="s">
        <v>61</v>
      </c>
      <c r="L3907" t="s">
        <v>89</v>
      </c>
    </row>
    <row r="3908" spans="1:13">
      <c r="A3908">
        <v>45986</v>
      </c>
      <c r="B3908" t="s">
        <v>3492</v>
      </c>
      <c r="F3908">
        <v>1</v>
      </c>
      <c r="G3908" t="s">
        <v>79</v>
      </c>
      <c r="H3908" t="s">
        <v>21</v>
      </c>
      <c r="L3908" t="s">
        <v>86</v>
      </c>
      <c r="M3908" t="s">
        <v>327</v>
      </c>
    </row>
    <row r="3909" spans="1:13">
      <c r="A3909">
        <v>45986</v>
      </c>
      <c r="B3909" t="s">
        <v>76</v>
      </c>
      <c r="D3909">
        <v>19600</v>
      </c>
      <c r="G3909" t="s">
        <v>77</v>
      </c>
      <c r="I3909" t="s">
        <v>60</v>
      </c>
      <c r="J3909" t="s">
        <v>61</v>
      </c>
      <c r="L3909" t="s">
        <v>62</v>
      </c>
    </row>
    <row r="3910" spans="1:13">
      <c r="A3910">
        <v>45986</v>
      </c>
      <c r="B3910" t="s">
        <v>63</v>
      </c>
      <c r="D3910">
        <v>200</v>
      </c>
      <c r="F3910">
        <v>2</v>
      </c>
      <c r="G3910" t="s">
        <v>22</v>
      </c>
      <c r="H3910" t="s">
        <v>93</v>
      </c>
      <c r="I3910" t="s">
        <v>60</v>
      </c>
      <c r="J3910" t="s">
        <v>61</v>
      </c>
      <c r="L3910" t="s">
        <v>62</v>
      </c>
    </row>
    <row r="3911" spans="1:13">
      <c r="A3911">
        <v>45986</v>
      </c>
      <c r="B3911" t="s">
        <v>3493</v>
      </c>
      <c r="D3911">
        <v>500</v>
      </c>
      <c r="F3911">
        <v>0</v>
      </c>
      <c r="G3911" t="s">
        <v>22</v>
      </c>
      <c r="H3911" t="s">
        <v>21</v>
      </c>
      <c r="I3911" t="s">
        <v>60</v>
      </c>
      <c r="J3911" t="s">
        <v>61</v>
      </c>
      <c r="L3911" t="s">
        <v>86</v>
      </c>
    </row>
    <row r="3912" spans="1:13">
      <c r="A3912">
        <v>45986</v>
      </c>
      <c r="B3912" t="s">
        <v>3494</v>
      </c>
      <c r="D3912">
        <v>500</v>
      </c>
      <c r="F3912">
        <v>0</v>
      </c>
      <c r="G3912" t="s">
        <v>22</v>
      </c>
      <c r="H3912" t="s">
        <v>21</v>
      </c>
      <c r="I3912" t="s">
        <v>60</v>
      </c>
      <c r="J3912" t="s">
        <v>61</v>
      </c>
      <c r="L3912" t="s">
        <v>86</v>
      </c>
    </row>
    <row r="3913" spans="1:13">
      <c r="A3913">
        <v>45986</v>
      </c>
      <c r="B3913" t="s">
        <v>63</v>
      </c>
      <c r="E3913">
        <v>3000</v>
      </c>
      <c r="F3913">
        <v>1</v>
      </c>
      <c r="G3913" t="s">
        <v>65</v>
      </c>
      <c r="H3913" t="s">
        <v>66</v>
      </c>
      <c r="I3913" t="s">
        <v>60</v>
      </c>
      <c r="J3913" t="s">
        <v>61</v>
      </c>
      <c r="L3913" t="s">
        <v>62</v>
      </c>
      <c r="M3913" t="s">
        <v>3280</v>
      </c>
    </row>
    <row r="3914" spans="1:13">
      <c r="A3914">
        <v>45986</v>
      </c>
      <c r="B3914" t="s">
        <v>3495</v>
      </c>
      <c r="F3914">
        <v>1</v>
      </c>
      <c r="G3914" t="s">
        <v>0</v>
      </c>
      <c r="L3914" t="s">
        <v>82</v>
      </c>
      <c r="M3914">
        <v>43558771</v>
      </c>
    </row>
    <row r="3915" spans="1:13">
      <c r="A3915">
        <v>45987</v>
      </c>
      <c r="B3915" t="s">
        <v>63</v>
      </c>
      <c r="D3915">
        <v>100</v>
      </c>
      <c r="F3915">
        <v>1</v>
      </c>
      <c r="G3915" t="s">
        <v>22</v>
      </c>
      <c r="H3915" t="s">
        <v>93</v>
      </c>
      <c r="I3915" t="s">
        <v>60</v>
      </c>
      <c r="J3915" t="s">
        <v>61</v>
      </c>
      <c r="L3915" t="s">
        <v>62</v>
      </c>
    </row>
    <row r="3916" spans="1:13">
      <c r="A3916">
        <v>45987</v>
      </c>
      <c r="B3916" t="s">
        <v>3496</v>
      </c>
      <c r="D3916">
        <v>500</v>
      </c>
      <c r="F3916">
        <v>0</v>
      </c>
      <c r="G3916" t="s">
        <v>22</v>
      </c>
      <c r="H3916" t="s">
        <v>21</v>
      </c>
      <c r="I3916" t="s">
        <v>60</v>
      </c>
      <c r="J3916" t="s">
        <v>61</v>
      </c>
      <c r="L3916" t="s">
        <v>86</v>
      </c>
    </row>
    <row r="3917" spans="1:13">
      <c r="A3917">
        <v>45987</v>
      </c>
      <c r="B3917" t="s">
        <v>3494</v>
      </c>
      <c r="D3917">
        <v>500</v>
      </c>
      <c r="F3917">
        <v>1</v>
      </c>
      <c r="G3917" t="s">
        <v>22</v>
      </c>
      <c r="H3917" t="s">
        <v>21</v>
      </c>
      <c r="I3917" t="s">
        <v>60</v>
      </c>
      <c r="J3917" t="s">
        <v>61</v>
      </c>
      <c r="L3917" t="s">
        <v>82</v>
      </c>
    </row>
    <row r="3918" spans="1:13">
      <c r="A3918">
        <v>45987</v>
      </c>
      <c r="B3918" t="s">
        <v>1810</v>
      </c>
      <c r="D3918">
        <v>500</v>
      </c>
      <c r="F3918">
        <v>1</v>
      </c>
      <c r="G3918" t="s">
        <v>22</v>
      </c>
      <c r="H3918" t="s">
        <v>21</v>
      </c>
      <c r="I3918" t="s">
        <v>60</v>
      </c>
      <c r="J3918" t="s">
        <v>61</v>
      </c>
      <c r="L3918" t="s">
        <v>82</v>
      </c>
    </row>
    <row r="3919" spans="1:13">
      <c r="A3919">
        <v>45987</v>
      </c>
      <c r="B3919" t="s">
        <v>3497</v>
      </c>
      <c r="F3919">
        <v>1</v>
      </c>
      <c r="G3919" t="s">
        <v>64</v>
      </c>
      <c r="L3919" t="s">
        <v>82</v>
      </c>
      <c r="M3919" t="s">
        <v>96</v>
      </c>
    </row>
    <row r="3920" spans="1:13">
      <c r="A3920">
        <v>45987</v>
      </c>
      <c r="B3920" t="s">
        <v>3498</v>
      </c>
      <c r="D3920">
        <v>500</v>
      </c>
      <c r="F3920">
        <v>1</v>
      </c>
      <c r="G3920" t="s">
        <v>22</v>
      </c>
      <c r="H3920" t="s">
        <v>21</v>
      </c>
      <c r="I3920" t="s">
        <v>60</v>
      </c>
      <c r="J3920" t="s">
        <v>61</v>
      </c>
      <c r="L3920" t="s">
        <v>82</v>
      </c>
    </row>
    <row r="3921" spans="1:13">
      <c r="A3921">
        <v>45987</v>
      </c>
      <c r="B3921" t="s">
        <v>84</v>
      </c>
      <c r="D3921">
        <v>-20800</v>
      </c>
      <c r="G3921" t="s">
        <v>77</v>
      </c>
      <c r="I3921" t="s">
        <v>60</v>
      </c>
      <c r="J3921" t="s">
        <v>61</v>
      </c>
      <c r="L3921" t="s">
        <v>62</v>
      </c>
    </row>
    <row r="3922" spans="1:13">
      <c r="A3922">
        <v>45987</v>
      </c>
      <c r="B3922" t="s">
        <v>84</v>
      </c>
      <c r="E3922">
        <v>-1100</v>
      </c>
      <c r="G3922" t="s">
        <v>65</v>
      </c>
      <c r="H3922" t="s">
        <v>85</v>
      </c>
      <c r="I3922" t="s">
        <v>60</v>
      </c>
      <c r="J3922" t="s">
        <v>61</v>
      </c>
      <c r="L3922" t="s">
        <v>62</v>
      </c>
    </row>
    <row r="3923" spans="1:13">
      <c r="A3923">
        <v>45987</v>
      </c>
      <c r="B3923" t="s">
        <v>3499</v>
      </c>
      <c r="F3923">
        <v>1</v>
      </c>
      <c r="G3923" t="s">
        <v>22</v>
      </c>
      <c r="H3923" t="s">
        <v>21</v>
      </c>
      <c r="L3923" t="s">
        <v>101</v>
      </c>
      <c r="M3923" t="s">
        <v>591</v>
      </c>
    </row>
    <row r="3924" spans="1:13">
      <c r="A3924">
        <v>45987</v>
      </c>
      <c r="B3924" t="s">
        <v>63</v>
      </c>
      <c r="D3924">
        <v>14500</v>
      </c>
      <c r="F3924">
        <v>2</v>
      </c>
      <c r="G3924" t="s">
        <v>70</v>
      </c>
      <c r="I3924" t="s">
        <v>71</v>
      </c>
      <c r="J3924" t="s">
        <v>72</v>
      </c>
      <c r="K3924" t="s">
        <v>3500</v>
      </c>
      <c r="L3924" t="s">
        <v>62</v>
      </c>
      <c r="M3924" t="s">
        <v>1303</v>
      </c>
    </row>
    <row r="3925" spans="1:13">
      <c r="A3925">
        <v>45987</v>
      </c>
      <c r="B3925" t="s">
        <v>63</v>
      </c>
      <c r="E3925">
        <v>2000</v>
      </c>
      <c r="F3925">
        <v>1</v>
      </c>
      <c r="G3925" t="s">
        <v>65</v>
      </c>
      <c r="H3925" t="s">
        <v>66</v>
      </c>
      <c r="I3925" t="s">
        <v>60</v>
      </c>
      <c r="J3925" t="s">
        <v>61</v>
      </c>
      <c r="L3925" t="s">
        <v>62</v>
      </c>
      <c r="M3925" t="s">
        <v>3280</v>
      </c>
    </row>
    <row r="3926" spans="1:13">
      <c r="A3926">
        <v>45988</v>
      </c>
      <c r="B3926" t="s">
        <v>81</v>
      </c>
      <c r="D3926">
        <v>36800</v>
      </c>
      <c r="F3926">
        <v>1</v>
      </c>
      <c r="G3926" t="s">
        <v>74</v>
      </c>
      <c r="H3926" t="s">
        <v>75</v>
      </c>
      <c r="I3926" t="s">
        <v>60</v>
      </c>
      <c r="J3926" t="s">
        <v>61</v>
      </c>
      <c r="L3926" t="s">
        <v>88</v>
      </c>
    </row>
    <row r="3927" spans="1:13">
      <c r="A3927">
        <v>45988</v>
      </c>
      <c r="B3927" t="s">
        <v>3501</v>
      </c>
      <c r="D3927">
        <v>500</v>
      </c>
      <c r="F3927">
        <v>1</v>
      </c>
      <c r="G3927" t="s">
        <v>22</v>
      </c>
      <c r="H3927" t="s">
        <v>21</v>
      </c>
      <c r="I3927" t="s">
        <v>60</v>
      </c>
      <c r="J3927" t="s">
        <v>61</v>
      </c>
      <c r="L3927" t="s">
        <v>89</v>
      </c>
    </row>
    <row r="3928" spans="1:13">
      <c r="A3928">
        <v>45988</v>
      </c>
      <c r="B3928" t="s">
        <v>3502</v>
      </c>
      <c r="F3928">
        <v>1</v>
      </c>
      <c r="G3928" t="s">
        <v>64</v>
      </c>
      <c r="L3928" t="s">
        <v>89</v>
      </c>
      <c r="M3928" t="s">
        <v>96</v>
      </c>
    </row>
    <row r="3929" spans="1:13">
      <c r="A3929">
        <v>45988</v>
      </c>
      <c r="B3929" t="s">
        <v>3503</v>
      </c>
      <c r="D3929">
        <v>500</v>
      </c>
      <c r="F3929">
        <v>1</v>
      </c>
      <c r="G3929" t="s">
        <v>22</v>
      </c>
      <c r="H3929" t="s">
        <v>21</v>
      </c>
      <c r="I3929" t="s">
        <v>60</v>
      </c>
      <c r="J3929" t="s">
        <v>61</v>
      </c>
      <c r="L3929" t="s">
        <v>82</v>
      </c>
    </row>
    <row r="3930" spans="1:13">
      <c r="A3930">
        <v>45988</v>
      </c>
      <c r="B3930" t="s">
        <v>3504</v>
      </c>
      <c r="F3930">
        <v>2</v>
      </c>
      <c r="G3930" t="s">
        <v>79</v>
      </c>
      <c r="H3930" t="s">
        <v>21</v>
      </c>
      <c r="L3930" t="s">
        <v>89</v>
      </c>
      <c r="M3930" t="s">
        <v>327</v>
      </c>
    </row>
    <row r="3931" spans="1:13">
      <c r="A3931">
        <v>45988</v>
      </c>
      <c r="B3931" t="s">
        <v>3504</v>
      </c>
      <c r="F3931">
        <v>1</v>
      </c>
      <c r="G3931" t="s">
        <v>64</v>
      </c>
      <c r="L3931" t="s">
        <v>89</v>
      </c>
      <c r="M3931" t="s">
        <v>96</v>
      </c>
    </row>
    <row r="3932" spans="1:13">
      <c r="A3932">
        <v>45988</v>
      </c>
      <c r="B3932" t="s">
        <v>3505</v>
      </c>
      <c r="F3932">
        <v>1</v>
      </c>
      <c r="G3932" t="s">
        <v>64</v>
      </c>
      <c r="L3932" t="s">
        <v>89</v>
      </c>
      <c r="M3932" t="s">
        <v>96</v>
      </c>
    </row>
    <row r="3933" spans="1:13">
      <c r="A3933">
        <v>45988</v>
      </c>
      <c r="B3933" t="s">
        <v>3506</v>
      </c>
      <c r="F3933">
        <v>1</v>
      </c>
      <c r="G3933" t="s">
        <v>79</v>
      </c>
      <c r="H3933" t="s">
        <v>21</v>
      </c>
      <c r="L3933" t="s">
        <v>82</v>
      </c>
      <c r="M3933" t="s">
        <v>3507</v>
      </c>
    </row>
    <row r="3934" spans="1:13">
      <c r="A3934">
        <v>45988</v>
      </c>
      <c r="B3934" t="s">
        <v>3508</v>
      </c>
      <c r="F3934">
        <v>1</v>
      </c>
      <c r="G3934" t="s">
        <v>64</v>
      </c>
      <c r="L3934" t="s">
        <v>89</v>
      </c>
      <c r="M3934" t="s">
        <v>3509</v>
      </c>
    </row>
    <row r="3935" spans="1:13">
      <c r="A3935">
        <v>45988</v>
      </c>
      <c r="B3935" t="s">
        <v>63</v>
      </c>
      <c r="D3935">
        <v>40000</v>
      </c>
      <c r="F3935">
        <v>4</v>
      </c>
      <c r="G3935" t="s">
        <v>70</v>
      </c>
      <c r="I3935" t="s">
        <v>71</v>
      </c>
      <c r="J3935" t="s">
        <v>72</v>
      </c>
      <c r="K3935" t="s">
        <v>3510</v>
      </c>
      <c r="L3935" t="s">
        <v>62</v>
      </c>
      <c r="M3935" t="s">
        <v>90</v>
      </c>
    </row>
    <row r="3936" spans="1:13">
      <c r="A3936">
        <v>45988</v>
      </c>
      <c r="B3936" t="s">
        <v>63</v>
      </c>
      <c r="D3936">
        <v>27500</v>
      </c>
      <c r="G3936" t="s">
        <v>70</v>
      </c>
      <c r="I3936" t="s">
        <v>60</v>
      </c>
      <c r="J3936" t="s">
        <v>61</v>
      </c>
      <c r="L3936" t="s">
        <v>62</v>
      </c>
    </row>
    <row r="3937" spans="1:13">
      <c r="A3937">
        <v>45988</v>
      </c>
      <c r="B3937" t="s">
        <v>3511</v>
      </c>
      <c r="F3937">
        <v>1</v>
      </c>
      <c r="G3937" t="s">
        <v>64</v>
      </c>
      <c r="L3937" t="s">
        <v>82</v>
      </c>
      <c r="M3937" t="s">
        <v>96</v>
      </c>
    </row>
    <row r="3938" spans="1:13">
      <c r="A3938">
        <v>45988</v>
      </c>
      <c r="B3938" t="s">
        <v>3512</v>
      </c>
      <c r="F3938">
        <v>1</v>
      </c>
      <c r="G3938" t="s">
        <v>64</v>
      </c>
      <c r="L3938" t="s">
        <v>82</v>
      </c>
      <c r="M3938" t="s">
        <v>96</v>
      </c>
    </row>
    <row r="3939" spans="1:13">
      <c r="A3939">
        <v>45988</v>
      </c>
      <c r="B3939" t="s">
        <v>3513</v>
      </c>
      <c r="F3939">
        <v>1</v>
      </c>
      <c r="G3939" t="s">
        <v>64</v>
      </c>
      <c r="L3939" t="s">
        <v>82</v>
      </c>
      <c r="M3939" t="s">
        <v>96</v>
      </c>
    </row>
    <row r="3940" spans="1:13">
      <c r="A3940">
        <v>45988</v>
      </c>
      <c r="B3940" t="s">
        <v>3514</v>
      </c>
      <c r="F3940">
        <v>1</v>
      </c>
      <c r="G3940" t="s">
        <v>2490</v>
      </c>
      <c r="L3940" t="s">
        <v>82</v>
      </c>
      <c r="M3940" t="s">
        <v>2993</v>
      </c>
    </row>
    <row r="3941" spans="1:13">
      <c r="A3941">
        <v>45988</v>
      </c>
      <c r="B3941" t="s">
        <v>63</v>
      </c>
      <c r="D3941">
        <v>18000</v>
      </c>
      <c r="F3941">
        <v>2</v>
      </c>
      <c r="G3941" t="s">
        <v>70</v>
      </c>
      <c r="I3941" t="s">
        <v>71</v>
      </c>
      <c r="J3941" t="s">
        <v>72</v>
      </c>
      <c r="K3941" t="s">
        <v>3515</v>
      </c>
      <c r="L3941" t="s">
        <v>62</v>
      </c>
      <c r="M3941" t="s">
        <v>90</v>
      </c>
    </row>
    <row r="3942" spans="1:13">
      <c r="A3942">
        <v>45988</v>
      </c>
      <c r="B3942" t="s">
        <v>63</v>
      </c>
      <c r="E3942">
        <v>1000</v>
      </c>
      <c r="F3942">
        <v>1</v>
      </c>
      <c r="G3942" t="s">
        <v>65</v>
      </c>
      <c r="H3942" t="s">
        <v>66</v>
      </c>
      <c r="I3942" t="s">
        <v>60</v>
      </c>
      <c r="J3942" t="s">
        <v>61</v>
      </c>
      <c r="L3942" t="s">
        <v>62</v>
      </c>
      <c r="M3942" t="s">
        <v>3280</v>
      </c>
    </row>
    <row r="3943" spans="1:13">
      <c r="A3943">
        <v>45989</v>
      </c>
      <c r="B3943" t="s">
        <v>81</v>
      </c>
      <c r="D3943">
        <v>5000</v>
      </c>
      <c r="F3943">
        <v>1</v>
      </c>
      <c r="G3943" t="s">
        <v>74</v>
      </c>
      <c r="H3943" t="s">
        <v>75</v>
      </c>
      <c r="I3943" t="s">
        <v>60</v>
      </c>
      <c r="J3943" t="s">
        <v>61</v>
      </c>
      <c r="L3943" t="s">
        <v>88</v>
      </c>
    </row>
    <row r="3944" spans="1:13">
      <c r="A3944">
        <v>45989</v>
      </c>
      <c r="B3944" t="s">
        <v>63</v>
      </c>
      <c r="D3944">
        <v>100</v>
      </c>
      <c r="F3944">
        <v>1</v>
      </c>
      <c r="G3944" t="s">
        <v>22</v>
      </c>
      <c r="H3944" t="s">
        <v>93</v>
      </c>
      <c r="I3944" t="s">
        <v>60</v>
      </c>
      <c r="J3944" t="s">
        <v>61</v>
      </c>
      <c r="L3944" t="s">
        <v>62</v>
      </c>
    </row>
    <row r="3945" spans="1:13">
      <c r="A3945">
        <v>45989</v>
      </c>
      <c r="B3945" t="s">
        <v>63</v>
      </c>
      <c r="D3945">
        <v>31500</v>
      </c>
      <c r="F3945">
        <v>2</v>
      </c>
      <c r="G3945" t="s">
        <v>70</v>
      </c>
      <c r="I3945" t="s">
        <v>71</v>
      </c>
      <c r="J3945" t="s">
        <v>535</v>
      </c>
      <c r="L3945" t="s">
        <v>62</v>
      </c>
    </row>
    <row r="3946" spans="1:13">
      <c r="A3946">
        <v>45989</v>
      </c>
      <c r="B3946" t="s">
        <v>63</v>
      </c>
      <c r="D3946">
        <v>19500</v>
      </c>
      <c r="G3946" t="s">
        <v>70</v>
      </c>
      <c r="I3946" t="s">
        <v>60</v>
      </c>
      <c r="J3946" t="s">
        <v>61</v>
      </c>
      <c r="L3946" t="s">
        <v>62</v>
      </c>
    </row>
    <row r="3947" spans="1:13">
      <c r="A3947">
        <v>45989</v>
      </c>
      <c r="B3947" t="s">
        <v>3516</v>
      </c>
      <c r="D3947">
        <v>500</v>
      </c>
      <c r="F3947">
        <v>1</v>
      </c>
      <c r="G3947" t="s">
        <v>22</v>
      </c>
      <c r="H3947" t="s">
        <v>21</v>
      </c>
      <c r="I3947" t="s">
        <v>60</v>
      </c>
      <c r="J3947" t="s">
        <v>61</v>
      </c>
      <c r="L3947" t="s">
        <v>89</v>
      </c>
    </row>
    <row r="3948" spans="1:13">
      <c r="A3948">
        <v>45989</v>
      </c>
      <c r="B3948" t="s">
        <v>3517</v>
      </c>
      <c r="F3948">
        <v>1</v>
      </c>
      <c r="G3948" t="s">
        <v>0</v>
      </c>
      <c r="L3948" t="s">
        <v>82</v>
      </c>
      <c r="M3948">
        <v>43635885</v>
      </c>
    </row>
    <row r="3949" spans="1:13">
      <c r="A3949">
        <v>45989</v>
      </c>
      <c r="B3949" t="s">
        <v>3518</v>
      </c>
      <c r="D3949">
        <v>500</v>
      </c>
      <c r="F3949">
        <v>1</v>
      </c>
      <c r="G3949" t="s">
        <v>22</v>
      </c>
      <c r="H3949" t="s">
        <v>21</v>
      </c>
      <c r="I3949" t="s">
        <v>60</v>
      </c>
      <c r="J3949" t="s">
        <v>61</v>
      </c>
      <c r="L3949" t="s">
        <v>89</v>
      </c>
    </row>
    <row r="3950" spans="1:13">
      <c r="A3950">
        <v>45989</v>
      </c>
      <c r="B3950" t="s">
        <v>3519</v>
      </c>
      <c r="F3950">
        <v>1</v>
      </c>
      <c r="G3950" t="s">
        <v>64</v>
      </c>
      <c r="L3950" t="s">
        <v>89</v>
      </c>
      <c r="M3950" t="s">
        <v>96</v>
      </c>
    </row>
    <row r="3951" spans="1:13">
      <c r="A3951">
        <v>45989</v>
      </c>
      <c r="B3951" t="s">
        <v>3520</v>
      </c>
      <c r="F3951">
        <v>1</v>
      </c>
      <c r="G3951" t="s">
        <v>64</v>
      </c>
      <c r="L3951" t="s">
        <v>89</v>
      </c>
      <c r="M3951" t="s">
        <v>3096</v>
      </c>
    </row>
    <row r="3952" spans="1:13">
      <c r="A3952">
        <v>45989</v>
      </c>
      <c r="B3952" t="s">
        <v>3521</v>
      </c>
      <c r="D3952">
        <v>500</v>
      </c>
      <c r="F3952">
        <v>1</v>
      </c>
      <c r="G3952" t="s">
        <v>22</v>
      </c>
      <c r="H3952" t="s">
        <v>21</v>
      </c>
      <c r="I3952" t="s">
        <v>60</v>
      </c>
      <c r="J3952" t="s">
        <v>61</v>
      </c>
      <c r="L3952" t="s">
        <v>89</v>
      </c>
    </row>
    <row r="3953" spans="1:13">
      <c r="A3953">
        <v>45989</v>
      </c>
      <c r="B3953" t="s">
        <v>63</v>
      </c>
      <c r="E3953">
        <v>1500</v>
      </c>
      <c r="F3953">
        <v>1</v>
      </c>
      <c r="G3953" t="s">
        <v>65</v>
      </c>
      <c r="H3953" t="s">
        <v>66</v>
      </c>
      <c r="I3953" t="s">
        <v>60</v>
      </c>
      <c r="J3953" t="s">
        <v>61</v>
      </c>
      <c r="L3953" t="s">
        <v>62</v>
      </c>
      <c r="M3953" t="s">
        <v>3280</v>
      </c>
    </row>
    <row r="3954" spans="1:13">
      <c r="A3954">
        <v>45990</v>
      </c>
      <c r="B3954" t="s">
        <v>3522</v>
      </c>
      <c r="D3954">
        <v>500</v>
      </c>
      <c r="F3954">
        <v>1</v>
      </c>
      <c r="G3954" t="s">
        <v>22</v>
      </c>
      <c r="H3954" t="s">
        <v>21</v>
      </c>
      <c r="I3954" t="s">
        <v>60</v>
      </c>
      <c r="J3954" t="s">
        <v>61</v>
      </c>
      <c r="L3954" t="s">
        <v>89</v>
      </c>
    </row>
    <row r="3955" spans="1:13">
      <c r="A3955">
        <v>45990</v>
      </c>
      <c r="B3955" t="s">
        <v>3523</v>
      </c>
      <c r="D3955">
        <v>500</v>
      </c>
      <c r="F3955">
        <v>1</v>
      </c>
      <c r="G3955" t="s">
        <v>22</v>
      </c>
      <c r="H3955" t="s">
        <v>21</v>
      </c>
      <c r="I3955" t="s">
        <v>60</v>
      </c>
      <c r="J3955" t="s">
        <v>61</v>
      </c>
      <c r="L3955" t="s">
        <v>89</v>
      </c>
    </row>
    <row r="3956" spans="1:13">
      <c r="A3956">
        <v>45990</v>
      </c>
      <c r="B3956" t="s">
        <v>3523</v>
      </c>
      <c r="F3956">
        <v>1</v>
      </c>
      <c r="G3956" t="s">
        <v>64</v>
      </c>
      <c r="L3956" t="s">
        <v>89</v>
      </c>
      <c r="M3956" t="s">
        <v>3524</v>
      </c>
    </row>
    <row r="3957" spans="1:13">
      <c r="A3957">
        <v>45990</v>
      </c>
      <c r="B3957" t="s">
        <v>3525</v>
      </c>
      <c r="D3957">
        <v>500</v>
      </c>
      <c r="F3957">
        <v>1</v>
      </c>
      <c r="G3957" t="s">
        <v>22</v>
      </c>
      <c r="H3957" t="s">
        <v>21</v>
      </c>
      <c r="I3957" t="s">
        <v>60</v>
      </c>
      <c r="J3957" t="s">
        <v>61</v>
      </c>
      <c r="L3957" t="s">
        <v>89</v>
      </c>
    </row>
    <row r="3958" spans="1:13">
      <c r="A3958">
        <v>45990</v>
      </c>
      <c r="B3958" t="s">
        <v>3526</v>
      </c>
      <c r="F3958">
        <v>1</v>
      </c>
      <c r="G3958" t="s">
        <v>64</v>
      </c>
      <c r="L3958" t="s">
        <v>86</v>
      </c>
      <c r="M3958" t="s">
        <v>96</v>
      </c>
    </row>
    <row r="3959" spans="1:13">
      <c r="A3959">
        <v>45990</v>
      </c>
      <c r="B3959" t="s">
        <v>3527</v>
      </c>
      <c r="F3959">
        <v>1</v>
      </c>
      <c r="G3959" t="s">
        <v>99</v>
      </c>
      <c r="H3959" t="s">
        <v>21</v>
      </c>
      <c r="L3959" t="s">
        <v>86</v>
      </c>
      <c r="M3959" t="s">
        <v>3528</v>
      </c>
    </row>
    <row r="3960" spans="1:13">
      <c r="A3960">
        <v>45990</v>
      </c>
      <c r="B3960" t="s">
        <v>3529</v>
      </c>
      <c r="D3960">
        <v>500</v>
      </c>
      <c r="F3960">
        <v>1</v>
      </c>
      <c r="G3960" t="s">
        <v>22</v>
      </c>
      <c r="H3960" t="s">
        <v>21</v>
      </c>
      <c r="I3960" t="s">
        <v>60</v>
      </c>
      <c r="J3960" t="s">
        <v>61</v>
      </c>
      <c r="L3960" t="s">
        <v>89</v>
      </c>
    </row>
    <row r="3961" spans="1:13">
      <c r="A3961">
        <v>45990</v>
      </c>
      <c r="B3961" t="s">
        <v>2548</v>
      </c>
      <c r="F3961">
        <v>1</v>
      </c>
      <c r="G3961" t="s">
        <v>64</v>
      </c>
      <c r="L3961" t="s">
        <v>89</v>
      </c>
      <c r="M3961" t="s">
        <v>96</v>
      </c>
    </row>
    <row r="3962" spans="1:13">
      <c r="A3962">
        <v>45990</v>
      </c>
      <c r="B3962" t="s">
        <v>81</v>
      </c>
      <c r="D3962">
        <v>60000</v>
      </c>
      <c r="F3962">
        <v>1</v>
      </c>
      <c r="G3962" t="s">
        <v>74</v>
      </c>
      <c r="H3962" t="s">
        <v>75</v>
      </c>
      <c r="I3962" t="s">
        <v>60</v>
      </c>
      <c r="J3962" t="s">
        <v>61</v>
      </c>
      <c r="L3962" t="s">
        <v>88</v>
      </c>
    </row>
    <row r="3963" spans="1:13">
      <c r="A3963">
        <v>45990</v>
      </c>
      <c r="B3963" t="s">
        <v>63</v>
      </c>
      <c r="D3963">
        <v>15500</v>
      </c>
      <c r="G3963" t="s">
        <v>70</v>
      </c>
      <c r="I3963" t="s">
        <v>60</v>
      </c>
      <c r="J3963" t="s">
        <v>61</v>
      </c>
      <c r="L3963" t="s">
        <v>62</v>
      </c>
    </row>
    <row r="3964" spans="1:13">
      <c r="A3964">
        <v>45990</v>
      </c>
      <c r="B3964" t="s">
        <v>3530</v>
      </c>
      <c r="D3964">
        <v>500</v>
      </c>
      <c r="F3964">
        <v>1</v>
      </c>
      <c r="G3964" t="s">
        <v>22</v>
      </c>
      <c r="H3964" t="s">
        <v>21</v>
      </c>
      <c r="I3964" t="s">
        <v>60</v>
      </c>
      <c r="J3964" t="s">
        <v>61</v>
      </c>
      <c r="L3964" t="s">
        <v>89</v>
      </c>
    </row>
    <row r="3965" spans="1:13">
      <c r="A3965">
        <v>45990</v>
      </c>
      <c r="B3965" t="s">
        <v>3531</v>
      </c>
      <c r="F3965">
        <v>1</v>
      </c>
      <c r="G3965" t="s">
        <v>64</v>
      </c>
      <c r="L3965" t="s">
        <v>89</v>
      </c>
      <c r="M3965" t="s">
        <v>96</v>
      </c>
    </row>
    <row r="3966" spans="1:13">
      <c r="A3966">
        <v>45990</v>
      </c>
      <c r="B3966" t="s">
        <v>3532</v>
      </c>
      <c r="D3966">
        <v>500</v>
      </c>
      <c r="F3966">
        <v>1</v>
      </c>
      <c r="G3966" t="s">
        <v>22</v>
      </c>
      <c r="H3966" t="s">
        <v>21</v>
      </c>
      <c r="I3966" t="s">
        <v>60</v>
      </c>
      <c r="J3966" t="s">
        <v>61</v>
      </c>
      <c r="L3966" t="s">
        <v>86</v>
      </c>
    </row>
    <row r="3967" spans="1:13">
      <c r="A3967">
        <v>45990</v>
      </c>
      <c r="B3967" t="s">
        <v>63</v>
      </c>
      <c r="D3967">
        <v>16500</v>
      </c>
      <c r="F3967">
        <v>2</v>
      </c>
      <c r="G3967" t="s">
        <v>70</v>
      </c>
      <c r="I3967" t="s">
        <v>71</v>
      </c>
      <c r="J3967" t="s">
        <v>72</v>
      </c>
      <c r="K3967" t="s">
        <v>3533</v>
      </c>
      <c r="L3967" t="s">
        <v>62</v>
      </c>
      <c r="M3967" t="s">
        <v>90</v>
      </c>
    </row>
    <row r="3968" spans="1:13">
      <c r="A3968">
        <v>45990</v>
      </c>
      <c r="B3968" t="s">
        <v>2274</v>
      </c>
      <c r="D3968">
        <v>500</v>
      </c>
      <c r="F3968">
        <v>1</v>
      </c>
      <c r="G3968" t="s">
        <v>22</v>
      </c>
      <c r="H3968" t="s">
        <v>21</v>
      </c>
      <c r="I3968" t="s">
        <v>60</v>
      </c>
      <c r="J3968" t="s">
        <v>61</v>
      </c>
      <c r="L3968" t="s">
        <v>86</v>
      </c>
    </row>
    <row r="3969" spans="1:13">
      <c r="A3969">
        <v>45990</v>
      </c>
      <c r="B3969" t="s">
        <v>3534</v>
      </c>
      <c r="D3969">
        <v>500</v>
      </c>
      <c r="F3969">
        <v>1</v>
      </c>
      <c r="G3969" t="s">
        <v>22</v>
      </c>
      <c r="H3969" t="s">
        <v>21</v>
      </c>
      <c r="I3969" t="s">
        <v>60</v>
      </c>
      <c r="J3969" t="s">
        <v>61</v>
      </c>
      <c r="L3969" t="s">
        <v>86</v>
      </c>
    </row>
    <row r="3970" spans="1:13">
      <c r="A3970">
        <v>45990</v>
      </c>
      <c r="B3970" t="s">
        <v>63</v>
      </c>
      <c r="E3970">
        <v>4000</v>
      </c>
      <c r="F3970">
        <v>1</v>
      </c>
      <c r="G3970" t="s">
        <v>65</v>
      </c>
      <c r="H3970" t="s">
        <v>66</v>
      </c>
      <c r="I3970" t="s">
        <v>60</v>
      </c>
      <c r="J3970" t="s">
        <v>61</v>
      </c>
      <c r="L3970" t="s">
        <v>62</v>
      </c>
      <c r="M3970" t="s">
        <v>3280</v>
      </c>
    </row>
    <row r="3971" spans="1:13">
      <c r="A3971">
        <v>45991</v>
      </c>
      <c r="B3971" t="s">
        <v>3535</v>
      </c>
      <c r="F3971">
        <v>1</v>
      </c>
      <c r="G3971" t="s">
        <v>64</v>
      </c>
      <c r="L3971" t="s">
        <v>82</v>
      </c>
      <c r="M3971" t="s">
        <v>3536</v>
      </c>
    </row>
    <row r="3972" spans="1:13">
      <c r="A3972">
        <v>45991</v>
      </c>
      <c r="B3972" t="s">
        <v>3537</v>
      </c>
      <c r="F3972">
        <v>1</v>
      </c>
      <c r="G3972" t="s">
        <v>64</v>
      </c>
      <c r="L3972" t="s">
        <v>82</v>
      </c>
      <c r="M3972" t="s">
        <v>3536</v>
      </c>
    </row>
    <row r="3973" spans="1:13">
      <c r="A3973">
        <v>45991</v>
      </c>
      <c r="B3973" t="s">
        <v>3538</v>
      </c>
      <c r="F3973">
        <v>1</v>
      </c>
      <c r="G3973" t="s">
        <v>64</v>
      </c>
      <c r="L3973" t="s">
        <v>82</v>
      </c>
      <c r="M3973" t="s">
        <v>3539</v>
      </c>
    </row>
    <row r="3974" spans="1:13">
      <c r="A3974">
        <v>45991</v>
      </c>
      <c r="B3974" t="s">
        <v>63</v>
      </c>
      <c r="D3974">
        <v>30500</v>
      </c>
      <c r="G3974" t="s">
        <v>70</v>
      </c>
      <c r="I3974" t="s">
        <v>60</v>
      </c>
      <c r="J3974" t="s">
        <v>61</v>
      </c>
      <c r="L3974" t="s">
        <v>62</v>
      </c>
    </row>
    <row r="3975" spans="1:13">
      <c r="A3975">
        <v>45991</v>
      </c>
      <c r="B3975" t="s">
        <v>3540</v>
      </c>
      <c r="F3975">
        <v>1</v>
      </c>
      <c r="G3975" t="s">
        <v>64</v>
      </c>
      <c r="L3975" t="s">
        <v>86</v>
      </c>
      <c r="M3975" t="s">
        <v>96</v>
      </c>
    </row>
    <row r="3976" spans="1:13">
      <c r="A3976">
        <v>45991</v>
      </c>
      <c r="B3976" t="s">
        <v>3541</v>
      </c>
      <c r="D3976">
        <v>500</v>
      </c>
      <c r="F3976">
        <v>1</v>
      </c>
      <c r="G3976" t="s">
        <v>22</v>
      </c>
      <c r="H3976" t="s">
        <v>21</v>
      </c>
      <c r="I3976" t="s">
        <v>60</v>
      </c>
      <c r="J3976" t="s">
        <v>61</v>
      </c>
      <c r="L3976" t="s">
        <v>86</v>
      </c>
    </row>
    <row r="3977" spans="1:13">
      <c r="A3977">
        <v>45991</v>
      </c>
      <c r="B3977" t="s">
        <v>3542</v>
      </c>
      <c r="F3977">
        <v>1</v>
      </c>
      <c r="G3977" t="s">
        <v>590</v>
      </c>
      <c r="H3977" t="s">
        <v>21</v>
      </c>
      <c r="L3977" t="s">
        <v>82</v>
      </c>
      <c r="M3977" t="s">
        <v>3543</v>
      </c>
    </row>
    <row r="3978" spans="1:13">
      <c r="A3978">
        <v>45991</v>
      </c>
      <c r="B3978" t="s">
        <v>3544</v>
      </c>
      <c r="F3978">
        <v>1</v>
      </c>
      <c r="G3978" t="s">
        <v>79</v>
      </c>
      <c r="H3978" t="s">
        <v>21</v>
      </c>
      <c r="L3978" t="s">
        <v>82</v>
      </c>
      <c r="M3978" t="s">
        <v>327</v>
      </c>
    </row>
    <row r="3979" spans="1:13">
      <c r="A3979">
        <v>45991</v>
      </c>
      <c r="B3979" t="s">
        <v>3545</v>
      </c>
      <c r="F3979">
        <v>1</v>
      </c>
      <c r="G3979" t="s">
        <v>2490</v>
      </c>
      <c r="L3979" t="s">
        <v>82</v>
      </c>
      <c r="M3979" t="s">
        <v>2993</v>
      </c>
    </row>
    <row r="3980" spans="1:13">
      <c r="A3980">
        <v>45991</v>
      </c>
      <c r="B3980" t="s">
        <v>3546</v>
      </c>
      <c r="F3980">
        <v>1</v>
      </c>
      <c r="G3980" t="s">
        <v>79</v>
      </c>
      <c r="H3980" t="s">
        <v>21</v>
      </c>
      <c r="L3980" t="s">
        <v>82</v>
      </c>
      <c r="M3980" t="s">
        <v>327</v>
      </c>
    </row>
    <row r="3981" spans="1:13">
      <c r="A3981">
        <v>45991</v>
      </c>
      <c r="B3981" t="s">
        <v>3547</v>
      </c>
      <c r="D3981">
        <v>500</v>
      </c>
      <c r="F3981">
        <v>1</v>
      </c>
      <c r="G3981" t="s">
        <v>22</v>
      </c>
      <c r="H3981" t="s">
        <v>21</v>
      </c>
      <c r="I3981" t="s">
        <v>60</v>
      </c>
      <c r="J3981" t="s">
        <v>61</v>
      </c>
      <c r="L3981" t="s">
        <v>82</v>
      </c>
    </row>
    <row r="3982" spans="1:13">
      <c r="A3982">
        <v>45991</v>
      </c>
      <c r="B3982" t="s">
        <v>63</v>
      </c>
      <c r="E3982">
        <v>1000</v>
      </c>
      <c r="F3982">
        <v>1</v>
      </c>
      <c r="G3982" t="s">
        <v>65</v>
      </c>
      <c r="H3982" t="s">
        <v>66</v>
      </c>
      <c r="I3982" t="s">
        <v>60</v>
      </c>
      <c r="J3982" t="s">
        <v>61</v>
      </c>
      <c r="L3982" t="s">
        <v>62</v>
      </c>
      <c r="M3982" t="s">
        <v>3280</v>
      </c>
    </row>
    <row r="3983" spans="1:13">
      <c r="A3983">
        <v>45992</v>
      </c>
      <c r="B3983" t="s">
        <v>81</v>
      </c>
      <c r="D3983">
        <v>412800</v>
      </c>
      <c r="F3983">
        <v>1</v>
      </c>
      <c r="G3983" t="s">
        <v>74</v>
      </c>
      <c r="H3983" t="s">
        <v>75</v>
      </c>
      <c r="I3983" t="s">
        <v>60</v>
      </c>
      <c r="J3983" t="s">
        <v>61</v>
      </c>
      <c r="L3983" t="s">
        <v>88</v>
      </c>
    </row>
    <row r="3984" spans="1:13">
      <c r="A3984">
        <v>45992</v>
      </c>
      <c r="B3984" t="s">
        <v>102</v>
      </c>
      <c r="C3984" t="s">
        <v>3548</v>
      </c>
      <c r="F3984">
        <v>44</v>
      </c>
      <c r="G3984" t="s">
        <v>22</v>
      </c>
      <c r="H3984" t="s">
        <v>21</v>
      </c>
      <c r="L3984" t="s">
        <v>95</v>
      </c>
    </row>
    <row r="3985" spans="1:13">
      <c r="A3985">
        <v>45992</v>
      </c>
      <c r="B3985" t="s">
        <v>2482</v>
      </c>
      <c r="D3985">
        <v>500</v>
      </c>
      <c r="F3985">
        <v>1</v>
      </c>
      <c r="G3985" t="s">
        <v>22</v>
      </c>
      <c r="H3985" t="s">
        <v>21</v>
      </c>
      <c r="I3985" t="s">
        <v>60</v>
      </c>
      <c r="J3985" t="s">
        <v>61</v>
      </c>
      <c r="L3985" t="s">
        <v>89</v>
      </c>
    </row>
    <row r="3986" spans="1:13">
      <c r="A3986">
        <v>45992</v>
      </c>
      <c r="B3986" t="s">
        <v>3549</v>
      </c>
      <c r="D3986">
        <v>500</v>
      </c>
      <c r="F3986">
        <v>1</v>
      </c>
      <c r="G3986" t="s">
        <v>22</v>
      </c>
      <c r="H3986" t="s">
        <v>21</v>
      </c>
      <c r="I3986" t="s">
        <v>60</v>
      </c>
      <c r="J3986" t="s">
        <v>61</v>
      </c>
      <c r="L3986" t="s">
        <v>89</v>
      </c>
    </row>
    <row r="3987" spans="1:13">
      <c r="A3987">
        <v>45992</v>
      </c>
      <c r="B3987" t="s">
        <v>3550</v>
      </c>
      <c r="F3987">
        <v>1</v>
      </c>
      <c r="G3987" t="s">
        <v>79</v>
      </c>
      <c r="H3987" t="s">
        <v>21</v>
      </c>
      <c r="L3987" t="s">
        <v>89</v>
      </c>
      <c r="M3987" t="s">
        <v>327</v>
      </c>
    </row>
    <row r="3988" spans="1:13">
      <c r="A3988">
        <v>45992</v>
      </c>
      <c r="B3988" t="s">
        <v>63</v>
      </c>
      <c r="D3988">
        <v>6500</v>
      </c>
      <c r="G3988" t="s">
        <v>70</v>
      </c>
      <c r="I3988" t="s">
        <v>60</v>
      </c>
      <c r="J3988" t="s">
        <v>61</v>
      </c>
      <c r="L3988" t="s">
        <v>62</v>
      </c>
    </row>
    <row r="3989" spans="1:13">
      <c r="A3989">
        <v>45992</v>
      </c>
      <c r="B3989" t="s">
        <v>3551</v>
      </c>
      <c r="D3989">
        <v>500</v>
      </c>
      <c r="F3989">
        <v>1</v>
      </c>
      <c r="G3989" t="s">
        <v>22</v>
      </c>
      <c r="H3989" t="s">
        <v>21</v>
      </c>
      <c r="I3989" t="s">
        <v>60</v>
      </c>
      <c r="J3989" t="s">
        <v>61</v>
      </c>
      <c r="L3989" t="s">
        <v>82</v>
      </c>
    </row>
    <row r="3990" spans="1:13">
      <c r="A3990">
        <v>45992</v>
      </c>
      <c r="B3990" t="s">
        <v>3552</v>
      </c>
      <c r="D3990">
        <v>500</v>
      </c>
      <c r="F3990">
        <v>1</v>
      </c>
      <c r="G3990" t="s">
        <v>22</v>
      </c>
      <c r="H3990" t="s">
        <v>21</v>
      </c>
      <c r="I3990" t="s">
        <v>60</v>
      </c>
      <c r="J3990" t="s">
        <v>61</v>
      </c>
      <c r="L3990" t="s">
        <v>82</v>
      </c>
    </row>
    <row r="3991" spans="1:13">
      <c r="A3991">
        <v>45992</v>
      </c>
      <c r="B3991" t="s">
        <v>3553</v>
      </c>
      <c r="F3991">
        <v>1</v>
      </c>
      <c r="G3991" t="s">
        <v>79</v>
      </c>
      <c r="H3991" t="s">
        <v>21</v>
      </c>
      <c r="L3991" t="s">
        <v>89</v>
      </c>
      <c r="M3991" t="s">
        <v>327</v>
      </c>
    </row>
    <row r="3992" spans="1:13">
      <c r="A3992">
        <v>45992</v>
      </c>
      <c r="B3992" t="s">
        <v>3554</v>
      </c>
      <c r="D3992">
        <v>500</v>
      </c>
      <c r="F3992">
        <v>1</v>
      </c>
      <c r="G3992" t="s">
        <v>22</v>
      </c>
      <c r="H3992" t="s">
        <v>21</v>
      </c>
      <c r="I3992" t="s">
        <v>60</v>
      </c>
      <c r="J3992" t="s">
        <v>61</v>
      </c>
      <c r="L3992" t="s">
        <v>82</v>
      </c>
    </row>
    <row r="3993" spans="1:13">
      <c r="A3993">
        <v>45992</v>
      </c>
      <c r="B3993" t="s">
        <v>3555</v>
      </c>
      <c r="D3993">
        <v>500</v>
      </c>
      <c r="F3993">
        <v>1</v>
      </c>
      <c r="G3993" t="s">
        <v>22</v>
      </c>
      <c r="H3993" t="s">
        <v>21</v>
      </c>
      <c r="I3993" t="s">
        <v>60</v>
      </c>
      <c r="J3993" t="s">
        <v>61</v>
      </c>
      <c r="L3993" t="s">
        <v>82</v>
      </c>
    </row>
    <row r="3994" spans="1:13">
      <c r="A3994">
        <v>45992</v>
      </c>
      <c r="B3994" t="s">
        <v>3556</v>
      </c>
      <c r="D3994">
        <v>500</v>
      </c>
      <c r="F3994">
        <v>1</v>
      </c>
      <c r="G3994" t="s">
        <v>22</v>
      </c>
      <c r="H3994" t="s">
        <v>21</v>
      </c>
      <c r="I3994" t="s">
        <v>60</v>
      </c>
      <c r="J3994" t="s">
        <v>61</v>
      </c>
      <c r="L3994" t="s">
        <v>82</v>
      </c>
    </row>
    <row r="3995" spans="1:13">
      <c r="A3995">
        <v>45992</v>
      </c>
      <c r="B3995" t="s">
        <v>3557</v>
      </c>
      <c r="F3995">
        <v>1</v>
      </c>
      <c r="G3995" t="s">
        <v>79</v>
      </c>
      <c r="H3995" t="s">
        <v>21</v>
      </c>
      <c r="L3995" t="s">
        <v>82</v>
      </c>
      <c r="M3995" t="s">
        <v>327</v>
      </c>
    </row>
    <row r="3996" spans="1:13">
      <c r="A3996">
        <v>45992</v>
      </c>
      <c r="B3996" t="s">
        <v>3557</v>
      </c>
      <c r="F3996">
        <v>1</v>
      </c>
      <c r="G3996" t="s">
        <v>64</v>
      </c>
      <c r="L3996" t="s">
        <v>82</v>
      </c>
      <c r="M3996" t="s">
        <v>3558</v>
      </c>
    </row>
    <row r="3997" spans="1:13">
      <c r="A3997">
        <v>45992</v>
      </c>
      <c r="B3997" t="s">
        <v>76</v>
      </c>
      <c r="D3997">
        <v>24000</v>
      </c>
      <c r="G3997" t="s">
        <v>77</v>
      </c>
      <c r="I3997" t="s">
        <v>60</v>
      </c>
      <c r="J3997" t="s">
        <v>61</v>
      </c>
      <c r="L3997" t="s">
        <v>62</v>
      </c>
    </row>
    <row r="3998" spans="1:13">
      <c r="A3998">
        <v>45992</v>
      </c>
      <c r="B3998" t="s">
        <v>559</v>
      </c>
      <c r="E3998">
        <v>7000</v>
      </c>
      <c r="F3998">
        <v>1</v>
      </c>
      <c r="G3998" t="s">
        <v>65</v>
      </c>
      <c r="H3998" t="s">
        <v>560</v>
      </c>
      <c r="I3998" t="s">
        <v>60</v>
      </c>
      <c r="J3998" t="s">
        <v>61</v>
      </c>
      <c r="L3998" t="s">
        <v>62</v>
      </c>
      <c r="M3998" t="s">
        <v>3559</v>
      </c>
    </row>
    <row r="3999" spans="1:13">
      <c r="A3999">
        <v>45992</v>
      </c>
      <c r="B3999" t="s">
        <v>63</v>
      </c>
      <c r="D3999">
        <v>8000</v>
      </c>
      <c r="F3999">
        <v>1</v>
      </c>
      <c r="G3999" t="s">
        <v>70</v>
      </c>
      <c r="I3999" t="s">
        <v>71</v>
      </c>
      <c r="J3999" t="s">
        <v>72</v>
      </c>
      <c r="K3999" t="s">
        <v>3560</v>
      </c>
      <c r="L3999" t="s">
        <v>62</v>
      </c>
      <c r="M3999" t="s">
        <v>90</v>
      </c>
    </row>
    <row r="4000" spans="1:13">
      <c r="A4000">
        <v>45992</v>
      </c>
      <c r="B4000" t="s">
        <v>3561</v>
      </c>
      <c r="D4000">
        <v>500</v>
      </c>
      <c r="F4000">
        <v>1</v>
      </c>
      <c r="G4000" t="s">
        <v>22</v>
      </c>
      <c r="H4000" t="s">
        <v>21</v>
      </c>
      <c r="I4000" t="s">
        <v>60</v>
      </c>
      <c r="J4000" t="s">
        <v>61</v>
      </c>
      <c r="L4000" t="s">
        <v>82</v>
      </c>
    </row>
    <row r="4001" spans="1:13">
      <c r="A4001">
        <v>45992</v>
      </c>
      <c r="B4001" t="s">
        <v>3562</v>
      </c>
      <c r="D4001">
        <v>500</v>
      </c>
      <c r="F4001">
        <v>1</v>
      </c>
      <c r="G4001" t="s">
        <v>22</v>
      </c>
      <c r="H4001" t="s">
        <v>21</v>
      </c>
      <c r="I4001" t="s">
        <v>60</v>
      </c>
      <c r="J4001" t="s">
        <v>61</v>
      </c>
      <c r="L4001" t="s">
        <v>82</v>
      </c>
    </row>
    <row r="4002" spans="1:13">
      <c r="A4002">
        <v>45992</v>
      </c>
      <c r="B4002" t="s">
        <v>3563</v>
      </c>
      <c r="D4002">
        <v>500</v>
      </c>
      <c r="F4002">
        <v>1</v>
      </c>
      <c r="G4002" t="s">
        <v>22</v>
      </c>
      <c r="H4002" t="s">
        <v>21</v>
      </c>
      <c r="I4002" t="s">
        <v>60</v>
      </c>
      <c r="J4002" t="s">
        <v>61</v>
      </c>
      <c r="L4002" t="s">
        <v>82</v>
      </c>
    </row>
    <row r="4003" spans="1:13">
      <c r="A4003">
        <v>45992</v>
      </c>
      <c r="B4003" t="s">
        <v>63</v>
      </c>
      <c r="E4003">
        <v>5000</v>
      </c>
      <c r="F4003">
        <v>1</v>
      </c>
      <c r="G4003" t="s">
        <v>65</v>
      </c>
      <c r="H4003" t="s">
        <v>66</v>
      </c>
      <c r="I4003" t="s">
        <v>60</v>
      </c>
      <c r="J4003" t="s">
        <v>61</v>
      </c>
      <c r="L4003" t="s">
        <v>62</v>
      </c>
      <c r="M4003" t="s">
        <v>3280</v>
      </c>
    </row>
    <row r="4004" spans="1:13">
      <c r="A4004">
        <v>45993</v>
      </c>
      <c r="B4004" t="s">
        <v>81</v>
      </c>
      <c r="D4004">
        <v>115000</v>
      </c>
      <c r="F4004">
        <v>1</v>
      </c>
      <c r="G4004" t="s">
        <v>74</v>
      </c>
      <c r="H4004" t="s">
        <v>75</v>
      </c>
      <c r="I4004" t="s">
        <v>60</v>
      </c>
      <c r="J4004" t="s">
        <v>61</v>
      </c>
      <c r="L4004" t="s">
        <v>88</v>
      </c>
    </row>
    <row r="4005" spans="1:13">
      <c r="A4005">
        <v>45993</v>
      </c>
      <c r="B4005" t="s">
        <v>3564</v>
      </c>
      <c r="F4005">
        <v>1</v>
      </c>
      <c r="G4005" t="s">
        <v>79</v>
      </c>
      <c r="H4005" t="s">
        <v>21</v>
      </c>
      <c r="L4005" t="s">
        <v>82</v>
      </c>
      <c r="M4005" t="s">
        <v>327</v>
      </c>
    </row>
    <row r="4006" spans="1:13">
      <c r="A4006">
        <v>45993</v>
      </c>
      <c r="B4006" t="s">
        <v>63</v>
      </c>
      <c r="D4006">
        <v>101000</v>
      </c>
      <c r="G4006" t="s">
        <v>70</v>
      </c>
      <c r="I4006" t="s">
        <v>60</v>
      </c>
      <c r="J4006" t="s">
        <v>61</v>
      </c>
      <c r="L4006" t="s">
        <v>62</v>
      </c>
    </row>
    <row r="4007" spans="1:13">
      <c r="A4007">
        <v>45993</v>
      </c>
      <c r="B4007" t="s">
        <v>3565</v>
      </c>
      <c r="D4007">
        <v>500</v>
      </c>
      <c r="F4007">
        <v>1</v>
      </c>
      <c r="G4007" t="s">
        <v>22</v>
      </c>
      <c r="H4007" t="s">
        <v>21</v>
      </c>
      <c r="I4007" t="s">
        <v>60</v>
      </c>
      <c r="J4007" t="s">
        <v>61</v>
      </c>
      <c r="L4007" t="s">
        <v>82</v>
      </c>
    </row>
    <row r="4008" spans="1:13">
      <c r="A4008">
        <v>45993</v>
      </c>
      <c r="B4008" t="s">
        <v>3566</v>
      </c>
      <c r="D4008">
        <v>500</v>
      </c>
      <c r="F4008">
        <v>1</v>
      </c>
      <c r="G4008" t="s">
        <v>22</v>
      </c>
      <c r="H4008" t="s">
        <v>21</v>
      </c>
      <c r="I4008" t="s">
        <v>60</v>
      </c>
      <c r="J4008" t="s">
        <v>61</v>
      </c>
      <c r="L4008" t="s">
        <v>82</v>
      </c>
    </row>
    <row r="4009" spans="1:13">
      <c r="A4009">
        <v>45993</v>
      </c>
      <c r="B4009" t="s">
        <v>2844</v>
      </c>
      <c r="D4009">
        <v>500</v>
      </c>
      <c r="F4009">
        <v>1</v>
      </c>
      <c r="G4009" t="s">
        <v>22</v>
      </c>
      <c r="H4009" t="s">
        <v>21</v>
      </c>
      <c r="I4009" t="s">
        <v>60</v>
      </c>
      <c r="J4009" t="s">
        <v>61</v>
      </c>
      <c r="L4009" t="s">
        <v>82</v>
      </c>
    </row>
    <row r="4010" spans="1:13">
      <c r="A4010">
        <v>45993</v>
      </c>
      <c r="B4010" t="s">
        <v>3567</v>
      </c>
      <c r="D4010">
        <v>500</v>
      </c>
      <c r="F4010">
        <v>1</v>
      </c>
      <c r="G4010" t="s">
        <v>22</v>
      </c>
      <c r="H4010" t="s">
        <v>21</v>
      </c>
      <c r="I4010" t="s">
        <v>60</v>
      </c>
      <c r="J4010" t="s">
        <v>61</v>
      </c>
      <c r="L4010" t="s">
        <v>82</v>
      </c>
    </row>
    <row r="4011" spans="1:13">
      <c r="A4011">
        <v>45993</v>
      </c>
      <c r="B4011" t="s">
        <v>3568</v>
      </c>
      <c r="F4011">
        <v>1</v>
      </c>
      <c r="G4011" t="s">
        <v>64</v>
      </c>
      <c r="L4011" t="s">
        <v>82</v>
      </c>
      <c r="M4011" t="s">
        <v>96</v>
      </c>
    </row>
    <row r="4012" spans="1:13">
      <c r="A4012">
        <v>45993</v>
      </c>
      <c r="B4012" t="s">
        <v>63</v>
      </c>
      <c r="D4012">
        <v>8000</v>
      </c>
      <c r="F4012">
        <v>1</v>
      </c>
      <c r="G4012" t="s">
        <v>70</v>
      </c>
      <c r="I4012" t="s">
        <v>71</v>
      </c>
      <c r="J4012" t="s">
        <v>535</v>
      </c>
      <c r="K4012" t="s">
        <v>3569</v>
      </c>
      <c r="L4012" t="s">
        <v>62</v>
      </c>
      <c r="M4012" t="s">
        <v>3437</v>
      </c>
    </row>
    <row r="4013" spans="1:13">
      <c r="A4013">
        <v>45993</v>
      </c>
      <c r="B4013" t="s">
        <v>3570</v>
      </c>
      <c r="F4013">
        <v>1</v>
      </c>
      <c r="G4013" t="s">
        <v>319</v>
      </c>
      <c r="H4013" t="s">
        <v>21</v>
      </c>
      <c r="L4013" t="s">
        <v>89</v>
      </c>
      <c r="M4013" t="s">
        <v>3571</v>
      </c>
    </row>
    <row r="4014" spans="1:13">
      <c r="A4014">
        <v>45993</v>
      </c>
      <c r="B4014" t="s">
        <v>3572</v>
      </c>
      <c r="F4014">
        <v>1</v>
      </c>
      <c r="G4014" t="s">
        <v>79</v>
      </c>
      <c r="H4014" t="s">
        <v>21</v>
      </c>
      <c r="L4014" t="s">
        <v>82</v>
      </c>
      <c r="M4014" t="s">
        <v>327</v>
      </c>
    </row>
    <row r="4015" spans="1:13">
      <c r="A4015">
        <v>45993</v>
      </c>
      <c r="B4015" t="s">
        <v>3573</v>
      </c>
      <c r="F4015">
        <v>1</v>
      </c>
      <c r="G4015" t="s">
        <v>377</v>
      </c>
      <c r="H4015" t="s">
        <v>21</v>
      </c>
      <c r="L4015" t="s">
        <v>89</v>
      </c>
      <c r="M4015" t="s">
        <v>327</v>
      </c>
    </row>
    <row r="4016" spans="1:13">
      <c r="A4016">
        <v>45993</v>
      </c>
      <c r="B4016" t="s">
        <v>3574</v>
      </c>
      <c r="F4016">
        <v>1</v>
      </c>
      <c r="G4016" t="s">
        <v>590</v>
      </c>
      <c r="H4016" t="s">
        <v>21</v>
      </c>
      <c r="L4016" t="s">
        <v>82</v>
      </c>
      <c r="M4016" t="s">
        <v>3571</v>
      </c>
    </row>
    <row r="4017" spans="1:13">
      <c r="A4017">
        <v>45993</v>
      </c>
      <c r="B4017" t="s">
        <v>3575</v>
      </c>
      <c r="D4017">
        <v>500</v>
      </c>
      <c r="F4017">
        <v>1</v>
      </c>
      <c r="G4017" t="s">
        <v>22</v>
      </c>
      <c r="H4017" t="s">
        <v>21</v>
      </c>
      <c r="I4017" t="s">
        <v>60</v>
      </c>
      <c r="J4017" t="s">
        <v>61</v>
      </c>
      <c r="L4017" t="s">
        <v>89</v>
      </c>
    </row>
    <row r="4018" spans="1:13">
      <c r="A4018">
        <v>45993</v>
      </c>
      <c r="B4018" t="s">
        <v>63</v>
      </c>
      <c r="E4018">
        <v>2500</v>
      </c>
      <c r="F4018">
        <v>1</v>
      </c>
      <c r="G4018" t="s">
        <v>65</v>
      </c>
      <c r="H4018" t="s">
        <v>66</v>
      </c>
      <c r="I4018" t="s">
        <v>60</v>
      </c>
      <c r="J4018" t="s">
        <v>61</v>
      </c>
      <c r="L4018" t="s">
        <v>62</v>
      </c>
      <c r="M4018" t="s">
        <v>3280</v>
      </c>
    </row>
    <row r="4019" spans="1:13">
      <c r="A4019">
        <v>45994</v>
      </c>
      <c r="B4019" t="s">
        <v>81</v>
      </c>
      <c r="D4019">
        <v>43700</v>
      </c>
      <c r="F4019">
        <v>1</v>
      </c>
      <c r="G4019" t="s">
        <v>74</v>
      </c>
      <c r="H4019" t="s">
        <v>75</v>
      </c>
      <c r="I4019" t="s">
        <v>60</v>
      </c>
      <c r="J4019" t="s">
        <v>61</v>
      </c>
      <c r="L4019" t="s">
        <v>88</v>
      </c>
    </row>
    <row r="4020" spans="1:13">
      <c r="A4020">
        <v>45994</v>
      </c>
      <c r="B4020" t="s">
        <v>84</v>
      </c>
      <c r="D4020">
        <v>-20800</v>
      </c>
      <c r="G4020" t="s">
        <v>77</v>
      </c>
      <c r="I4020" t="s">
        <v>60</v>
      </c>
      <c r="J4020" t="s">
        <v>61</v>
      </c>
      <c r="L4020" t="s">
        <v>62</v>
      </c>
    </row>
    <row r="4021" spans="1:13">
      <c r="A4021">
        <v>45994</v>
      </c>
      <c r="B4021" t="s">
        <v>84</v>
      </c>
      <c r="E4021">
        <v>-1100</v>
      </c>
      <c r="G4021" t="s">
        <v>65</v>
      </c>
      <c r="H4021" t="s">
        <v>85</v>
      </c>
      <c r="I4021" t="s">
        <v>60</v>
      </c>
      <c r="J4021" t="s">
        <v>61</v>
      </c>
      <c r="L4021" t="s">
        <v>62</v>
      </c>
    </row>
    <row r="4022" spans="1:13">
      <c r="A4022">
        <v>45994</v>
      </c>
      <c r="B4022" t="s">
        <v>546</v>
      </c>
      <c r="F4022">
        <v>-20</v>
      </c>
      <c r="G4022" t="s">
        <v>22</v>
      </c>
      <c r="H4022" t="s">
        <v>93</v>
      </c>
      <c r="L4022" t="s">
        <v>101</v>
      </c>
    </row>
    <row r="4023" spans="1:13">
      <c r="A4023">
        <v>45994</v>
      </c>
      <c r="B4023" t="s">
        <v>3576</v>
      </c>
      <c r="F4023">
        <v>1</v>
      </c>
      <c r="G4023" t="s">
        <v>319</v>
      </c>
      <c r="H4023" t="s">
        <v>21</v>
      </c>
      <c r="L4023" t="s">
        <v>86</v>
      </c>
      <c r="M4023" t="s">
        <v>3577</v>
      </c>
    </row>
    <row r="4024" spans="1:13">
      <c r="A4024">
        <v>45994</v>
      </c>
      <c r="B4024" t="s">
        <v>3578</v>
      </c>
      <c r="D4024">
        <v>500</v>
      </c>
      <c r="F4024">
        <v>1</v>
      </c>
      <c r="G4024" t="s">
        <v>22</v>
      </c>
      <c r="H4024" t="s">
        <v>21</v>
      </c>
      <c r="I4024" t="s">
        <v>60</v>
      </c>
      <c r="J4024" t="s">
        <v>61</v>
      </c>
      <c r="L4024" t="s">
        <v>86</v>
      </c>
    </row>
    <row r="4025" spans="1:13">
      <c r="A4025">
        <v>45994</v>
      </c>
      <c r="B4025" t="s">
        <v>3579</v>
      </c>
      <c r="D4025">
        <v>500</v>
      </c>
      <c r="F4025">
        <v>1</v>
      </c>
      <c r="G4025" t="s">
        <v>22</v>
      </c>
      <c r="H4025" t="s">
        <v>21</v>
      </c>
      <c r="I4025" t="s">
        <v>60</v>
      </c>
      <c r="J4025" t="s">
        <v>61</v>
      </c>
      <c r="L4025" t="s">
        <v>82</v>
      </c>
    </row>
    <row r="4026" spans="1:13">
      <c r="A4026">
        <v>45994</v>
      </c>
      <c r="B4026" t="s">
        <v>3580</v>
      </c>
      <c r="F4026">
        <v>1</v>
      </c>
      <c r="G4026" t="s">
        <v>2490</v>
      </c>
      <c r="L4026" t="s">
        <v>82</v>
      </c>
      <c r="M4026" t="s">
        <v>3581</v>
      </c>
    </row>
    <row r="4027" spans="1:13">
      <c r="A4027">
        <v>45994</v>
      </c>
      <c r="B4027" t="s">
        <v>63</v>
      </c>
      <c r="D4027">
        <v>7500</v>
      </c>
      <c r="F4027">
        <v>1</v>
      </c>
      <c r="G4027" t="s">
        <v>70</v>
      </c>
      <c r="I4027" t="s">
        <v>71</v>
      </c>
      <c r="J4027" t="s">
        <v>72</v>
      </c>
      <c r="K4027" t="s">
        <v>3582</v>
      </c>
      <c r="L4027" t="s">
        <v>62</v>
      </c>
      <c r="M4027" t="s">
        <v>90</v>
      </c>
    </row>
    <row r="4028" spans="1:13">
      <c r="A4028">
        <v>45994</v>
      </c>
      <c r="B4028" t="s">
        <v>3583</v>
      </c>
      <c r="F4028">
        <v>1</v>
      </c>
      <c r="G4028" t="s">
        <v>64</v>
      </c>
      <c r="L4028" t="s">
        <v>89</v>
      </c>
      <c r="M4028" t="s">
        <v>3584</v>
      </c>
    </row>
    <row r="4029" spans="1:13">
      <c r="A4029">
        <v>45994</v>
      </c>
      <c r="B4029" t="s">
        <v>259</v>
      </c>
      <c r="D4029">
        <v>500</v>
      </c>
      <c r="F4029">
        <v>0</v>
      </c>
      <c r="G4029" t="s">
        <v>22</v>
      </c>
      <c r="H4029" t="s">
        <v>21</v>
      </c>
      <c r="I4029" t="s">
        <v>60</v>
      </c>
      <c r="J4029" t="s">
        <v>61</v>
      </c>
      <c r="L4029" t="s">
        <v>86</v>
      </c>
      <c r="M4029" t="s">
        <v>83</v>
      </c>
    </row>
    <row r="4030" spans="1:13">
      <c r="A4030">
        <v>45994</v>
      </c>
      <c r="B4030" t="s">
        <v>3585</v>
      </c>
      <c r="F4030">
        <v>1</v>
      </c>
      <c r="G4030" t="s">
        <v>64</v>
      </c>
      <c r="L4030" t="s">
        <v>82</v>
      </c>
      <c r="M4030" t="s">
        <v>96</v>
      </c>
    </row>
    <row r="4031" spans="1:13">
      <c r="A4031">
        <v>45994</v>
      </c>
      <c r="B4031" t="s">
        <v>63</v>
      </c>
      <c r="D4031">
        <v>8000</v>
      </c>
      <c r="F4031">
        <v>1</v>
      </c>
      <c r="G4031" t="s">
        <v>70</v>
      </c>
      <c r="I4031" t="s">
        <v>71</v>
      </c>
      <c r="J4031" t="s">
        <v>535</v>
      </c>
      <c r="K4031" t="s">
        <v>3586</v>
      </c>
      <c r="L4031" t="s">
        <v>62</v>
      </c>
      <c r="M4031" t="s">
        <v>90</v>
      </c>
    </row>
    <row r="4032" spans="1:13">
      <c r="A4032">
        <v>45994</v>
      </c>
      <c r="B4032" t="s">
        <v>3587</v>
      </c>
      <c r="F4032">
        <v>1</v>
      </c>
      <c r="G4032" t="s">
        <v>590</v>
      </c>
      <c r="H4032" t="s">
        <v>21</v>
      </c>
      <c r="L4032" t="s">
        <v>82</v>
      </c>
      <c r="M4032" t="s">
        <v>3577</v>
      </c>
    </row>
    <row r="4033" spans="1:13">
      <c r="A4033">
        <v>45994</v>
      </c>
      <c r="B4033" t="s">
        <v>3588</v>
      </c>
      <c r="D4033">
        <v>500</v>
      </c>
      <c r="F4033">
        <v>1</v>
      </c>
      <c r="G4033" t="s">
        <v>22</v>
      </c>
      <c r="H4033" t="s">
        <v>21</v>
      </c>
      <c r="I4033" t="s">
        <v>60</v>
      </c>
      <c r="J4033" t="s">
        <v>61</v>
      </c>
      <c r="L4033" t="s">
        <v>82</v>
      </c>
    </row>
    <row r="4034" spans="1:13">
      <c r="A4034">
        <v>45994</v>
      </c>
      <c r="B4034" t="s">
        <v>3589</v>
      </c>
      <c r="F4034">
        <v>1</v>
      </c>
      <c r="G4034" t="s">
        <v>587</v>
      </c>
      <c r="H4034" t="s">
        <v>21</v>
      </c>
      <c r="L4034" t="s">
        <v>82</v>
      </c>
      <c r="M4034" t="s">
        <v>327</v>
      </c>
    </row>
    <row r="4035" spans="1:13">
      <c r="A4035">
        <v>45994</v>
      </c>
      <c r="B4035" t="s">
        <v>63</v>
      </c>
      <c r="E4035">
        <v>2000</v>
      </c>
      <c r="F4035">
        <v>1</v>
      </c>
      <c r="G4035" t="s">
        <v>65</v>
      </c>
      <c r="H4035" t="s">
        <v>66</v>
      </c>
      <c r="I4035" t="s">
        <v>60</v>
      </c>
      <c r="J4035" t="s">
        <v>61</v>
      </c>
      <c r="L4035" t="s">
        <v>62</v>
      </c>
      <c r="M4035" t="s">
        <v>3280</v>
      </c>
    </row>
    <row r="4036" spans="1:13">
      <c r="A4036">
        <v>45995</v>
      </c>
      <c r="B4036" t="s">
        <v>81</v>
      </c>
      <c r="D4036">
        <v>60000</v>
      </c>
      <c r="F4036">
        <v>1</v>
      </c>
      <c r="G4036" t="s">
        <v>74</v>
      </c>
      <c r="H4036" t="s">
        <v>75</v>
      </c>
      <c r="I4036" t="s">
        <v>60</v>
      </c>
      <c r="J4036" t="s">
        <v>61</v>
      </c>
      <c r="L4036" t="s">
        <v>88</v>
      </c>
    </row>
    <row r="4037" spans="1:13">
      <c r="A4037">
        <v>45995</v>
      </c>
      <c r="B4037" t="s">
        <v>3590</v>
      </c>
      <c r="D4037">
        <v>500</v>
      </c>
      <c r="F4037">
        <v>1</v>
      </c>
      <c r="G4037" t="s">
        <v>22</v>
      </c>
      <c r="H4037" t="s">
        <v>21</v>
      </c>
      <c r="I4037" t="s">
        <v>60</v>
      </c>
      <c r="J4037" t="s">
        <v>61</v>
      </c>
      <c r="L4037" t="s">
        <v>89</v>
      </c>
    </row>
    <row r="4038" spans="1:13">
      <c r="A4038">
        <v>45995</v>
      </c>
      <c r="B4038" t="s">
        <v>3591</v>
      </c>
      <c r="D4038">
        <v>500</v>
      </c>
      <c r="F4038">
        <v>1</v>
      </c>
      <c r="G4038" t="s">
        <v>22</v>
      </c>
      <c r="H4038" t="s">
        <v>21</v>
      </c>
      <c r="I4038" t="s">
        <v>60</v>
      </c>
      <c r="J4038" t="s">
        <v>61</v>
      </c>
      <c r="L4038" t="s">
        <v>89</v>
      </c>
    </row>
    <row r="4039" spans="1:13">
      <c r="A4039">
        <v>45995</v>
      </c>
      <c r="B4039" t="s">
        <v>3522</v>
      </c>
      <c r="D4039">
        <v>500</v>
      </c>
      <c r="F4039">
        <v>1</v>
      </c>
      <c r="G4039" t="s">
        <v>22</v>
      </c>
      <c r="H4039" t="s">
        <v>21</v>
      </c>
      <c r="I4039" t="s">
        <v>60</v>
      </c>
      <c r="J4039" t="s">
        <v>61</v>
      </c>
      <c r="L4039" t="s">
        <v>89</v>
      </c>
    </row>
    <row r="4040" spans="1:13">
      <c r="A4040">
        <v>45995</v>
      </c>
      <c r="B4040" t="s">
        <v>2393</v>
      </c>
      <c r="F4040">
        <v>1</v>
      </c>
      <c r="G4040" t="s">
        <v>2490</v>
      </c>
      <c r="L4040" t="s">
        <v>89</v>
      </c>
      <c r="M4040" t="s">
        <v>3581</v>
      </c>
    </row>
    <row r="4041" spans="1:13">
      <c r="A4041">
        <v>45995</v>
      </c>
      <c r="B4041" t="s">
        <v>3592</v>
      </c>
      <c r="F4041">
        <v>1</v>
      </c>
      <c r="G4041" t="s">
        <v>64</v>
      </c>
      <c r="L4041" t="s">
        <v>89</v>
      </c>
      <c r="M4041" t="s">
        <v>3584</v>
      </c>
    </row>
    <row r="4042" spans="1:13">
      <c r="A4042">
        <v>45995</v>
      </c>
      <c r="B4042" t="s">
        <v>76</v>
      </c>
      <c r="D4042">
        <v>10500</v>
      </c>
      <c r="G4042" t="s">
        <v>77</v>
      </c>
      <c r="I4042" t="s">
        <v>60</v>
      </c>
      <c r="J4042" t="s">
        <v>61</v>
      </c>
      <c r="L4042" t="s">
        <v>62</v>
      </c>
    </row>
    <row r="4043" spans="1:13">
      <c r="A4043">
        <v>45995</v>
      </c>
      <c r="B4043" t="s">
        <v>63</v>
      </c>
      <c r="D4043">
        <v>100</v>
      </c>
      <c r="F4043">
        <v>1</v>
      </c>
      <c r="G4043" t="s">
        <v>22</v>
      </c>
      <c r="H4043" t="s">
        <v>93</v>
      </c>
      <c r="I4043" t="s">
        <v>60</v>
      </c>
      <c r="J4043" t="s">
        <v>61</v>
      </c>
      <c r="L4043" t="s">
        <v>62</v>
      </c>
    </row>
    <row r="4044" spans="1:13">
      <c r="A4044">
        <v>45995</v>
      </c>
      <c r="B4044" t="s">
        <v>63</v>
      </c>
      <c r="D4044">
        <v>31000</v>
      </c>
      <c r="G4044" t="s">
        <v>70</v>
      </c>
      <c r="I4044" t="s">
        <v>60</v>
      </c>
      <c r="J4044" t="s">
        <v>61</v>
      </c>
      <c r="L4044" t="s">
        <v>62</v>
      </c>
    </row>
    <row r="4045" spans="1:13">
      <c r="A4045">
        <v>45995</v>
      </c>
      <c r="B4045" t="s">
        <v>3593</v>
      </c>
      <c r="D4045">
        <v>500</v>
      </c>
      <c r="F4045">
        <v>1</v>
      </c>
      <c r="G4045" t="s">
        <v>22</v>
      </c>
      <c r="H4045" t="s">
        <v>21</v>
      </c>
      <c r="I4045" t="s">
        <v>60</v>
      </c>
      <c r="J4045" t="s">
        <v>61</v>
      </c>
      <c r="L4045" t="s">
        <v>86</v>
      </c>
    </row>
    <row r="4046" spans="1:13">
      <c r="A4046">
        <v>45995</v>
      </c>
      <c r="B4046" t="s">
        <v>3594</v>
      </c>
      <c r="F4046">
        <v>1</v>
      </c>
      <c r="G4046" t="s">
        <v>64</v>
      </c>
      <c r="L4046" t="s">
        <v>86</v>
      </c>
      <c r="M4046" t="s">
        <v>96</v>
      </c>
    </row>
    <row r="4047" spans="1:13">
      <c r="A4047">
        <v>45995</v>
      </c>
      <c r="B4047" t="s">
        <v>3595</v>
      </c>
      <c r="D4047">
        <v>500</v>
      </c>
      <c r="F4047">
        <v>1</v>
      </c>
      <c r="G4047" t="s">
        <v>22</v>
      </c>
      <c r="H4047" t="s">
        <v>21</v>
      </c>
      <c r="I4047" t="s">
        <v>60</v>
      </c>
      <c r="J4047" t="s">
        <v>61</v>
      </c>
      <c r="L4047" t="s">
        <v>86</v>
      </c>
    </row>
    <row r="4048" spans="1:13">
      <c r="A4048">
        <v>45995</v>
      </c>
      <c r="B4048" t="s">
        <v>3596</v>
      </c>
      <c r="F4048">
        <v>1</v>
      </c>
      <c r="G4048" t="s">
        <v>564</v>
      </c>
      <c r="H4048" t="s">
        <v>21</v>
      </c>
      <c r="L4048" t="s">
        <v>86</v>
      </c>
      <c r="M4048" t="s">
        <v>327</v>
      </c>
    </row>
    <row r="4049" spans="1:13">
      <c r="A4049">
        <v>45995</v>
      </c>
      <c r="B4049" t="s">
        <v>3596</v>
      </c>
      <c r="D4049">
        <v>500</v>
      </c>
      <c r="F4049">
        <v>0</v>
      </c>
      <c r="G4049" t="s">
        <v>22</v>
      </c>
      <c r="H4049" t="s">
        <v>21</v>
      </c>
      <c r="I4049" t="s">
        <v>60</v>
      </c>
      <c r="J4049" t="s">
        <v>61</v>
      </c>
      <c r="L4049" t="s">
        <v>86</v>
      </c>
    </row>
    <row r="4050" spans="1:13">
      <c r="A4050">
        <v>45995</v>
      </c>
      <c r="B4050" t="s">
        <v>3597</v>
      </c>
      <c r="F4050">
        <v>1</v>
      </c>
      <c r="G4050" t="s">
        <v>64</v>
      </c>
      <c r="L4050" t="s">
        <v>86</v>
      </c>
      <c r="M4050" t="s">
        <v>96</v>
      </c>
    </row>
    <row r="4051" spans="1:13">
      <c r="A4051">
        <v>45995</v>
      </c>
      <c r="B4051" t="s">
        <v>3598</v>
      </c>
      <c r="F4051">
        <v>1</v>
      </c>
      <c r="G4051" t="s">
        <v>64</v>
      </c>
      <c r="L4051" t="s">
        <v>86</v>
      </c>
      <c r="M4051" t="s">
        <v>96</v>
      </c>
    </row>
    <row r="4052" spans="1:13">
      <c r="A4052">
        <v>45995</v>
      </c>
      <c r="B4052" t="s">
        <v>3599</v>
      </c>
      <c r="F4052">
        <v>1</v>
      </c>
      <c r="G4052" t="s">
        <v>377</v>
      </c>
      <c r="H4052" t="s">
        <v>21</v>
      </c>
      <c r="L4052" t="s">
        <v>86</v>
      </c>
      <c r="M4052" t="s">
        <v>327</v>
      </c>
    </row>
    <row r="4053" spans="1:13">
      <c r="A4053">
        <v>45995</v>
      </c>
      <c r="B4053" t="s">
        <v>3599</v>
      </c>
      <c r="D4053">
        <v>500</v>
      </c>
      <c r="F4053">
        <v>0</v>
      </c>
      <c r="G4053" t="s">
        <v>22</v>
      </c>
      <c r="H4053" t="s">
        <v>21</v>
      </c>
      <c r="I4053" t="s">
        <v>60</v>
      </c>
      <c r="J4053" t="s">
        <v>61</v>
      </c>
      <c r="L4053" t="s">
        <v>86</v>
      </c>
    </row>
    <row r="4054" spans="1:13">
      <c r="A4054">
        <v>45995</v>
      </c>
      <c r="B4054" t="s">
        <v>63</v>
      </c>
      <c r="D4054">
        <v>20000</v>
      </c>
      <c r="F4054">
        <v>3</v>
      </c>
      <c r="G4054" t="s">
        <v>70</v>
      </c>
      <c r="I4054" t="s">
        <v>71</v>
      </c>
      <c r="J4054" t="s">
        <v>72</v>
      </c>
      <c r="K4054" t="s">
        <v>3600</v>
      </c>
      <c r="L4054" t="s">
        <v>62</v>
      </c>
      <c r="M4054" t="s">
        <v>90</v>
      </c>
    </row>
    <row r="4055" spans="1:13">
      <c r="A4055">
        <v>45995</v>
      </c>
      <c r="B4055" t="s">
        <v>63</v>
      </c>
      <c r="E4055">
        <v>3500</v>
      </c>
      <c r="F4055">
        <v>1</v>
      </c>
      <c r="G4055" t="s">
        <v>65</v>
      </c>
      <c r="H4055" t="s">
        <v>66</v>
      </c>
      <c r="I4055" t="s">
        <v>60</v>
      </c>
      <c r="J4055" t="s">
        <v>61</v>
      </c>
      <c r="L4055" t="s">
        <v>62</v>
      </c>
      <c r="M4055" t="s">
        <v>3280</v>
      </c>
    </row>
    <row r="4056" spans="1:13">
      <c r="A4056">
        <v>45995</v>
      </c>
      <c r="B4056" t="s">
        <v>1131</v>
      </c>
      <c r="C4056" t="s">
        <v>3601</v>
      </c>
      <c r="F4056">
        <v>-500</v>
      </c>
      <c r="G4056" t="s">
        <v>23</v>
      </c>
      <c r="H4056" t="s">
        <v>1133</v>
      </c>
      <c r="L4056" t="s">
        <v>1134</v>
      </c>
    </row>
    <row r="4057" spans="1:13">
      <c r="A4057">
        <v>45995</v>
      </c>
      <c r="B4057" t="s">
        <v>1131</v>
      </c>
      <c r="C4057" t="s">
        <v>3602</v>
      </c>
      <c r="F4057">
        <v>-500</v>
      </c>
      <c r="G4057" t="s">
        <v>23</v>
      </c>
      <c r="H4057" t="s">
        <v>1133</v>
      </c>
      <c r="L4057" t="s">
        <v>1134</v>
      </c>
    </row>
    <row r="4058" spans="1:13">
      <c r="A4058">
        <v>45996</v>
      </c>
      <c r="B4058" t="s">
        <v>81</v>
      </c>
      <c r="D4058">
        <v>139000</v>
      </c>
      <c r="F4058">
        <v>1</v>
      </c>
      <c r="G4058" t="s">
        <v>74</v>
      </c>
      <c r="H4058" t="s">
        <v>75</v>
      </c>
      <c r="I4058" t="s">
        <v>60</v>
      </c>
      <c r="J4058" t="s">
        <v>61</v>
      </c>
      <c r="L4058" t="s">
        <v>88</v>
      </c>
    </row>
    <row r="4059" spans="1:13">
      <c r="A4059">
        <v>45996</v>
      </c>
      <c r="B4059" t="s">
        <v>76</v>
      </c>
      <c r="D4059">
        <v>39600</v>
      </c>
      <c r="G4059" t="s">
        <v>77</v>
      </c>
      <c r="I4059" t="s">
        <v>60</v>
      </c>
      <c r="J4059" t="s">
        <v>61</v>
      </c>
      <c r="L4059" t="s">
        <v>62</v>
      </c>
    </row>
    <row r="4060" spans="1:13">
      <c r="A4060">
        <v>45996</v>
      </c>
      <c r="B4060" t="s">
        <v>3603</v>
      </c>
      <c r="F4060">
        <v>1</v>
      </c>
      <c r="G4060" t="s">
        <v>22</v>
      </c>
      <c r="H4060" t="s">
        <v>21</v>
      </c>
      <c r="L4060" t="s">
        <v>101</v>
      </c>
      <c r="M4060" t="s">
        <v>941</v>
      </c>
    </row>
    <row r="4061" spans="1:13">
      <c r="A4061">
        <v>45996</v>
      </c>
      <c r="B4061" t="s">
        <v>3603</v>
      </c>
      <c r="F4061">
        <v>1</v>
      </c>
      <c r="G4061" t="s">
        <v>64</v>
      </c>
      <c r="L4061" t="s">
        <v>89</v>
      </c>
      <c r="M4061" t="s">
        <v>3524</v>
      </c>
    </row>
    <row r="4062" spans="1:13">
      <c r="A4062">
        <v>45996</v>
      </c>
      <c r="B4062" t="s">
        <v>3604</v>
      </c>
      <c r="D4062">
        <v>500</v>
      </c>
      <c r="F4062">
        <v>1</v>
      </c>
      <c r="G4062" t="s">
        <v>22</v>
      </c>
      <c r="H4062" t="s">
        <v>21</v>
      </c>
      <c r="I4062" t="s">
        <v>60</v>
      </c>
      <c r="J4062" t="s">
        <v>61</v>
      </c>
      <c r="L4062" t="s">
        <v>89</v>
      </c>
    </row>
    <row r="4063" spans="1:13">
      <c r="A4063">
        <v>45996</v>
      </c>
      <c r="B4063" t="s">
        <v>3605</v>
      </c>
      <c r="F4063">
        <v>1</v>
      </c>
      <c r="G4063" t="s">
        <v>64</v>
      </c>
      <c r="L4063" t="s">
        <v>89</v>
      </c>
      <c r="M4063" t="s">
        <v>96</v>
      </c>
    </row>
    <row r="4064" spans="1:13">
      <c r="A4064">
        <v>45996</v>
      </c>
      <c r="B4064" t="s">
        <v>3606</v>
      </c>
      <c r="F4064">
        <v>1</v>
      </c>
      <c r="G4064" t="s">
        <v>64</v>
      </c>
      <c r="L4064" t="s">
        <v>89</v>
      </c>
      <c r="M4064" t="s">
        <v>96</v>
      </c>
    </row>
    <row r="4065" spans="1:13">
      <c r="A4065">
        <v>45996</v>
      </c>
      <c r="B4065" t="s">
        <v>3607</v>
      </c>
      <c r="F4065">
        <v>1</v>
      </c>
      <c r="G4065" t="s">
        <v>64</v>
      </c>
      <c r="L4065" t="s">
        <v>82</v>
      </c>
      <c r="M4065" t="s">
        <v>96</v>
      </c>
    </row>
    <row r="4066" spans="1:13">
      <c r="A4066">
        <v>45996</v>
      </c>
      <c r="B4066" t="s">
        <v>3608</v>
      </c>
      <c r="D4066">
        <v>500</v>
      </c>
      <c r="F4066">
        <v>1</v>
      </c>
      <c r="G4066" t="s">
        <v>22</v>
      </c>
      <c r="H4066" t="s">
        <v>21</v>
      </c>
      <c r="I4066" t="s">
        <v>60</v>
      </c>
      <c r="J4066" t="s">
        <v>61</v>
      </c>
      <c r="L4066" t="s">
        <v>89</v>
      </c>
    </row>
    <row r="4067" spans="1:13">
      <c r="A4067">
        <v>45996</v>
      </c>
      <c r="B4067" t="s">
        <v>63</v>
      </c>
      <c r="D4067">
        <v>27500</v>
      </c>
      <c r="G4067" t="s">
        <v>70</v>
      </c>
      <c r="I4067" t="s">
        <v>60</v>
      </c>
      <c r="J4067" t="s">
        <v>61</v>
      </c>
      <c r="L4067" t="s">
        <v>62</v>
      </c>
    </row>
    <row r="4068" spans="1:13">
      <c r="A4068">
        <v>45996</v>
      </c>
      <c r="B4068" t="s">
        <v>3609</v>
      </c>
      <c r="D4068">
        <v>500</v>
      </c>
      <c r="F4068">
        <v>1</v>
      </c>
      <c r="G4068" t="s">
        <v>22</v>
      </c>
      <c r="H4068" t="s">
        <v>21</v>
      </c>
      <c r="I4068" t="s">
        <v>60</v>
      </c>
      <c r="J4068" t="s">
        <v>61</v>
      </c>
      <c r="L4068" t="s">
        <v>89</v>
      </c>
    </row>
    <row r="4069" spans="1:13">
      <c r="A4069">
        <v>45996</v>
      </c>
      <c r="B4069" t="s">
        <v>3610</v>
      </c>
      <c r="D4069">
        <v>500</v>
      </c>
      <c r="F4069">
        <v>1</v>
      </c>
      <c r="G4069" t="s">
        <v>22</v>
      </c>
      <c r="H4069" t="s">
        <v>21</v>
      </c>
      <c r="I4069" t="s">
        <v>60</v>
      </c>
      <c r="J4069" t="s">
        <v>61</v>
      </c>
      <c r="L4069" t="s">
        <v>89</v>
      </c>
    </row>
    <row r="4070" spans="1:13">
      <c r="A4070">
        <v>45996</v>
      </c>
      <c r="B4070" t="s">
        <v>3611</v>
      </c>
      <c r="D4070">
        <v>500</v>
      </c>
      <c r="F4070">
        <v>1</v>
      </c>
      <c r="G4070" t="s">
        <v>22</v>
      </c>
      <c r="H4070" t="s">
        <v>21</v>
      </c>
      <c r="I4070" t="s">
        <v>60</v>
      </c>
      <c r="J4070" t="s">
        <v>61</v>
      </c>
      <c r="L4070" t="s">
        <v>82</v>
      </c>
    </row>
    <row r="4071" spans="1:13">
      <c r="A4071">
        <v>45996</v>
      </c>
      <c r="B4071" t="s">
        <v>3612</v>
      </c>
      <c r="F4071">
        <v>1</v>
      </c>
      <c r="G4071" t="s">
        <v>64</v>
      </c>
      <c r="L4071" t="s">
        <v>82</v>
      </c>
      <c r="M4071" t="s">
        <v>96</v>
      </c>
    </row>
    <row r="4072" spans="1:13">
      <c r="A4072">
        <v>45996</v>
      </c>
      <c r="B4072" t="s">
        <v>3613</v>
      </c>
      <c r="F4072">
        <v>1</v>
      </c>
      <c r="G4072" t="s">
        <v>64</v>
      </c>
      <c r="L4072" t="s">
        <v>82</v>
      </c>
      <c r="M4072" t="s">
        <v>96</v>
      </c>
    </row>
    <row r="4073" spans="1:13">
      <c r="A4073">
        <v>45996</v>
      </c>
      <c r="B4073" t="s">
        <v>3614</v>
      </c>
      <c r="F4073">
        <v>1</v>
      </c>
      <c r="G4073" t="s">
        <v>79</v>
      </c>
      <c r="H4073" t="s">
        <v>21</v>
      </c>
      <c r="L4073" t="s">
        <v>82</v>
      </c>
      <c r="M4073" t="s">
        <v>327</v>
      </c>
    </row>
    <row r="4074" spans="1:13">
      <c r="A4074">
        <v>45996</v>
      </c>
      <c r="B4074" t="s">
        <v>268</v>
      </c>
      <c r="D4074">
        <v>500</v>
      </c>
      <c r="F4074">
        <v>1</v>
      </c>
      <c r="G4074" t="s">
        <v>22</v>
      </c>
      <c r="H4074" t="s">
        <v>21</v>
      </c>
      <c r="I4074" t="s">
        <v>60</v>
      </c>
      <c r="J4074" t="s">
        <v>61</v>
      </c>
      <c r="L4074" t="s">
        <v>82</v>
      </c>
    </row>
    <row r="4075" spans="1:13">
      <c r="A4075">
        <v>45996</v>
      </c>
      <c r="B4075" t="s">
        <v>3615</v>
      </c>
      <c r="D4075">
        <v>500</v>
      </c>
      <c r="F4075">
        <v>1</v>
      </c>
      <c r="G4075" t="s">
        <v>22</v>
      </c>
      <c r="H4075" t="s">
        <v>21</v>
      </c>
      <c r="I4075" t="s">
        <v>60</v>
      </c>
      <c r="J4075" t="s">
        <v>61</v>
      </c>
      <c r="L4075" t="s">
        <v>82</v>
      </c>
    </row>
    <row r="4076" spans="1:13">
      <c r="A4076">
        <v>45996</v>
      </c>
      <c r="B4076" t="s">
        <v>63</v>
      </c>
      <c r="D4076">
        <v>7500</v>
      </c>
      <c r="F4076">
        <v>2</v>
      </c>
      <c r="G4076" t="s">
        <v>70</v>
      </c>
      <c r="I4076" t="s">
        <v>71</v>
      </c>
      <c r="J4076" t="s">
        <v>535</v>
      </c>
      <c r="K4076" t="s">
        <v>3616</v>
      </c>
      <c r="L4076" t="s">
        <v>62</v>
      </c>
      <c r="M4076" t="s">
        <v>90</v>
      </c>
    </row>
    <row r="4077" spans="1:13">
      <c r="A4077">
        <v>45996</v>
      </c>
      <c r="B4077" t="s">
        <v>63</v>
      </c>
      <c r="E4077">
        <v>3500</v>
      </c>
      <c r="F4077">
        <v>1</v>
      </c>
      <c r="G4077" t="s">
        <v>65</v>
      </c>
      <c r="H4077" t="s">
        <v>66</v>
      </c>
      <c r="I4077" t="s">
        <v>60</v>
      </c>
      <c r="J4077" t="s">
        <v>61</v>
      </c>
      <c r="L4077" t="s">
        <v>62</v>
      </c>
      <c r="M4077" t="s">
        <v>3280</v>
      </c>
    </row>
    <row r="4078" spans="1:13">
      <c r="A4078">
        <v>45997</v>
      </c>
      <c r="B4078" t="s">
        <v>84</v>
      </c>
      <c r="D4078">
        <v>-20800</v>
      </c>
      <c r="G4078" t="s">
        <v>77</v>
      </c>
      <c r="I4078" t="s">
        <v>60</v>
      </c>
      <c r="J4078" t="s">
        <v>61</v>
      </c>
      <c r="L4078" t="s">
        <v>62</v>
      </c>
    </row>
    <row r="4079" spans="1:13">
      <c r="A4079">
        <v>45997</v>
      </c>
      <c r="B4079" t="s">
        <v>84</v>
      </c>
      <c r="E4079">
        <v>-1100</v>
      </c>
      <c r="G4079" t="s">
        <v>65</v>
      </c>
      <c r="H4079" t="s">
        <v>85</v>
      </c>
      <c r="I4079" t="s">
        <v>60</v>
      </c>
      <c r="J4079" t="s">
        <v>61</v>
      </c>
      <c r="L4079" t="s">
        <v>62</v>
      </c>
    </row>
    <row r="4080" spans="1:13">
      <c r="A4080">
        <v>45997</v>
      </c>
      <c r="B4080" t="s">
        <v>259</v>
      </c>
      <c r="D4080">
        <v>500</v>
      </c>
      <c r="F4080">
        <v>1</v>
      </c>
      <c r="G4080" t="s">
        <v>22</v>
      </c>
      <c r="H4080" t="s">
        <v>21</v>
      </c>
      <c r="I4080" t="s">
        <v>60</v>
      </c>
      <c r="J4080" t="s">
        <v>61</v>
      </c>
      <c r="L4080" t="s">
        <v>82</v>
      </c>
    </row>
    <row r="4081" spans="1:13">
      <c r="A4081">
        <v>45997</v>
      </c>
      <c r="B4081" t="s">
        <v>3617</v>
      </c>
      <c r="D4081">
        <v>500</v>
      </c>
      <c r="F4081">
        <v>1</v>
      </c>
      <c r="G4081" t="s">
        <v>22</v>
      </c>
      <c r="H4081" t="s">
        <v>21</v>
      </c>
      <c r="I4081" t="s">
        <v>60</v>
      </c>
      <c r="J4081" t="s">
        <v>61</v>
      </c>
      <c r="L4081" t="s">
        <v>82</v>
      </c>
    </row>
    <row r="4082" spans="1:13">
      <c r="A4082">
        <v>45997</v>
      </c>
      <c r="B4082" t="s">
        <v>3617</v>
      </c>
      <c r="F4082">
        <v>1</v>
      </c>
      <c r="G4082" t="s">
        <v>64</v>
      </c>
      <c r="L4082" t="s">
        <v>82</v>
      </c>
      <c r="M4082" t="s">
        <v>96</v>
      </c>
    </row>
    <row r="4083" spans="1:13">
      <c r="A4083">
        <v>45997</v>
      </c>
      <c r="B4083" t="s">
        <v>3618</v>
      </c>
      <c r="F4083">
        <v>1</v>
      </c>
      <c r="G4083" t="s">
        <v>2490</v>
      </c>
      <c r="L4083" t="s">
        <v>86</v>
      </c>
      <c r="M4083" t="s">
        <v>3581</v>
      </c>
    </row>
    <row r="4084" spans="1:13">
      <c r="A4084">
        <v>45997</v>
      </c>
      <c r="B4084" t="s">
        <v>63</v>
      </c>
      <c r="D4084">
        <v>44500</v>
      </c>
      <c r="G4084" t="s">
        <v>70</v>
      </c>
      <c r="I4084" t="s">
        <v>60</v>
      </c>
      <c r="J4084" t="s">
        <v>61</v>
      </c>
      <c r="L4084" t="s">
        <v>62</v>
      </c>
    </row>
    <row r="4085" spans="1:13">
      <c r="A4085">
        <v>45997</v>
      </c>
      <c r="B4085" t="s">
        <v>3619</v>
      </c>
      <c r="D4085">
        <v>500</v>
      </c>
      <c r="F4085">
        <v>1</v>
      </c>
      <c r="G4085" t="s">
        <v>22</v>
      </c>
      <c r="H4085" t="s">
        <v>21</v>
      </c>
      <c r="I4085" t="s">
        <v>60</v>
      </c>
      <c r="J4085" t="s">
        <v>61</v>
      </c>
      <c r="L4085" t="s">
        <v>86</v>
      </c>
    </row>
    <row r="4086" spans="1:13">
      <c r="A4086">
        <v>45997</v>
      </c>
      <c r="B4086" t="s">
        <v>63</v>
      </c>
      <c r="D4086">
        <v>100</v>
      </c>
      <c r="F4086">
        <v>1</v>
      </c>
      <c r="G4086" t="s">
        <v>22</v>
      </c>
      <c r="H4086" t="s">
        <v>93</v>
      </c>
      <c r="I4086" t="s">
        <v>60</v>
      </c>
      <c r="J4086" t="s">
        <v>61</v>
      </c>
      <c r="L4086" t="s">
        <v>62</v>
      </c>
    </row>
    <row r="4087" spans="1:13">
      <c r="A4087">
        <v>45997</v>
      </c>
      <c r="B4087" t="s">
        <v>76</v>
      </c>
      <c r="D4087">
        <v>3500</v>
      </c>
      <c r="G4087" t="s">
        <v>77</v>
      </c>
      <c r="I4087" t="s">
        <v>60</v>
      </c>
      <c r="J4087" t="s">
        <v>61</v>
      </c>
      <c r="L4087" t="s">
        <v>62</v>
      </c>
    </row>
    <row r="4088" spans="1:13">
      <c r="A4088">
        <v>45997</v>
      </c>
      <c r="B4088" t="s">
        <v>3620</v>
      </c>
      <c r="F4088">
        <v>1</v>
      </c>
      <c r="G4088" t="s">
        <v>79</v>
      </c>
      <c r="H4088" t="s">
        <v>21</v>
      </c>
      <c r="L4088" t="s">
        <v>86</v>
      </c>
    </row>
    <row r="4089" spans="1:13">
      <c r="A4089">
        <v>45997</v>
      </c>
      <c r="B4089" t="s">
        <v>3621</v>
      </c>
      <c r="D4089">
        <v>500</v>
      </c>
      <c r="F4089">
        <v>1</v>
      </c>
      <c r="G4089" t="s">
        <v>22</v>
      </c>
      <c r="H4089" t="s">
        <v>21</v>
      </c>
      <c r="I4089" t="s">
        <v>60</v>
      </c>
      <c r="J4089" t="s">
        <v>61</v>
      </c>
      <c r="L4089" t="s">
        <v>86</v>
      </c>
    </row>
    <row r="4090" spans="1:13">
      <c r="A4090">
        <v>45997</v>
      </c>
      <c r="B4090" t="s">
        <v>63</v>
      </c>
      <c r="D4090">
        <v>16000</v>
      </c>
      <c r="F4090">
        <v>2</v>
      </c>
      <c r="G4090" t="s">
        <v>70</v>
      </c>
      <c r="I4090" t="s">
        <v>71</v>
      </c>
      <c r="J4090" t="s">
        <v>535</v>
      </c>
      <c r="K4090" t="s">
        <v>3622</v>
      </c>
      <c r="L4090" t="s">
        <v>62</v>
      </c>
      <c r="M4090" t="s">
        <v>3623</v>
      </c>
    </row>
    <row r="4091" spans="1:13">
      <c r="A4091">
        <v>45997</v>
      </c>
      <c r="B4091" t="s">
        <v>3624</v>
      </c>
      <c r="D4091">
        <v>500</v>
      </c>
      <c r="F4091">
        <v>0</v>
      </c>
      <c r="G4091" t="s">
        <v>22</v>
      </c>
      <c r="H4091" t="s">
        <v>21</v>
      </c>
      <c r="I4091" t="s">
        <v>60</v>
      </c>
      <c r="J4091" t="s">
        <v>61</v>
      </c>
      <c r="L4091" t="s">
        <v>86</v>
      </c>
    </row>
    <row r="4092" spans="1:13">
      <c r="A4092">
        <v>45997</v>
      </c>
      <c r="B4092" t="s">
        <v>63</v>
      </c>
      <c r="E4092">
        <v>2500</v>
      </c>
      <c r="F4092">
        <v>1</v>
      </c>
      <c r="G4092" t="s">
        <v>65</v>
      </c>
      <c r="H4092" t="s">
        <v>66</v>
      </c>
      <c r="I4092" t="s">
        <v>60</v>
      </c>
      <c r="J4092" t="s">
        <v>61</v>
      </c>
      <c r="L4092" t="s">
        <v>62</v>
      </c>
      <c r="M4092" t="s">
        <v>3280</v>
      </c>
    </row>
    <row r="4093" spans="1:13">
      <c r="A4093">
        <v>45998</v>
      </c>
      <c r="B4093" t="s">
        <v>3625</v>
      </c>
      <c r="F4093">
        <v>1</v>
      </c>
      <c r="G4093" t="s">
        <v>555</v>
      </c>
      <c r="H4093" t="s">
        <v>21</v>
      </c>
      <c r="L4093" t="s">
        <v>86</v>
      </c>
      <c r="M4093" t="s">
        <v>3626</v>
      </c>
    </row>
    <row r="4094" spans="1:13">
      <c r="A4094">
        <v>45998</v>
      </c>
      <c r="B4094" t="s">
        <v>3627</v>
      </c>
      <c r="F4094">
        <v>1</v>
      </c>
      <c r="G4094" t="s">
        <v>555</v>
      </c>
      <c r="H4094" t="s">
        <v>21</v>
      </c>
      <c r="L4094" t="s">
        <v>86</v>
      </c>
      <c r="M4094" t="s">
        <v>3626</v>
      </c>
    </row>
    <row r="4095" spans="1:13">
      <c r="A4095">
        <v>45998</v>
      </c>
      <c r="B4095" t="s">
        <v>3628</v>
      </c>
      <c r="F4095">
        <v>1</v>
      </c>
      <c r="G4095" t="s">
        <v>555</v>
      </c>
      <c r="H4095" t="s">
        <v>21</v>
      </c>
      <c r="L4095" t="s">
        <v>86</v>
      </c>
      <c r="M4095" t="s">
        <v>3626</v>
      </c>
    </row>
    <row r="4096" spans="1:13">
      <c r="A4096">
        <v>45998</v>
      </c>
      <c r="B4096" t="s">
        <v>63</v>
      </c>
      <c r="D4096">
        <v>49500</v>
      </c>
      <c r="G4096" t="s">
        <v>70</v>
      </c>
      <c r="I4096" t="s">
        <v>60</v>
      </c>
      <c r="J4096" t="s">
        <v>61</v>
      </c>
      <c r="L4096" t="s">
        <v>62</v>
      </c>
    </row>
    <row r="4097" spans="1:13">
      <c r="A4097">
        <v>45998</v>
      </c>
      <c r="B4097" t="s">
        <v>80</v>
      </c>
      <c r="E4097">
        <v>10894</v>
      </c>
      <c r="F4097">
        <v>1</v>
      </c>
      <c r="G4097" t="s">
        <v>74</v>
      </c>
      <c r="H4097" t="s">
        <v>75</v>
      </c>
      <c r="I4097" t="s">
        <v>60</v>
      </c>
      <c r="J4097" t="s">
        <v>61</v>
      </c>
      <c r="L4097" t="s">
        <v>87</v>
      </c>
    </row>
    <row r="4098" spans="1:13">
      <c r="A4098">
        <v>45998</v>
      </c>
      <c r="B4098" t="s">
        <v>80</v>
      </c>
      <c r="E4098">
        <v>206</v>
      </c>
      <c r="F4098">
        <v>1</v>
      </c>
      <c r="G4098" t="s">
        <v>65</v>
      </c>
      <c r="H4098" t="s">
        <v>66</v>
      </c>
      <c r="I4098" t="s">
        <v>60</v>
      </c>
      <c r="J4098" t="s">
        <v>61</v>
      </c>
      <c r="L4098" t="s">
        <v>62</v>
      </c>
    </row>
    <row r="4099" spans="1:13">
      <c r="A4099">
        <v>45998</v>
      </c>
      <c r="B4099" t="s">
        <v>63</v>
      </c>
      <c r="D4099">
        <v>14500</v>
      </c>
      <c r="F4099">
        <v>1</v>
      </c>
      <c r="G4099" t="s">
        <v>70</v>
      </c>
      <c r="I4099" t="s">
        <v>71</v>
      </c>
      <c r="J4099" t="s">
        <v>535</v>
      </c>
      <c r="K4099" t="s">
        <v>3629</v>
      </c>
      <c r="L4099" t="s">
        <v>62</v>
      </c>
      <c r="M4099" t="s">
        <v>90</v>
      </c>
    </row>
    <row r="4100" spans="1:13">
      <c r="A4100">
        <v>45998</v>
      </c>
      <c r="B4100" t="s">
        <v>63</v>
      </c>
      <c r="D4100">
        <v>8000</v>
      </c>
      <c r="F4100">
        <v>1</v>
      </c>
      <c r="G4100" t="s">
        <v>70</v>
      </c>
      <c r="I4100" t="s">
        <v>71</v>
      </c>
      <c r="J4100" t="s">
        <v>72</v>
      </c>
      <c r="K4100">
        <v>716</v>
      </c>
      <c r="L4100" t="s">
        <v>62</v>
      </c>
      <c r="M4100" t="s">
        <v>90</v>
      </c>
    </row>
    <row r="4101" spans="1:13">
      <c r="A4101">
        <v>45998</v>
      </c>
      <c r="B4101" t="s">
        <v>3630</v>
      </c>
      <c r="D4101">
        <v>500</v>
      </c>
      <c r="F4101">
        <v>1</v>
      </c>
      <c r="G4101" t="s">
        <v>22</v>
      </c>
      <c r="H4101" t="s">
        <v>21</v>
      </c>
      <c r="I4101" t="s">
        <v>60</v>
      </c>
      <c r="J4101" t="s">
        <v>61</v>
      </c>
      <c r="L4101" t="s">
        <v>89</v>
      </c>
    </row>
    <row r="4102" spans="1:13">
      <c r="A4102">
        <v>45998</v>
      </c>
      <c r="B4102" t="s">
        <v>3631</v>
      </c>
      <c r="D4102">
        <v>500</v>
      </c>
      <c r="F4102">
        <v>1</v>
      </c>
      <c r="G4102" t="s">
        <v>22</v>
      </c>
      <c r="H4102" t="s">
        <v>21</v>
      </c>
      <c r="I4102" t="s">
        <v>60</v>
      </c>
      <c r="J4102" t="s">
        <v>61</v>
      </c>
      <c r="L4102" t="s">
        <v>89</v>
      </c>
    </row>
    <row r="4103" spans="1:13">
      <c r="A4103">
        <v>45998</v>
      </c>
      <c r="B4103" t="s">
        <v>3632</v>
      </c>
      <c r="F4103">
        <v>1</v>
      </c>
      <c r="G4103" t="s">
        <v>79</v>
      </c>
      <c r="H4103" t="s">
        <v>21</v>
      </c>
      <c r="L4103" t="s">
        <v>89</v>
      </c>
      <c r="M4103" t="s">
        <v>327</v>
      </c>
    </row>
    <row r="4104" spans="1:13">
      <c r="A4104">
        <v>45998</v>
      </c>
      <c r="B4104" t="s">
        <v>3633</v>
      </c>
      <c r="F4104">
        <v>1</v>
      </c>
      <c r="G4104" t="s">
        <v>79</v>
      </c>
      <c r="H4104" t="s">
        <v>21</v>
      </c>
      <c r="L4104" t="s">
        <v>89</v>
      </c>
      <c r="M4104" t="s">
        <v>327</v>
      </c>
    </row>
    <row r="4105" spans="1:13">
      <c r="A4105">
        <v>45998</v>
      </c>
      <c r="B4105" t="s">
        <v>3634</v>
      </c>
      <c r="F4105">
        <v>1</v>
      </c>
      <c r="G4105" t="s">
        <v>79</v>
      </c>
      <c r="H4105" t="s">
        <v>21</v>
      </c>
      <c r="L4105" t="s">
        <v>89</v>
      </c>
      <c r="M4105" t="s">
        <v>327</v>
      </c>
    </row>
    <row r="4106" spans="1:13">
      <c r="A4106">
        <v>45998</v>
      </c>
      <c r="B4106" t="s">
        <v>3635</v>
      </c>
      <c r="F4106">
        <v>1</v>
      </c>
      <c r="G4106" t="s">
        <v>64</v>
      </c>
      <c r="L4106" t="s">
        <v>89</v>
      </c>
      <c r="M4106" t="s">
        <v>1672</v>
      </c>
    </row>
    <row r="4107" spans="1:13">
      <c r="A4107">
        <v>45998</v>
      </c>
      <c r="B4107" t="s">
        <v>63</v>
      </c>
      <c r="E4107">
        <v>1000</v>
      </c>
      <c r="F4107">
        <v>1</v>
      </c>
      <c r="G4107" t="s">
        <v>65</v>
      </c>
      <c r="H4107" t="s">
        <v>66</v>
      </c>
      <c r="I4107" t="s">
        <v>60</v>
      </c>
      <c r="J4107" t="s">
        <v>61</v>
      </c>
      <c r="L4107" t="s">
        <v>62</v>
      </c>
      <c r="M4107" t="s">
        <v>3280</v>
      </c>
    </row>
    <row r="4108" spans="1:13">
      <c r="A4108">
        <v>45999</v>
      </c>
      <c r="B4108" t="s">
        <v>3636</v>
      </c>
      <c r="C4108" t="s">
        <v>3548</v>
      </c>
      <c r="F4108">
        <v>34</v>
      </c>
      <c r="G4108" t="s">
        <v>22</v>
      </c>
      <c r="H4108" t="s">
        <v>21</v>
      </c>
      <c r="L4108" t="s">
        <v>95</v>
      </c>
    </row>
    <row r="4109" spans="1:13">
      <c r="A4109">
        <v>45999</v>
      </c>
      <c r="B4109" t="s">
        <v>63</v>
      </c>
      <c r="D4109">
        <v>38500</v>
      </c>
      <c r="G4109" t="s">
        <v>70</v>
      </c>
      <c r="I4109" t="s">
        <v>60</v>
      </c>
      <c r="J4109" t="s">
        <v>61</v>
      </c>
      <c r="L4109" t="s">
        <v>62</v>
      </c>
    </row>
    <row r="4110" spans="1:13">
      <c r="A4110">
        <v>45999</v>
      </c>
      <c r="B4110" t="s">
        <v>3637</v>
      </c>
      <c r="D4110">
        <v>500</v>
      </c>
      <c r="F4110">
        <v>1</v>
      </c>
      <c r="G4110" t="s">
        <v>22</v>
      </c>
      <c r="H4110" t="s">
        <v>21</v>
      </c>
      <c r="I4110" t="s">
        <v>60</v>
      </c>
      <c r="J4110" t="s">
        <v>61</v>
      </c>
      <c r="L4110" t="s">
        <v>82</v>
      </c>
    </row>
    <row r="4111" spans="1:13">
      <c r="A4111">
        <v>45999</v>
      </c>
      <c r="B4111" t="s">
        <v>3638</v>
      </c>
      <c r="D4111">
        <v>500</v>
      </c>
      <c r="F4111">
        <v>1</v>
      </c>
      <c r="G4111" t="s">
        <v>22</v>
      </c>
      <c r="H4111" t="s">
        <v>21</v>
      </c>
      <c r="I4111" t="s">
        <v>60</v>
      </c>
      <c r="J4111" t="s">
        <v>61</v>
      </c>
      <c r="L4111" t="s">
        <v>86</v>
      </c>
    </row>
    <row r="4112" spans="1:13">
      <c r="A4112">
        <v>45999</v>
      </c>
      <c r="B4112" t="s">
        <v>3639</v>
      </c>
      <c r="F4112">
        <v>1</v>
      </c>
      <c r="G4112" t="s">
        <v>64</v>
      </c>
      <c r="L4112" t="s">
        <v>86</v>
      </c>
      <c r="M4112" t="s">
        <v>96</v>
      </c>
    </row>
    <row r="4113" spans="1:13">
      <c r="A4113">
        <v>45999</v>
      </c>
      <c r="B4113" t="s">
        <v>3640</v>
      </c>
      <c r="F4113">
        <v>1</v>
      </c>
      <c r="G4113" t="s">
        <v>64</v>
      </c>
      <c r="L4113" t="s">
        <v>82</v>
      </c>
      <c r="M4113" t="s">
        <v>96</v>
      </c>
    </row>
    <row r="4114" spans="1:13">
      <c r="A4114">
        <v>45999</v>
      </c>
      <c r="B4114" t="s">
        <v>3641</v>
      </c>
      <c r="F4114">
        <v>1</v>
      </c>
      <c r="G4114" t="s">
        <v>64</v>
      </c>
      <c r="L4114" t="s">
        <v>86</v>
      </c>
      <c r="M4114" t="s">
        <v>96</v>
      </c>
    </row>
    <row r="4115" spans="1:13">
      <c r="A4115">
        <v>45999</v>
      </c>
      <c r="B4115" t="s">
        <v>3642</v>
      </c>
      <c r="D4115">
        <v>500</v>
      </c>
      <c r="F4115">
        <v>1</v>
      </c>
      <c r="G4115" t="s">
        <v>22</v>
      </c>
      <c r="H4115" t="s">
        <v>21</v>
      </c>
      <c r="I4115" t="s">
        <v>60</v>
      </c>
      <c r="J4115" t="s">
        <v>61</v>
      </c>
      <c r="L4115" t="s">
        <v>86</v>
      </c>
    </row>
    <row r="4116" spans="1:13">
      <c r="A4116">
        <v>45999</v>
      </c>
      <c r="B4116" t="s">
        <v>63</v>
      </c>
      <c r="D4116">
        <v>100</v>
      </c>
      <c r="F4116">
        <v>1</v>
      </c>
      <c r="G4116" t="s">
        <v>22</v>
      </c>
      <c r="H4116" t="s">
        <v>93</v>
      </c>
      <c r="I4116" t="s">
        <v>60</v>
      </c>
      <c r="J4116" t="s">
        <v>61</v>
      </c>
      <c r="L4116" t="s">
        <v>62</v>
      </c>
    </row>
    <row r="4117" spans="1:13">
      <c r="A4117">
        <v>45999</v>
      </c>
      <c r="B4117" t="s">
        <v>63</v>
      </c>
      <c r="D4117">
        <v>23500</v>
      </c>
      <c r="F4117">
        <v>2</v>
      </c>
      <c r="G4117" t="s">
        <v>70</v>
      </c>
      <c r="I4117" t="s">
        <v>71</v>
      </c>
      <c r="J4117" t="s">
        <v>72</v>
      </c>
      <c r="K4117" t="s">
        <v>3643</v>
      </c>
      <c r="L4117" t="s">
        <v>62</v>
      </c>
      <c r="M4117" t="s">
        <v>90</v>
      </c>
    </row>
    <row r="4118" spans="1:13">
      <c r="A4118">
        <v>45999</v>
      </c>
      <c r="B4118" t="s">
        <v>3644</v>
      </c>
      <c r="F4118">
        <v>1</v>
      </c>
      <c r="G4118" t="s">
        <v>64</v>
      </c>
      <c r="L4118" t="s">
        <v>86</v>
      </c>
      <c r="M4118" t="s">
        <v>96</v>
      </c>
    </row>
    <row r="4119" spans="1:13">
      <c r="A4119">
        <v>45999</v>
      </c>
      <c r="B4119" t="s">
        <v>3645</v>
      </c>
      <c r="D4119">
        <v>500</v>
      </c>
      <c r="F4119">
        <v>1</v>
      </c>
      <c r="G4119" t="s">
        <v>22</v>
      </c>
      <c r="H4119" t="s">
        <v>21</v>
      </c>
      <c r="I4119" t="s">
        <v>60</v>
      </c>
      <c r="J4119" t="s">
        <v>61</v>
      </c>
      <c r="L4119" t="s">
        <v>86</v>
      </c>
    </row>
    <row r="4120" spans="1:13">
      <c r="A4120">
        <v>45999</v>
      </c>
      <c r="B4120" t="s">
        <v>63</v>
      </c>
      <c r="E4120">
        <v>2000</v>
      </c>
      <c r="F4120">
        <v>1</v>
      </c>
      <c r="G4120" t="s">
        <v>65</v>
      </c>
      <c r="H4120" t="s">
        <v>66</v>
      </c>
      <c r="I4120" t="s">
        <v>60</v>
      </c>
      <c r="J4120" t="s">
        <v>61</v>
      </c>
      <c r="L4120" t="s">
        <v>62</v>
      </c>
      <c r="M4120" t="s">
        <v>3280</v>
      </c>
    </row>
    <row r="4121" spans="1:13">
      <c r="A4121">
        <v>46000</v>
      </c>
      <c r="B4121" t="s">
        <v>81</v>
      </c>
      <c r="D4121">
        <v>206000</v>
      </c>
      <c r="F4121">
        <v>1</v>
      </c>
      <c r="G4121" t="s">
        <v>74</v>
      </c>
      <c r="H4121" t="s">
        <v>75</v>
      </c>
      <c r="I4121" t="s">
        <v>60</v>
      </c>
      <c r="J4121" t="s">
        <v>61</v>
      </c>
      <c r="L4121" t="s">
        <v>88</v>
      </c>
    </row>
    <row r="4122" spans="1:13">
      <c r="A4122">
        <v>46000</v>
      </c>
      <c r="B4122" t="s">
        <v>3646</v>
      </c>
      <c r="E4122">
        <v>803304</v>
      </c>
      <c r="F4122">
        <v>1</v>
      </c>
      <c r="G4122" t="s">
        <v>74</v>
      </c>
      <c r="H4122" t="s">
        <v>75</v>
      </c>
      <c r="I4122" t="s">
        <v>60</v>
      </c>
      <c r="J4122" t="s">
        <v>61</v>
      </c>
      <c r="L4122" t="s">
        <v>104</v>
      </c>
    </row>
    <row r="4123" spans="1:13">
      <c r="A4123">
        <v>46000</v>
      </c>
      <c r="B4123" t="s">
        <v>3647</v>
      </c>
      <c r="D4123">
        <v>207999</v>
      </c>
      <c r="F4123">
        <v>1</v>
      </c>
      <c r="G4123" t="s">
        <v>64</v>
      </c>
      <c r="I4123" t="s">
        <v>60</v>
      </c>
      <c r="J4123" t="s">
        <v>61</v>
      </c>
      <c r="L4123" t="s">
        <v>89</v>
      </c>
    </row>
    <row r="4124" spans="1:13">
      <c r="A4124">
        <v>46000</v>
      </c>
      <c r="B4124" t="s">
        <v>3356</v>
      </c>
      <c r="D4124">
        <v>500</v>
      </c>
      <c r="F4124">
        <v>1</v>
      </c>
      <c r="G4124" t="s">
        <v>22</v>
      </c>
      <c r="H4124" t="s">
        <v>21</v>
      </c>
      <c r="I4124" t="s">
        <v>60</v>
      </c>
      <c r="J4124" t="s">
        <v>61</v>
      </c>
      <c r="L4124" t="s">
        <v>89</v>
      </c>
    </row>
    <row r="4125" spans="1:13">
      <c r="A4125">
        <v>46000</v>
      </c>
      <c r="B4125" t="s">
        <v>63</v>
      </c>
      <c r="D4125">
        <v>400</v>
      </c>
      <c r="F4125">
        <v>4</v>
      </c>
      <c r="G4125" t="s">
        <v>22</v>
      </c>
      <c r="H4125" t="s">
        <v>93</v>
      </c>
      <c r="I4125" t="s">
        <v>60</v>
      </c>
      <c r="J4125" t="s">
        <v>61</v>
      </c>
      <c r="L4125" t="s">
        <v>62</v>
      </c>
    </row>
    <row r="4126" spans="1:13">
      <c r="A4126">
        <v>46000</v>
      </c>
      <c r="B4126" t="s">
        <v>63</v>
      </c>
      <c r="D4126">
        <v>14500</v>
      </c>
      <c r="G4126" t="s">
        <v>70</v>
      </c>
      <c r="I4126" t="s">
        <v>60</v>
      </c>
      <c r="J4126" t="s">
        <v>61</v>
      </c>
      <c r="L4126" t="s">
        <v>62</v>
      </c>
    </row>
    <row r="4127" spans="1:13">
      <c r="A4127">
        <v>46000</v>
      </c>
      <c r="B4127" t="s">
        <v>3648</v>
      </c>
      <c r="F4127">
        <v>1</v>
      </c>
      <c r="G4127" t="s">
        <v>377</v>
      </c>
      <c r="H4127" t="s">
        <v>21</v>
      </c>
      <c r="L4127" t="s">
        <v>82</v>
      </c>
      <c r="M4127" t="s">
        <v>327</v>
      </c>
    </row>
    <row r="4128" spans="1:13">
      <c r="A4128">
        <v>46000</v>
      </c>
      <c r="B4128" t="s">
        <v>3649</v>
      </c>
      <c r="D4128">
        <v>500</v>
      </c>
      <c r="F4128">
        <v>1</v>
      </c>
      <c r="G4128" t="s">
        <v>22</v>
      </c>
      <c r="H4128" t="s">
        <v>21</v>
      </c>
      <c r="I4128" t="s">
        <v>60</v>
      </c>
      <c r="J4128" t="s">
        <v>61</v>
      </c>
      <c r="L4128" t="s">
        <v>82</v>
      </c>
    </row>
    <row r="4129" spans="1:13">
      <c r="A4129">
        <v>46000</v>
      </c>
      <c r="B4129" t="s">
        <v>3650</v>
      </c>
      <c r="D4129">
        <v>500</v>
      </c>
      <c r="F4129">
        <v>1</v>
      </c>
      <c r="G4129" t="s">
        <v>22</v>
      </c>
      <c r="H4129" t="s">
        <v>21</v>
      </c>
      <c r="I4129" t="s">
        <v>60</v>
      </c>
      <c r="J4129" t="s">
        <v>61</v>
      </c>
      <c r="L4129" t="s">
        <v>82</v>
      </c>
    </row>
    <row r="4130" spans="1:13">
      <c r="A4130">
        <v>46000</v>
      </c>
      <c r="B4130" t="s">
        <v>3651</v>
      </c>
      <c r="D4130">
        <v>500</v>
      </c>
      <c r="F4130">
        <v>1</v>
      </c>
      <c r="G4130" t="s">
        <v>22</v>
      </c>
      <c r="H4130" t="s">
        <v>21</v>
      </c>
      <c r="I4130" t="s">
        <v>60</v>
      </c>
      <c r="J4130" t="s">
        <v>61</v>
      </c>
      <c r="L4130" t="s">
        <v>82</v>
      </c>
    </row>
    <row r="4131" spans="1:13">
      <c r="A4131">
        <v>46000</v>
      </c>
      <c r="B4131" t="s">
        <v>3652</v>
      </c>
      <c r="D4131">
        <v>500</v>
      </c>
      <c r="F4131">
        <v>1</v>
      </c>
      <c r="G4131" t="s">
        <v>22</v>
      </c>
      <c r="H4131" t="s">
        <v>21</v>
      </c>
      <c r="I4131" t="s">
        <v>60</v>
      </c>
      <c r="J4131" t="s">
        <v>61</v>
      </c>
      <c r="L4131" t="s">
        <v>82</v>
      </c>
    </row>
    <row r="4132" spans="1:13">
      <c r="A4132">
        <v>46000</v>
      </c>
      <c r="B4132" t="s">
        <v>3653</v>
      </c>
      <c r="D4132">
        <v>500</v>
      </c>
      <c r="F4132">
        <v>1</v>
      </c>
      <c r="G4132" t="s">
        <v>22</v>
      </c>
      <c r="H4132" t="s">
        <v>21</v>
      </c>
      <c r="I4132" t="s">
        <v>60</v>
      </c>
      <c r="J4132" t="s">
        <v>61</v>
      </c>
      <c r="L4132" t="s">
        <v>82</v>
      </c>
    </row>
    <row r="4133" spans="1:13">
      <c r="A4133">
        <v>46000</v>
      </c>
      <c r="B4133" t="s">
        <v>63</v>
      </c>
      <c r="E4133">
        <v>3000</v>
      </c>
      <c r="F4133">
        <v>1</v>
      </c>
      <c r="G4133" t="s">
        <v>65</v>
      </c>
      <c r="H4133" t="s">
        <v>66</v>
      </c>
      <c r="I4133" t="s">
        <v>60</v>
      </c>
      <c r="J4133" t="s">
        <v>61</v>
      </c>
      <c r="L4133" t="s">
        <v>62</v>
      </c>
      <c r="M4133" t="s">
        <v>3280</v>
      </c>
    </row>
    <row r="4134" spans="1:13">
      <c r="A4134">
        <v>46001</v>
      </c>
      <c r="B4134" t="s">
        <v>81</v>
      </c>
      <c r="D4134">
        <v>101200</v>
      </c>
      <c r="F4134">
        <v>1</v>
      </c>
      <c r="G4134" t="s">
        <v>74</v>
      </c>
      <c r="H4134" t="s">
        <v>75</v>
      </c>
      <c r="I4134" t="s">
        <v>60</v>
      </c>
      <c r="J4134" t="s">
        <v>61</v>
      </c>
      <c r="L4134" t="s">
        <v>88</v>
      </c>
    </row>
    <row r="4135" spans="1:13">
      <c r="A4135">
        <v>46001</v>
      </c>
      <c r="B4135" t="s">
        <v>3654</v>
      </c>
      <c r="E4135">
        <v>809212</v>
      </c>
      <c r="F4135">
        <v>1</v>
      </c>
      <c r="G4135" t="s">
        <v>74</v>
      </c>
      <c r="H4135" t="s">
        <v>75</v>
      </c>
      <c r="I4135" t="s">
        <v>60</v>
      </c>
      <c r="J4135" t="s">
        <v>61</v>
      </c>
      <c r="L4135" t="s">
        <v>104</v>
      </c>
    </row>
    <row r="4136" spans="1:13">
      <c r="A4136">
        <v>46001</v>
      </c>
      <c r="B4136" t="s">
        <v>84</v>
      </c>
      <c r="D4136">
        <v>-31200</v>
      </c>
      <c r="G4136" t="s">
        <v>77</v>
      </c>
      <c r="I4136" t="s">
        <v>60</v>
      </c>
      <c r="J4136" t="s">
        <v>61</v>
      </c>
      <c r="L4136" t="s">
        <v>62</v>
      </c>
    </row>
    <row r="4137" spans="1:13">
      <c r="A4137">
        <v>46001</v>
      </c>
      <c r="B4137" t="s">
        <v>84</v>
      </c>
      <c r="E4137">
        <v>-1650</v>
      </c>
      <c r="G4137" t="s">
        <v>65</v>
      </c>
      <c r="H4137" t="s">
        <v>85</v>
      </c>
      <c r="I4137" t="s">
        <v>60</v>
      </c>
      <c r="J4137" t="s">
        <v>61</v>
      </c>
      <c r="L4137" t="s">
        <v>62</v>
      </c>
    </row>
    <row r="4138" spans="1:13">
      <c r="A4138">
        <v>46001</v>
      </c>
      <c r="B4138" t="s">
        <v>63</v>
      </c>
      <c r="D4138">
        <v>57500</v>
      </c>
      <c r="G4138" t="s">
        <v>70</v>
      </c>
      <c r="I4138" t="s">
        <v>60</v>
      </c>
      <c r="J4138" t="s">
        <v>61</v>
      </c>
      <c r="L4138" t="s">
        <v>62</v>
      </c>
    </row>
    <row r="4139" spans="1:13">
      <c r="A4139">
        <v>46001</v>
      </c>
      <c r="B4139" t="s">
        <v>606</v>
      </c>
      <c r="E4139">
        <v>70000</v>
      </c>
      <c r="F4139">
        <v>1</v>
      </c>
      <c r="G4139" t="s">
        <v>65</v>
      </c>
      <c r="H4139" t="s">
        <v>348</v>
      </c>
      <c r="I4139" t="s">
        <v>60</v>
      </c>
      <c r="J4139" t="s">
        <v>61</v>
      </c>
      <c r="L4139" t="s">
        <v>62</v>
      </c>
      <c r="M4139" t="s">
        <v>3463</v>
      </c>
    </row>
    <row r="4140" spans="1:13">
      <c r="A4140">
        <v>46001</v>
      </c>
      <c r="B4140" t="s">
        <v>604</v>
      </c>
      <c r="E4140">
        <v>70000</v>
      </c>
      <c r="F4140">
        <v>1</v>
      </c>
      <c r="G4140" t="s">
        <v>65</v>
      </c>
      <c r="H4140" t="s">
        <v>348</v>
      </c>
      <c r="I4140" t="s">
        <v>60</v>
      </c>
      <c r="J4140" t="s">
        <v>61</v>
      </c>
      <c r="L4140" t="s">
        <v>62</v>
      </c>
      <c r="M4140" t="s">
        <v>3463</v>
      </c>
    </row>
    <row r="4141" spans="1:13">
      <c r="A4141">
        <v>46001</v>
      </c>
      <c r="B4141" t="s">
        <v>248</v>
      </c>
      <c r="E4141">
        <v>70000</v>
      </c>
      <c r="F4141">
        <v>1</v>
      </c>
      <c r="G4141" t="s">
        <v>65</v>
      </c>
      <c r="H4141" t="s">
        <v>348</v>
      </c>
      <c r="I4141" t="s">
        <v>60</v>
      </c>
      <c r="J4141" t="s">
        <v>61</v>
      </c>
      <c r="L4141" t="s">
        <v>62</v>
      </c>
      <c r="M4141" t="s">
        <v>3463</v>
      </c>
    </row>
    <row r="4142" spans="1:13">
      <c r="A4142">
        <v>46001</v>
      </c>
      <c r="B4142" t="s">
        <v>76</v>
      </c>
      <c r="D4142">
        <v>13000</v>
      </c>
      <c r="G4142" t="s">
        <v>77</v>
      </c>
      <c r="I4142" t="s">
        <v>60</v>
      </c>
      <c r="J4142" t="s">
        <v>61</v>
      </c>
      <c r="L4142" t="s">
        <v>62</v>
      </c>
    </row>
    <row r="4143" spans="1:13">
      <c r="A4143">
        <v>46001</v>
      </c>
      <c r="B4143" t="s">
        <v>63</v>
      </c>
      <c r="D4143">
        <v>10000</v>
      </c>
      <c r="F4143">
        <v>1</v>
      </c>
      <c r="G4143" t="s">
        <v>70</v>
      </c>
      <c r="I4143" t="s">
        <v>71</v>
      </c>
      <c r="J4143" t="s">
        <v>535</v>
      </c>
      <c r="K4143" t="s">
        <v>3622</v>
      </c>
      <c r="L4143" t="s">
        <v>62</v>
      </c>
      <c r="M4143" t="s">
        <v>3655</v>
      </c>
    </row>
    <row r="4144" spans="1:13">
      <c r="A4144">
        <v>46001</v>
      </c>
      <c r="B4144" t="s">
        <v>3656</v>
      </c>
      <c r="F4144">
        <v>1</v>
      </c>
      <c r="G4144" t="s">
        <v>590</v>
      </c>
      <c r="H4144" t="s">
        <v>21</v>
      </c>
      <c r="L4144" t="s">
        <v>82</v>
      </c>
      <c r="M4144" t="s">
        <v>3657</v>
      </c>
    </row>
    <row r="4145" spans="1:13">
      <c r="A4145">
        <v>46001</v>
      </c>
      <c r="B4145" t="s">
        <v>3658</v>
      </c>
      <c r="D4145">
        <v>500</v>
      </c>
      <c r="F4145">
        <v>1</v>
      </c>
      <c r="G4145" t="s">
        <v>22</v>
      </c>
      <c r="H4145" t="s">
        <v>21</v>
      </c>
      <c r="I4145" t="s">
        <v>60</v>
      </c>
      <c r="J4145" t="s">
        <v>61</v>
      </c>
      <c r="L4145" t="s">
        <v>89</v>
      </c>
    </row>
    <row r="4146" spans="1:13">
      <c r="A4146">
        <v>46001</v>
      </c>
      <c r="B4146" t="s">
        <v>3659</v>
      </c>
      <c r="D4146">
        <v>500</v>
      </c>
      <c r="F4146">
        <v>1</v>
      </c>
      <c r="G4146" t="s">
        <v>22</v>
      </c>
      <c r="H4146" t="s">
        <v>21</v>
      </c>
      <c r="I4146" t="s">
        <v>60</v>
      </c>
      <c r="J4146" t="s">
        <v>61</v>
      </c>
      <c r="L4146" t="s">
        <v>89</v>
      </c>
    </row>
    <row r="4147" spans="1:13">
      <c r="A4147">
        <v>46001</v>
      </c>
      <c r="B4147" t="s">
        <v>3660</v>
      </c>
      <c r="D4147">
        <v>500</v>
      </c>
      <c r="F4147">
        <v>1</v>
      </c>
      <c r="G4147" t="s">
        <v>22</v>
      </c>
      <c r="H4147" t="s">
        <v>21</v>
      </c>
      <c r="I4147" t="s">
        <v>60</v>
      </c>
      <c r="J4147" t="s">
        <v>61</v>
      </c>
      <c r="L4147" t="s">
        <v>89</v>
      </c>
    </row>
    <row r="4148" spans="1:13">
      <c r="A4148">
        <v>46001</v>
      </c>
      <c r="B4148" t="s">
        <v>3661</v>
      </c>
      <c r="D4148">
        <v>500</v>
      </c>
      <c r="F4148">
        <v>1</v>
      </c>
      <c r="G4148" t="s">
        <v>22</v>
      </c>
      <c r="H4148" t="s">
        <v>21</v>
      </c>
      <c r="I4148" t="s">
        <v>60</v>
      </c>
      <c r="J4148" t="s">
        <v>61</v>
      </c>
      <c r="L4148" t="s">
        <v>89</v>
      </c>
    </row>
    <row r="4149" spans="1:13">
      <c r="A4149">
        <v>46001</v>
      </c>
      <c r="B4149" t="s">
        <v>63</v>
      </c>
      <c r="E4149">
        <v>2000</v>
      </c>
      <c r="F4149">
        <v>1</v>
      </c>
      <c r="G4149" t="s">
        <v>65</v>
      </c>
      <c r="H4149" t="s">
        <v>66</v>
      </c>
      <c r="I4149" t="s">
        <v>60</v>
      </c>
      <c r="J4149" t="s">
        <v>61</v>
      </c>
      <c r="L4149" t="s">
        <v>62</v>
      </c>
      <c r="M4149" t="s">
        <v>3280</v>
      </c>
    </row>
    <row r="4150" spans="1:13">
      <c r="A4150">
        <v>46001</v>
      </c>
      <c r="B4150" t="s">
        <v>3662</v>
      </c>
      <c r="F4150">
        <v>-15</v>
      </c>
      <c r="G4150" t="s">
        <v>22</v>
      </c>
      <c r="H4150" t="s">
        <v>21</v>
      </c>
      <c r="L4150" t="s">
        <v>101</v>
      </c>
    </row>
    <row r="4151" spans="1:13">
      <c r="A4151">
        <v>46002</v>
      </c>
      <c r="B4151" t="s">
        <v>3663</v>
      </c>
      <c r="F4151">
        <v>1</v>
      </c>
      <c r="G4151" t="s">
        <v>107</v>
      </c>
      <c r="H4151" t="s">
        <v>21</v>
      </c>
      <c r="L4151" t="s">
        <v>89</v>
      </c>
      <c r="M4151" t="s">
        <v>3664</v>
      </c>
    </row>
    <row r="4152" spans="1:13">
      <c r="A4152">
        <v>46002</v>
      </c>
      <c r="B4152" t="s">
        <v>3665</v>
      </c>
      <c r="F4152">
        <v>1</v>
      </c>
      <c r="G4152" t="s">
        <v>79</v>
      </c>
      <c r="H4152" t="s">
        <v>21</v>
      </c>
      <c r="L4152" t="s">
        <v>89</v>
      </c>
      <c r="M4152" t="s">
        <v>327</v>
      </c>
    </row>
    <row r="4153" spans="1:13">
      <c r="A4153">
        <v>46002</v>
      </c>
      <c r="B4153" t="s">
        <v>3666</v>
      </c>
      <c r="F4153">
        <v>1</v>
      </c>
      <c r="G4153" t="s">
        <v>79</v>
      </c>
      <c r="H4153" t="s">
        <v>21</v>
      </c>
      <c r="L4153" t="s">
        <v>89</v>
      </c>
      <c r="M4153" t="s">
        <v>327</v>
      </c>
    </row>
    <row r="4154" spans="1:13">
      <c r="A4154">
        <v>46002</v>
      </c>
      <c r="B4154" t="s">
        <v>1773</v>
      </c>
      <c r="D4154">
        <v>500</v>
      </c>
      <c r="F4154">
        <v>1</v>
      </c>
      <c r="G4154" t="s">
        <v>22</v>
      </c>
      <c r="H4154" t="s">
        <v>21</v>
      </c>
      <c r="I4154" t="s">
        <v>60</v>
      </c>
      <c r="J4154" t="s">
        <v>61</v>
      </c>
      <c r="L4154" t="s">
        <v>89</v>
      </c>
    </row>
    <row r="4155" spans="1:13">
      <c r="A4155">
        <v>46002</v>
      </c>
      <c r="B4155" t="s">
        <v>81</v>
      </c>
      <c r="D4155">
        <v>72000</v>
      </c>
      <c r="F4155">
        <v>1</v>
      </c>
      <c r="G4155" t="s">
        <v>74</v>
      </c>
      <c r="H4155" t="s">
        <v>75</v>
      </c>
      <c r="I4155" t="s">
        <v>60</v>
      </c>
      <c r="J4155" t="s">
        <v>61</v>
      </c>
      <c r="L4155" t="s">
        <v>88</v>
      </c>
    </row>
    <row r="4156" spans="1:13">
      <c r="A4156">
        <v>46002</v>
      </c>
      <c r="B4156" t="s">
        <v>63</v>
      </c>
      <c r="E4156">
        <v>5000</v>
      </c>
      <c r="F4156">
        <v>1</v>
      </c>
      <c r="G4156" t="s">
        <v>65</v>
      </c>
      <c r="H4156" t="s">
        <v>66</v>
      </c>
      <c r="I4156" t="s">
        <v>60</v>
      </c>
      <c r="J4156" t="s">
        <v>61</v>
      </c>
      <c r="L4156" t="s">
        <v>62</v>
      </c>
      <c r="M4156" t="s">
        <v>3280</v>
      </c>
    </row>
    <row r="4157" spans="1:13">
      <c r="A4157">
        <v>46002</v>
      </c>
      <c r="B4157" t="s">
        <v>3667</v>
      </c>
      <c r="D4157">
        <v>500</v>
      </c>
      <c r="F4157">
        <v>0</v>
      </c>
      <c r="G4157" t="s">
        <v>22</v>
      </c>
      <c r="H4157" t="s">
        <v>21</v>
      </c>
      <c r="I4157" t="s">
        <v>60</v>
      </c>
      <c r="J4157" t="s">
        <v>61</v>
      </c>
      <c r="L4157" t="s">
        <v>86</v>
      </c>
    </row>
    <row r="4158" spans="1:13">
      <c r="A4158">
        <v>46002</v>
      </c>
      <c r="B4158" t="s">
        <v>3554</v>
      </c>
      <c r="D4158">
        <v>500</v>
      </c>
      <c r="F4158">
        <v>0</v>
      </c>
      <c r="G4158" t="s">
        <v>22</v>
      </c>
      <c r="H4158" t="s">
        <v>21</v>
      </c>
      <c r="I4158" t="s">
        <v>60</v>
      </c>
      <c r="J4158" t="s">
        <v>61</v>
      </c>
      <c r="L4158" t="s">
        <v>89</v>
      </c>
    </row>
    <row r="4159" spans="1:13">
      <c r="A4159">
        <v>46002</v>
      </c>
      <c r="B4159" t="s">
        <v>3668</v>
      </c>
      <c r="F4159">
        <v>1</v>
      </c>
      <c r="G4159" t="s">
        <v>2490</v>
      </c>
      <c r="L4159" t="s">
        <v>89</v>
      </c>
      <c r="M4159" t="s">
        <v>3581</v>
      </c>
    </row>
    <row r="4160" spans="1:13">
      <c r="A4160">
        <v>46002</v>
      </c>
      <c r="B4160" t="s">
        <v>3669</v>
      </c>
      <c r="F4160">
        <v>2</v>
      </c>
      <c r="G4160" t="s">
        <v>79</v>
      </c>
      <c r="H4160" t="s">
        <v>21</v>
      </c>
      <c r="L4160" t="s">
        <v>86</v>
      </c>
      <c r="M4160" t="s">
        <v>327</v>
      </c>
    </row>
    <row r="4161" spans="1:13">
      <c r="A4161">
        <v>46002</v>
      </c>
      <c r="B4161" t="s">
        <v>63</v>
      </c>
      <c r="D4161">
        <v>6000</v>
      </c>
      <c r="G4161" t="s">
        <v>70</v>
      </c>
      <c r="I4161" t="s">
        <v>60</v>
      </c>
      <c r="J4161" t="s">
        <v>61</v>
      </c>
      <c r="L4161" t="s">
        <v>62</v>
      </c>
    </row>
    <row r="4162" spans="1:13">
      <c r="A4162">
        <v>46002</v>
      </c>
      <c r="B4162" t="s">
        <v>63</v>
      </c>
      <c r="D4162">
        <v>8000</v>
      </c>
      <c r="F4162">
        <v>1</v>
      </c>
      <c r="G4162" t="s">
        <v>70</v>
      </c>
      <c r="I4162" t="s">
        <v>71</v>
      </c>
      <c r="J4162" t="s">
        <v>72</v>
      </c>
      <c r="K4162" t="s">
        <v>3670</v>
      </c>
      <c r="L4162" t="s">
        <v>62</v>
      </c>
      <c r="M4162" t="s">
        <v>90</v>
      </c>
    </row>
    <row r="4163" spans="1:13">
      <c r="A4163">
        <v>46002</v>
      </c>
      <c r="B4163" t="s">
        <v>3671</v>
      </c>
      <c r="D4163">
        <v>500</v>
      </c>
      <c r="F4163">
        <v>1</v>
      </c>
      <c r="G4163" t="s">
        <v>22</v>
      </c>
      <c r="H4163" t="s">
        <v>21</v>
      </c>
      <c r="I4163" t="s">
        <v>60</v>
      </c>
      <c r="J4163" t="s">
        <v>61</v>
      </c>
      <c r="L4163" t="s">
        <v>86</v>
      </c>
    </row>
    <row r="4164" spans="1:13">
      <c r="A4164">
        <v>46002</v>
      </c>
      <c r="B4164" t="s">
        <v>3625</v>
      </c>
      <c r="D4164">
        <v>500</v>
      </c>
      <c r="F4164">
        <v>0</v>
      </c>
      <c r="G4164" t="s">
        <v>22</v>
      </c>
      <c r="H4164" t="s">
        <v>21</v>
      </c>
      <c r="I4164" t="s">
        <v>60</v>
      </c>
      <c r="J4164" t="s">
        <v>61</v>
      </c>
      <c r="L4164" t="s">
        <v>86</v>
      </c>
      <c r="M4164" t="s">
        <v>83</v>
      </c>
    </row>
    <row r="4165" spans="1:13">
      <c r="A4165">
        <v>46002</v>
      </c>
      <c r="B4165" t="s">
        <v>3627</v>
      </c>
      <c r="D4165">
        <v>500</v>
      </c>
      <c r="F4165">
        <v>0</v>
      </c>
      <c r="G4165" t="s">
        <v>22</v>
      </c>
      <c r="H4165" t="s">
        <v>21</v>
      </c>
      <c r="I4165" t="s">
        <v>60</v>
      </c>
      <c r="J4165" t="s">
        <v>61</v>
      </c>
      <c r="L4165" t="s">
        <v>86</v>
      </c>
      <c r="M4165" t="s">
        <v>83</v>
      </c>
    </row>
    <row r="4166" spans="1:13">
      <c r="A4166">
        <v>46002</v>
      </c>
      <c r="B4166" t="s">
        <v>3672</v>
      </c>
      <c r="D4166">
        <v>500</v>
      </c>
      <c r="F4166">
        <v>0</v>
      </c>
      <c r="G4166" t="s">
        <v>22</v>
      </c>
      <c r="H4166" t="s">
        <v>21</v>
      </c>
      <c r="I4166" t="s">
        <v>60</v>
      </c>
      <c r="J4166" t="s">
        <v>61</v>
      </c>
      <c r="L4166" t="s">
        <v>86</v>
      </c>
      <c r="M4166" t="s">
        <v>83</v>
      </c>
    </row>
    <row r="4167" spans="1:13">
      <c r="A4167">
        <v>46002</v>
      </c>
      <c r="B4167" t="s">
        <v>3673</v>
      </c>
      <c r="D4167">
        <v>500</v>
      </c>
      <c r="F4167">
        <v>0</v>
      </c>
      <c r="G4167" t="s">
        <v>22</v>
      </c>
      <c r="H4167" t="s">
        <v>21</v>
      </c>
      <c r="I4167" t="s">
        <v>60</v>
      </c>
      <c r="J4167" t="s">
        <v>61</v>
      </c>
      <c r="L4167" t="s">
        <v>86</v>
      </c>
      <c r="M4167" t="s">
        <v>83</v>
      </c>
    </row>
    <row r="4168" spans="1:13">
      <c r="A4168">
        <v>46002</v>
      </c>
      <c r="B4168" t="s">
        <v>3674</v>
      </c>
      <c r="F4168">
        <v>1</v>
      </c>
      <c r="G4168" t="s">
        <v>107</v>
      </c>
      <c r="H4168" t="s">
        <v>21</v>
      </c>
      <c r="L4168" t="s">
        <v>86</v>
      </c>
      <c r="M4168" t="s">
        <v>3675</v>
      </c>
    </row>
    <row r="4169" spans="1:13">
      <c r="A4169">
        <v>46002</v>
      </c>
      <c r="B4169" t="s">
        <v>3676</v>
      </c>
      <c r="D4169">
        <v>500</v>
      </c>
      <c r="F4169">
        <v>1</v>
      </c>
      <c r="G4169" t="s">
        <v>22</v>
      </c>
      <c r="H4169" t="s">
        <v>21</v>
      </c>
      <c r="I4169" t="s">
        <v>60</v>
      </c>
      <c r="J4169" t="s">
        <v>61</v>
      </c>
      <c r="L4169" t="s">
        <v>86</v>
      </c>
    </row>
    <row r="4170" spans="1:13">
      <c r="A4170">
        <v>46002</v>
      </c>
      <c r="B4170" t="s">
        <v>259</v>
      </c>
      <c r="D4170">
        <v>500</v>
      </c>
      <c r="F4170">
        <v>1</v>
      </c>
      <c r="G4170" t="s">
        <v>22</v>
      </c>
      <c r="H4170" t="s">
        <v>21</v>
      </c>
      <c r="I4170" t="s">
        <v>60</v>
      </c>
      <c r="J4170" t="s">
        <v>61</v>
      </c>
      <c r="L4170" t="s">
        <v>86</v>
      </c>
    </row>
    <row r="4171" spans="1:13">
      <c r="A4171">
        <v>46003</v>
      </c>
      <c r="B4171" t="s">
        <v>81</v>
      </c>
      <c r="D4171">
        <v>138500</v>
      </c>
      <c r="F4171">
        <v>1</v>
      </c>
      <c r="G4171" t="s">
        <v>74</v>
      </c>
      <c r="H4171" t="s">
        <v>75</v>
      </c>
      <c r="I4171" t="s">
        <v>60</v>
      </c>
      <c r="J4171" t="s">
        <v>61</v>
      </c>
      <c r="L4171" t="s">
        <v>88</v>
      </c>
    </row>
    <row r="4172" spans="1:13">
      <c r="A4172">
        <v>46003</v>
      </c>
      <c r="B4172" t="s">
        <v>2262</v>
      </c>
      <c r="D4172">
        <v>500</v>
      </c>
      <c r="F4172">
        <v>1</v>
      </c>
      <c r="G4172" t="s">
        <v>22</v>
      </c>
      <c r="H4172" t="s">
        <v>21</v>
      </c>
      <c r="I4172" t="s">
        <v>60</v>
      </c>
      <c r="J4172" t="s">
        <v>61</v>
      </c>
      <c r="L4172" t="s">
        <v>82</v>
      </c>
    </row>
    <row r="4173" spans="1:13">
      <c r="A4173">
        <v>46003</v>
      </c>
      <c r="B4173" t="s">
        <v>63</v>
      </c>
      <c r="D4173">
        <v>8000</v>
      </c>
      <c r="F4173">
        <v>1</v>
      </c>
      <c r="G4173" t="s">
        <v>70</v>
      </c>
      <c r="I4173" t="s">
        <v>71</v>
      </c>
      <c r="J4173" t="s">
        <v>535</v>
      </c>
      <c r="K4173" t="s">
        <v>3677</v>
      </c>
      <c r="L4173" t="s">
        <v>62</v>
      </c>
      <c r="M4173" t="s">
        <v>90</v>
      </c>
    </row>
    <row r="4174" spans="1:13">
      <c r="A4174">
        <v>46003</v>
      </c>
      <c r="B4174" t="s">
        <v>63</v>
      </c>
      <c r="D4174">
        <v>100</v>
      </c>
      <c r="F4174">
        <v>1</v>
      </c>
      <c r="G4174" t="s">
        <v>22</v>
      </c>
      <c r="H4174" t="s">
        <v>93</v>
      </c>
      <c r="I4174" t="s">
        <v>60</v>
      </c>
      <c r="J4174" t="s">
        <v>61</v>
      </c>
      <c r="L4174" t="s">
        <v>62</v>
      </c>
    </row>
    <row r="4175" spans="1:13">
      <c r="A4175">
        <v>46003</v>
      </c>
      <c r="B4175" t="s">
        <v>3678</v>
      </c>
      <c r="D4175">
        <v>500</v>
      </c>
      <c r="F4175">
        <v>1</v>
      </c>
      <c r="G4175" t="s">
        <v>22</v>
      </c>
      <c r="H4175" t="s">
        <v>21</v>
      </c>
      <c r="I4175" t="s">
        <v>60</v>
      </c>
      <c r="J4175" t="s">
        <v>61</v>
      </c>
      <c r="L4175" t="s">
        <v>89</v>
      </c>
    </row>
    <row r="4176" spans="1:13">
      <c r="A4176">
        <v>46003</v>
      </c>
      <c r="B4176" t="s">
        <v>3679</v>
      </c>
      <c r="D4176">
        <v>500</v>
      </c>
      <c r="F4176">
        <v>1</v>
      </c>
      <c r="G4176" t="s">
        <v>22</v>
      </c>
      <c r="H4176" t="s">
        <v>21</v>
      </c>
      <c r="I4176" t="s">
        <v>60</v>
      </c>
      <c r="J4176" t="s">
        <v>61</v>
      </c>
      <c r="L4176" t="s">
        <v>89</v>
      </c>
    </row>
    <row r="4177" spans="1:13">
      <c r="A4177">
        <v>46003</v>
      </c>
      <c r="B4177" t="s">
        <v>3680</v>
      </c>
      <c r="D4177">
        <v>500</v>
      </c>
      <c r="F4177">
        <v>1</v>
      </c>
      <c r="G4177" t="s">
        <v>22</v>
      </c>
      <c r="H4177" t="s">
        <v>21</v>
      </c>
      <c r="I4177" t="s">
        <v>60</v>
      </c>
      <c r="J4177" t="s">
        <v>61</v>
      </c>
      <c r="L4177" t="s">
        <v>89</v>
      </c>
    </row>
    <row r="4178" spans="1:13">
      <c r="A4178">
        <v>46003</v>
      </c>
      <c r="B4178" t="s">
        <v>63</v>
      </c>
      <c r="E4178">
        <v>2000</v>
      </c>
      <c r="F4178">
        <v>1</v>
      </c>
      <c r="G4178" t="s">
        <v>65</v>
      </c>
      <c r="H4178" t="s">
        <v>66</v>
      </c>
      <c r="I4178" t="s">
        <v>60</v>
      </c>
      <c r="J4178" t="s">
        <v>61</v>
      </c>
      <c r="L4178" t="s">
        <v>62</v>
      </c>
      <c r="M4178" t="s">
        <v>3280</v>
      </c>
    </row>
    <row r="4179" spans="1:13">
      <c r="A4179">
        <v>46003</v>
      </c>
      <c r="B4179" t="s">
        <v>3681</v>
      </c>
      <c r="F4179">
        <v>1</v>
      </c>
      <c r="G4179" t="s">
        <v>0</v>
      </c>
      <c r="L4179" t="s">
        <v>89</v>
      </c>
    </row>
    <row r="4180" spans="1:13">
      <c r="A4180">
        <v>46004</v>
      </c>
      <c r="B4180" t="s">
        <v>3682</v>
      </c>
      <c r="E4180">
        <v>7000</v>
      </c>
      <c r="F4180">
        <v>1</v>
      </c>
      <c r="G4180" t="s">
        <v>65</v>
      </c>
      <c r="H4180" t="s">
        <v>292</v>
      </c>
      <c r="I4180" t="s">
        <v>60</v>
      </c>
      <c r="J4180" t="s">
        <v>61</v>
      </c>
      <c r="L4180" t="s">
        <v>62</v>
      </c>
      <c r="M4180" t="s">
        <v>3683</v>
      </c>
    </row>
    <row r="4181" spans="1:13">
      <c r="A4181">
        <v>46004</v>
      </c>
      <c r="B4181" t="s">
        <v>3684</v>
      </c>
      <c r="D4181">
        <v>500</v>
      </c>
      <c r="F4181">
        <v>0</v>
      </c>
      <c r="G4181" t="s">
        <v>22</v>
      </c>
      <c r="H4181" t="s">
        <v>21</v>
      </c>
      <c r="I4181" t="s">
        <v>60</v>
      </c>
      <c r="J4181" t="s">
        <v>61</v>
      </c>
      <c r="L4181" t="s">
        <v>89</v>
      </c>
      <c r="M4181" t="s">
        <v>83</v>
      </c>
    </row>
    <row r="4182" spans="1:13">
      <c r="A4182">
        <v>46004</v>
      </c>
      <c r="B4182" t="s">
        <v>3685</v>
      </c>
      <c r="D4182">
        <v>500</v>
      </c>
      <c r="F4182">
        <v>0</v>
      </c>
      <c r="G4182" t="s">
        <v>22</v>
      </c>
      <c r="H4182" t="s">
        <v>21</v>
      </c>
      <c r="I4182" t="s">
        <v>60</v>
      </c>
      <c r="J4182" t="s">
        <v>61</v>
      </c>
      <c r="L4182" t="s">
        <v>89</v>
      </c>
      <c r="M4182" t="s">
        <v>83</v>
      </c>
    </row>
    <row r="4183" spans="1:13">
      <c r="A4183">
        <v>46004</v>
      </c>
      <c r="B4183" t="s">
        <v>3686</v>
      </c>
      <c r="D4183">
        <v>500</v>
      </c>
      <c r="F4183">
        <v>1</v>
      </c>
      <c r="G4183" t="s">
        <v>22</v>
      </c>
      <c r="H4183" t="s">
        <v>21</v>
      </c>
      <c r="I4183" t="s">
        <v>60</v>
      </c>
      <c r="J4183" t="s">
        <v>61</v>
      </c>
      <c r="L4183" t="s">
        <v>86</v>
      </c>
    </row>
    <row r="4184" spans="1:13">
      <c r="A4184">
        <v>46004</v>
      </c>
      <c r="B4184" t="s">
        <v>559</v>
      </c>
      <c r="E4184">
        <v>7000</v>
      </c>
      <c r="F4184">
        <v>1</v>
      </c>
      <c r="G4184" t="s">
        <v>65</v>
      </c>
      <c r="H4184" t="s">
        <v>560</v>
      </c>
      <c r="I4184" t="s">
        <v>60</v>
      </c>
      <c r="J4184" t="s">
        <v>61</v>
      </c>
      <c r="L4184" t="s">
        <v>62</v>
      </c>
    </row>
    <row r="4185" spans="1:13">
      <c r="A4185">
        <v>46004</v>
      </c>
      <c r="B4185" t="s">
        <v>76</v>
      </c>
      <c r="D4185">
        <v>2000</v>
      </c>
      <c r="G4185" t="s">
        <v>77</v>
      </c>
      <c r="I4185" t="s">
        <v>60</v>
      </c>
      <c r="J4185" t="s">
        <v>61</v>
      </c>
      <c r="L4185" t="s">
        <v>62</v>
      </c>
    </row>
    <row r="4186" spans="1:13">
      <c r="A4186">
        <v>46004</v>
      </c>
      <c r="B4186" t="s">
        <v>63</v>
      </c>
      <c r="D4186">
        <v>15500</v>
      </c>
      <c r="F4186">
        <v>1</v>
      </c>
      <c r="G4186" t="s">
        <v>70</v>
      </c>
      <c r="I4186" t="s">
        <v>71</v>
      </c>
      <c r="J4186" t="s">
        <v>72</v>
      </c>
      <c r="K4186" t="s">
        <v>3687</v>
      </c>
      <c r="L4186" t="s">
        <v>62</v>
      </c>
      <c r="M4186" t="s">
        <v>90</v>
      </c>
    </row>
    <row r="4187" spans="1:13">
      <c r="A4187">
        <v>46004</v>
      </c>
      <c r="B4187" t="s">
        <v>3688</v>
      </c>
      <c r="D4187">
        <v>500</v>
      </c>
      <c r="F4187">
        <v>1</v>
      </c>
      <c r="G4187" t="s">
        <v>22</v>
      </c>
      <c r="H4187" t="s">
        <v>21</v>
      </c>
      <c r="I4187" t="s">
        <v>60</v>
      </c>
      <c r="J4187" t="s">
        <v>61</v>
      </c>
      <c r="L4187" t="s">
        <v>86</v>
      </c>
    </row>
    <row r="4188" spans="1:13">
      <c r="A4188">
        <v>46004</v>
      </c>
      <c r="B4188" t="s">
        <v>3689</v>
      </c>
      <c r="D4188">
        <v>500</v>
      </c>
      <c r="F4188">
        <v>0</v>
      </c>
      <c r="G4188" t="s">
        <v>22</v>
      </c>
      <c r="H4188" t="s">
        <v>21</v>
      </c>
      <c r="I4188" t="s">
        <v>60</v>
      </c>
      <c r="J4188" t="s">
        <v>61</v>
      </c>
      <c r="L4188" t="s">
        <v>86</v>
      </c>
    </row>
    <row r="4189" spans="1:13">
      <c r="A4189">
        <v>46004</v>
      </c>
      <c r="B4189" t="s">
        <v>63</v>
      </c>
      <c r="E4189">
        <v>2500</v>
      </c>
      <c r="F4189">
        <v>1</v>
      </c>
      <c r="G4189" t="s">
        <v>65</v>
      </c>
      <c r="H4189" t="s">
        <v>66</v>
      </c>
      <c r="I4189" t="s">
        <v>60</v>
      </c>
      <c r="J4189" t="s">
        <v>61</v>
      </c>
      <c r="L4189" t="s">
        <v>62</v>
      </c>
      <c r="M4189" t="s">
        <v>3280</v>
      </c>
    </row>
    <row r="4190" spans="1:13">
      <c r="A4190">
        <v>46004</v>
      </c>
      <c r="B4190" t="s">
        <v>3690</v>
      </c>
      <c r="F4190">
        <v>1</v>
      </c>
      <c r="G4190" t="s">
        <v>0</v>
      </c>
      <c r="L4190" t="s">
        <v>86</v>
      </c>
    </row>
    <row r="4191" spans="1:13">
      <c r="A4191">
        <v>46005</v>
      </c>
      <c r="B4191" t="s">
        <v>63</v>
      </c>
      <c r="D4191">
        <v>72000</v>
      </c>
      <c r="G4191" t="s">
        <v>70</v>
      </c>
      <c r="I4191" t="s">
        <v>60</v>
      </c>
      <c r="J4191" t="s">
        <v>61</v>
      </c>
      <c r="L4191" t="s">
        <v>62</v>
      </c>
    </row>
    <row r="4192" spans="1:13">
      <c r="A4192">
        <v>46005</v>
      </c>
      <c r="B4192" t="s">
        <v>3691</v>
      </c>
      <c r="D4192">
        <v>500</v>
      </c>
      <c r="F4192">
        <v>1</v>
      </c>
      <c r="G4192" t="s">
        <v>22</v>
      </c>
      <c r="H4192" t="s">
        <v>21</v>
      </c>
      <c r="I4192" t="s">
        <v>60</v>
      </c>
      <c r="J4192" t="s">
        <v>61</v>
      </c>
      <c r="L4192" t="s">
        <v>82</v>
      </c>
    </row>
    <row r="4193" spans="1:13">
      <c r="A4193">
        <v>46005</v>
      </c>
      <c r="B4193" t="s">
        <v>3692</v>
      </c>
      <c r="D4193">
        <v>500</v>
      </c>
      <c r="F4193">
        <v>1</v>
      </c>
      <c r="G4193" t="s">
        <v>22</v>
      </c>
      <c r="H4193" t="s">
        <v>21</v>
      </c>
      <c r="I4193" t="s">
        <v>60</v>
      </c>
      <c r="J4193" t="s">
        <v>61</v>
      </c>
      <c r="L4193" t="s">
        <v>82</v>
      </c>
    </row>
    <row r="4194" spans="1:13">
      <c r="A4194">
        <v>46005</v>
      </c>
      <c r="B4194" t="s">
        <v>3693</v>
      </c>
      <c r="D4194">
        <v>500</v>
      </c>
      <c r="F4194">
        <v>1</v>
      </c>
      <c r="G4194" t="s">
        <v>22</v>
      </c>
      <c r="H4194" t="s">
        <v>21</v>
      </c>
      <c r="I4194" t="s">
        <v>60</v>
      </c>
      <c r="J4194" t="s">
        <v>61</v>
      </c>
      <c r="L4194" t="s">
        <v>82</v>
      </c>
    </row>
    <row r="4195" spans="1:13">
      <c r="A4195">
        <v>46005</v>
      </c>
      <c r="B4195" t="s">
        <v>3694</v>
      </c>
      <c r="F4195">
        <v>1</v>
      </c>
      <c r="G4195" t="s">
        <v>99</v>
      </c>
      <c r="H4195" t="s">
        <v>21</v>
      </c>
      <c r="L4195" t="s">
        <v>82</v>
      </c>
      <c r="M4195" t="s">
        <v>3695</v>
      </c>
    </row>
    <row r="4196" spans="1:13">
      <c r="A4196">
        <v>46005</v>
      </c>
      <c r="B4196" t="s">
        <v>3696</v>
      </c>
      <c r="F4196">
        <v>1</v>
      </c>
      <c r="G4196" t="s">
        <v>64</v>
      </c>
      <c r="L4196" t="s">
        <v>82</v>
      </c>
      <c r="M4196" t="s">
        <v>1121</v>
      </c>
    </row>
    <row r="4197" spans="1:13">
      <c r="A4197">
        <v>46005</v>
      </c>
      <c r="B4197" t="s">
        <v>3697</v>
      </c>
      <c r="D4197">
        <v>500</v>
      </c>
      <c r="F4197">
        <v>1</v>
      </c>
      <c r="G4197" t="s">
        <v>22</v>
      </c>
      <c r="H4197" t="s">
        <v>21</v>
      </c>
      <c r="I4197" t="s">
        <v>60</v>
      </c>
      <c r="J4197" t="s">
        <v>61</v>
      </c>
      <c r="L4197" t="s">
        <v>86</v>
      </c>
    </row>
    <row r="4198" spans="1:13">
      <c r="A4198">
        <v>46005</v>
      </c>
      <c r="B4198" t="s">
        <v>3698</v>
      </c>
      <c r="D4198">
        <v>500</v>
      </c>
      <c r="F4198">
        <v>0</v>
      </c>
      <c r="G4198" t="s">
        <v>22</v>
      </c>
      <c r="H4198" t="s">
        <v>21</v>
      </c>
      <c r="I4198" t="s">
        <v>60</v>
      </c>
      <c r="J4198" t="s">
        <v>61</v>
      </c>
      <c r="L4198" t="s">
        <v>86</v>
      </c>
    </row>
    <row r="4199" spans="1:13">
      <c r="A4199">
        <v>46005</v>
      </c>
      <c r="B4199" t="s">
        <v>3699</v>
      </c>
      <c r="D4199">
        <v>500</v>
      </c>
      <c r="F4199">
        <v>0</v>
      </c>
      <c r="G4199" t="s">
        <v>22</v>
      </c>
      <c r="H4199" t="s">
        <v>21</v>
      </c>
      <c r="I4199" t="s">
        <v>60</v>
      </c>
      <c r="J4199" t="s">
        <v>61</v>
      </c>
      <c r="L4199" t="s">
        <v>86</v>
      </c>
    </row>
    <row r="4200" spans="1:13">
      <c r="A4200">
        <v>46005</v>
      </c>
      <c r="B4200" t="s">
        <v>3700</v>
      </c>
      <c r="F4200">
        <v>1</v>
      </c>
      <c r="G4200" t="s">
        <v>99</v>
      </c>
      <c r="H4200" t="s">
        <v>21</v>
      </c>
      <c r="L4200" t="s">
        <v>86</v>
      </c>
      <c r="M4200" t="s">
        <v>3695</v>
      </c>
    </row>
    <row r="4201" spans="1:13">
      <c r="A4201">
        <v>46005</v>
      </c>
      <c r="B4201" t="s">
        <v>3701</v>
      </c>
      <c r="D4201">
        <v>500</v>
      </c>
      <c r="F4201">
        <v>1</v>
      </c>
      <c r="G4201" t="s">
        <v>22</v>
      </c>
      <c r="H4201" t="s">
        <v>21</v>
      </c>
      <c r="I4201" t="s">
        <v>60</v>
      </c>
      <c r="J4201" t="s">
        <v>61</v>
      </c>
      <c r="L4201" t="s">
        <v>86</v>
      </c>
    </row>
    <row r="4202" spans="1:13">
      <c r="A4202">
        <v>46005</v>
      </c>
      <c r="B4202" t="s">
        <v>3702</v>
      </c>
      <c r="F4202">
        <v>1</v>
      </c>
      <c r="G4202" t="s">
        <v>79</v>
      </c>
      <c r="H4202" t="s">
        <v>21</v>
      </c>
      <c r="L4202" t="s">
        <v>86</v>
      </c>
      <c r="M4202" t="s">
        <v>327</v>
      </c>
    </row>
    <row r="4203" spans="1:13">
      <c r="A4203">
        <v>46005</v>
      </c>
      <c r="B4203" t="s">
        <v>76</v>
      </c>
      <c r="D4203">
        <v>8400</v>
      </c>
      <c r="G4203" t="s">
        <v>77</v>
      </c>
      <c r="I4203" t="s">
        <v>60</v>
      </c>
      <c r="J4203" t="s">
        <v>61</v>
      </c>
      <c r="L4203" t="s">
        <v>62</v>
      </c>
    </row>
    <row r="4204" spans="1:13">
      <c r="A4204">
        <v>46005</v>
      </c>
      <c r="B4204" t="s">
        <v>3703</v>
      </c>
      <c r="D4204">
        <v>500</v>
      </c>
      <c r="F4204">
        <v>1</v>
      </c>
      <c r="G4204" t="s">
        <v>22</v>
      </c>
      <c r="H4204" t="s">
        <v>21</v>
      </c>
      <c r="I4204" t="s">
        <v>60</v>
      </c>
      <c r="J4204" t="s">
        <v>61</v>
      </c>
      <c r="L4204" t="s">
        <v>86</v>
      </c>
    </row>
    <row r="4205" spans="1:13">
      <c r="A4205">
        <v>46005</v>
      </c>
      <c r="B4205" t="s">
        <v>3704</v>
      </c>
      <c r="D4205">
        <v>500</v>
      </c>
      <c r="F4205">
        <v>1</v>
      </c>
      <c r="G4205" t="s">
        <v>22</v>
      </c>
      <c r="H4205" t="s">
        <v>21</v>
      </c>
      <c r="I4205" t="s">
        <v>60</v>
      </c>
      <c r="J4205" t="s">
        <v>61</v>
      </c>
      <c r="L4205" t="s">
        <v>86</v>
      </c>
    </row>
    <row r="4206" spans="1:13">
      <c r="A4206">
        <v>46005</v>
      </c>
      <c r="B4206" t="s">
        <v>3705</v>
      </c>
      <c r="D4206">
        <v>500</v>
      </c>
      <c r="F4206">
        <v>1</v>
      </c>
      <c r="G4206" t="s">
        <v>22</v>
      </c>
      <c r="H4206" t="s">
        <v>21</v>
      </c>
      <c r="I4206" t="s">
        <v>60</v>
      </c>
      <c r="J4206" t="s">
        <v>61</v>
      </c>
      <c r="L4206" t="s">
        <v>86</v>
      </c>
    </row>
    <row r="4207" spans="1:13">
      <c r="A4207">
        <v>46005</v>
      </c>
      <c r="B4207" t="s">
        <v>3706</v>
      </c>
      <c r="F4207">
        <v>1</v>
      </c>
      <c r="G4207" t="s">
        <v>64</v>
      </c>
      <c r="L4207" t="s">
        <v>86</v>
      </c>
      <c r="M4207" t="s">
        <v>96</v>
      </c>
    </row>
    <row r="4208" spans="1:13">
      <c r="A4208">
        <v>46005</v>
      </c>
      <c r="B4208" t="s">
        <v>63</v>
      </c>
      <c r="D4208">
        <v>100</v>
      </c>
      <c r="F4208">
        <v>1</v>
      </c>
      <c r="G4208" t="s">
        <v>22</v>
      </c>
      <c r="H4208" t="s">
        <v>93</v>
      </c>
      <c r="I4208" t="s">
        <v>60</v>
      </c>
      <c r="J4208" t="s">
        <v>61</v>
      </c>
      <c r="L4208" t="s">
        <v>62</v>
      </c>
    </row>
    <row r="4209" spans="1:13">
      <c r="A4209">
        <v>46005</v>
      </c>
      <c r="B4209" t="s">
        <v>63</v>
      </c>
      <c r="E4209">
        <v>5000</v>
      </c>
      <c r="F4209">
        <v>1</v>
      </c>
      <c r="G4209" t="s">
        <v>65</v>
      </c>
      <c r="H4209" t="s">
        <v>66</v>
      </c>
      <c r="I4209" t="s">
        <v>60</v>
      </c>
      <c r="J4209" t="s">
        <v>61</v>
      </c>
      <c r="L4209" t="s">
        <v>62</v>
      </c>
      <c r="M4209" t="s">
        <v>3280</v>
      </c>
    </row>
    <row r="4210" spans="1:13">
      <c r="A4210">
        <v>46006</v>
      </c>
      <c r="B4210" t="s">
        <v>81</v>
      </c>
      <c r="D4210">
        <v>83000</v>
      </c>
      <c r="F4210">
        <v>1</v>
      </c>
      <c r="G4210" t="s">
        <v>74</v>
      </c>
      <c r="H4210" t="s">
        <v>75</v>
      </c>
      <c r="I4210" t="s">
        <v>60</v>
      </c>
      <c r="J4210" t="s">
        <v>61</v>
      </c>
      <c r="L4210" t="s">
        <v>88</v>
      </c>
    </row>
    <row r="4211" spans="1:13">
      <c r="A4211">
        <v>46006</v>
      </c>
      <c r="B4211" t="s">
        <v>3636</v>
      </c>
      <c r="C4211" t="s">
        <v>3707</v>
      </c>
      <c r="F4211">
        <v>15</v>
      </c>
      <c r="G4211" t="s">
        <v>22</v>
      </c>
      <c r="H4211" t="s">
        <v>21</v>
      </c>
      <c r="L4211" t="s">
        <v>95</v>
      </c>
    </row>
    <row r="4212" spans="1:13">
      <c r="A4212">
        <v>46006</v>
      </c>
      <c r="B4212" t="s">
        <v>3708</v>
      </c>
      <c r="F4212">
        <v>1</v>
      </c>
      <c r="G4212" t="s">
        <v>2490</v>
      </c>
      <c r="L4212" t="s">
        <v>89</v>
      </c>
      <c r="M4212" t="s">
        <v>3709</v>
      </c>
    </row>
    <row r="4213" spans="1:13">
      <c r="A4213">
        <v>46006</v>
      </c>
      <c r="B4213" t="s">
        <v>3710</v>
      </c>
      <c r="F4213">
        <v>1</v>
      </c>
      <c r="G4213" t="s">
        <v>64</v>
      </c>
      <c r="L4213" t="s">
        <v>89</v>
      </c>
      <c r="M4213" t="s">
        <v>96</v>
      </c>
    </row>
    <row r="4214" spans="1:13">
      <c r="A4214">
        <v>46006</v>
      </c>
      <c r="B4214" t="s">
        <v>3711</v>
      </c>
      <c r="D4214">
        <v>500</v>
      </c>
      <c r="F4214">
        <v>1</v>
      </c>
      <c r="G4214" t="s">
        <v>22</v>
      </c>
      <c r="H4214" t="s">
        <v>21</v>
      </c>
      <c r="I4214" t="s">
        <v>60</v>
      </c>
      <c r="J4214" t="s">
        <v>61</v>
      </c>
      <c r="L4214" t="s">
        <v>89</v>
      </c>
    </row>
    <row r="4215" spans="1:13">
      <c r="A4215">
        <v>46006</v>
      </c>
      <c r="B4215" t="s">
        <v>3712</v>
      </c>
      <c r="D4215">
        <v>500</v>
      </c>
      <c r="F4215">
        <v>1</v>
      </c>
      <c r="G4215" t="s">
        <v>22</v>
      </c>
      <c r="H4215" t="s">
        <v>21</v>
      </c>
      <c r="I4215" t="s">
        <v>60</v>
      </c>
      <c r="J4215" t="s">
        <v>61</v>
      </c>
      <c r="L4215" t="s">
        <v>82</v>
      </c>
    </row>
    <row r="4216" spans="1:13">
      <c r="A4216">
        <v>46006</v>
      </c>
      <c r="B4216" t="s">
        <v>3713</v>
      </c>
      <c r="F4216">
        <v>1</v>
      </c>
      <c r="G4216" t="s">
        <v>590</v>
      </c>
      <c r="H4216" t="s">
        <v>21</v>
      </c>
      <c r="L4216" t="s">
        <v>82</v>
      </c>
      <c r="M4216" t="s">
        <v>3695</v>
      </c>
    </row>
    <row r="4217" spans="1:13">
      <c r="A4217">
        <v>46006</v>
      </c>
      <c r="B4217" t="s">
        <v>3714</v>
      </c>
      <c r="F4217">
        <v>1</v>
      </c>
      <c r="G4217" t="s">
        <v>64</v>
      </c>
      <c r="L4217" t="s">
        <v>89</v>
      </c>
      <c r="M4217" t="s">
        <v>96</v>
      </c>
    </row>
    <row r="4218" spans="1:13">
      <c r="A4218">
        <v>46006</v>
      </c>
      <c r="B4218" t="s">
        <v>3715</v>
      </c>
      <c r="F4218">
        <v>1</v>
      </c>
      <c r="G4218" t="s">
        <v>377</v>
      </c>
      <c r="H4218" t="s">
        <v>21</v>
      </c>
      <c r="L4218" t="s">
        <v>89</v>
      </c>
      <c r="M4218" t="s">
        <v>327</v>
      </c>
    </row>
    <row r="4219" spans="1:13">
      <c r="A4219">
        <v>46006</v>
      </c>
      <c r="B4219" t="s">
        <v>3716</v>
      </c>
      <c r="D4219">
        <v>500</v>
      </c>
      <c r="F4219">
        <v>1</v>
      </c>
      <c r="G4219" t="s">
        <v>22</v>
      </c>
      <c r="H4219" t="s">
        <v>21</v>
      </c>
      <c r="I4219" t="s">
        <v>60</v>
      </c>
      <c r="J4219" t="s">
        <v>61</v>
      </c>
      <c r="L4219" t="s">
        <v>82</v>
      </c>
    </row>
    <row r="4220" spans="1:13">
      <c r="A4220">
        <v>46006</v>
      </c>
      <c r="B4220" t="s">
        <v>3717</v>
      </c>
      <c r="F4220">
        <v>1</v>
      </c>
      <c r="G4220" t="s">
        <v>98</v>
      </c>
      <c r="H4220" t="s">
        <v>21</v>
      </c>
      <c r="L4220" t="s">
        <v>82</v>
      </c>
      <c r="M4220" t="s">
        <v>327</v>
      </c>
    </row>
    <row r="4221" spans="1:13">
      <c r="A4221">
        <v>46006</v>
      </c>
      <c r="B4221" t="s">
        <v>3718</v>
      </c>
      <c r="F4221">
        <v>1</v>
      </c>
      <c r="G4221" t="s">
        <v>64</v>
      </c>
      <c r="L4221" t="s">
        <v>82</v>
      </c>
      <c r="M4221" t="s">
        <v>96</v>
      </c>
    </row>
    <row r="4222" spans="1:13">
      <c r="A4222">
        <v>46006</v>
      </c>
      <c r="B4222" t="s">
        <v>3719</v>
      </c>
      <c r="F4222">
        <v>1</v>
      </c>
      <c r="G4222" t="s">
        <v>64</v>
      </c>
      <c r="L4222" t="s">
        <v>82</v>
      </c>
      <c r="M4222" t="s">
        <v>96</v>
      </c>
    </row>
    <row r="4223" spans="1:13">
      <c r="A4223">
        <v>46006</v>
      </c>
      <c r="B4223" t="s">
        <v>3720</v>
      </c>
      <c r="D4223">
        <v>500</v>
      </c>
      <c r="F4223">
        <v>1</v>
      </c>
      <c r="G4223" t="s">
        <v>22</v>
      </c>
      <c r="H4223" t="s">
        <v>21</v>
      </c>
      <c r="I4223" t="s">
        <v>60</v>
      </c>
      <c r="J4223" t="s">
        <v>61</v>
      </c>
      <c r="L4223" t="s">
        <v>82</v>
      </c>
    </row>
    <row r="4224" spans="1:13">
      <c r="A4224">
        <v>46006</v>
      </c>
      <c r="B4224" t="s">
        <v>2221</v>
      </c>
      <c r="D4224">
        <v>500</v>
      </c>
      <c r="F4224">
        <v>0</v>
      </c>
      <c r="G4224" t="s">
        <v>22</v>
      </c>
      <c r="H4224" t="s">
        <v>21</v>
      </c>
      <c r="I4224" t="s">
        <v>60</v>
      </c>
      <c r="J4224" t="s">
        <v>61</v>
      </c>
      <c r="L4224" t="s">
        <v>82</v>
      </c>
    </row>
    <row r="4225" spans="1:13">
      <c r="A4225">
        <v>46006</v>
      </c>
      <c r="B4225" t="s">
        <v>3721</v>
      </c>
      <c r="D4225">
        <v>500</v>
      </c>
      <c r="F4225">
        <v>1</v>
      </c>
      <c r="G4225" t="s">
        <v>22</v>
      </c>
      <c r="H4225" t="s">
        <v>21</v>
      </c>
      <c r="I4225" t="s">
        <v>60</v>
      </c>
      <c r="J4225" t="s">
        <v>61</v>
      </c>
      <c r="L4225" t="s">
        <v>82</v>
      </c>
    </row>
    <row r="4226" spans="1:13">
      <c r="A4226">
        <v>46006</v>
      </c>
      <c r="B4226" t="s">
        <v>3722</v>
      </c>
      <c r="D4226">
        <v>500</v>
      </c>
      <c r="F4226">
        <v>0</v>
      </c>
      <c r="G4226" t="s">
        <v>22</v>
      </c>
      <c r="H4226" t="s">
        <v>21</v>
      </c>
      <c r="I4226" t="s">
        <v>60</v>
      </c>
      <c r="J4226" t="s">
        <v>61</v>
      </c>
      <c r="L4226" t="s">
        <v>82</v>
      </c>
    </row>
    <row r="4227" spans="1:13">
      <c r="A4227">
        <v>46006</v>
      </c>
      <c r="B4227" t="s">
        <v>63</v>
      </c>
      <c r="D4227">
        <v>25000</v>
      </c>
      <c r="F4227">
        <v>3</v>
      </c>
      <c r="G4227" t="s">
        <v>70</v>
      </c>
      <c r="I4227" t="s">
        <v>71</v>
      </c>
      <c r="J4227" t="s">
        <v>72</v>
      </c>
      <c r="K4227">
        <v>722</v>
      </c>
      <c r="L4227" t="s">
        <v>62</v>
      </c>
      <c r="M4227" t="s">
        <v>90</v>
      </c>
    </row>
    <row r="4228" spans="1:13">
      <c r="A4228">
        <v>46006</v>
      </c>
      <c r="B4228" t="s">
        <v>63</v>
      </c>
      <c r="D4228">
        <v>18500</v>
      </c>
      <c r="G4228" t="s">
        <v>70</v>
      </c>
      <c r="I4228" t="s">
        <v>60</v>
      </c>
      <c r="J4228" t="s">
        <v>61</v>
      </c>
      <c r="L4228" t="s">
        <v>62</v>
      </c>
    </row>
    <row r="4229" spans="1:13">
      <c r="A4229">
        <v>46006</v>
      </c>
      <c r="B4229" t="s">
        <v>63</v>
      </c>
      <c r="E4229">
        <v>3500</v>
      </c>
      <c r="F4229">
        <v>1</v>
      </c>
      <c r="G4229" t="s">
        <v>65</v>
      </c>
      <c r="H4229" t="s">
        <v>66</v>
      </c>
      <c r="I4229" t="s">
        <v>60</v>
      </c>
      <c r="J4229" t="s">
        <v>61</v>
      </c>
      <c r="L4229" t="s">
        <v>62</v>
      </c>
      <c r="M4229" t="s">
        <v>3280</v>
      </c>
    </row>
    <row r="4230" spans="1:13">
      <c r="A4230">
        <v>46007</v>
      </c>
      <c r="B4230" t="s">
        <v>2112</v>
      </c>
      <c r="D4230">
        <v>259999</v>
      </c>
      <c r="F4230">
        <v>1</v>
      </c>
      <c r="G4230" t="s">
        <v>64</v>
      </c>
      <c r="I4230" t="s">
        <v>60</v>
      </c>
      <c r="J4230" t="s">
        <v>61</v>
      </c>
      <c r="L4230" t="s">
        <v>89</v>
      </c>
    </row>
    <row r="4231" spans="1:13">
      <c r="A4231">
        <v>46007</v>
      </c>
      <c r="B4231" t="s">
        <v>3723</v>
      </c>
      <c r="D4231">
        <v>500</v>
      </c>
      <c r="F4231">
        <v>1</v>
      </c>
      <c r="G4231" t="s">
        <v>22</v>
      </c>
      <c r="H4231" t="s">
        <v>21</v>
      </c>
      <c r="I4231" t="s">
        <v>60</v>
      </c>
      <c r="J4231" t="s">
        <v>61</v>
      </c>
      <c r="L4231" t="s">
        <v>89</v>
      </c>
    </row>
    <row r="4232" spans="1:13">
      <c r="A4232">
        <v>46007</v>
      </c>
      <c r="B4232" t="s">
        <v>3724</v>
      </c>
      <c r="D4232">
        <v>500</v>
      </c>
      <c r="F4232">
        <v>1</v>
      </c>
      <c r="G4232" t="s">
        <v>22</v>
      </c>
      <c r="H4232" t="s">
        <v>21</v>
      </c>
      <c r="I4232" t="s">
        <v>60</v>
      </c>
      <c r="J4232" t="s">
        <v>61</v>
      </c>
      <c r="L4232" t="s">
        <v>89</v>
      </c>
    </row>
    <row r="4233" spans="1:13">
      <c r="A4233">
        <v>46007</v>
      </c>
      <c r="B4233" t="s">
        <v>3725</v>
      </c>
      <c r="D4233">
        <v>500</v>
      </c>
      <c r="F4233">
        <v>1</v>
      </c>
      <c r="G4233" t="s">
        <v>22</v>
      </c>
      <c r="H4233" t="s">
        <v>21</v>
      </c>
      <c r="I4233" t="s">
        <v>60</v>
      </c>
      <c r="J4233" t="s">
        <v>61</v>
      </c>
      <c r="L4233" t="s">
        <v>89</v>
      </c>
    </row>
    <row r="4234" spans="1:13">
      <c r="A4234">
        <v>46007</v>
      </c>
      <c r="B4234" t="s">
        <v>624</v>
      </c>
      <c r="D4234">
        <v>-52000</v>
      </c>
      <c r="G4234" t="s">
        <v>77</v>
      </c>
      <c r="I4234" t="s">
        <v>60</v>
      </c>
      <c r="J4234" t="s">
        <v>61</v>
      </c>
      <c r="L4234" t="s">
        <v>62</v>
      </c>
    </row>
    <row r="4235" spans="1:13">
      <c r="A4235">
        <v>46007</v>
      </c>
      <c r="B4235" t="s">
        <v>624</v>
      </c>
      <c r="E4235">
        <v>-2750</v>
      </c>
      <c r="G4235" t="s">
        <v>65</v>
      </c>
      <c r="H4235" t="s">
        <v>85</v>
      </c>
      <c r="I4235" t="s">
        <v>60</v>
      </c>
      <c r="J4235" t="s">
        <v>61</v>
      </c>
      <c r="L4235" t="s">
        <v>62</v>
      </c>
    </row>
    <row r="4236" spans="1:13">
      <c r="A4236">
        <v>46007</v>
      </c>
      <c r="B4236" t="s">
        <v>76</v>
      </c>
      <c r="D4236">
        <v>16000</v>
      </c>
      <c r="G4236" t="s">
        <v>77</v>
      </c>
      <c r="I4236" t="s">
        <v>60</v>
      </c>
      <c r="J4236" t="s">
        <v>61</v>
      </c>
      <c r="L4236" t="s">
        <v>62</v>
      </c>
    </row>
    <row r="4237" spans="1:13">
      <c r="A4237">
        <v>46007</v>
      </c>
      <c r="B4237" t="s">
        <v>3726</v>
      </c>
      <c r="F4237">
        <v>1</v>
      </c>
      <c r="G4237" t="s">
        <v>64</v>
      </c>
      <c r="L4237" t="s">
        <v>89</v>
      </c>
      <c r="M4237" t="s">
        <v>96</v>
      </c>
    </row>
    <row r="4238" spans="1:13">
      <c r="A4238">
        <v>46007</v>
      </c>
      <c r="B4238" t="s">
        <v>3727</v>
      </c>
      <c r="F4238">
        <v>1</v>
      </c>
      <c r="G4238" t="s">
        <v>64</v>
      </c>
      <c r="L4238" t="s">
        <v>89</v>
      </c>
      <c r="M4238" t="s">
        <v>96</v>
      </c>
    </row>
    <row r="4239" spans="1:13">
      <c r="A4239">
        <v>46007</v>
      </c>
      <c r="B4239" t="s">
        <v>3728</v>
      </c>
      <c r="D4239">
        <v>500</v>
      </c>
      <c r="F4239">
        <v>1</v>
      </c>
      <c r="G4239" t="s">
        <v>22</v>
      </c>
      <c r="H4239" t="s">
        <v>21</v>
      </c>
      <c r="I4239" t="s">
        <v>60</v>
      </c>
      <c r="J4239" t="s">
        <v>61</v>
      </c>
      <c r="L4239" t="s">
        <v>62</v>
      </c>
    </row>
    <row r="4240" spans="1:13">
      <c r="A4240">
        <v>46007</v>
      </c>
      <c r="B4240" t="s">
        <v>3729</v>
      </c>
      <c r="D4240">
        <v>500</v>
      </c>
      <c r="F4240">
        <v>0</v>
      </c>
      <c r="G4240" t="s">
        <v>22</v>
      </c>
      <c r="H4240" t="s">
        <v>21</v>
      </c>
      <c r="I4240" t="s">
        <v>60</v>
      </c>
      <c r="J4240" t="s">
        <v>61</v>
      </c>
      <c r="L4240" t="s">
        <v>86</v>
      </c>
      <c r="M4240" t="s">
        <v>3048</v>
      </c>
    </row>
    <row r="4241" spans="1:13">
      <c r="A4241">
        <v>46007</v>
      </c>
      <c r="B4241" t="s">
        <v>63</v>
      </c>
      <c r="D4241">
        <v>6500</v>
      </c>
      <c r="F4241">
        <v>1</v>
      </c>
      <c r="G4241" t="s">
        <v>70</v>
      </c>
      <c r="I4241" t="s">
        <v>71</v>
      </c>
      <c r="J4241" t="s">
        <v>535</v>
      </c>
      <c r="K4241" t="s">
        <v>3730</v>
      </c>
      <c r="L4241" t="s">
        <v>62</v>
      </c>
      <c r="M4241" t="s">
        <v>90</v>
      </c>
    </row>
    <row r="4242" spans="1:13">
      <c r="A4242">
        <v>46007</v>
      </c>
      <c r="B4242" t="s">
        <v>63</v>
      </c>
      <c r="D4242">
        <v>12000</v>
      </c>
      <c r="F4242">
        <v>1</v>
      </c>
      <c r="G4242" t="s">
        <v>70</v>
      </c>
      <c r="I4242" t="s">
        <v>71</v>
      </c>
      <c r="J4242" t="s">
        <v>72</v>
      </c>
      <c r="K4242" t="s">
        <v>3731</v>
      </c>
      <c r="L4242" t="s">
        <v>62</v>
      </c>
      <c r="M4242" t="s">
        <v>90</v>
      </c>
    </row>
    <row r="4243" spans="1:13">
      <c r="A4243">
        <v>46007</v>
      </c>
      <c r="B4243" t="s">
        <v>3732</v>
      </c>
      <c r="D4243">
        <v>500</v>
      </c>
      <c r="F4243">
        <v>0</v>
      </c>
      <c r="G4243" t="s">
        <v>22</v>
      </c>
      <c r="H4243" t="s">
        <v>21</v>
      </c>
      <c r="I4243" t="s">
        <v>60</v>
      </c>
      <c r="J4243" t="s">
        <v>61</v>
      </c>
      <c r="L4243" t="s">
        <v>86</v>
      </c>
      <c r="M4243" t="s">
        <v>3048</v>
      </c>
    </row>
    <row r="4244" spans="1:13">
      <c r="A4244">
        <v>46007</v>
      </c>
      <c r="B4244" t="s">
        <v>3733</v>
      </c>
      <c r="F4244">
        <v>1</v>
      </c>
      <c r="G4244" t="s">
        <v>64</v>
      </c>
      <c r="L4244" t="s">
        <v>86</v>
      </c>
      <c r="M4244" t="s">
        <v>96</v>
      </c>
    </row>
    <row r="4245" spans="1:13">
      <c r="A4245">
        <v>46007</v>
      </c>
      <c r="B4245" t="s">
        <v>3734</v>
      </c>
      <c r="F4245">
        <v>1</v>
      </c>
      <c r="G4245" t="s">
        <v>64</v>
      </c>
      <c r="L4245" t="s">
        <v>86</v>
      </c>
      <c r="M4245" t="s">
        <v>3735</v>
      </c>
    </row>
    <row r="4246" spans="1:13">
      <c r="A4246">
        <v>46007</v>
      </c>
      <c r="B4246" t="s">
        <v>3674</v>
      </c>
      <c r="D4246">
        <v>500</v>
      </c>
      <c r="F4246">
        <v>0</v>
      </c>
      <c r="G4246" t="s">
        <v>22</v>
      </c>
      <c r="H4246" t="s">
        <v>21</v>
      </c>
      <c r="I4246" t="s">
        <v>60</v>
      </c>
      <c r="J4246" t="s">
        <v>61</v>
      </c>
      <c r="L4246" t="s">
        <v>86</v>
      </c>
      <c r="M4246" t="s">
        <v>3048</v>
      </c>
    </row>
    <row r="4247" spans="1:13">
      <c r="A4247">
        <v>46007</v>
      </c>
      <c r="B4247" t="s">
        <v>3736</v>
      </c>
      <c r="D4247">
        <v>500</v>
      </c>
      <c r="F4247">
        <v>1</v>
      </c>
      <c r="G4247" t="s">
        <v>22</v>
      </c>
      <c r="H4247" t="s">
        <v>21</v>
      </c>
      <c r="I4247" t="s">
        <v>60</v>
      </c>
      <c r="J4247" t="s">
        <v>61</v>
      </c>
      <c r="L4247" t="s">
        <v>86</v>
      </c>
    </row>
    <row r="4248" spans="1:13">
      <c r="A4248">
        <v>46007</v>
      </c>
      <c r="B4248" t="s">
        <v>63</v>
      </c>
      <c r="E4248">
        <v>4000</v>
      </c>
      <c r="F4248">
        <v>1</v>
      </c>
      <c r="G4248" t="s">
        <v>65</v>
      </c>
      <c r="H4248" t="s">
        <v>66</v>
      </c>
      <c r="I4248" t="s">
        <v>60</v>
      </c>
      <c r="J4248" t="s">
        <v>61</v>
      </c>
      <c r="L4248" t="s">
        <v>62</v>
      </c>
      <c r="M4248" t="s">
        <v>3280</v>
      </c>
    </row>
    <row r="4249" spans="1:13">
      <c r="A4249">
        <v>46008</v>
      </c>
      <c r="B4249" t="s">
        <v>3737</v>
      </c>
      <c r="F4249">
        <v>1</v>
      </c>
      <c r="G4249" t="s">
        <v>64</v>
      </c>
      <c r="L4249" t="s">
        <v>89</v>
      </c>
      <c r="M4249" t="s">
        <v>3509</v>
      </c>
    </row>
    <row r="4250" spans="1:13">
      <c r="A4250">
        <v>46008</v>
      </c>
      <c r="B4250" t="s">
        <v>3738</v>
      </c>
      <c r="F4250">
        <v>1</v>
      </c>
      <c r="G4250" t="s">
        <v>377</v>
      </c>
      <c r="H4250" t="s">
        <v>21</v>
      </c>
      <c r="L4250" t="s">
        <v>89</v>
      </c>
      <c r="M4250" t="s">
        <v>327</v>
      </c>
    </row>
    <row r="4251" spans="1:13">
      <c r="A4251">
        <v>46008</v>
      </c>
      <c r="B4251" t="s">
        <v>3739</v>
      </c>
      <c r="F4251">
        <v>1</v>
      </c>
      <c r="G4251" t="s">
        <v>564</v>
      </c>
      <c r="H4251" t="s">
        <v>21</v>
      </c>
      <c r="L4251" t="s">
        <v>86</v>
      </c>
      <c r="M4251" t="s">
        <v>327</v>
      </c>
    </row>
    <row r="4252" spans="1:13">
      <c r="A4252">
        <v>46008</v>
      </c>
      <c r="B4252" t="s">
        <v>3739</v>
      </c>
      <c r="F4252">
        <v>1</v>
      </c>
      <c r="G4252" t="s">
        <v>64</v>
      </c>
      <c r="L4252" t="s">
        <v>86</v>
      </c>
      <c r="M4252" t="s">
        <v>96</v>
      </c>
    </row>
    <row r="4253" spans="1:13">
      <c r="A4253">
        <v>46008</v>
      </c>
      <c r="B4253" t="s">
        <v>3740</v>
      </c>
      <c r="D4253">
        <v>500</v>
      </c>
      <c r="F4253">
        <v>1</v>
      </c>
      <c r="G4253" t="s">
        <v>22</v>
      </c>
      <c r="H4253" t="s">
        <v>21</v>
      </c>
      <c r="I4253" t="s">
        <v>60</v>
      </c>
      <c r="J4253" t="s">
        <v>61</v>
      </c>
      <c r="L4253" t="s">
        <v>86</v>
      </c>
    </row>
    <row r="4254" spans="1:13">
      <c r="A4254">
        <v>46008</v>
      </c>
      <c r="B4254" t="s">
        <v>3741</v>
      </c>
      <c r="D4254">
        <v>500</v>
      </c>
      <c r="F4254">
        <v>0</v>
      </c>
      <c r="G4254" t="s">
        <v>22</v>
      </c>
      <c r="H4254" t="s">
        <v>21</v>
      </c>
      <c r="I4254" t="s">
        <v>60</v>
      </c>
      <c r="J4254" t="s">
        <v>61</v>
      </c>
      <c r="L4254" t="s">
        <v>86</v>
      </c>
      <c r="M4254" t="s">
        <v>3048</v>
      </c>
    </row>
    <row r="4255" spans="1:13">
      <c r="A4255">
        <v>46008</v>
      </c>
      <c r="B4255" t="s">
        <v>63</v>
      </c>
      <c r="D4255">
        <v>9000</v>
      </c>
      <c r="F4255">
        <v>1</v>
      </c>
      <c r="G4255" t="s">
        <v>70</v>
      </c>
      <c r="I4255" t="s">
        <v>71</v>
      </c>
      <c r="J4255" t="s">
        <v>535</v>
      </c>
      <c r="K4255" t="s">
        <v>3742</v>
      </c>
      <c r="L4255" t="s">
        <v>62</v>
      </c>
      <c r="M4255" t="s">
        <v>90</v>
      </c>
    </row>
    <row r="4256" spans="1:13">
      <c r="A4256">
        <v>46008</v>
      </c>
      <c r="B4256" t="s">
        <v>63</v>
      </c>
      <c r="D4256">
        <v>24500</v>
      </c>
      <c r="G4256" t="s">
        <v>70</v>
      </c>
      <c r="I4256" t="s">
        <v>60</v>
      </c>
      <c r="J4256" t="s">
        <v>61</v>
      </c>
      <c r="L4256" t="s">
        <v>62</v>
      </c>
    </row>
    <row r="4257" spans="1:13">
      <c r="A4257">
        <v>46008</v>
      </c>
      <c r="B4257" t="s">
        <v>604</v>
      </c>
      <c r="E4257">
        <v>50000</v>
      </c>
      <c r="F4257">
        <v>1</v>
      </c>
      <c r="G4257" t="s">
        <v>65</v>
      </c>
      <c r="H4257" t="s">
        <v>348</v>
      </c>
      <c r="I4257" t="s">
        <v>60</v>
      </c>
      <c r="J4257" t="s">
        <v>61</v>
      </c>
      <c r="L4257" t="s">
        <v>62</v>
      </c>
      <c r="M4257" t="s">
        <v>3743</v>
      </c>
    </row>
    <row r="4258" spans="1:13">
      <c r="A4258">
        <v>46008</v>
      </c>
      <c r="B4258" t="s">
        <v>606</v>
      </c>
      <c r="E4258">
        <v>50000</v>
      </c>
      <c r="F4258">
        <v>1</v>
      </c>
      <c r="G4258" t="s">
        <v>65</v>
      </c>
      <c r="H4258" t="s">
        <v>348</v>
      </c>
      <c r="I4258" t="s">
        <v>60</v>
      </c>
      <c r="J4258" t="s">
        <v>61</v>
      </c>
      <c r="L4258" t="s">
        <v>62</v>
      </c>
      <c r="M4258" t="s">
        <v>3743</v>
      </c>
    </row>
    <row r="4259" spans="1:13">
      <c r="A4259">
        <v>46008</v>
      </c>
      <c r="B4259" t="s">
        <v>248</v>
      </c>
      <c r="E4259">
        <v>50000</v>
      </c>
      <c r="F4259">
        <v>1</v>
      </c>
      <c r="G4259" t="s">
        <v>65</v>
      </c>
      <c r="H4259" t="s">
        <v>348</v>
      </c>
      <c r="I4259" t="s">
        <v>60</v>
      </c>
      <c r="J4259" t="s">
        <v>61</v>
      </c>
      <c r="L4259" t="s">
        <v>62</v>
      </c>
      <c r="M4259" t="s">
        <v>3743</v>
      </c>
    </row>
    <row r="4260" spans="1:13">
      <c r="A4260">
        <v>46008</v>
      </c>
      <c r="B4260" t="s">
        <v>248</v>
      </c>
      <c r="E4260">
        <v>73044.479999999996</v>
      </c>
      <c r="F4260">
        <v>1</v>
      </c>
      <c r="G4260" t="s">
        <v>65</v>
      </c>
      <c r="H4260" t="s">
        <v>348</v>
      </c>
      <c r="I4260" t="s">
        <v>60</v>
      </c>
      <c r="J4260" t="s">
        <v>61</v>
      </c>
      <c r="L4260" t="s">
        <v>62</v>
      </c>
      <c r="M4260" t="s">
        <v>3744</v>
      </c>
    </row>
    <row r="4261" spans="1:13">
      <c r="A4261">
        <v>46008</v>
      </c>
      <c r="B4261" t="s">
        <v>76</v>
      </c>
      <c r="D4261">
        <v>10000</v>
      </c>
      <c r="G4261" t="s">
        <v>77</v>
      </c>
      <c r="I4261" t="s">
        <v>60</v>
      </c>
      <c r="J4261" t="s">
        <v>61</v>
      </c>
      <c r="L4261" t="s">
        <v>62</v>
      </c>
    </row>
    <row r="4262" spans="1:13">
      <c r="A4262">
        <v>46008</v>
      </c>
      <c r="B4262" t="s">
        <v>3745</v>
      </c>
      <c r="F4262">
        <v>1</v>
      </c>
      <c r="G4262" t="s">
        <v>590</v>
      </c>
      <c r="H4262" t="s">
        <v>21</v>
      </c>
      <c r="L4262" t="s">
        <v>82</v>
      </c>
      <c r="M4262" t="s">
        <v>3746</v>
      </c>
    </row>
    <row r="4263" spans="1:13">
      <c r="A4263">
        <v>46008</v>
      </c>
      <c r="B4263" t="s">
        <v>3747</v>
      </c>
      <c r="F4263">
        <v>1</v>
      </c>
      <c r="G4263" t="s">
        <v>64</v>
      </c>
      <c r="L4263" t="s">
        <v>86</v>
      </c>
      <c r="M4263" t="s">
        <v>96</v>
      </c>
    </row>
    <row r="4264" spans="1:13">
      <c r="A4264">
        <v>46008</v>
      </c>
      <c r="B4264" t="s">
        <v>2113</v>
      </c>
      <c r="F4264">
        <v>1</v>
      </c>
      <c r="G4264" t="s">
        <v>64</v>
      </c>
      <c r="L4264" t="s">
        <v>82</v>
      </c>
      <c r="M4264" t="s">
        <v>3748</v>
      </c>
    </row>
    <row r="4265" spans="1:13">
      <c r="A4265">
        <v>46008</v>
      </c>
      <c r="B4265" t="s">
        <v>3749</v>
      </c>
      <c r="F4265">
        <v>1</v>
      </c>
      <c r="G4265" t="s">
        <v>64</v>
      </c>
      <c r="L4265" t="s">
        <v>82</v>
      </c>
      <c r="M4265" t="s">
        <v>96</v>
      </c>
    </row>
    <row r="4266" spans="1:13">
      <c r="A4266">
        <v>46008</v>
      </c>
      <c r="B4266" t="s">
        <v>63</v>
      </c>
      <c r="E4266">
        <v>1000</v>
      </c>
      <c r="F4266">
        <v>1</v>
      </c>
      <c r="G4266" t="s">
        <v>65</v>
      </c>
      <c r="H4266" t="s">
        <v>66</v>
      </c>
      <c r="I4266" t="s">
        <v>60</v>
      </c>
      <c r="J4266" t="s">
        <v>61</v>
      </c>
      <c r="L4266" t="s">
        <v>62</v>
      </c>
      <c r="M4266" t="s">
        <v>3280</v>
      </c>
    </row>
    <row r="4267" spans="1:13">
      <c r="A4267">
        <v>46008</v>
      </c>
      <c r="B4267" t="s">
        <v>3750</v>
      </c>
      <c r="F4267">
        <v>1</v>
      </c>
      <c r="G4267" t="s">
        <v>0</v>
      </c>
      <c r="L4267" t="s">
        <v>89</v>
      </c>
    </row>
    <row r="4268" spans="1:13">
      <c r="A4268">
        <v>46009</v>
      </c>
      <c r="B4268" t="s">
        <v>3751</v>
      </c>
      <c r="D4268">
        <v>1000000</v>
      </c>
      <c r="F4268">
        <v>1</v>
      </c>
      <c r="G4268" t="s">
        <v>74</v>
      </c>
      <c r="H4268" t="s">
        <v>75</v>
      </c>
      <c r="I4268" t="s">
        <v>60</v>
      </c>
      <c r="J4268" t="s">
        <v>61</v>
      </c>
      <c r="L4268" t="s">
        <v>104</v>
      </c>
    </row>
    <row r="4269" spans="1:13">
      <c r="A4269">
        <v>46009</v>
      </c>
      <c r="B4269" t="s">
        <v>3752</v>
      </c>
      <c r="F4269">
        <v>1</v>
      </c>
      <c r="G4269" t="s">
        <v>64</v>
      </c>
      <c r="L4269" t="s">
        <v>82</v>
      </c>
      <c r="M4269" t="s">
        <v>3753</v>
      </c>
    </row>
    <row r="4270" spans="1:13">
      <c r="A4270">
        <v>46009</v>
      </c>
      <c r="B4270" t="s">
        <v>63</v>
      </c>
      <c r="D4270">
        <v>48500</v>
      </c>
      <c r="F4270">
        <v>1</v>
      </c>
      <c r="G4270" t="s">
        <v>70</v>
      </c>
      <c r="I4270" t="s">
        <v>71</v>
      </c>
      <c r="J4270" t="s">
        <v>535</v>
      </c>
      <c r="K4270" t="s">
        <v>3754</v>
      </c>
      <c r="L4270" t="s">
        <v>62</v>
      </c>
      <c r="M4270" t="s">
        <v>90</v>
      </c>
    </row>
    <row r="4271" spans="1:13">
      <c r="A4271">
        <v>46009</v>
      </c>
      <c r="B4271" t="s">
        <v>76</v>
      </c>
      <c r="D4271">
        <v>43200</v>
      </c>
      <c r="G4271" t="s">
        <v>77</v>
      </c>
      <c r="I4271" t="s">
        <v>60</v>
      </c>
      <c r="J4271" t="s">
        <v>61</v>
      </c>
      <c r="L4271" t="s">
        <v>62</v>
      </c>
    </row>
    <row r="4272" spans="1:13">
      <c r="A4272">
        <v>46009</v>
      </c>
      <c r="B4272" t="s">
        <v>84</v>
      </c>
      <c r="D4272">
        <v>-62400</v>
      </c>
      <c r="G4272" t="s">
        <v>77</v>
      </c>
      <c r="I4272" t="s">
        <v>60</v>
      </c>
      <c r="J4272" t="s">
        <v>61</v>
      </c>
      <c r="L4272" t="s">
        <v>62</v>
      </c>
    </row>
    <row r="4273" spans="1:13">
      <c r="A4273">
        <v>46009</v>
      </c>
      <c r="B4273" t="s">
        <v>84</v>
      </c>
      <c r="E4273">
        <v>-3300</v>
      </c>
      <c r="G4273" t="s">
        <v>65</v>
      </c>
      <c r="H4273" t="s">
        <v>85</v>
      </c>
      <c r="I4273" t="s">
        <v>60</v>
      </c>
      <c r="J4273" t="s">
        <v>61</v>
      </c>
      <c r="L4273" t="s">
        <v>62</v>
      </c>
    </row>
    <row r="4274" spans="1:13">
      <c r="A4274">
        <v>46009</v>
      </c>
      <c r="B4274" t="s">
        <v>3755</v>
      </c>
      <c r="D4274">
        <v>500</v>
      </c>
      <c r="F4274">
        <v>1</v>
      </c>
      <c r="G4274" t="s">
        <v>22</v>
      </c>
      <c r="H4274" t="s">
        <v>21</v>
      </c>
      <c r="I4274" t="s">
        <v>60</v>
      </c>
      <c r="J4274" t="s">
        <v>61</v>
      </c>
      <c r="L4274" t="s">
        <v>82</v>
      </c>
    </row>
    <row r="4275" spans="1:13">
      <c r="A4275">
        <v>46009</v>
      </c>
      <c r="B4275" t="s">
        <v>3756</v>
      </c>
      <c r="F4275">
        <v>1</v>
      </c>
      <c r="G4275" t="s">
        <v>2490</v>
      </c>
      <c r="L4275" t="s">
        <v>89</v>
      </c>
      <c r="M4275" t="s">
        <v>3709</v>
      </c>
    </row>
    <row r="4276" spans="1:13">
      <c r="A4276">
        <v>46009</v>
      </c>
      <c r="B4276" t="s">
        <v>3757</v>
      </c>
      <c r="D4276">
        <v>500</v>
      </c>
      <c r="F4276">
        <v>1</v>
      </c>
      <c r="G4276" t="s">
        <v>22</v>
      </c>
      <c r="H4276" t="s">
        <v>21</v>
      </c>
      <c r="I4276" t="s">
        <v>60</v>
      </c>
      <c r="J4276" t="s">
        <v>61</v>
      </c>
      <c r="L4276" t="s">
        <v>89</v>
      </c>
    </row>
    <row r="4277" spans="1:13">
      <c r="A4277">
        <v>46009</v>
      </c>
      <c r="B4277" t="s">
        <v>3758</v>
      </c>
      <c r="F4277">
        <v>1</v>
      </c>
      <c r="G4277" t="s">
        <v>79</v>
      </c>
      <c r="H4277" t="s">
        <v>21</v>
      </c>
      <c r="L4277" t="s">
        <v>89</v>
      </c>
      <c r="M4277" t="s">
        <v>327</v>
      </c>
    </row>
    <row r="4278" spans="1:13">
      <c r="A4278">
        <v>46009</v>
      </c>
      <c r="B4278" t="s">
        <v>364</v>
      </c>
      <c r="D4278">
        <v>12000</v>
      </c>
      <c r="F4278">
        <v>2</v>
      </c>
      <c r="G4278" t="s">
        <v>70</v>
      </c>
      <c r="I4278" t="s">
        <v>71</v>
      </c>
      <c r="J4278" t="s">
        <v>72</v>
      </c>
      <c r="K4278" t="s">
        <v>3759</v>
      </c>
      <c r="L4278" t="s">
        <v>62</v>
      </c>
      <c r="M4278" t="s">
        <v>272</v>
      </c>
    </row>
    <row r="4279" spans="1:13">
      <c r="A4279">
        <v>46009</v>
      </c>
      <c r="B4279" t="s">
        <v>63</v>
      </c>
      <c r="D4279">
        <v>6384</v>
      </c>
      <c r="G4279" t="s">
        <v>70</v>
      </c>
      <c r="I4279" t="s">
        <v>60</v>
      </c>
      <c r="J4279" t="s">
        <v>61</v>
      </c>
      <c r="L4279" t="s">
        <v>62</v>
      </c>
    </row>
    <row r="4280" spans="1:13">
      <c r="A4280">
        <v>46009</v>
      </c>
      <c r="B4280" t="s">
        <v>2950</v>
      </c>
      <c r="C4280" t="s">
        <v>3760</v>
      </c>
      <c r="E4280">
        <v>26167.83</v>
      </c>
      <c r="F4280">
        <v>1</v>
      </c>
      <c r="G4280" t="s">
        <v>65</v>
      </c>
      <c r="H4280" t="s">
        <v>66</v>
      </c>
      <c r="I4280" t="s">
        <v>60</v>
      </c>
      <c r="J4280" t="s">
        <v>61</v>
      </c>
      <c r="L4280" t="s">
        <v>62</v>
      </c>
      <c r="M4280" t="s">
        <v>1044</v>
      </c>
    </row>
    <row r="4281" spans="1:13">
      <c r="A4281">
        <v>46009</v>
      </c>
      <c r="B4281" t="s">
        <v>81</v>
      </c>
      <c r="D4281">
        <v>251500</v>
      </c>
      <c r="F4281">
        <v>1</v>
      </c>
      <c r="G4281" t="s">
        <v>74</v>
      </c>
      <c r="H4281" t="s">
        <v>75</v>
      </c>
      <c r="I4281" t="s">
        <v>60</v>
      </c>
      <c r="J4281" t="s">
        <v>61</v>
      </c>
      <c r="L4281" t="s">
        <v>88</v>
      </c>
    </row>
    <row r="4282" spans="1:13">
      <c r="A4282">
        <v>46009</v>
      </c>
      <c r="B4282" t="s">
        <v>3761</v>
      </c>
      <c r="F4282">
        <v>1</v>
      </c>
      <c r="G4282" t="s">
        <v>79</v>
      </c>
      <c r="H4282" t="s">
        <v>21</v>
      </c>
      <c r="L4282" t="s">
        <v>89</v>
      </c>
      <c r="M4282" t="s">
        <v>327</v>
      </c>
    </row>
    <row r="4283" spans="1:13">
      <c r="A4283">
        <v>46009</v>
      </c>
      <c r="B4283" t="s">
        <v>63</v>
      </c>
      <c r="E4283">
        <v>1000</v>
      </c>
      <c r="F4283">
        <v>1</v>
      </c>
      <c r="G4283" t="s">
        <v>65</v>
      </c>
      <c r="H4283" t="s">
        <v>66</v>
      </c>
      <c r="I4283" t="s">
        <v>60</v>
      </c>
      <c r="J4283" t="s">
        <v>61</v>
      </c>
      <c r="L4283" t="s">
        <v>62</v>
      </c>
      <c r="M4283" t="s">
        <v>3280</v>
      </c>
    </row>
    <row r="4284" spans="1:13">
      <c r="A4284">
        <v>46010</v>
      </c>
      <c r="B4284" t="s">
        <v>559</v>
      </c>
      <c r="E4284">
        <v>7000</v>
      </c>
      <c r="F4284">
        <v>1</v>
      </c>
      <c r="G4284" t="s">
        <v>65</v>
      </c>
      <c r="H4284" t="s">
        <v>66</v>
      </c>
      <c r="I4284" t="s">
        <v>60</v>
      </c>
      <c r="J4284" t="s">
        <v>61</v>
      </c>
      <c r="L4284" t="s">
        <v>62</v>
      </c>
    </row>
    <row r="4285" spans="1:13">
      <c r="A4285">
        <v>46010</v>
      </c>
      <c r="B4285" t="s">
        <v>3762</v>
      </c>
      <c r="F4285">
        <v>1</v>
      </c>
      <c r="G4285" t="s">
        <v>79</v>
      </c>
      <c r="H4285" t="s">
        <v>21</v>
      </c>
      <c r="L4285" t="s">
        <v>89</v>
      </c>
      <c r="M4285" t="s">
        <v>327</v>
      </c>
    </row>
    <row r="4286" spans="1:13">
      <c r="A4286">
        <v>46010</v>
      </c>
      <c r="B4286" t="s">
        <v>3763</v>
      </c>
      <c r="D4286">
        <v>500</v>
      </c>
      <c r="F4286">
        <v>1</v>
      </c>
      <c r="G4286" t="s">
        <v>22</v>
      </c>
      <c r="H4286" t="s">
        <v>21</v>
      </c>
      <c r="I4286" t="s">
        <v>60</v>
      </c>
      <c r="J4286" t="s">
        <v>61</v>
      </c>
      <c r="L4286" t="s">
        <v>86</v>
      </c>
    </row>
    <row r="4287" spans="1:13">
      <c r="A4287">
        <v>46010</v>
      </c>
      <c r="B4287" t="s">
        <v>63</v>
      </c>
      <c r="D4287">
        <v>100</v>
      </c>
      <c r="F4287">
        <v>1</v>
      </c>
      <c r="G4287" t="s">
        <v>22</v>
      </c>
      <c r="H4287" t="s">
        <v>93</v>
      </c>
      <c r="I4287" t="s">
        <v>60</v>
      </c>
      <c r="J4287" t="s">
        <v>61</v>
      </c>
      <c r="L4287" t="s">
        <v>62</v>
      </c>
    </row>
    <row r="4288" spans="1:13">
      <c r="A4288">
        <v>46010</v>
      </c>
      <c r="B4288" t="s">
        <v>76</v>
      </c>
      <c r="D4288">
        <v>6000</v>
      </c>
      <c r="G4288" t="s">
        <v>77</v>
      </c>
      <c r="I4288" t="s">
        <v>60</v>
      </c>
      <c r="J4288" t="s">
        <v>61</v>
      </c>
      <c r="L4288" t="s">
        <v>62</v>
      </c>
    </row>
    <row r="4289" spans="1:13">
      <c r="A4289">
        <v>46010</v>
      </c>
      <c r="B4289" t="s">
        <v>3764</v>
      </c>
      <c r="D4289">
        <v>500</v>
      </c>
      <c r="F4289">
        <v>1</v>
      </c>
      <c r="G4289" t="s">
        <v>22</v>
      </c>
      <c r="H4289" t="s">
        <v>21</v>
      </c>
      <c r="I4289" t="s">
        <v>60</v>
      </c>
      <c r="J4289" t="s">
        <v>61</v>
      </c>
      <c r="L4289" t="s">
        <v>86</v>
      </c>
    </row>
    <row r="4290" spans="1:13">
      <c r="A4290">
        <v>46010</v>
      </c>
      <c r="B4290" t="s">
        <v>3765</v>
      </c>
      <c r="D4290">
        <v>500</v>
      </c>
      <c r="F4290">
        <v>1</v>
      </c>
      <c r="G4290" t="s">
        <v>22</v>
      </c>
      <c r="H4290" t="s">
        <v>21</v>
      </c>
      <c r="I4290" t="s">
        <v>60</v>
      </c>
      <c r="J4290" t="s">
        <v>61</v>
      </c>
      <c r="L4290" t="s">
        <v>86</v>
      </c>
    </row>
    <row r="4291" spans="1:13">
      <c r="A4291">
        <v>46010</v>
      </c>
      <c r="B4291" t="s">
        <v>63</v>
      </c>
      <c r="D4291">
        <v>8000</v>
      </c>
      <c r="F4291">
        <v>1</v>
      </c>
      <c r="G4291" t="s">
        <v>70</v>
      </c>
      <c r="I4291" t="s">
        <v>71</v>
      </c>
      <c r="J4291" t="s">
        <v>72</v>
      </c>
      <c r="K4291" t="s">
        <v>3766</v>
      </c>
      <c r="L4291" t="s">
        <v>62</v>
      </c>
      <c r="M4291" t="s">
        <v>90</v>
      </c>
    </row>
    <row r="4292" spans="1:13">
      <c r="A4292">
        <v>46010</v>
      </c>
      <c r="B4292" t="s">
        <v>63</v>
      </c>
      <c r="D4292">
        <v>20000</v>
      </c>
      <c r="F4292">
        <v>2</v>
      </c>
      <c r="G4292" t="s">
        <v>70</v>
      </c>
      <c r="I4292" t="s">
        <v>71</v>
      </c>
      <c r="J4292" t="s">
        <v>72</v>
      </c>
      <c r="K4292" t="s">
        <v>3767</v>
      </c>
      <c r="L4292" t="s">
        <v>62</v>
      </c>
      <c r="M4292" t="s">
        <v>90</v>
      </c>
    </row>
    <row r="4293" spans="1:13">
      <c r="A4293">
        <v>46010</v>
      </c>
      <c r="B4293" t="s">
        <v>3768</v>
      </c>
      <c r="F4293">
        <v>1</v>
      </c>
      <c r="G4293" t="s">
        <v>64</v>
      </c>
      <c r="L4293" t="s">
        <v>89</v>
      </c>
      <c r="M4293" t="s">
        <v>96</v>
      </c>
    </row>
    <row r="4294" spans="1:13">
      <c r="A4294">
        <v>46010</v>
      </c>
      <c r="B4294" t="s">
        <v>63</v>
      </c>
      <c r="D4294">
        <v>5000</v>
      </c>
      <c r="G4294" t="s">
        <v>70</v>
      </c>
      <c r="I4294" t="s">
        <v>60</v>
      </c>
      <c r="J4294" t="s">
        <v>61</v>
      </c>
      <c r="L4294" t="s">
        <v>62</v>
      </c>
    </row>
    <row r="4295" spans="1:13">
      <c r="A4295">
        <v>46010</v>
      </c>
      <c r="B4295" t="s">
        <v>3769</v>
      </c>
      <c r="D4295">
        <v>500</v>
      </c>
      <c r="F4295">
        <v>0</v>
      </c>
      <c r="G4295" t="s">
        <v>22</v>
      </c>
      <c r="H4295" t="s">
        <v>21</v>
      </c>
      <c r="I4295" t="s">
        <v>60</v>
      </c>
      <c r="J4295" t="s">
        <v>61</v>
      </c>
      <c r="L4295" t="s">
        <v>86</v>
      </c>
    </row>
    <row r="4296" spans="1:13">
      <c r="A4296">
        <v>46010</v>
      </c>
      <c r="B4296" t="s">
        <v>3483</v>
      </c>
      <c r="E4296">
        <v>459600</v>
      </c>
      <c r="F4296">
        <v>1</v>
      </c>
      <c r="G4296" t="s">
        <v>65</v>
      </c>
      <c r="H4296" t="s">
        <v>348</v>
      </c>
      <c r="I4296" t="s">
        <v>60</v>
      </c>
      <c r="J4296" t="s">
        <v>61</v>
      </c>
      <c r="L4296" t="s">
        <v>88</v>
      </c>
      <c r="M4296" t="s">
        <v>3770</v>
      </c>
    </row>
    <row r="4297" spans="1:13">
      <c r="A4297">
        <v>46010</v>
      </c>
      <c r="B4297" t="s">
        <v>3483</v>
      </c>
      <c r="E4297">
        <v>319000</v>
      </c>
      <c r="F4297">
        <v>1</v>
      </c>
      <c r="G4297" t="s">
        <v>65</v>
      </c>
      <c r="H4297" t="s">
        <v>348</v>
      </c>
      <c r="I4297" t="s">
        <v>60</v>
      </c>
      <c r="J4297" t="s">
        <v>61</v>
      </c>
      <c r="L4297" t="s">
        <v>88</v>
      </c>
      <c r="M4297" t="s">
        <v>3771</v>
      </c>
    </row>
    <row r="4298" spans="1:13">
      <c r="A4298">
        <v>46010</v>
      </c>
      <c r="B4298" t="s">
        <v>3772</v>
      </c>
      <c r="F4298">
        <v>1</v>
      </c>
      <c r="G4298" t="s">
        <v>319</v>
      </c>
      <c r="H4298" t="s">
        <v>21</v>
      </c>
      <c r="L4298" t="s">
        <v>86</v>
      </c>
      <c r="M4298" t="s">
        <v>3773</v>
      </c>
    </row>
    <row r="4299" spans="1:13">
      <c r="A4299">
        <v>46010</v>
      </c>
      <c r="B4299" t="s">
        <v>63</v>
      </c>
      <c r="E4299">
        <v>2000</v>
      </c>
      <c r="F4299">
        <v>1</v>
      </c>
      <c r="G4299" t="s">
        <v>65</v>
      </c>
      <c r="H4299" t="s">
        <v>66</v>
      </c>
      <c r="I4299" t="s">
        <v>60</v>
      </c>
      <c r="J4299" t="s">
        <v>61</v>
      </c>
      <c r="L4299" t="s">
        <v>62</v>
      </c>
      <c r="M4299" t="s">
        <v>3280</v>
      </c>
    </row>
    <row r="4300" spans="1:13">
      <c r="A4300">
        <v>46011</v>
      </c>
      <c r="B4300" t="s">
        <v>3774</v>
      </c>
      <c r="F4300">
        <v>1</v>
      </c>
      <c r="G4300" t="s">
        <v>79</v>
      </c>
      <c r="H4300" t="s">
        <v>21</v>
      </c>
      <c r="L4300" t="s">
        <v>82</v>
      </c>
      <c r="M4300" t="s">
        <v>327</v>
      </c>
    </row>
    <row r="4301" spans="1:13">
      <c r="A4301">
        <v>46011</v>
      </c>
      <c r="B4301" t="s">
        <v>3775</v>
      </c>
      <c r="D4301">
        <v>500</v>
      </c>
      <c r="F4301">
        <v>1</v>
      </c>
      <c r="G4301" t="s">
        <v>22</v>
      </c>
      <c r="H4301" t="s">
        <v>21</v>
      </c>
      <c r="I4301" t="s">
        <v>60</v>
      </c>
      <c r="J4301" t="s">
        <v>61</v>
      </c>
      <c r="L4301" t="s">
        <v>82</v>
      </c>
    </row>
    <row r="4302" spans="1:13">
      <c r="A4302">
        <v>46011</v>
      </c>
      <c r="B4302" t="s">
        <v>3776</v>
      </c>
      <c r="D4302">
        <v>500</v>
      </c>
      <c r="F4302">
        <v>1</v>
      </c>
      <c r="G4302" t="s">
        <v>22</v>
      </c>
      <c r="H4302" t="s">
        <v>21</v>
      </c>
      <c r="I4302" t="s">
        <v>60</v>
      </c>
      <c r="J4302" t="s">
        <v>61</v>
      </c>
      <c r="L4302" t="s">
        <v>82</v>
      </c>
    </row>
    <row r="4303" spans="1:13">
      <c r="A4303">
        <v>46011</v>
      </c>
      <c r="B4303" t="s">
        <v>76</v>
      </c>
      <c r="D4303">
        <v>7500</v>
      </c>
      <c r="G4303" t="s">
        <v>77</v>
      </c>
      <c r="I4303" t="s">
        <v>60</v>
      </c>
      <c r="J4303" t="s">
        <v>61</v>
      </c>
      <c r="L4303" t="s">
        <v>62</v>
      </c>
    </row>
    <row r="4304" spans="1:13">
      <c r="A4304">
        <v>46011</v>
      </c>
      <c r="B4304" t="s">
        <v>63</v>
      </c>
      <c r="D4304">
        <v>800</v>
      </c>
      <c r="F4304">
        <v>8</v>
      </c>
      <c r="G4304" t="s">
        <v>22</v>
      </c>
      <c r="H4304" t="s">
        <v>93</v>
      </c>
      <c r="I4304" t="s">
        <v>60</v>
      </c>
      <c r="J4304" t="s">
        <v>61</v>
      </c>
      <c r="L4304" t="s">
        <v>62</v>
      </c>
    </row>
    <row r="4305" spans="1:13">
      <c r="A4305">
        <v>46011</v>
      </c>
      <c r="B4305" t="s">
        <v>3777</v>
      </c>
      <c r="D4305">
        <v>500</v>
      </c>
      <c r="F4305">
        <v>1</v>
      </c>
      <c r="G4305" t="s">
        <v>22</v>
      </c>
      <c r="H4305" t="s">
        <v>21</v>
      </c>
      <c r="I4305" t="s">
        <v>60</v>
      </c>
      <c r="J4305" t="s">
        <v>61</v>
      </c>
      <c r="L4305" t="s">
        <v>89</v>
      </c>
    </row>
    <row r="4306" spans="1:13">
      <c r="A4306">
        <v>46011</v>
      </c>
      <c r="B4306" t="s">
        <v>3778</v>
      </c>
      <c r="F4306">
        <v>1</v>
      </c>
      <c r="G4306" t="s">
        <v>79</v>
      </c>
      <c r="H4306" t="s">
        <v>21</v>
      </c>
      <c r="L4306" t="s">
        <v>89</v>
      </c>
      <c r="M4306" t="s">
        <v>327</v>
      </c>
    </row>
    <row r="4307" spans="1:13">
      <c r="A4307">
        <v>46011</v>
      </c>
      <c r="B4307" t="s">
        <v>3779</v>
      </c>
      <c r="F4307">
        <v>1</v>
      </c>
      <c r="G4307" t="s">
        <v>79</v>
      </c>
      <c r="H4307" t="s">
        <v>21</v>
      </c>
      <c r="L4307" t="s">
        <v>89</v>
      </c>
      <c r="M4307" t="s">
        <v>327</v>
      </c>
    </row>
    <row r="4308" spans="1:13">
      <c r="A4308">
        <v>46011</v>
      </c>
      <c r="B4308" t="s">
        <v>3780</v>
      </c>
      <c r="F4308">
        <v>1</v>
      </c>
      <c r="G4308" t="s">
        <v>603</v>
      </c>
      <c r="H4308" t="s">
        <v>21</v>
      </c>
      <c r="L4308" t="s">
        <v>82</v>
      </c>
      <c r="M4308" t="s">
        <v>3773</v>
      </c>
    </row>
    <row r="4309" spans="1:13">
      <c r="A4309">
        <v>46011</v>
      </c>
      <c r="B4309" t="s">
        <v>3781</v>
      </c>
      <c r="D4309">
        <v>500</v>
      </c>
      <c r="F4309">
        <v>1</v>
      </c>
      <c r="G4309" t="s">
        <v>22</v>
      </c>
      <c r="H4309" t="s">
        <v>21</v>
      </c>
      <c r="I4309" t="s">
        <v>60</v>
      </c>
      <c r="J4309" t="s">
        <v>61</v>
      </c>
      <c r="L4309" t="s">
        <v>82</v>
      </c>
    </row>
    <row r="4310" spans="1:13">
      <c r="A4310">
        <v>46011</v>
      </c>
      <c r="B4310" t="s">
        <v>3782</v>
      </c>
      <c r="F4310">
        <v>1</v>
      </c>
      <c r="G4310" t="s">
        <v>79</v>
      </c>
      <c r="L4310" t="s">
        <v>89</v>
      </c>
      <c r="M4310" t="s">
        <v>327</v>
      </c>
    </row>
    <row r="4311" spans="1:13">
      <c r="A4311">
        <v>46011</v>
      </c>
      <c r="B4311" t="s">
        <v>3783</v>
      </c>
      <c r="D4311">
        <v>500</v>
      </c>
      <c r="F4311">
        <v>1</v>
      </c>
      <c r="G4311" t="s">
        <v>22</v>
      </c>
      <c r="H4311" t="s">
        <v>21</v>
      </c>
      <c r="I4311" t="s">
        <v>60</v>
      </c>
      <c r="J4311" t="s">
        <v>61</v>
      </c>
      <c r="L4311" t="s">
        <v>89</v>
      </c>
    </row>
    <row r="4312" spans="1:13">
      <c r="A4312">
        <v>46011</v>
      </c>
      <c r="B4312" t="s">
        <v>3784</v>
      </c>
      <c r="F4312">
        <v>1</v>
      </c>
      <c r="G4312" t="s">
        <v>64</v>
      </c>
      <c r="L4312" t="s">
        <v>89</v>
      </c>
      <c r="M4312" t="s">
        <v>96</v>
      </c>
    </row>
    <row r="4313" spans="1:13">
      <c r="A4313">
        <v>46011</v>
      </c>
      <c r="B4313" t="s">
        <v>63</v>
      </c>
      <c r="D4313">
        <v>8000</v>
      </c>
      <c r="F4313">
        <v>1</v>
      </c>
      <c r="G4313" t="s">
        <v>70</v>
      </c>
      <c r="I4313" t="s">
        <v>71</v>
      </c>
      <c r="J4313" t="s">
        <v>535</v>
      </c>
      <c r="K4313" t="s">
        <v>3785</v>
      </c>
      <c r="L4313" t="s">
        <v>62</v>
      </c>
      <c r="M4313" t="s">
        <v>272</v>
      </c>
    </row>
    <row r="4314" spans="1:13">
      <c r="A4314">
        <v>46011</v>
      </c>
      <c r="B4314" t="s">
        <v>63</v>
      </c>
      <c r="E4314">
        <v>2500</v>
      </c>
      <c r="F4314">
        <v>1</v>
      </c>
      <c r="G4314" t="s">
        <v>65</v>
      </c>
      <c r="H4314" t="s">
        <v>66</v>
      </c>
      <c r="I4314" t="s">
        <v>60</v>
      </c>
      <c r="J4314" t="s">
        <v>61</v>
      </c>
      <c r="L4314" t="s">
        <v>62</v>
      </c>
      <c r="M4314" t="s">
        <v>3280</v>
      </c>
    </row>
    <row r="4315" spans="1:13">
      <c r="A4315">
        <v>46012</v>
      </c>
      <c r="B4315" t="s">
        <v>3786</v>
      </c>
      <c r="D4315">
        <v>500</v>
      </c>
      <c r="F4315">
        <v>0</v>
      </c>
      <c r="G4315" t="s">
        <v>22</v>
      </c>
      <c r="H4315" t="s">
        <v>21</v>
      </c>
      <c r="I4315" t="s">
        <v>60</v>
      </c>
      <c r="J4315" t="s">
        <v>61</v>
      </c>
      <c r="L4315" t="s">
        <v>86</v>
      </c>
      <c r="M4315" t="s">
        <v>3048</v>
      </c>
    </row>
    <row r="4316" spans="1:13">
      <c r="A4316">
        <v>46012</v>
      </c>
      <c r="B4316" t="s">
        <v>63</v>
      </c>
      <c r="D4316">
        <v>18000</v>
      </c>
      <c r="F4316">
        <v>2</v>
      </c>
      <c r="G4316" t="s">
        <v>70</v>
      </c>
      <c r="I4316" t="s">
        <v>71</v>
      </c>
      <c r="J4316" t="s">
        <v>72</v>
      </c>
      <c r="K4316" t="s">
        <v>3787</v>
      </c>
      <c r="L4316" t="s">
        <v>62</v>
      </c>
      <c r="M4316" t="s">
        <v>90</v>
      </c>
    </row>
    <row r="4317" spans="1:13">
      <c r="A4317">
        <v>46012</v>
      </c>
      <c r="B4317" t="s">
        <v>3788</v>
      </c>
      <c r="F4317">
        <v>1</v>
      </c>
      <c r="G4317" t="s">
        <v>79</v>
      </c>
      <c r="H4317" t="s">
        <v>21</v>
      </c>
      <c r="L4317" t="s">
        <v>86</v>
      </c>
      <c r="M4317" t="s">
        <v>327</v>
      </c>
    </row>
    <row r="4318" spans="1:13">
      <c r="A4318">
        <v>46012</v>
      </c>
      <c r="B4318" t="s">
        <v>3789</v>
      </c>
      <c r="F4318">
        <v>1</v>
      </c>
      <c r="G4318" t="s">
        <v>79</v>
      </c>
      <c r="H4318" t="s">
        <v>21</v>
      </c>
      <c r="L4318" t="s">
        <v>86</v>
      </c>
      <c r="M4318" t="s">
        <v>327</v>
      </c>
    </row>
    <row r="4319" spans="1:13">
      <c r="A4319">
        <v>46012</v>
      </c>
      <c r="B4319" t="s">
        <v>3789</v>
      </c>
      <c r="D4319">
        <v>500</v>
      </c>
      <c r="F4319">
        <v>0</v>
      </c>
      <c r="G4319" t="s">
        <v>22</v>
      </c>
      <c r="H4319" t="s">
        <v>21</v>
      </c>
      <c r="I4319" t="s">
        <v>60</v>
      </c>
      <c r="J4319" t="s">
        <v>61</v>
      </c>
      <c r="L4319" t="s">
        <v>86</v>
      </c>
      <c r="M4319" t="s">
        <v>3048</v>
      </c>
    </row>
    <row r="4320" spans="1:13">
      <c r="A4320">
        <v>46012</v>
      </c>
      <c r="B4320" t="s">
        <v>63</v>
      </c>
      <c r="D4320">
        <v>92000</v>
      </c>
      <c r="G4320" t="s">
        <v>70</v>
      </c>
      <c r="I4320" t="s">
        <v>60</v>
      </c>
      <c r="J4320" t="s">
        <v>61</v>
      </c>
      <c r="L4320" t="s">
        <v>62</v>
      </c>
    </row>
    <row r="4321" spans="1:13">
      <c r="A4321">
        <v>46012</v>
      </c>
      <c r="B4321" t="s">
        <v>1468</v>
      </c>
      <c r="D4321">
        <v>500</v>
      </c>
      <c r="F4321">
        <v>1</v>
      </c>
      <c r="G4321" t="s">
        <v>22</v>
      </c>
      <c r="H4321" t="s">
        <v>21</v>
      </c>
      <c r="I4321" t="s">
        <v>60</v>
      </c>
      <c r="J4321" t="s">
        <v>61</v>
      </c>
      <c r="L4321" t="s">
        <v>86</v>
      </c>
    </row>
    <row r="4322" spans="1:13">
      <c r="A4322">
        <v>46012</v>
      </c>
      <c r="B4322" t="s">
        <v>3790</v>
      </c>
      <c r="D4322">
        <v>500</v>
      </c>
      <c r="F4322">
        <v>1</v>
      </c>
      <c r="G4322" t="s">
        <v>22</v>
      </c>
      <c r="H4322" t="s">
        <v>21</v>
      </c>
      <c r="I4322" t="s">
        <v>60</v>
      </c>
      <c r="J4322" t="s">
        <v>61</v>
      </c>
      <c r="L4322" t="s">
        <v>82</v>
      </c>
    </row>
    <row r="4323" spans="1:13">
      <c r="A4323">
        <v>46012</v>
      </c>
      <c r="B4323" t="s">
        <v>3791</v>
      </c>
      <c r="F4323">
        <v>1</v>
      </c>
      <c r="G4323" t="s">
        <v>64</v>
      </c>
      <c r="L4323" t="s">
        <v>82</v>
      </c>
      <c r="M4323" t="s">
        <v>96</v>
      </c>
    </row>
    <row r="4324" spans="1:13">
      <c r="A4324">
        <v>46012</v>
      </c>
      <c r="B4324" t="s">
        <v>3792</v>
      </c>
      <c r="F4324">
        <v>1</v>
      </c>
      <c r="G4324" t="s">
        <v>79</v>
      </c>
      <c r="H4324" t="s">
        <v>21</v>
      </c>
      <c r="L4324" t="s">
        <v>82</v>
      </c>
      <c r="M4324" t="s">
        <v>327</v>
      </c>
    </row>
    <row r="4325" spans="1:13">
      <c r="A4325">
        <v>46012</v>
      </c>
      <c r="B4325" t="s">
        <v>63</v>
      </c>
      <c r="D4325">
        <v>8500</v>
      </c>
      <c r="F4325">
        <v>1</v>
      </c>
      <c r="G4325" t="s">
        <v>70</v>
      </c>
      <c r="I4325" t="s">
        <v>71</v>
      </c>
      <c r="J4325" t="s">
        <v>72</v>
      </c>
      <c r="K4325" t="s">
        <v>3793</v>
      </c>
      <c r="L4325" t="s">
        <v>62</v>
      </c>
      <c r="M4325" t="s">
        <v>3794</v>
      </c>
    </row>
    <row r="4326" spans="1:13">
      <c r="A4326">
        <v>46012</v>
      </c>
      <c r="B4326" t="s">
        <v>3795</v>
      </c>
      <c r="F4326">
        <v>1</v>
      </c>
      <c r="G4326" t="s">
        <v>377</v>
      </c>
      <c r="H4326" t="s">
        <v>21</v>
      </c>
      <c r="L4326" t="s">
        <v>82</v>
      </c>
      <c r="M4326" t="s">
        <v>327</v>
      </c>
    </row>
    <row r="4327" spans="1:13">
      <c r="A4327">
        <v>46012</v>
      </c>
      <c r="B4327" t="s">
        <v>3796</v>
      </c>
      <c r="F4327">
        <v>1</v>
      </c>
      <c r="G4327" t="s">
        <v>107</v>
      </c>
      <c r="H4327" t="s">
        <v>21</v>
      </c>
      <c r="L4327" t="s">
        <v>82</v>
      </c>
      <c r="M4327" t="s">
        <v>3773</v>
      </c>
    </row>
    <row r="4328" spans="1:13">
      <c r="A4328">
        <v>46012</v>
      </c>
      <c r="B4328" t="s">
        <v>3797</v>
      </c>
      <c r="D4328">
        <v>500</v>
      </c>
      <c r="F4328">
        <v>1</v>
      </c>
      <c r="G4328" t="s">
        <v>22</v>
      </c>
      <c r="H4328" t="s">
        <v>21</v>
      </c>
      <c r="I4328" t="s">
        <v>60</v>
      </c>
      <c r="J4328" t="s">
        <v>61</v>
      </c>
      <c r="L4328" t="s">
        <v>82</v>
      </c>
    </row>
    <row r="4329" spans="1:13">
      <c r="A4329">
        <v>46012</v>
      </c>
      <c r="B4329" t="s">
        <v>3798</v>
      </c>
      <c r="F4329">
        <v>1</v>
      </c>
      <c r="G4329" t="s">
        <v>64</v>
      </c>
      <c r="L4329" t="s">
        <v>82</v>
      </c>
      <c r="M4329" t="s">
        <v>96</v>
      </c>
    </row>
    <row r="4330" spans="1:13">
      <c r="A4330">
        <v>46012</v>
      </c>
      <c r="B4330" t="s">
        <v>3799</v>
      </c>
      <c r="F4330">
        <v>1</v>
      </c>
      <c r="G4330" t="s">
        <v>79</v>
      </c>
      <c r="H4330" t="s">
        <v>21</v>
      </c>
      <c r="L4330" t="s">
        <v>82</v>
      </c>
      <c r="M4330" t="s">
        <v>327</v>
      </c>
    </row>
    <row r="4331" spans="1:13">
      <c r="A4331">
        <v>46012</v>
      </c>
      <c r="B4331" t="s">
        <v>3800</v>
      </c>
      <c r="D4331">
        <v>500</v>
      </c>
      <c r="F4331">
        <v>1</v>
      </c>
      <c r="G4331" t="s">
        <v>22</v>
      </c>
      <c r="H4331" t="s">
        <v>21</v>
      </c>
      <c r="I4331" t="s">
        <v>60</v>
      </c>
      <c r="J4331" t="s">
        <v>61</v>
      </c>
      <c r="L4331" t="s">
        <v>86</v>
      </c>
    </row>
    <row r="4332" spans="1:13">
      <c r="A4332">
        <v>46012</v>
      </c>
      <c r="B4332" t="s">
        <v>3801</v>
      </c>
      <c r="F4332">
        <v>1</v>
      </c>
      <c r="G4332" t="s">
        <v>64</v>
      </c>
      <c r="L4332" t="s">
        <v>82</v>
      </c>
      <c r="M4332" t="s">
        <v>96</v>
      </c>
    </row>
    <row r="4333" spans="1:13">
      <c r="A4333">
        <v>46012</v>
      </c>
      <c r="B4333" t="s">
        <v>3802</v>
      </c>
      <c r="D4333">
        <v>500</v>
      </c>
      <c r="F4333">
        <v>1</v>
      </c>
      <c r="G4333" t="s">
        <v>22</v>
      </c>
      <c r="H4333" t="s">
        <v>21</v>
      </c>
      <c r="I4333" t="s">
        <v>60</v>
      </c>
      <c r="J4333" t="s">
        <v>61</v>
      </c>
      <c r="L4333" t="s">
        <v>86</v>
      </c>
    </row>
    <row r="4334" spans="1:13">
      <c r="A4334">
        <v>46012</v>
      </c>
      <c r="B4334" t="s">
        <v>3803</v>
      </c>
      <c r="D4334">
        <v>500</v>
      </c>
      <c r="F4334">
        <v>1</v>
      </c>
      <c r="G4334" t="s">
        <v>22</v>
      </c>
      <c r="H4334" t="s">
        <v>21</v>
      </c>
      <c r="I4334" t="s">
        <v>60</v>
      </c>
      <c r="J4334" t="s">
        <v>61</v>
      </c>
      <c r="L4334" t="s">
        <v>86</v>
      </c>
    </row>
    <row r="4335" spans="1:13">
      <c r="A4335">
        <v>46012</v>
      </c>
      <c r="B4335" t="s">
        <v>3804</v>
      </c>
      <c r="F4335">
        <v>1</v>
      </c>
      <c r="G4335" t="s">
        <v>64</v>
      </c>
      <c r="L4335" t="s">
        <v>82</v>
      </c>
      <c r="M4335" t="s">
        <v>96</v>
      </c>
    </row>
    <row r="4336" spans="1:13">
      <c r="A4336">
        <v>46012</v>
      </c>
      <c r="B4336" t="s">
        <v>63</v>
      </c>
      <c r="D4336">
        <v>12500</v>
      </c>
      <c r="F4336">
        <v>2</v>
      </c>
      <c r="G4336" t="s">
        <v>70</v>
      </c>
      <c r="I4336" t="s">
        <v>71</v>
      </c>
      <c r="J4336" t="s">
        <v>72</v>
      </c>
      <c r="K4336" t="s">
        <v>3805</v>
      </c>
      <c r="L4336" t="s">
        <v>62</v>
      </c>
      <c r="M4336" t="s">
        <v>90</v>
      </c>
    </row>
    <row r="4337" spans="1:13">
      <c r="A4337">
        <v>46012</v>
      </c>
      <c r="B4337" t="s">
        <v>63</v>
      </c>
      <c r="D4337">
        <v>16000</v>
      </c>
      <c r="F4337">
        <v>2</v>
      </c>
      <c r="G4337" t="s">
        <v>70</v>
      </c>
      <c r="I4337" t="s">
        <v>71</v>
      </c>
      <c r="J4337" t="s">
        <v>72</v>
      </c>
      <c r="K4337" t="s">
        <v>3806</v>
      </c>
      <c r="L4337" t="s">
        <v>62</v>
      </c>
      <c r="M4337" t="s">
        <v>90</v>
      </c>
    </row>
    <row r="4338" spans="1:13">
      <c r="A4338">
        <v>46012</v>
      </c>
      <c r="B4338" t="s">
        <v>3807</v>
      </c>
      <c r="D4338">
        <v>500</v>
      </c>
      <c r="F4338">
        <v>1</v>
      </c>
      <c r="G4338" t="s">
        <v>22</v>
      </c>
      <c r="H4338" t="s">
        <v>21</v>
      </c>
      <c r="I4338" t="s">
        <v>60</v>
      </c>
      <c r="J4338" t="s">
        <v>61</v>
      </c>
      <c r="L4338" t="s">
        <v>82</v>
      </c>
    </row>
    <row r="4339" spans="1:13">
      <c r="A4339">
        <v>46012</v>
      </c>
      <c r="B4339" t="s">
        <v>3808</v>
      </c>
      <c r="D4339">
        <v>500</v>
      </c>
      <c r="F4339">
        <v>1</v>
      </c>
      <c r="G4339" t="s">
        <v>22</v>
      </c>
      <c r="H4339" t="s">
        <v>21</v>
      </c>
      <c r="I4339" t="s">
        <v>60</v>
      </c>
      <c r="J4339" t="s">
        <v>61</v>
      </c>
      <c r="L4339" t="s">
        <v>86</v>
      </c>
    </row>
    <row r="4340" spans="1:13">
      <c r="A4340">
        <v>46012</v>
      </c>
      <c r="B4340" t="s">
        <v>3809</v>
      </c>
      <c r="D4340">
        <v>500</v>
      </c>
      <c r="F4340">
        <v>1</v>
      </c>
      <c r="G4340" t="s">
        <v>22</v>
      </c>
      <c r="H4340" t="s">
        <v>21</v>
      </c>
      <c r="I4340" t="s">
        <v>60</v>
      </c>
      <c r="J4340" t="s">
        <v>61</v>
      </c>
      <c r="L4340" t="s">
        <v>86</v>
      </c>
    </row>
    <row r="4341" spans="1:13">
      <c r="A4341">
        <v>46012</v>
      </c>
      <c r="B4341" t="s">
        <v>63</v>
      </c>
      <c r="D4341">
        <v>200</v>
      </c>
      <c r="F4341">
        <v>2</v>
      </c>
      <c r="G4341" t="s">
        <v>22</v>
      </c>
      <c r="H4341" t="s">
        <v>93</v>
      </c>
      <c r="I4341" t="s">
        <v>60</v>
      </c>
      <c r="J4341" t="s">
        <v>61</v>
      </c>
      <c r="L4341" t="s">
        <v>62</v>
      </c>
    </row>
    <row r="4342" spans="1:13">
      <c r="A4342">
        <v>46012</v>
      </c>
      <c r="B4342" t="s">
        <v>63</v>
      </c>
      <c r="E4342">
        <v>5500</v>
      </c>
      <c r="F4342">
        <v>1</v>
      </c>
      <c r="G4342" t="s">
        <v>65</v>
      </c>
      <c r="H4342" t="s">
        <v>66</v>
      </c>
      <c r="I4342" t="s">
        <v>60</v>
      </c>
      <c r="J4342" t="s">
        <v>61</v>
      </c>
      <c r="L4342" t="s">
        <v>62</v>
      </c>
      <c r="M4342" t="s">
        <v>3280</v>
      </c>
    </row>
    <row r="4343" spans="1:13">
      <c r="A4343">
        <v>46013</v>
      </c>
      <c r="B4343" t="s">
        <v>3636</v>
      </c>
      <c r="C4343" t="s">
        <v>3810</v>
      </c>
      <c r="F4343">
        <v>15</v>
      </c>
      <c r="G4343" t="s">
        <v>22</v>
      </c>
      <c r="H4343" t="s">
        <v>21</v>
      </c>
      <c r="L4343" t="s">
        <v>95</v>
      </c>
    </row>
    <row r="4344" spans="1:13">
      <c r="A4344">
        <v>46013</v>
      </c>
      <c r="B4344" t="s">
        <v>63</v>
      </c>
      <c r="D4344">
        <v>1200</v>
      </c>
      <c r="F4344">
        <v>12</v>
      </c>
      <c r="G4344" t="s">
        <v>22</v>
      </c>
      <c r="H4344" t="s">
        <v>93</v>
      </c>
      <c r="I4344" t="s">
        <v>60</v>
      </c>
      <c r="J4344" t="s">
        <v>61</v>
      </c>
      <c r="L4344" t="s">
        <v>62</v>
      </c>
    </row>
    <row r="4345" spans="1:13">
      <c r="A4345">
        <v>46013</v>
      </c>
      <c r="B4345" t="s">
        <v>3811</v>
      </c>
      <c r="F4345">
        <v>1</v>
      </c>
      <c r="G4345" t="s">
        <v>107</v>
      </c>
      <c r="H4345" t="s">
        <v>21</v>
      </c>
      <c r="L4345" t="s">
        <v>86</v>
      </c>
      <c r="M4345" t="s">
        <v>3773</v>
      </c>
    </row>
    <row r="4346" spans="1:13">
      <c r="A4346">
        <v>46013</v>
      </c>
      <c r="B4346" t="s">
        <v>3812</v>
      </c>
      <c r="F4346">
        <v>1</v>
      </c>
      <c r="G4346" t="s">
        <v>377</v>
      </c>
      <c r="H4346" t="s">
        <v>21</v>
      </c>
      <c r="L4346" t="s">
        <v>86</v>
      </c>
      <c r="M4346" t="s">
        <v>327</v>
      </c>
    </row>
    <row r="4347" spans="1:13">
      <c r="A4347">
        <v>46013</v>
      </c>
      <c r="B4347" t="s">
        <v>3813</v>
      </c>
      <c r="D4347">
        <v>500</v>
      </c>
      <c r="F4347">
        <v>1</v>
      </c>
      <c r="G4347" t="s">
        <v>22</v>
      </c>
      <c r="H4347" t="s">
        <v>21</v>
      </c>
      <c r="I4347" t="s">
        <v>60</v>
      </c>
      <c r="J4347" t="s">
        <v>61</v>
      </c>
      <c r="L4347" t="s">
        <v>86</v>
      </c>
    </row>
    <row r="4348" spans="1:13">
      <c r="A4348">
        <v>46013</v>
      </c>
      <c r="B4348" t="s">
        <v>63</v>
      </c>
      <c r="D4348">
        <v>17000</v>
      </c>
      <c r="F4348">
        <v>2</v>
      </c>
      <c r="G4348" t="s">
        <v>70</v>
      </c>
      <c r="I4348" t="s">
        <v>71</v>
      </c>
      <c r="J4348" t="s">
        <v>535</v>
      </c>
      <c r="K4348" t="s">
        <v>3814</v>
      </c>
      <c r="L4348" t="s">
        <v>62</v>
      </c>
      <c r="M4348" t="s">
        <v>90</v>
      </c>
    </row>
    <row r="4349" spans="1:13">
      <c r="A4349">
        <v>46013</v>
      </c>
      <c r="B4349" t="s">
        <v>3815</v>
      </c>
      <c r="F4349">
        <v>1</v>
      </c>
      <c r="G4349" t="s">
        <v>64</v>
      </c>
      <c r="L4349" t="s">
        <v>86</v>
      </c>
      <c r="M4349" t="s">
        <v>3816</v>
      </c>
    </row>
    <row r="4350" spans="1:13">
      <c r="A4350">
        <v>46013</v>
      </c>
      <c r="B4350" t="s">
        <v>3817</v>
      </c>
      <c r="D4350">
        <v>500</v>
      </c>
      <c r="F4350">
        <v>1</v>
      </c>
      <c r="G4350" t="s">
        <v>22</v>
      </c>
      <c r="H4350" t="s">
        <v>21</v>
      </c>
      <c r="I4350" t="s">
        <v>60</v>
      </c>
      <c r="J4350" t="s">
        <v>61</v>
      </c>
      <c r="L4350" t="s">
        <v>86</v>
      </c>
    </row>
    <row r="4351" spans="1:13">
      <c r="A4351">
        <v>46013</v>
      </c>
      <c r="B4351" t="s">
        <v>3818</v>
      </c>
      <c r="D4351">
        <v>500</v>
      </c>
      <c r="F4351">
        <v>1</v>
      </c>
      <c r="G4351" t="s">
        <v>22</v>
      </c>
      <c r="H4351" t="s">
        <v>21</v>
      </c>
      <c r="I4351" t="s">
        <v>60</v>
      </c>
      <c r="J4351" t="s">
        <v>61</v>
      </c>
      <c r="L4351" t="s">
        <v>86</v>
      </c>
    </row>
    <row r="4352" spans="1:13">
      <c r="A4352">
        <v>46013</v>
      </c>
      <c r="B4352" t="s">
        <v>3818</v>
      </c>
      <c r="F4352">
        <v>1</v>
      </c>
      <c r="G4352" t="s">
        <v>64</v>
      </c>
      <c r="L4352" t="s">
        <v>86</v>
      </c>
      <c r="M4352" t="s">
        <v>96</v>
      </c>
    </row>
    <row r="4353" spans="1:13">
      <c r="A4353">
        <v>46013</v>
      </c>
      <c r="B4353" t="s">
        <v>3819</v>
      </c>
      <c r="F4353">
        <v>1</v>
      </c>
      <c r="G4353" t="s">
        <v>2490</v>
      </c>
      <c r="L4353" t="s">
        <v>82</v>
      </c>
      <c r="M4353" t="s">
        <v>2993</v>
      </c>
    </row>
    <row r="4354" spans="1:13">
      <c r="A4354">
        <v>46013</v>
      </c>
      <c r="B4354" t="s">
        <v>3820</v>
      </c>
      <c r="F4354">
        <v>1</v>
      </c>
      <c r="G4354" t="s">
        <v>64</v>
      </c>
      <c r="L4354" t="s">
        <v>82</v>
      </c>
      <c r="M4354" t="s">
        <v>400</v>
      </c>
    </row>
    <row r="4355" spans="1:13">
      <c r="A4355">
        <v>46013</v>
      </c>
      <c r="B4355" t="s">
        <v>3821</v>
      </c>
      <c r="D4355">
        <v>500</v>
      </c>
      <c r="F4355">
        <v>1</v>
      </c>
      <c r="G4355" t="s">
        <v>22</v>
      </c>
      <c r="H4355" t="s">
        <v>21</v>
      </c>
      <c r="I4355" t="s">
        <v>60</v>
      </c>
      <c r="J4355" t="s">
        <v>61</v>
      </c>
      <c r="L4355" t="s">
        <v>82</v>
      </c>
    </row>
    <row r="4356" spans="1:13">
      <c r="A4356">
        <v>46013</v>
      </c>
      <c r="B4356" t="s">
        <v>3822</v>
      </c>
      <c r="D4356">
        <v>500</v>
      </c>
      <c r="F4356">
        <v>1</v>
      </c>
      <c r="G4356" t="s">
        <v>22</v>
      </c>
      <c r="H4356" t="s">
        <v>21</v>
      </c>
      <c r="I4356" t="s">
        <v>60</v>
      </c>
      <c r="J4356" t="s">
        <v>61</v>
      </c>
      <c r="L4356" t="s">
        <v>82</v>
      </c>
    </row>
    <row r="4357" spans="1:13">
      <c r="A4357">
        <v>46013</v>
      </c>
      <c r="B4357" t="s">
        <v>3823</v>
      </c>
      <c r="D4357">
        <v>500</v>
      </c>
      <c r="F4357">
        <v>1</v>
      </c>
      <c r="G4357" t="s">
        <v>22</v>
      </c>
      <c r="H4357" t="s">
        <v>21</v>
      </c>
      <c r="I4357" t="s">
        <v>60</v>
      </c>
      <c r="J4357" t="s">
        <v>61</v>
      </c>
      <c r="L4357" t="s">
        <v>82</v>
      </c>
    </row>
    <row r="4358" spans="1:13">
      <c r="A4358">
        <v>46013</v>
      </c>
      <c r="B4358" t="s">
        <v>3824</v>
      </c>
      <c r="F4358">
        <v>1</v>
      </c>
      <c r="G4358" t="s">
        <v>590</v>
      </c>
      <c r="H4358" t="s">
        <v>21</v>
      </c>
      <c r="L4358" t="s">
        <v>82</v>
      </c>
      <c r="M4358" t="s">
        <v>3825</v>
      </c>
    </row>
    <row r="4359" spans="1:13">
      <c r="A4359">
        <v>46013</v>
      </c>
      <c r="B4359" t="s">
        <v>3826</v>
      </c>
      <c r="D4359">
        <v>500</v>
      </c>
      <c r="F4359">
        <v>1</v>
      </c>
      <c r="G4359" t="s">
        <v>22</v>
      </c>
      <c r="H4359" t="s">
        <v>21</v>
      </c>
      <c r="I4359" t="s">
        <v>60</v>
      </c>
      <c r="J4359" t="s">
        <v>61</v>
      </c>
      <c r="L4359" t="s">
        <v>82</v>
      </c>
    </row>
    <row r="4360" spans="1:13">
      <c r="A4360">
        <v>46013</v>
      </c>
      <c r="B4360" t="s">
        <v>3827</v>
      </c>
      <c r="D4360">
        <v>500</v>
      </c>
      <c r="F4360">
        <v>1</v>
      </c>
      <c r="G4360" t="s">
        <v>22</v>
      </c>
      <c r="H4360" t="s">
        <v>21</v>
      </c>
      <c r="I4360" t="s">
        <v>60</v>
      </c>
      <c r="J4360" t="s">
        <v>61</v>
      </c>
      <c r="L4360" t="s">
        <v>86</v>
      </c>
    </row>
    <row r="4361" spans="1:13">
      <c r="A4361">
        <v>46013</v>
      </c>
      <c r="B4361" t="s">
        <v>3828</v>
      </c>
      <c r="D4361">
        <v>500</v>
      </c>
      <c r="F4361">
        <v>0</v>
      </c>
      <c r="G4361" t="s">
        <v>22</v>
      </c>
      <c r="H4361" t="s">
        <v>21</v>
      </c>
      <c r="I4361" t="s">
        <v>60</v>
      </c>
      <c r="J4361" t="s">
        <v>61</v>
      </c>
      <c r="L4361" t="s">
        <v>86</v>
      </c>
    </row>
    <row r="4362" spans="1:13">
      <c r="A4362">
        <v>46013</v>
      </c>
      <c r="B4362" t="s">
        <v>63</v>
      </c>
      <c r="D4362">
        <v>23000</v>
      </c>
      <c r="F4362">
        <v>3</v>
      </c>
      <c r="G4362" t="s">
        <v>70</v>
      </c>
      <c r="I4362" t="s">
        <v>71</v>
      </c>
      <c r="J4362" t="s">
        <v>72</v>
      </c>
      <c r="K4362" t="s">
        <v>3829</v>
      </c>
      <c r="L4362" t="s">
        <v>62</v>
      </c>
      <c r="M4362" t="s">
        <v>3830</v>
      </c>
    </row>
    <row r="4363" spans="1:13">
      <c r="A4363">
        <v>46013</v>
      </c>
      <c r="B4363" t="s">
        <v>63</v>
      </c>
      <c r="D4363">
        <v>8000</v>
      </c>
      <c r="F4363">
        <v>1</v>
      </c>
      <c r="G4363" t="s">
        <v>70</v>
      </c>
      <c r="I4363" t="s">
        <v>71</v>
      </c>
      <c r="J4363" t="s">
        <v>72</v>
      </c>
      <c r="K4363" t="s">
        <v>3831</v>
      </c>
      <c r="L4363" t="s">
        <v>62</v>
      </c>
      <c r="M4363" t="s">
        <v>90</v>
      </c>
    </row>
    <row r="4364" spans="1:13">
      <c r="A4364">
        <v>46013</v>
      </c>
      <c r="B4364" t="s">
        <v>63</v>
      </c>
      <c r="D4364">
        <v>8000</v>
      </c>
      <c r="F4364">
        <v>1</v>
      </c>
      <c r="G4364" t="s">
        <v>70</v>
      </c>
      <c r="I4364" t="s">
        <v>71</v>
      </c>
      <c r="J4364" t="s">
        <v>535</v>
      </c>
      <c r="K4364" t="s">
        <v>3832</v>
      </c>
      <c r="L4364" t="s">
        <v>62</v>
      </c>
      <c r="M4364" t="s">
        <v>90</v>
      </c>
    </row>
    <row r="4365" spans="1:13">
      <c r="A4365">
        <v>46013</v>
      </c>
      <c r="B4365" t="s">
        <v>63</v>
      </c>
      <c r="D4365">
        <v>8000</v>
      </c>
      <c r="F4365">
        <v>1</v>
      </c>
      <c r="G4365" t="s">
        <v>70</v>
      </c>
      <c r="I4365" t="s">
        <v>71</v>
      </c>
      <c r="J4365" t="s">
        <v>72</v>
      </c>
      <c r="K4365" t="s">
        <v>3833</v>
      </c>
      <c r="L4365" t="s">
        <v>62</v>
      </c>
      <c r="M4365" t="s">
        <v>90</v>
      </c>
    </row>
    <row r="4366" spans="1:13">
      <c r="A4366">
        <v>46013</v>
      </c>
      <c r="B4366" t="s">
        <v>3834</v>
      </c>
      <c r="D4366">
        <v>500</v>
      </c>
      <c r="F4366">
        <v>0</v>
      </c>
      <c r="G4366" t="s">
        <v>22</v>
      </c>
      <c r="H4366" t="s">
        <v>21</v>
      </c>
      <c r="I4366" t="s">
        <v>60</v>
      </c>
      <c r="J4366" t="s">
        <v>61</v>
      </c>
      <c r="L4366" t="s">
        <v>86</v>
      </c>
      <c r="M4366" t="s">
        <v>83</v>
      </c>
    </row>
    <row r="4367" spans="1:13">
      <c r="A4367">
        <v>46013</v>
      </c>
      <c r="B4367" t="s">
        <v>3835</v>
      </c>
      <c r="D4367">
        <v>500</v>
      </c>
      <c r="F4367">
        <v>0</v>
      </c>
      <c r="G4367" t="s">
        <v>22</v>
      </c>
      <c r="H4367" t="s">
        <v>21</v>
      </c>
      <c r="I4367" t="s">
        <v>60</v>
      </c>
      <c r="J4367" t="s">
        <v>61</v>
      </c>
      <c r="L4367" t="s">
        <v>86</v>
      </c>
      <c r="M4367" t="s">
        <v>83</v>
      </c>
    </row>
    <row r="4368" spans="1:13">
      <c r="A4368">
        <v>46013</v>
      </c>
      <c r="B4368" t="s">
        <v>63</v>
      </c>
      <c r="D4368">
        <v>15000</v>
      </c>
      <c r="G4368" t="s">
        <v>70</v>
      </c>
      <c r="I4368" t="s">
        <v>60</v>
      </c>
      <c r="J4368" t="s">
        <v>61</v>
      </c>
      <c r="L4368" t="s">
        <v>62</v>
      </c>
    </row>
    <row r="4369" spans="1:13">
      <c r="A4369">
        <v>46013</v>
      </c>
      <c r="B4369" t="s">
        <v>3836</v>
      </c>
      <c r="D4369">
        <v>500</v>
      </c>
      <c r="F4369">
        <v>0</v>
      </c>
      <c r="G4369" t="s">
        <v>22</v>
      </c>
      <c r="H4369" t="s">
        <v>21</v>
      </c>
      <c r="I4369" t="s">
        <v>60</v>
      </c>
      <c r="J4369" t="s">
        <v>61</v>
      </c>
      <c r="L4369" t="s">
        <v>86</v>
      </c>
      <c r="M4369" t="s">
        <v>83</v>
      </c>
    </row>
    <row r="4370" spans="1:13">
      <c r="A4370">
        <v>46013</v>
      </c>
      <c r="B4370" t="s">
        <v>3837</v>
      </c>
      <c r="D4370">
        <v>500</v>
      </c>
      <c r="F4370">
        <v>1</v>
      </c>
      <c r="G4370" t="s">
        <v>22</v>
      </c>
      <c r="H4370" t="s">
        <v>21</v>
      </c>
      <c r="I4370" t="s">
        <v>60</v>
      </c>
      <c r="J4370" t="s">
        <v>61</v>
      </c>
      <c r="L4370" t="s">
        <v>82</v>
      </c>
    </row>
    <row r="4371" spans="1:13">
      <c r="A4371">
        <v>46013</v>
      </c>
      <c r="B4371" t="s">
        <v>63</v>
      </c>
      <c r="E4371">
        <v>6500</v>
      </c>
      <c r="F4371">
        <v>1</v>
      </c>
      <c r="G4371" t="s">
        <v>65</v>
      </c>
      <c r="H4371" t="s">
        <v>66</v>
      </c>
      <c r="I4371" t="s">
        <v>60</v>
      </c>
      <c r="J4371" t="s">
        <v>61</v>
      </c>
      <c r="L4371" t="s">
        <v>62</v>
      </c>
      <c r="M4371" t="s">
        <v>3280</v>
      </c>
    </row>
    <row r="4372" spans="1:13">
      <c r="A4372">
        <v>46014</v>
      </c>
      <c r="B4372" t="s">
        <v>3838</v>
      </c>
      <c r="D4372">
        <v>500</v>
      </c>
      <c r="F4372">
        <v>1</v>
      </c>
      <c r="G4372" t="s">
        <v>22</v>
      </c>
      <c r="H4372" t="s">
        <v>21</v>
      </c>
      <c r="I4372" t="s">
        <v>60</v>
      </c>
      <c r="J4372" t="s">
        <v>61</v>
      </c>
      <c r="L4372" t="s">
        <v>82</v>
      </c>
    </row>
    <row r="4373" spans="1:13">
      <c r="A4373">
        <v>46014</v>
      </c>
      <c r="B4373" t="s">
        <v>3839</v>
      </c>
      <c r="D4373">
        <v>500</v>
      </c>
      <c r="F4373">
        <v>1</v>
      </c>
      <c r="G4373" t="s">
        <v>22</v>
      </c>
      <c r="H4373" t="s">
        <v>21</v>
      </c>
      <c r="I4373" t="s">
        <v>60</v>
      </c>
      <c r="J4373" t="s">
        <v>61</v>
      </c>
      <c r="L4373" t="s">
        <v>82</v>
      </c>
    </row>
    <row r="4374" spans="1:13">
      <c r="A4374">
        <v>46014</v>
      </c>
      <c r="B4374" t="s">
        <v>3839</v>
      </c>
      <c r="F4374">
        <v>1</v>
      </c>
      <c r="G4374" t="s">
        <v>64</v>
      </c>
      <c r="L4374" t="s">
        <v>82</v>
      </c>
      <c r="M4374" t="s">
        <v>96</v>
      </c>
    </row>
    <row r="4375" spans="1:13">
      <c r="A4375">
        <v>46014</v>
      </c>
      <c r="B4375" t="s">
        <v>3840</v>
      </c>
      <c r="D4375">
        <v>500</v>
      </c>
      <c r="F4375">
        <v>1</v>
      </c>
      <c r="G4375" t="s">
        <v>22</v>
      </c>
      <c r="H4375" t="s">
        <v>21</v>
      </c>
      <c r="I4375" t="s">
        <v>60</v>
      </c>
      <c r="J4375" t="s">
        <v>61</v>
      </c>
      <c r="L4375" t="s">
        <v>86</v>
      </c>
    </row>
    <row r="4376" spans="1:13">
      <c r="A4376">
        <v>46014</v>
      </c>
      <c r="B4376" t="s">
        <v>3841</v>
      </c>
      <c r="D4376">
        <v>500</v>
      </c>
      <c r="F4376">
        <v>1</v>
      </c>
      <c r="G4376" t="s">
        <v>22</v>
      </c>
      <c r="H4376" t="s">
        <v>21</v>
      </c>
      <c r="I4376" t="s">
        <v>60</v>
      </c>
      <c r="J4376" t="s">
        <v>61</v>
      </c>
      <c r="L4376" t="s">
        <v>86</v>
      </c>
    </row>
    <row r="4377" spans="1:13">
      <c r="A4377">
        <v>46014</v>
      </c>
      <c r="B4377" t="s">
        <v>3842</v>
      </c>
      <c r="D4377">
        <v>500</v>
      </c>
      <c r="F4377">
        <v>1</v>
      </c>
      <c r="G4377" t="s">
        <v>22</v>
      </c>
      <c r="H4377" t="s">
        <v>21</v>
      </c>
      <c r="I4377" t="s">
        <v>60</v>
      </c>
      <c r="J4377" t="s">
        <v>61</v>
      </c>
      <c r="L4377" t="s">
        <v>82</v>
      </c>
    </row>
    <row r="4378" spans="1:13">
      <c r="A4378">
        <v>46014</v>
      </c>
      <c r="B4378" t="s">
        <v>3843</v>
      </c>
      <c r="D4378">
        <v>500</v>
      </c>
      <c r="F4378">
        <v>1</v>
      </c>
      <c r="G4378" t="s">
        <v>22</v>
      </c>
      <c r="H4378" t="s">
        <v>21</v>
      </c>
      <c r="I4378" t="s">
        <v>60</v>
      </c>
      <c r="J4378" t="s">
        <v>61</v>
      </c>
      <c r="L4378" t="s">
        <v>82</v>
      </c>
    </row>
    <row r="4379" spans="1:13">
      <c r="A4379">
        <v>46014</v>
      </c>
      <c r="B4379" t="s">
        <v>3844</v>
      </c>
      <c r="D4379">
        <v>500</v>
      </c>
      <c r="F4379">
        <v>1</v>
      </c>
      <c r="G4379" t="s">
        <v>22</v>
      </c>
      <c r="H4379" t="s">
        <v>21</v>
      </c>
      <c r="I4379" t="s">
        <v>60</v>
      </c>
      <c r="J4379" t="s">
        <v>61</v>
      </c>
      <c r="L4379" t="s">
        <v>82</v>
      </c>
    </row>
    <row r="4380" spans="1:13">
      <c r="A4380">
        <v>46014</v>
      </c>
      <c r="B4380" t="s">
        <v>3845</v>
      </c>
      <c r="F4380">
        <v>1</v>
      </c>
      <c r="G4380" t="s">
        <v>64</v>
      </c>
      <c r="L4380" t="s">
        <v>89</v>
      </c>
      <c r="M4380" t="s">
        <v>3846</v>
      </c>
    </row>
    <row r="4381" spans="1:13">
      <c r="A4381">
        <v>46014</v>
      </c>
      <c r="B4381" t="s">
        <v>3847</v>
      </c>
      <c r="F4381">
        <v>1</v>
      </c>
      <c r="G4381" t="s">
        <v>64</v>
      </c>
      <c r="L4381" t="s">
        <v>89</v>
      </c>
      <c r="M4381" t="s">
        <v>3846</v>
      </c>
    </row>
    <row r="4382" spans="1:13">
      <c r="A4382">
        <v>46014</v>
      </c>
      <c r="B4382" t="s">
        <v>3848</v>
      </c>
      <c r="D4382">
        <v>500</v>
      </c>
      <c r="F4382">
        <v>1</v>
      </c>
      <c r="G4382" t="s">
        <v>22</v>
      </c>
      <c r="H4382" t="s">
        <v>21</v>
      </c>
      <c r="I4382" t="s">
        <v>60</v>
      </c>
      <c r="J4382" t="s">
        <v>61</v>
      </c>
      <c r="L4382" t="s">
        <v>82</v>
      </c>
    </row>
    <row r="4383" spans="1:13">
      <c r="A4383">
        <v>46014</v>
      </c>
      <c r="B4383" t="s">
        <v>3848</v>
      </c>
      <c r="F4383">
        <v>1</v>
      </c>
      <c r="G4383" t="s">
        <v>2490</v>
      </c>
      <c r="L4383" t="s">
        <v>82</v>
      </c>
      <c r="M4383" t="s">
        <v>2993</v>
      </c>
    </row>
    <row r="4384" spans="1:13">
      <c r="A4384">
        <v>46014</v>
      </c>
      <c r="B4384" t="s">
        <v>3849</v>
      </c>
      <c r="F4384">
        <v>1</v>
      </c>
      <c r="G4384" t="s">
        <v>79</v>
      </c>
      <c r="H4384" t="s">
        <v>21</v>
      </c>
      <c r="L4384" t="s">
        <v>82</v>
      </c>
      <c r="M4384" t="s">
        <v>327</v>
      </c>
    </row>
    <row r="4385" spans="1:13">
      <c r="A4385">
        <v>46014</v>
      </c>
      <c r="B4385" t="s">
        <v>76</v>
      </c>
      <c r="D4385">
        <v>5000</v>
      </c>
      <c r="G4385" t="s">
        <v>77</v>
      </c>
      <c r="I4385" t="s">
        <v>60</v>
      </c>
      <c r="J4385" t="s">
        <v>61</v>
      </c>
      <c r="L4385" t="s">
        <v>62</v>
      </c>
    </row>
    <row r="4386" spans="1:13">
      <c r="A4386">
        <v>46014</v>
      </c>
      <c r="B4386" t="s">
        <v>63</v>
      </c>
      <c r="E4386">
        <v>5500</v>
      </c>
      <c r="F4386">
        <v>1</v>
      </c>
      <c r="G4386" t="s">
        <v>65</v>
      </c>
      <c r="H4386" t="s">
        <v>66</v>
      </c>
      <c r="I4386" t="s">
        <v>60</v>
      </c>
      <c r="J4386" t="s">
        <v>61</v>
      </c>
      <c r="L4386" t="s">
        <v>62</v>
      </c>
      <c r="M4386" t="s">
        <v>3280</v>
      </c>
    </row>
    <row r="4387" spans="1:13">
      <c r="A4387">
        <v>46014</v>
      </c>
      <c r="B4387" t="s">
        <v>364</v>
      </c>
      <c r="D4387">
        <v>14000</v>
      </c>
      <c r="F4387">
        <v>2</v>
      </c>
      <c r="G4387" t="s">
        <v>70</v>
      </c>
      <c r="I4387" t="s">
        <v>71</v>
      </c>
      <c r="J4387" t="s">
        <v>535</v>
      </c>
      <c r="K4387" t="s">
        <v>3850</v>
      </c>
      <c r="L4387" t="s">
        <v>62</v>
      </c>
      <c r="M4387" t="s">
        <v>90</v>
      </c>
    </row>
    <row r="4388" spans="1:13">
      <c r="A4388">
        <v>46014</v>
      </c>
      <c r="B4388" t="s">
        <v>63</v>
      </c>
      <c r="D4388">
        <v>63000</v>
      </c>
      <c r="G4388" t="s">
        <v>70</v>
      </c>
      <c r="I4388" t="s">
        <v>60</v>
      </c>
      <c r="J4388" t="s">
        <v>61</v>
      </c>
      <c r="L4388" t="s">
        <v>62</v>
      </c>
    </row>
    <row r="4389" spans="1:13">
      <c r="A4389">
        <v>46014</v>
      </c>
      <c r="B4389" t="s">
        <v>3667</v>
      </c>
      <c r="D4389">
        <v>500</v>
      </c>
      <c r="F4389">
        <v>1</v>
      </c>
      <c r="G4389" t="s">
        <v>22</v>
      </c>
      <c r="H4389" t="s">
        <v>21</v>
      </c>
      <c r="I4389" t="s">
        <v>60</v>
      </c>
      <c r="J4389" t="s">
        <v>61</v>
      </c>
      <c r="L4389" t="s">
        <v>86</v>
      </c>
    </row>
    <row r="4390" spans="1:13">
      <c r="A4390">
        <v>46014</v>
      </c>
      <c r="B4390" t="s">
        <v>3851</v>
      </c>
      <c r="D4390">
        <v>500</v>
      </c>
      <c r="F4390">
        <v>0</v>
      </c>
      <c r="G4390" t="s">
        <v>22</v>
      </c>
      <c r="H4390" t="s">
        <v>21</v>
      </c>
      <c r="I4390" t="s">
        <v>60</v>
      </c>
      <c r="J4390" t="s">
        <v>61</v>
      </c>
      <c r="L4390" t="s">
        <v>89</v>
      </c>
    </row>
    <row r="4391" spans="1:13">
      <c r="A4391">
        <v>46014</v>
      </c>
      <c r="B4391" t="s">
        <v>3852</v>
      </c>
      <c r="D4391">
        <v>500</v>
      </c>
      <c r="F4391">
        <v>0</v>
      </c>
      <c r="G4391" t="s">
        <v>22</v>
      </c>
      <c r="H4391" t="s">
        <v>21</v>
      </c>
      <c r="I4391" t="s">
        <v>60</v>
      </c>
      <c r="J4391" t="s">
        <v>61</v>
      </c>
      <c r="L4391" t="s">
        <v>89</v>
      </c>
    </row>
    <row r="4392" spans="1:13">
      <c r="A4392">
        <v>46014</v>
      </c>
      <c r="B4392" t="s">
        <v>3853</v>
      </c>
      <c r="F4392">
        <v>1</v>
      </c>
      <c r="G4392" t="s">
        <v>79</v>
      </c>
      <c r="H4392" t="s">
        <v>21</v>
      </c>
      <c r="L4392" t="s">
        <v>89</v>
      </c>
      <c r="M4392" t="s">
        <v>327</v>
      </c>
    </row>
    <row r="4393" spans="1:13">
      <c r="A4393">
        <v>46014</v>
      </c>
      <c r="B4393" t="s">
        <v>727</v>
      </c>
      <c r="C4393" t="s">
        <v>3854</v>
      </c>
      <c r="E4393">
        <v>38000</v>
      </c>
      <c r="F4393">
        <v>1</v>
      </c>
      <c r="G4393" t="s">
        <v>65</v>
      </c>
      <c r="H4393" t="s">
        <v>265</v>
      </c>
      <c r="I4393" t="s">
        <v>60</v>
      </c>
      <c r="J4393" t="s">
        <v>61</v>
      </c>
      <c r="L4393" t="s">
        <v>62</v>
      </c>
      <c r="M4393" t="s">
        <v>661</v>
      </c>
    </row>
    <row r="4394" spans="1:13">
      <c r="A4394">
        <v>46014</v>
      </c>
      <c r="B4394" t="s">
        <v>727</v>
      </c>
      <c r="C4394" t="s">
        <v>3855</v>
      </c>
      <c r="E4394">
        <v>38000</v>
      </c>
      <c r="F4394">
        <v>1</v>
      </c>
      <c r="G4394" t="s">
        <v>65</v>
      </c>
      <c r="H4394" t="s">
        <v>265</v>
      </c>
      <c r="I4394" t="s">
        <v>60</v>
      </c>
      <c r="J4394" t="s">
        <v>61</v>
      </c>
      <c r="L4394" t="s">
        <v>62</v>
      </c>
    </row>
    <row r="4395" spans="1:13">
      <c r="A4395">
        <v>46015</v>
      </c>
      <c r="B4395" t="s">
        <v>3856</v>
      </c>
      <c r="C4395" t="s">
        <v>3857</v>
      </c>
      <c r="F4395">
        <v>1</v>
      </c>
      <c r="G4395" t="s">
        <v>22</v>
      </c>
      <c r="H4395" t="s">
        <v>1191</v>
      </c>
      <c r="L4395" t="s">
        <v>104</v>
      </c>
      <c r="M4395" t="s">
        <v>3858</v>
      </c>
    </row>
    <row r="4396" spans="1:13">
      <c r="A4396">
        <v>46015</v>
      </c>
      <c r="B4396" t="s">
        <v>3856</v>
      </c>
      <c r="C4396" t="s">
        <v>3857</v>
      </c>
      <c r="F4396">
        <v>1</v>
      </c>
      <c r="G4396" t="s">
        <v>22</v>
      </c>
      <c r="H4396" t="s">
        <v>1310</v>
      </c>
      <c r="L4396" t="s">
        <v>104</v>
      </c>
      <c r="M4396" t="s">
        <v>3859</v>
      </c>
    </row>
    <row r="4397" spans="1:13">
      <c r="A4397">
        <v>46015</v>
      </c>
      <c r="B4397" t="s">
        <v>3856</v>
      </c>
      <c r="C4397" t="s">
        <v>3857</v>
      </c>
      <c r="F4397">
        <v>1</v>
      </c>
      <c r="G4397" t="s">
        <v>22</v>
      </c>
      <c r="H4397" t="s">
        <v>3860</v>
      </c>
      <c r="L4397" t="s">
        <v>104</v>
      </c>
      <c r="M4397" t="s">
        <v>3861</v>
      </c>
    </row>
    <row r="4398" spans="1:13">
      <c r="A4398">
        <v>46015</v>
      </c>
      <c r="B4398" t="s">
        <v>3862</v>
      </c>
      <c r="F4398">
        <v>1</v>
      </c>
      <c r="G4398" t="s">
        <v>2490</v>
      </c>
      <c r="L4398" t="s">
        <v>82</v>
      </c>
      <c r="M4398" t="s">
        <v>2993</v>
      </c>
    </row>
    <row r="4399" spans="1:13">
      <c r="A4399">
        <v>46015</v>
      </c>
      <c r="B4399" t="s">
        <v>3863</v>
      </c>
      <c r="F4399">
        <v>1</v>
      </c>
      <c r="G4399" t="s">
        <v>98</v>
      </c>
      <c r="H4399" t="s">
        <v>21</v>
      </c>
      <c r="L4399" t="s">
        <v>82</v>
      </c>
      <c r="M4399" t="s">
        <v>327</v>
      </c>
    </row>
    <row r="4400" spans="1:13">
      <c r="A4400">
        <v>46015</v>
      </c>
      <c r="B4400" t="s">
        <v>3864</v>
      </c>
      <c r="F4400">
        <v>1</v>
      </c>
      <c r="G4400" t="s">
        <v>64</v>
      </c>
      <c r="L4400" t="s">
        <v>89</v>
      </c>
      <c r="M4400" t="s">
        <v>3865</v>
      </c>
    </row>
    <row r="4401" spans="1:13">
      <c r="A4401">
        <v>46015</v>
      </c>
      <c r="B4401" t="s">
        <v>3866</v>
      </c>
      <c r="D4401">
        <v>500</v>
      </c>
      <c r="F4401">
        <v>1</v>
      </c>
      <c r="G4401" t="s">
        <v>22</v>
      </c>
      <c r="H4401" t="s">
        <v>21</v>
      </c>
      <c r="I4401" t="s">
        <v>60</v>
      </c>
      <c r="J4401" t="s">
        <v>61</v>
      </c>
      <c r="L4401" t="s">
        <v>82</v>
      </c>
    </row>
    <row r="4402" spans="1:13">
      <c r="A4402">
        <v>46015</v>
      </c>
      <c r="B4402" t="s">
        <v>3867</v>
      </c>
      <c r="F4402">
        <v>1</v>
      </c>
      <c r="G4402" t="s">
        <v>590</v>
      </c>
      <c r="H4402" t="s">
        <v>21</v>
      </c>
      <c r="L4402" t="s">
        <v>82</v>
      </c>
      <c r="M4402" t="s">
        <v>3868</v>
      </c>
    </row>
    <row r="4403" spans="1:13">
      <c r="A4403">
        <v>46015</v>
      </c>
      <c r="B4403" t="s">
        <v>3869</v>
      </c>
      <c r="F4403">
        <v>1</v>
      </c>
      <c r="G4403" t="s">
        <v>64</v>
      </c>
      <c r="L4403" t="s">
        <v>89</v>
      </c>
      <c r="M4403" t="s">
        <v>96</v>
      </c>
    </row>
    <row r="4404" spans="1:13">
      <c r="A4404">
        <v>46015</v>
      </c>
      <c r="B4404" t="s">
        <v>63</v>
      </c>
      <c r="D4404">
        <v>42500</v>
      </c>
      <c r="G4404" t="s">
        <v>70</v>
      </c>
      <c r="I4404" t="s">
        <v>60</v>
      </c>
      <c r="J4404" t="s">
        <v>61</v>
      </c>
      <c r="L4404" t="s">
        <v>62</v>
      </c>
    </row>
    <row r="4405" spans="1:13">
      <c r="A4405">
        <v>46015</v>
      </c>
      <c r="B4405" t="s">
        <v>63</v>
      </c>
      <c r="D4405">
        <v>800</v>
      </c>
      <c r="F4405">
        <v>8</v>
      </c>
      <c r="G4405" t="s">
        <v>22</v>
      </c>
      <c r="H4405" t="s">
        <v>93</v>
      </c>
      <c r="I4405" t="s">
        <v>60</v>
      </c>
      <c r="J4405" t="s">
        <v>61</v>
      </c>
      <c r="L4405" t="s">
        <v>62</v>
      </c>
    </row>
    <row r="4406" spans="1:13">
      <c r="A4406">
        <v>46015</v>
      </c>
      <c r="B4406" t="s">
        <v>63</v>
      </c>
      <c r="D4406">
        <v>6500</v>
      </c>
      <c r="F4406">
        <v>1</v>
      </c>
      <c r="G4406" t="s">
        <v>70</v>
      </c>
      <c r="I4406" t="s">
        <v>71</v>
      </c>
      <c r="J4406" t="s">
        <v>72</v>
      </c>
      <c r="K4406" t="s">
        <v>3870</v>
      </c>
      <c r="L4406" t="s">
        <v>62</v>
      </c>
      <c r="M4406" t="s">
        <v>90</v>
      </c>
    </row>
    <row r="4407" spans="1:13">
      <c r="A4407">
        <v>46015</v>
      </c>
      <c r="B4407" t="s">
        <v>63</v>
      </c>
      <c r="E4407">
        <v>500</v>
      </c>
      <c r="F4407">
        <v>1</v>
      </c>
      <c r="G4407" t="s">
        <v>65</v>
      </c>
      <c r="H4407" t="s">
        <v>66</v>
      </c>
      <c r="I4407" t="s">
        <v>60</v>
      </c>
      <c r="J4407" t="s">
        <v>61</v>
      </c>
      <c r="L4407" t="s">
        <v>62</v>
      </c>
      <c r="M4407" t="s">
        <v>3280</v>
      </c>
    </row>
    <row r="4408" spans="1:13">
      <c r="A4408">
        <v>46017</v>
      </c>
      <c r="B4408" t="s">
        <v>3871</v>
      </c>
      <c r="D4408">
        <v>500</v>
      </c>
      <c r="F4408">
        <v>1</v>
      </c>
      <c r="G4408" t="s">
        <v>22</v>
      </c>
      <c r="H4408" t="s">
        <v>21</v>
      </c>
      <c r="I4408" t="s">
        <v>60</v>
      </c>
      <c r="J4408" t="s">
        <v>61</v>
      </c>
      <c r="L4408" t="s">
        <v>82</v>
      </c>
    </row>
    <row r="4409" spans="1:13">
      <c r="A4409">
        <v>46017</v>
      </c>
      <c r="B4409" t="s">
        <v>3872</v>
      </c>
      <c r="F4409">
        <v>1</v>
      </c>
      <c r="G4409" t="s">
        <v>107</v>
      </c>
      <c r="H4409" t="s">
        <v>21</v>
      </c>
      <c r="L4409" t="s">
        <v>82</v>
      </c>
      <c r="M4409" t="s">
        <v>3873</v>
      </c>
    </row>
    <row r="4410" spans="1:13">
      <c r="A4410">
        <v>46017</v>
      </c>
      <c r="B4410" t="s">
        <v>3874</v>
      </c>
      <c r="F4410">
        <v>1</v>
      </c>
      <c r="G4410" t="s">
        <v>107</v>
      </c>
      <c r="H4410" t="s">
        <v>21</v>
      </c>
      <c r="L4410" t="s">
        <v>82</v>
      </c>
      <c r="M4410" t="s">
        <v>3873</v>
      </c>
    </row>
    <row r="4411" spans="1:13">
      <c r="A4411">
        <v>46017</v>
      </c>
      <c r="B4411" t="s">
        <v>3875</v>
      </c>
      <c r="F4411">
        <v>1</v>
      </c>
      <c r="G4411" t="s">
        <v>64</v>
      </c>
      <c r="L4411" t="s">
        <v>82</v>
      </c>
      <c r="M4411" t="s">
        <v>96</v>
      </c>
    </row>
    <row r="4412" spans="1:13">
      <c r="A4412">
        <v>46017</v>
      </c>
      <c r="B4412" t="s">
        <v>76</v>
      </c>
      <c r="D4412">
        <v>29400</v>
      </c>
      <c r="G4412" t="s">
        <v>77</v>
      </c>
      <c r="I4412" t="s">
        <v>60</v>
      </c>
      <c r="J4412" t="s">
        <v>61</v>
      </c>
      <c r="L4412" t="s">
        <v>62</v>
      </c>
    </row>
    <row r="4413" spans="1:13">
      <c r="A4413">
        <v>46017</v>
      </c>
      <c r="B4413" t="s">
        <v>63</v>
      </c>
      <c r="D4413">
        <v>300</v>
      </c>
      <c r="F4413">
        <v>3</v>
      </c>
      <c r="G4413" t="s">
        <v>22</v>
      </c>
      <c r="H4413" t="s">
        <v>93</v>
      </c>
      <c r="I4413" t="s">
        <v>60</v>
      </c>
      <c r="J4413" t="s">
        <v>61</v>
      </c>
      <c r="L4413" t="s">
        <v>62</v>
      </c>
    </row>
    <row r="4414" spans="1:13">
      <c r="A4414">
        <v>46017</v>
      </c>
      <c r="B4414" t="s">
        <v>63</v>
      </c>
      <c r="D4414">
        <v>16000</v>
      </c>
      <c r="G4414" t="s">
        <v>70</v>
      </c>
      <c r="I4414" t="s">
        <v>60</v>
      </c>
      <c r="J4414" t="s">
        <v>61</v>
      </c>
      <c r="L4414" t="s">
        <v>82</v>
      </c>
    </row>
    <row r="4415" spans="1:13">
      <c r="A4415">
        <v>46017</v>
      </c>
      <c r="B4415" t="s">
        <v>3876</v>
      </c>
      <c r="D4415">
        <v>500</v>
      </c>
      <c r="F4415">
        <v>1</v>
      </c>
      <c r="G4415" t="s">
        <v>22</v>
      </c>
      <c r="H4415" t="s">
        <v>21</v>
      </c>
      <c r="I4415" t="s">
        <v>60</v>
      </c>
      <c r="J4415" t="s">
        <v>61</v>
      </c>
      <c r="L4415" t="s">
        <v>82</v>
      </c>
    </row>
    <row r="4416" spans="1:13">
      <c r="A4416">
        <v>46017</v>
      </c>
      <c r="B4416" t="s">
        <v>3876</v>
      </c>
      <c r="F4416">
        <v>1</v>
      </c>
      <c r="G4416" t="s">
        <v>64</v>
      </c>
      <c r="L4416" t="s">
        <v>82</v>
      </c>
      <c r="M4416" t="s">
        <v>96</v>
      </c>
    </row>
    <row r="4417" spans="1:13">
      <c r="A4417">
        <v>46017</v>
      </c>
      <c r="B4417" t="s">
        <v>3877</v>
      </c>
      <c r="F4417">
        <v>1</v>
      </c>
      <c r="G4417" t="s">
        <v>64</v>
      </c>
      <c r="L4417" t="s">
        <v>89</v>
      </c>
      <c r="M4417" t="s">
        <v>3524</v>
      </c>
    </row>
    <row r="4418" spans="1:13">
      <c r="A4418">
        <v>46017</v>
      </c>
      <c r="B4418" t="s">
        <v>3878</v>
      </c>
      <c r="D4418">
        <v>500</v>
      </c>
      <c r="F4418">
        <v>1</v>
      </c>
      <c r="G4418" t="s">
        <v>22</v>
      </c>
      <c r="H4418" t="s">
        <v>21</v>
      </c>
      <c r="I4418" t="s">
        <v>60</v>
      </c>
      <c r="J4418" t="s">
        <v>61</v>
      </c>
      <c r="L4418" t="s">
        <v>82</v>
      </c>
    </row>
    <row r="4419" spans="1:13">
      <c r="A4419">
        <v>46017</v>
      </c>
      <c r="B4419" t="s">
        <v>3879</v>
      </c>
      <c r="D4419">
        <v>500</v>
      </c>
      <c r="F4419">
        <v>1</v>
      </c>
      <c r="G4419" t="s">
        <v>22</v>
      </c>
      <c r="H4419" t="s">
        <v>21</v>
      </c>
      <c r="I4419" t="s">
        <v>60</v>
      </c>
      <c r="J4419" t="s">
        <v>61</v>
      </c>
      <c r="L4419" t="s">
        <v>89</v>
      </c>
    </row>
    <row r="4420" spans="1:13">
      <c r="A4420">
        <v>46017</v>
      </c>
      <c r="B4420" t="s">
        <v>63</v>
      </c>
      <c r="D4420">
        <v>16500</v>
      </c>
      <c r="F4420">
        <v>2</v>
      </c>
      <c r="G4420" t="s">
        <v>70</v>
      </c>
      <c r="I4420" t="s">
        <v>71</v>
      </c>
      <c r="J4420" t="s">
        <v>535</v>
      </c>
      <c r="K4420" t="s">
        <v>3880</v>
      </c>
      <c r="L4420" t="s">
        <v>62</v>
      </c>
      <c r="M4420" t="s">
        <v>3881</v>
      </c>
    </row>
    <row r="4421" spans="1:13">
      <c r="A4421">
        <v>46017</v>
      </c>
      <c r="B4421" t="s">
        <v>63</v>
      </c>
      <c r="D4421">
        <v>8000</v>
      </c>
      <c r="F4421">
        <v>1</v>
      </c>
      <c r="G4421" t="s">
        <v>70</v>
      </c>
      <c r="I4421" t="s">
        <v>71</v>
      </c>
      <c r="J4421" t="s">
        <v>72</v>
      </c>
      <c r="K4421" t="s">
        <v>3882</v>
      </c>
      <c r="L4421" t="s">
        <v>62</v>
      </c>
      <c r="M4421" t="s">
        <v>90</v>
      </c>
    </row>
    <row r="4422" spans="1:13">
      <c r="A4422">
        <v>46017</v>
      </c>
      <c r="B4422" t="s">
        <v>3883</v>
      </c>
      <c r="D4422">
        <v>500</v>
      </c>
      <c r="F4422">
        <v>1</v>
      </c>
      <c r="G4422" t="s">
        <v>22</v>
      </c>
      <c r="H4422" t="s">
        <v>21</v>
      </c>
      <c r="I4422" t="s">
        <v>60</v>
      </c>
      <c r="J4422" t="s">
        <v>61</v>
      </c>
      <c r="L4422" t="s">
        <v>89</v>
      </c>
    </row>
    <row r="4423" spans="1:13">
      <c r="A4423">
        <v>46017</v>
      </c>
      <c r="B4423" t="s">
        <v>3884</v>
      </c>
      <c r="F4423">
        <v>1</v>
      </c>
      <c r="G4423" t="s">
        <v>79</v>
      </c>
      <c r="H4423" t="s">
        <v>21</v>
      </c>
      <c r="L4423" t="s">
        <v>89</v>
      </c>
      <c r="M4423" t="s">
        <v>327</v>
      </c>
    </row>
    <row r="4424" spans="1:13">
      <c r="A4424">
        <v>46017</v>
      </c>
      <c r="B4424" t="s">
        <v>3885</v>
      </c>
      <c r="D4424">
        <v>500</v>
      </c>
      <c r="F4424">
        <v>1</v>
      </c>
      <c r="G4424" t="s">
        <v>22</v>
      </c>
      <c r="H4424" t="s">
        <v>21</v>
      </c>
      <c r="I4424" t="s">
        <v>60</v>
      </c>
      <c r="J4424" t="s">
        <v>61</v>
      </c>
      <c r="L4424" t="s">
        <v>89</v>
      </c>
    </row>
    <row r="4425" spans="1:13">
      <c r="A4425">
        <v>46017</v>
      </c>
      <c r="B4425" t="s">
        <v>3886</v>
      </c>
      <c r="D4425">
        <v>500</v>
      </c>
      <c r="F4425">
        <v>1</v>
      </c>
      <c r="G4425" t="s">
        <v>22</v>
      </c>
      <c r="H4425" t="s">
        <v>21</v>
      </c>
      <c r="I4425" t="s">
        <v>60</v>
      </c>
      <c r="J4425" t="s">
        <v>61</v>
      </c>
      <c r="L4425" t="s">
        <v>82</v>
      </c>
    </row>
    <row r="4426" spans="1:13">
      <c r="A4426">
        <v>46017</v>
      </c>
      <c r="B4426" t="s">
        <v>3887</v>
      </c>
      <c r="F4426">
        <v>1</v>
      </c>
      <c r="G4426" t="s">
        <v>64</v>
      </c>
      <c r="L4426" t="s">
        <v>89</v>
      </c>
      <c r="M4426" t="s">
        <v>3888</v>
      </c>
    </row>
    <row r="4427" spans="1:13">
      <c r="A4427">
        <v>46017</v>
      </c>
      <c r="B4427" t="s">
        <v>3889</v>
      </c>
      <c r="D4427">
        <v>500</v>
      </c>
      <c r="F4427">
        <v>1</v>
      </c>
      <c r="G4427" t="s">
        <v>22</v>
      </c>
      <c r="H4427" t="s">
        <v>21</v>
      </c>
      <c r="I4427" t="s">
        <v>60</v>
      </c>
      <c r="J4427" t="s">
        <v>61</v>
      </c>
      <c r="L4427" t="s">
        <v>82</v>
      </c>
    </row>
    <row r="4428" spans="1:13">
      <c r="A4428">
        <v>46017</v>
      </c>
      <c r="B4428" t="s">
        <v>3890</v>
      </c>
      <c r="F4428">
        <v>1</v>
      </c>
      <c r="G4428" t="s">
        <v>22</v>
      </c>
      <c r="H4428" t="s">
        <v>21</v>
      </c>
      <c r="L4428" t="s">
        <v>101</v>
      </c>
      <c r="M4428" t="s">
        <v>941</v>
      </c>
    </row>
    <row r="4429" spans="1:13">
      <c r="A4429">
        <v>46017</v>
      </c>
      <c r="B4429" t="s">
        <v>719</v>
      </c>
      <c r="E4429">
        <v>413628</v>
      </c>
      <c r="F4429">
        <v>1</v>
      </c>
      <c r="G4429" t="s">
        <v>65</v>
      </c>
      <c r="H4429" t="s">
        <v>348</v>
      </c>
      <c r="I4429" t="s">
        <v>60</v>
      </c>
      <c r="J4429" t="s">
        <v>61</v>
      </c>
      <c r="L4429" t="s">
        <v>88</v>
      </c>
      <c r="M4429" t="s">
        <v>670</v>
      </c>
    </row>
    <row r="4430" spans="1:13">
      <c r="A4430">
        <v>46017</v>
      </c>
      <c r="B4430" t="s">
        <v>719</v>
      </c>
      <c r="E4430">
        <v>206814</v>
      </c>
      <c r="F4430">
        <v>1</v>
      </c>
      <c r="G4430" t="s">
        <v>65</v>
      </c>
      <c r="H4430" t="s">
        <v>348</v>
      </c>
      <c r="I4430" t="s">
        <v>60</v>
      </c>
      <c r="J4430" t="s">
        <v>61</v>
      </c>
      <c r="L4430" t="s">
        <v>88</v>
      </c>
      <c r="M4430" t="s">
        <v>3743</v>
      </c>
    </row>
    <row r="4431" spans="1:13">
      <c r="A4431">
        <v>46017</v>
      </c>
      <c r="B4431" t="s">
        <v>3891</v>
      </c>
      <c r="D4431">
        <v>500</v>
      </c>
      <c r="F4431">
        <v>1</v>
      </c>
      <c r="G4431" t="s">
        <v>22</v>
      </c>
      <c r="H4431" t="s">
        <v>21</v>
      </c>
      <c r="I4431" t="s">
        <v>60</v>
      </c>
      <c r="J4431" t="s">
        <v>61</v>
      </c>
      <c r="L4431" t="s">
        <v>89</v>
      </c>
    </row>
    <row r="4432" spans="1:13">
      <c r="A4432">
        <v>46017</v>
      </c>
      <c r="B4432" t="s">
        <v>3892</v>
      </c>
      <c r="F4432">
        <v>1</v>
      </c>
      <c r="G4432" t="s">
        <v>79</v>
      </c>
      <c r="H4432" t="s">
        <v>21</v>
      </c>
      <c r="L4432" t="s">
        <v>89</v>
      </c>
      <c r="M4432" t="s">
        <v>327</v>
      </c>
    </row>
    <row r="4433" spans="1:13">
      <c r="A4433">
        <v>46017</v>
      </c>
      <c r="B4433" t="s">
        <v>63</v>
      </c>
      <c r="E4433">
        <v>4500</v>
      </c>
      <c r="F4433">
        <v>1</v>
      </c>
      <c r="G4433" t="s">
        <v>65</v>
      </c>
      <c r="H4433" t="s">
        <v>66</v>
      </c>
      <c r="I4433" t="s">
        <v>60</v>
      </c>
      <c r="J4433" t="s">
        <v>61</v>
      </c>
      <c r="L4433" t="s">
        <v>62</v>
      </c>
      <c r="M4433" t="s">
        <v>3280</v>
      </c>
    </row>
    <row r="4434" spans="1:13">
      <c r="A4434">
        <v>46018</v>
      </c>
      <c r="B4434" t="s">
        <v>3893</v>
      </c>
      <c r="D4434">
        <v>500</v>
      </c>
      <c r="F4434">
        <v>0</v>
      </c>
      <c r="G4434" t="s">
        <v>22</v>
      </c>
      <c r="H4434" t="s">
        <v>21</v>
      </c>
      <c r="I4434" t="s">
        <v>60</v>
      </c>
      <c r="J4434" t="s">
        <v>61</v>
      </c>
      <c r="L4434" t="s">
        <v>82</v>
      </c>
    </row>
    <row r="4435" spans="1:13">
      <c r="A4435">
        <v>46018</v>
      </c>
      <c r="B4435" t="s">
        <v>3894</v>
      </c>
      <c r="D4435">
        <v>500</v>
      </c>
      <c r="F4435">
        <v>1</v>
      </c>
      <c r="G4435" t="s">
        <v>22</v>
      </c>
      <c r="H4435" t="s">
        <v>21</v>
      </c>
      <c r="I4435" t="s">
        <v>60</v>
      </c>
      <c r="J4435" t="s">
        <v>61</v>
      </c>
      <c r="L4435" t="s">
        <v>82</v>
      </c>
    </row>
    <row r="4436" spans="1:13">
      <c r="A4436">
        <v>46018</v>
      </c>
      <c r="B4436" t="s">
        <v>3518</v>
      </c>
      <c r="D4436">
        <v>500</v>
      </c>
      <c r="F4436">
        <v>1</v>
      </c>
      <c r="G4436" t="s">
        <v>22</v>
      </c>
      <c r="H4436" t="s">
        <v>21</v>
      </c>
      <c r="I4436" t="s">
        <v>60</v>
      </c>
      <c r="J4436" t="s">
        <v>61</v>
      </c>
      <c r="L4436" t="s">
        <v>82</v>
      </c>
    </row>
    <row r="4437" spans="1:13">
      <c r="A4437">
        <v>46018</v>
      </c>
      <c r="B4437" t="s">
        <v>3895</v>
      </c>
      <c r="D4437">
        <v>500</v>
      </c>
      <c r="F4437">
        <v>1</v>
      </c>
      <c r="G4437" t="s">
        <v>22</v>
      </c>
      <c r="H4437" t="s">
        <v>21</v>
      </c>
      <c r="I4437" t="s">
        <v>60</v>
      </c>
      <c r="J4437" t="s">
        <v>61</v>
      </c>
      <c r="L4437" t="s">
        <v>86</v>
      </c>
    </row>
    <row r="4438" spans="1:13">
      <c r="A4438">
        <v>46018</v>
      </c>
      <c r="B4438" t="s">
        <v>63</v>
      </c>
      <c r="D4438">
        <v>22500</v>
      </c>
      <c r="G4438" t="s">
        <v>70</v>
      </c>
      <c r="I4438" t="s">
        <v>60</v>
      </c>
      <c r="J4438" t="s">
        <v>61</v>
      </c>
      <c r="L4438" t="s">
        <v>62</v>
      </c>
    </row>
    <row r="4439" spans="1:13">
      <c r="A4439">
        <v>46018</v>
      </c>
      <c r="B4439" t="s">
        <v>3896</v>
      </c>
      <c r="D4439">
        <v>500</v>
      </c>
      <c r="F4439">
        <v>1</v>
      </c>
      <c r="G4439" t="s">
        <v>22</v>
      </c>
      <c r="H4439" t="s">
        <v>21</v>
      </c>
      <c r="I4439" t="s">
        <v>60</v>
      </c>
      <c r="J4439" t="s">
        <v>61</v>
      </c>
      <c r="L4439" t="s">
        <v>86</v>
      </c>
    </row>
    <row r="4440" spans="1:13">
      <c r="A4440">
        <v>46018</v>
      </c>
      <c r="B4440" t="s">
        <v>3897</v>
      </c>
      <c r="D4440">
        <v>500</v>
      </c>
      <c r="F4440">
        <v>0</v>
      </c>
      <c r="G4440" t="s">
        <v>22</v>
      </c>
      <c r="H4440" t="s">
        <v>21</v>
      </c>
      <c r="I4440" t="s">
        <v>60</v>
      </c>
      <c r="J4440" t="s">
        <v>61</v>
      </c>
      <c r="L4440" t="s">
        <v>86</v>
      </c>
      <c r="M4440" t="s">
        <v>83</v>
      </c>
    </row>
    <row r="4441" spans="1:13">
      <c r="A4441">
        <v>46018</v>
      </c>
      <c r="B4441" t="s">
        <v>3898</v>
      </c>
      <c r="F4441">
        <v>1</v>
      </c>
      <c r="G4441" t="s">
        <v>64</v>
      </c>
      <c r="L4441" t="s">
        <v>86</v>
      </c>
      <c r="M4441" t="s">
        <v>1359</v>
      </c>
    </row>
    <row r="4442" spans="1:13">
      <c r="A4442">
        <v>46018</v>
      </c>
      <c r="B4442" t="s">
        <v>3899</v>
      </c>
      <c r="F4442">
        <v>1</v>
      </c>
      <c r="G4442" t="s">
        <v>64</v>
      </c>
      <c r="L4442" t="s">
        <v>82</v>
      </c>
      <c r="M4442" t="s">
        <v>96</v>
      </c>
    </row>
    <row r="4443" spans="1:13">
      <c r="A4443">
        <v>46018</v>
      </c>
      <c r="B4443" t="s">
        <v>63</v>
      </c>
      <c r="D4443">
        <v>30500</v>
      </c>
      <c r="F4443">
        <v>3</v>
      </c>
      <c r="G4443" t="s">
        <v>70</v>
      </c>
      <c r="I4443" t="s">
        <v>71</v>
      </c>
      <c r="J4443" t="s">
        <v>1975</v>
      </c>
      <c r="K4443" t="s">
        <v>3900</v>
      </c>
      <c r="L4443" t="s">
        <v>62</v>
      </c>
      <c r="M4443" t="s">
        <v>3901</v>
      </c>
    </row>
    <row r="4444" spans="1:13">
      <c r="A4444">
        <v>46018</v>
      </c>
      <c r="B4444" t="s">
        <v>3902</v>
      </c>
      <c r="D4444">
        <v>500</v>
      </c>
      <c r="F4444">
        <v>1</v>
      </c>
      <c r="G4444" t="s">
        <v>22</v>
      </c>
      <c r="H4444" t="s">
        <v>21</v>
      </c>
      <c r="I4444" t="s">
        <v>60</v>
      </c>
      <c r="J4444" t="s">
        <v>61</v>
      </c>
      <c r="L4444" t="s">
        <v>86</v>
      </c>
    </row>
    <row r="4445" spans="1:13">
      <c r="A4445">
        <v>46018</v>
      </c>
      <c r="B4445" t="s">
        <v>3903</v>
      </c>
      <c r="D4445">
        <v>500</v>
      </c>
      <c r="F4445">
        <v>1</v>
      </c>
      <c r="G4445" t="s">
        <v>22</v>
      </c>
      <c r="H4445" t="s">
        <v>21</v>
      </c>
      <c r="I4445" t="s">
        <v>60</v>
      </c>
      <c r="J4445" t="s">
        <v>61</v>
      </c>
      <c r="L4445" t="s">
        <v>86</v>
      </c>
    </row>
    <row r="4446" spans="1:13">
      <c r="A4446">
        <v>46018</v>
      </c>
      <c r="B4446" t="s">
        <v>3904</v>
      </c>
      <c r="F4446">
        <v>1</v>
      </c>
      <c r="G4446" t="s">
        <v>64</v>
      </c>
      <c r="L4446" t="s">
        <v>86</v>
      </c>
      <c r="M4446" t="s">
        <v>1359</v>
      </c>
    </row>
    <row r="4447" spans="1:13">
      <c r="A4447">
        <v>46018</v>
      </c>
      <c r="B4447" t="s">
        <v>2332</v>
      </c>
      <c r="D4447">
        <v>500</v>
      </c>
      <c r="F4447">
        <v>0</v>
      </c>
      <c r="G4447" t="s">
        <v>22</v>
      </c>
      <c r="H4447" t="s">
        <v>21</v>
      </c>
      <c r="I4447" t="s">
        <v>60</v>
      </c>
      <c r="J4447" t="s">
        <v>61</v>
      </c>
      <c r="L4447" t="s">
        <v>86</v>
      </c>
      <c r="M4447" t="s">
        <v>83</v>
      </c>
    </row>
    <row r="4448" spans="1:13">
      <c r="A4448">
        <v>46018</v>
      </c>
      <c r="B4448" t="s">
        <v>3905</v>
      </c>
      <c r="D4448">
        <v>500</v>
      </c>
      <c r="F4448">
        <v>0</v>
      </c>
      <c r="G4448" t="s">
        <v>22</v>
      </c>
      <c r="H4448" t="s">
        <v>21</v>
      </c>
      <c r="I4448" t="s">
        <v>60</v>
      </c>
      <c r="J4448" t="s">
        <v>61</v>
      </c>
      <c r="L4448" t="s">
        <v>86</v>
      </c>
      <c r="M4448" t="s">
        <v>83</v>
      </c>
    </row>
    <row r="4449" spans="1:13">
      <c r="A4449">
        <v>46018</v>
      </c>
      <c r="B4449" t="s">
        <v>3906</v>
      </c>
      <c r="D4449">
        <v>500</v>
      </c>
      <c r="F4449">
        <v>0</v>
      </c>
      <c r="G4449" t="s">
        <v>22</v>
      </c>
      <c r="H4449" t="s">
        <v>21</v>
      </c>
      <c r="I4449" t="s">
        <v>60</v>
      </c>
      <c r="J4449" t="s">
        <v>61</v>
      </c>
      <c r="L4449" t="s">
        <v>86</v>
      </c>
      <c r="M4449" t="s">
        <v>83</v>
      </c>
    </row>
    <row r="4450" spans="1:13">
      <c r="A4450">
        <v>46018</v>
      </c>
      <c r="B4450" t="s">
        <v>3907</v>
      </c>
      <c r="D4450">
        <v>500</v>
      </c>
      <c r="F4450">
        <v>0</v>
      </c>
      <c r="G4450" t="s">
        <v>22</v>
      </c>
      <c r="H4450" t="s">
        <v>21</v>
      </c>
      <c r="I4450" t="s">
        <v>60</v>
      </c>
      <c r="J4450" t="s">
        <v>61</v>
      </c>
      <c r="L4450" t="s">
        <v>86</v>
      </c>
      <c r="M4450" t="s">
        <v>83</v>
      </c>
    </row>
    <row r="4451" spans="1:13">
      <c r="A4451">
        <v>46018</v>
      </c>
      <c r="B4451" t="s">
        <v>63</v>
      </c>
      <c r="D4451">
        <v>200</v>
      </c>
      <c r="F4451">
        <v>2</v>
      </c>
      <c r="G4451" t="s">
        <v>22</v>
      </c>
      <c r="H4451" t="s">
        <v>93</v>
      </c>
      <c r="I4451" t="s">
        <v>60</v>
      </c>
      <c r="J4451" t="s">
        <v>61</v>
      </c>
      <c r="L4451" t="s">
        <v>62</v>
      </c>
    </row>
    <row r="4452" spans="1:13">
      <c r="A4452">
        <v>46018</v>
      </c>
      <c r="B4452" t="s">
        <v>559</v>
      </c>
      <c r="E4452">
        <v>7000</v>
      </c>
      <c r="F4452">
        <v>1</v>
      </c>
      <c r="G4452" t="s">
        <v>65</v>
      </c>
      <c r="H4452" t="s">
        <v>66</v>
      </c>
      <c r="I4452" t="s">
        <v>60</v>
      </c>
      <c r="J4452" t="s">
        <v>61</v>
      </c>
      <c r="L4452" t="s">
        <v>62</v>
      </c>
    </row>
    <row r="4453" spans="1:13">
      <c r="A4453">
        <v>46018</v>
      </c>
      <c r="B4453" t="s">
        <v>63</v>
      </c>
      <c r="D4453">
        <v>35500</v>
      </c>
      <c r="F4453">
        <v>4</v>
      </c>
      <c r="G4453" t="s">
        <v>70</v>
      </c>
      <c r="I4453" t="s">
        <v>71</v>
      </c>
      <c r="J4453" t="s">
        <v>535</v>
      </c>
      <c r="K4453" t="s">
        <v>3908</v>
      </c>
      <c r="L4453" t="s">
        <v>62</v>
      </c>
      <c r="M4453" t="s">
        <v>90</v>
      </c>
    </row>
    <row r="4454" spans="1:13">
      <c r="A4454">
        <v>46018</v>
      </c>
      <c r="B4454" t="s">
        <v>3909</v>
      </c>
      <c r="F4454">
        <v>1</v>
      </c>
      <c r="G4454" t="s">
        <v>79</v>
      </c>
      <c r="H4454" t="s">
        <v>21</v>
      </c>
      <c r="L4454" t="s">
        <v>86</v>
      </c>
      <c r="M4454" t="s">
        <v>327</v>
      </c>
    </row>
    <row r="4455" spans="1:13">
      <c r="A4455">
        <v>46018</v>
      </c>
      <c r="B4455" t="s">
        <v>63</v>
      </c>
      <c r="E4455">
        <v>6000</v>
      </c>
      <c r="F4455">
        <v>1</v>
      </c>
      <c r="G4455" t="s">
        <v>65</v>
      </c>
      <c r="H4455" t="s">
        <v>66</v>
      </c>
      <c r="I4455" t="s">
        <v>60</v>
      </c>
      <c r="J4455" t="s">
        <v>61</v>
      </c>
      <c r="L4455" t="s">
        <v>62</v>
      </c>
      <c r="M4455" t="s">
        <v>3280</v>
      </c>
    </row>
    <row r="4456" spans="1:13">
      <c r="A4456">
        <v>46018</v>
      </c>
      <c r="B4456" t="s">
        <v>3910</v>
      </c>
      <c r="F4456">
        <v>1</v>
      </c>
      <c r="G4456" t="s">
        <v>0</v>
      </c>
      <c r="L4456" t="s">
        <v>89</v>
      </c>
    </row>
    <row r="4457" spans="1:13">
      <c r="A4457">
        <v>46019</v>
      </c>
      <c r="B4457" t="s">
        <v>63</v>
      </c>
      <c r="D4457">
        <v>6000</v>
      </c>
      <c r="F4457">
        <v>1</v>
      </c>
      <c r="G4457" t="s">
        <v>70</v>
      </c>
      <c r="I4457" t="s">
        <v>71</v>
      </c>
      <c r="J4457" t="s">
        <v>72</v>
      </c>
      <c r="K4457" t="s">
        <v>3911</v>
      </c>
      <c r="L4457" t="s">
        <v>62</v>
      </c>
      <c r="M4457" t="s">
        <v>90</v>
      </c>
    </row>
    <row r="4458" spans="1:13">
      <c r="A4458">
        <v>46020</v>
      </c>
      <c r="B4458" t="s">
        <v>3912</v>
      </c>
      <c r="D4458">
        <v>50000</v>
      </c>
      <c r="F4458">
        <v>1</v>
      </c>
      <c r="G4458" t="s">
        <v>64</v>
      </c>
      <c r="I4458" t="s">
        <v>60</v>
      </c>
      <c r="J4458" t="s">
        <v>61</v>
      </c>
      <c r="L4458" t="s">
        <v>89</v>
      </c>
      <c r="M4458" t="s">
        <v>96</v>
      </c>
    </row>
    <row r="4459" spans="1:13">
      <c r="A4459">
        <v>46020</v>
      </c>
      <c r="B4459" t="s">
        <v>562</v>
      </c>
      <c r="D4459">
        <v>19800</v>
      </c>
      <c r="G4459" t="s">
        <v>77</v>
      </c>
      <c r="I4459" t="s">
        <v>60</v>
      </c>
      <c r="J4459" t="s">
        <v>61</v>
      </c>
      <c r="L4459" t="s">
        <v>62</v>
      </c>
    </row>
    <row r="4460" spans="1:13">
      <c r="A4460">
        <v>46020</v>
      </c>
      <c r="B4460" t="s">
        <v>3913</v>
      </c>
      <c r="D4460">
        <v>500</v>
      </c>
      <c r="F4460">
        <v>1</v>
      </c>
      <c r="G4460" t="s">
        <v>22</v>
      </c>
      <c r="H4460" t="s">
        <v>21</v>
      </c>
      <c r="I4460" t="s">
        <v>60</v>
      </c>
      <c r="J4460" t="s">
        <v>61</v>
      </c>
      <c r="L4460" t="s">
        <v>89</v>
      </c>
    </row>
    <row r="4461" spans="1:13">
      <c r="A4461">
        <v>46020</v>
      </c>
      <c r="B4461" t="s">
        <v>3914</v>
      </c>
      <c r="D4461">
        <v>500</v>
      </c>
      <c r="F4461">
        <v>0</v>
      </c>
      <c r="G4461" t="s">
        <v>22</v>
      </c>
      <c r="H4461" t="s">
        <v>21</v>
      </c>
      <c r="I4461" t="s">
        <v>60</v>
      </c>
      <c r="J4461" t="s">
        <v>61</v>
      </c>
      <c r="L4461" t="s">
        <v>86</v>
      </c>
      <c r="M4461" t="s">
        <v>83</v>
      </c>
    </row>
    <row r="4462" spans="1:13">
      <c r="A4462">
        <v>46020</v>
      </c>
      <c r="B4462" t="s">
        <v>624</v>
      </c>
      <c r="D4462">
        <v>-52000</v>
      </c>
      <c r="G4462" t="s">
        <v>77</v>
      </c>
      <c r="I4462" t="s">
        <v>60</v>
      </c>
      <c r="J4462" t="s">
        <v>61</v>
      </c>
      <c r="L4462" t="s">
        <v>62</v>
      </c>
    </row>
    <row r="4463" spans="1:13">
      <c r="A4463">
        <v>46020</v>
      </c>
      <c r="B4463" t="s">
        <v>624</v>
      </c>
      <c r="E4463">
        <v>-2750</v>
      </c>
      <c r="F4463">
        <v>1</v>
      </c>
      <c r="G4463" t="s">
        <v>65</v>
      </c>
      <c r="H4463" t="s">
        <v>85</v>
      </c>
      <c r="I4463" t="s">
        <v>60</v>
      </c>
      <c r="J4463" t="s">
        <v>61</v>
      </c>
      <c r="L4463" t="s">
        <v>62</v>
      </c>
    </row>
    <row r="4464" spans="1:13">
      <c r="A4464">
        <v>46020</v>
      </c>
      <c r="B4464" t="s">
        <v>3915</v>
      </c>
      <c r="D4464">
        <v>500</v>
      </c>
      <c r="F4464">
        <v>1</v>
      </c>
      <c r="G4464" t="s">
        <v>22</v>
      </c>
      <c r="H4464" t="s">
        <v>21</v>
      </c>
      <c r="I4464" t="s">
        <v>60</v>
      </c>
      <c r="J4464" t="s">
        <v>61</v>
      </c>
      <c r="L4464" t="s">
        <v>86</v>
      </c>
    </row>
    <row r="4465" spans="1:13">
      <c r="A4465">
        <v>46020</v>
      </c>
      <c r="B4465" t="s">
        <v>63</v>
      </c>
      <c r="D4465">
        <v>300</v>
      </c>
      <c r="F4465">
        <v>3</v>
      </c>
      <c r="G4465" t="s">
        <v>22</v>
      </c>
      <c r="H4465" t="s">
        <v>93</v>
      </c>
      <c r="I4465" t="s">
        <v>60</v>
      </c>
      <c r="J4465" t="s">
        <v>61</v>
      </c>
      <c r="L4465" t="s">
        <v>62</v>
      </c>
    </row>
    <row r="4466" spans="1:13">
      <c r="A4466">
        <v>46020</v>
      </c>
      <c r="B4466" t="s">
        <v>3916</v>
      </c>
      <c r="D4466">
        <v>500</v>
      </c>
      <c r="F4466">
        <v>1</v>
      </c>
      <c r="G4466" t="s">
        <v>22</v>
      </c>
      <c r="H4466" t="s">
        <v>21</v>
      </c>
      <c r="I4466" t="s">
        <v>60</v>
      </c>
      <c r="J4466" t="s">
        <v>61</v>
      </c>
      <c r="L4466" t="s">
        <v>86</v>
      </c>
    </row>
    <row r="4467" spans="1:13">
      <c r="A4467">
        <v>46020</v>
      </c>
      <c r="B4467" t="s">
        <v>63</v>
      </c>
      <c r="E4467">
        <v>2000</v>
      </c>
      <c r="F4467">
        <v>1</v>
      </c>
      <c r="G4467" t="s">
        <v>65</v>
      </c>
      <c r="H4467" t="s">
        <v>66</v>
      </c>
      <c r="I4467" t="s">
        <v>60</v>
      </c>
      <c r="J4467" t="s">
        <v>61</v>
      </c>
      <c r="L4467" t="s">
        <v>62</v>
      </c>
      <c r="M4467" t="s">
        <v>3280</v>
      </c>
    </row>
    <row r="4468" spans="1:13">
      <c r="A4468">
        <v>46020</v>
      </c>
      <c r="B4468" t="s">
        <v>3917</v>
      </c>
      <c r="F4468">
        <v>1</v>
      </c>
      <c r="G4468" t="s">
        <v>0</v>
      </c>
      <c r="L4468" t="s">
        <v>89</v>
      </c>
    </row>
    <row r="4469" spans="1:13">
      <c r="A4469">
        <v>46021</v>
      </c>
      <c r="B4469" t="s">
        <v>3918</v>
      </c>
      <c r="F4469">
        <v>1</v>
      </c>
      <c r="G4469" t="s">
        <v>79</v>
      </c>
      <c r="H4469" t="s">
        <v>21</v>
      </c>
      <c r="L4469" t="s">
        <v>82</v>
      </c>
      <c r="M4469" t="s">
        <v>327</v>
      </c>
    </row>
    <row r="4470" spans="1:13">
      <c r="A4470">
        <v>46021</v>
      </c>
      <c r="B4470" t="s">
        <v>3919</v>
      </c>
      <c r="D4470">
        <v>500</v>
      </c>
      <c r="F4470">
        <v>1</v>
      </c>
      <c r="G4470" t="s">
        <v>22</v>
      </c>
      <c r="H4470" t="s">
        <v>21</v>
      </c>
      <c r="I4470" t="s">
        <v>60</v>
      </c>
      <c r="J4470" t="s">
        <v>61</v>
      </c>
      <c r="L4470" t="s">
        <v>82</v>
      </c>
    </row>
    <row r="4471" spans="1:13">
      <c r="A4471">
        <v>46021</v>
      </c>
      <c r="B4471" t="s">
        <v>3920</v>
      </c>
      <c r="F4471">
        <v>1</v>
      </c>
      <c r="G4471" t="s">
        <v>377</v>
      </c>
      <c r="H4471" t="s">
        <v>21</v>
      </c>
      <c r="L4471" t="s">
        <v>89</v>
      </c>
      <c r="M4471" t="s">
        <v>327</v>
      </c>
    </row>
    <row r="4472" spans="1:13">
      <c r="A4472">
        <v>46021</v>
      </c>
      <c r="B4472" t="s">
        <v>3921</v>
      </c>
      <c r="F4472">
        <v>1</v>
      </c>
      <c r="G4472" t="s">
        <v>98</v>
      </c>
      <c r="H4472" t="s">
        <v>21</v>
      </c>
      <c r="L4472" t="s">
        <v>89</v>
      </c>
      <c r="M4472" t="s">
        <v>327</v>
      </c>
    </row>
    <row r="4473" spans="1:13">
      <c r="A4473">
        <v>46021</v>
      </c>
      <c r="B4473" t="s">
        <v>63</v>
      </c>
      <c r="D4473">
        <v>30000</v>
      </c>
      <c r="G4473" t="s">
        <v>70</v>
      </c>
      <c r="I4473" t="s">
        <v>60</v>
      </c>
      <c r="J4473" t="s">
        <v>61</v>
      </c>
      <c r="L4473" t="s">
        <v>62</v>
      </c>
    </row>
    <row r="4474" spans="1:13">
      <c r="A4474">
        <v>46021</v>
      </c>
      <c r="B4474" t="s">
        <v>1384</v>
      </c>
      <c r="F4474">
        <v>-20</v>
      </c>
      <c r="G4474" t="s">
        <v>22</v>
      </c>
      <c r="H4474" t="s">
        <v>93</v>
      </c>
      <c r="L4474" t="s">
        <v>101</v>
      </c>
    </row>
    <row r="4475" spans="1:13">
      <c r="A4475">
        <v>46021</v>
      </c>
      <c r="B4475" t="s">
        <v>63</v>
      </c>
      <c r="E4475">
        <v>500</v>
      </c>
      <c r="F4475">
        <v>1</v>
      </c>
      <c r="G4475" t="s">
        <v>65</v>
      </c>
      <c r="H4475" t="s">
        <v>66</v>
      </c>
      <c r="I4475" t="s">
        <v>60</v>
      </c>
      <c r="J4475" t="s">
        <v>61</v>
      </c>
      <c r="L4475" t="s">
        <v>62</v>
      </c>
      <c r="M4475" t="s">
        <v>3280</v>
      </c>
    </row>
    <row r="4476" spans="1:13">
      <c r="A4476">
        <v>46021</v>
      </c>
      <c r="B4476" t="s">
        <v>3922</v>
      </c>
      <c r="F4476">
        <v>1</v>
      </c>
      <c r="G4476" t="s">
        <v>64</v>
      </c>
      <c r="L4476" t="s">
        <v>89</v>
      </c>
      <c r="M4476" t="s">
        <v>96</v>
      </c>
    </row>
    <row r="4477" spans="1:13">
      <c r="A4477">
        <v>46021</v>
      </c>
      <c r="B4477" t="s">
        <v>81</v>
      </c>
      <c r="D4477">
        <v>500000</v>
      </c>
      <c r="F4477">
        <v>1</v>
      </c>
      <c r="G4477" t="s">
        <v>74</v>
      </c>
      <c r="H4477" t="s">
        <v>75</v>
      </c>
      <c r="I4477" t="s">
        <v>60</v>
      </c>
      <c r="J4477" t="s">
        <v>61</v>
      </c>
      <c r="L4477" t="s">
        <v>623</v>
      </c>
    </row>
    <row r="4478" spans="1:13">
      <c r="A4478">
        <v>46022</v>
      </c>
      <c r="B4478" t="s">
        <v>259</v>
      </c>
      <c r="D4478">
        <v>500</v>
      </c>
      <c r="F4478">
        <v>1</v>
      </c>
      <c r="G4478" t="s">
        <v>22</v>
      </c>
      <c r="H4478" t="s">
        <v>21</v>
      </c>
      <c r="I4478" t="s">
        <v>60</v>
      </c>
      <c r="J4478" t="s">
        <v>61</v>
      </c>
      <c r="L4478" t="s">
        <v>89</v>
      </c>
    </row>
    <row r="4479" spans="1:13">
      <c r="A4479">
        <v>46022</v>
      </c>
      <c r="B4479" t="s">
        <v>3923</v>
      </c>
      <c r="F4479">
        <v>1</v>
      </c>
      <c r="G4479" t="s">
        <v>64</v>
      </c>
      <c r="L4479" t="s">
        <v>89</v>
      </c>
      <c r="M4479" t="s">
        <v>96</v>
      </c>
    </row>
    <row r="4480" spans="1:13">
      <c r="A4480">
        <v>46022</v>
      </c>
      <c r="B4480" t="s">
        <v>81</v>
      </c>
      <c r="D4480">
        <v>51400</v>
      </c>
      <c r="F4480">
        <v>1</v>
      </c>
      <c r="G4480" t="s">
        <v>74</v>
      </c>
      <c r="H4480" t="s">
        <v>75</v>
      </c>
      <c r="I4480" t="s">
        <v>60</v>
      </c>
      <c r="J4480" t="s">
        <v>61</v>
      </c>
      <c r="L4480" t="s">
        <v>214</v>
      </c>
    </row>
    <row r="4481" spans="1:13">
      <c r="A4481">
        <v>46022</v>
      </c>
      <c r="B4481" t="s">
        <v>3924</v>
      </c>
      <c r="F4481">
        <v>1</v>
      </c>
      <c r="G4481" t="s">
        <v>79</v>
      </c>
      <c r="H4481" t="s">
        <v>21</v>
      </c>
      <c r="L4481" t="s">
        <v>89</v>
      </c>
      <c r="M4481" t="s">
        <v>327</v>
      </c>
    </row>
    <row r="4482" spans="1:13">
      <c r="A4482">
        <v>46022</v>
      </c>
      <c r="B4482" t="s">
        <v>3925</v>
      </c>
      <c r="D4482">
        <v>50000</v>
      </c>
      <c r="F4482">
        <v>1</v>
      </c>
      <c r="G4482" t="s">
        <v>64</v>
      </c>
      <c r="I4482" t="s">
        <v>60</v>
      </c>
      <c r="J4482" t="s">
        <v>61</v>
      </c>
      <c r="L4482" t="s">
        <v>89</v>
      </c>
      <c r="M4482" t="s">
        <v>96</v>
      </c>
    </row>
    <row r="4483" spans="1:13">
      <c r="A4483">
        <v>46022</v>
      </c>
      <c r="B4483" t="s">
        <v>3926</v>
      </c>
      <c r="F4483">
        <v>1</v>
      </c>
      <c r="G4483" t="s">
        <v>2490</v>
      </c>
      <c r="L4483" t="s">
        <v>82</v>
      </c>
      <c r="M4483" t="s">
        <v>2993</v>
      </c>
    </row>
    <row r="4484" spans="1:13">
      <c r="A4484">
        <v>46022</v>
      </c>
      <c r="B4484" t="s">
        <v>3927</v>
      </c>
      <c r="F4484">
        <v>1</v>
      </c>
      <c r="G4484" t="s">
        <v>2490</v>
      </c>
      <c r="L4484" t="s">
        <v>82</v>
      </c>
      <c r="M4484" t="s">
        <v>2993</v>
      </c>
    </row>
    <row r="4485" spans="1:13">
      <c r="A4485">
        <v>46024</v>
      </c>
      <c r="B4485" t="s">
        <v>248</v>
      </c>
      <c r="E4485">
        <v>153805.93</v>
      </c>
      <c r="F4485">
        <v>1</v>
      </c>
      <c r="G4485" t="s">
        <v>65</v>
      </c>
      <c r="H4485" t="s">
        <v>348</v>
      </c>
      <c r="I4485" t="s">
        <v>60</v>
      </c>
      <c r="J4485" t="s">
        <v>61</v>
      </c>
      <c r="L4485" t="s">
        <v>62</v>
      </c>
      <c r="M4485" t="s">
        <v>3928</v>
      </c>
    </row>
    <row r="4486" spans="1:13">
      <c r="A4486">
        <v>46024</v>
      </c>
      <c r="B4486" t="s">
        <v>3929</v>
      </c>
      <c r="F4486">
        <v>1</v>
      </c>
      <c r="G4486" t="s">
        <v>79</v>
      </c>
      <c r="H4486" t="s">
        <v>21</v>
      </c>
      <c r="L4486" t="s">
        <v>89</v>
      </c>
      <c r="M4486" t="s">
        <v>327</v>
      </c>
    </row>
    <row r="4487" spans="1:13">
      <c r="A4487">
        <v>46024</v>
      </c>
      <c r="B4487" t="s">
        <v>3930</v>
      </c>
      <c r="F4487">
        <v>1</v>
      </c>
      <c r="G4487" t="s">
        <v>64</v>
      </c>
      <c r="L4487" t="s">
        <v>82</v>
      </c>
      <c r="M4487" t="s">
        <v>96</v>
      </c>
    </row>
    <row r="4488" spans="1:13">
      <c r="A4488">
        <v>46024</v>
      </c>
      <c r="B4488" t="s">
        <v>3931</v>
      </c>
      <c r="F4488">
        <v>1</v>
      </c>
      <c r="G4488" t="s">
        <v>107</v>
      </c>
      <c r="H4488" t="s">
        <v>21</v>
      </c>
      <c r="L4488" t="s">
        <v>89</v>
      </c>
      <c r="M4488" t="s">
        <v>3932</v>
      </c>
    </row>
    <row r="4489" spans="1:13">
      <c r="A4489">
        <v>46024</v>
      </c>
      <c r="B4489" t="s">
        <v>3933</v>
      </c>
      <c r="F4489">
        <v>1</v>
      </c>
      <c r="G4489" t="s">
        <v>107</v>
      </c>
      <c r="H4489" t="s">
        <v>21</v>
      </c>
      <c r="L4489" t="s">
        <v>89</v>
      </c>
      <c r="M4489" t="s">
        <v>3932</v>
      </c>
    </row>
    <row r="4490" spans="1:13">
      <c r="A4490">
        <v>46024</v>
      </c>
      <c r="B4490" t="s">
        <v>3934</v>
      </c>
      <c r="D4490">
        <v>500</v>
      </c>
      <c r="F4490">
        <v>1</v>
      </c>
      <c r="G4490" t="s">
        <v>22</v>
      </c>
      <c r="H4490" t="s">
        <v>21</v>
      </c>
      <c r="I4490" t="s">
        <v>60</v>
      </c>
      <c r="J4490" t="s">
        <v>61</v>
      </c>
      <c r="L4490" t="s">
        <v>82</v>
      </c>
    </row>
    <row r="4491" spans="1:13">
      <c r="A4491">
        <v>46024</v>
      </c>
      <c r="B4491" t="s">
        <v>3935</v>
      </c>
      <c r="D4491">
        <v>500</v>
      </c>
      <c r="F4491">
        <v>1</v>
      </c>
      <c r="G4491" t="s">
        <v>22</v>
      </c>
      <c r="H4491" t="s">
        <v>21</v>
      </c>
      <c r="I4491" t="s">
        <v>60</v>
      </c>
      <c r="J4491" t="s">
        <v>61</v>
      </c>
      <c r="L4491" t="s">
        <v>82</v>
      </c>
    </row>
    <row r="4492" spans="1:13">
      <c r="A4492">
        <v>46024</v>
      </c>
      <c r="B4492" t="s">
        <v>3936</v>
      </c>
      <c r="D4492">
        <v>500</v>
      </c>
      <c r="F4492">
        <v>1</v>
      </c>
      <c r="G4492" t="s">
        <v>22</v>
      </c>
      <c r="H4492" t="s">
        <v>21</v>
      </c>
      <c r="I4492" t="s">
        <v>60</v>
      </c>
      <c r="J4492" t="s">
        <v>61</v>
      </c>
      <c r="L4492" t="s">
        <v>82</v>
      </c>
    </row>
    <row r="4493" spans="1:13">
      <c r="A4493">
        <v>46024</v>
      </c>
      <c r="B4493" t="s">
        <v>3937</v>
      </c>
      <c r="D4493">
        <v>500</v>
      </c>
      <c r="F4493">
        <v>1</v>
      </c>
      <c r="G4493" t="s">
        <v>22</v>
      </c>
      <c r="H4493" t="s">
        <v>21</v>
      </c>
      <c r="I4493" t="s">
        <v>60</v>
      </c>
      <c r="J4493" t="s">
        <v>61</v>
      </c>
      <c r="L4493" t="s">
        <v>89</v>
      </c>
    </row>
    <row r="4494" spans="1:13">
      <c r="A4494">
        <v>46024</v>
      </c>
      <c r="B4494" t="s">
        <v>3938</v>
      </c>
      <c r="F4494">
        <v>1</v>
      </c>
      <c r="G4494" t="s">
        <v>79</v>
      </c>
      <c r="H4494" t="s">
        <v>21</v>
      </c>
      <c r="L4494" t="s">
        <v>82</v>
      </c>
      <c r="M4494" t="s">
        <v>327</v>
      </c>
    </row>
    <row r="4495" spans="1:13">
      <c r="A4495">
        <v>46024</v>
      </c>
      <c r="B4495" t="s">
        <v>3939</v>
      </c>
      <c r="D4495">
        <v>500</v>
      </c>
      <c r="F4495">
        <v>1</v>
      </c>
      <c r="G4495" t="s">
        <v>22</v>
      </c>
      <c r="H4495" t="s">
        <v>21</v>
      </c>
      <c r="I4495" t="s">
        <v>60</v>
      </c>
      <c r="J4495" t="s">
        <v>61</v>
      </c>
      <c r="L4495" t="s">
        <v>82</v>
      </c>
    </row>
    <row r="4496" spans="1:13">
      <c r="A4496">
        <v>46024</v>
      </c>
      <c r="B4496" t="s">
        <v>3940</v>
      </c>
      <c r="D4496">
        <v>500</v>
      </c>
      <c r="F4496">
        <v>1</v>
      </c>
      <c r="G4496" t="s">
        <v>22</v>
      </c>
      <c r="H4496" t="s">
        <v>21</v>
      </c>
      <c r="I4496" t="s">
        <v>60</v>
      </c>
      <c r="J4496" t="s">
        <v>61</v>
      </c>
      <c r="L4496" t="s">
        <v>82</v>
      </c>
    </row>
    <row r="4497" spans="1:13">
      <c r="A4497">
        <v>46024</v>
      </c>
      <c r="B4497" t="s">
        <v>3941</v>
      </c>
      <c r="D4497">
        <v>500</v>
      </c>
      <c r="F4497">
        <v>1</v>
      </c>
      <c r="G4497" t="s">
        <v>22</v>
      </c>
      <c r="H4497" t="s">
        <v>21</v>
      </c>
      <c r="I4497" t="s">
        <v>60</v>
      </c>
      <c r="J4497" t="s">
        <v>61</v>
      </c>
      <c r="L4497" t="s">
        <v>82</v>
      </c>
    </row>
    <row r="4498" spans="1:13">
      <c r="A4498">
        <v>46024</v>
      </c>
      <c r="B4498" t="s">
        <v>3942</v>
      </c>
      <c r="F4498">
        <v>1</v>
      </c>
      <c r="G4498" t="s">
        <v>590</v>
      </c>
      <c r="H4498" t="s">
        <v>21</v>
      </c>
      <c r="L4498" t="s">
        <v>82</v>
      </c>
      <c r="M4498" t="s">
        <v>3943</v>
      </c>
    </row>
    <row r="4499" spans="1:13">
      <c r="A4499">
        <v>46024</v>
      </c>
      <c r="B4499" t="s">
        <v>3944</v>
      </c>
      <c r="D4499">
        <v>500</v>
      </c>
      <c r="F4499">
        <v>1</v>
      </c>
      <c r="G4499" t="s">
        <v>22</v>
      </c>
      <c r="H4499" t="s">
        <v>21</v>
      </c>
      <c r="I4499" t="s">
        <v>60</v>
      </c>
      <c r="J4499" t="s">
        <v>61</v>
      </c>
      <c r="L4499" t="s">
        <v>82</v>
      </c>
    </row>
    <row r="4500" spans="1:13">
      <c r="A4500">
        <v>46024</v>
      </c>
      <c r="B4500" t="s">
        <v>3945</v>
      </c>
      <c r="D4500">
        <v>500</v>
      </c>
      <c r="F4500">
        <v>1</v>
      </c>
      <c r="G4500" t="s">
        <v>22</v>
      </c>
      <c r="H4500" t="s">
        <v>21</v>
      </c>
      <c r="I4500" t="s">
        <v>60</v>
      </c>
      <c r="J4500" t="s">
        <v>61</v>
      </c>
      <c r="L4500" t="s">
        <v>82</v>
      </c>
    </row>
    <row r="4501" spans="1:13">
      <c r="A4501">
        <v>46024</v>
      </c>
      <c r="B4501" t="s">
        <v>3945</v>
      </c>
      <c r="F4501">
        <v>1</v>
      </c>
      <c r="G4501" t="s">
        <v>64</v>
      </c>
      <c r="L4501" t="s">
        <v>82</v>
      </c>
      <c r="M4501" t="s">
        <v>96</v>
      </c>
    </row>
    <row r="4502" spans="1:13">
      <c r="A4502">
        <v>46024</v>
      </c>
      <c r="B4502" t="s">
        <v>3946</v>
      </c>
      <c r="D4502">
        <v>500</v>
      </c>
      <c r="F4502">
        <v>1</v>
      </c>
      <c r="G4502" t="s">
        <v>22</v>
      </c>
      <c r="H4502" t="s">
        <v>21</v>
      </c>
      <c r="I4502" t="s">
        <v>60</v>
      </c>
      <c r="J4502" t="s">
        <v>61</v>
      </c>
      <c r="L4502" t="s">
        <v>82</v>
      </c>
    </row>
    <row r="4503" spans="1:13">
      <c r="A4503">
        <v>46024</v>
      </c>
      <c r="B4503" t="s">
        <v>3946</v>
      </c>
      <c r="F4503">
        <v>1</v>
      </c>
      <c r="G4503" t="s">
        <v>64</v>
      </c>
      <c r="L4503" t="s">
        <v>82</v>
      </c>
      <c r="M4503" t="s">
        <v>96</v>
      </c>
    </row>
    <row r="4504" spans="1:13">
      <c r="A4504">
        <v>46024</v>
      </c>
      <c r="B4504" t="s">
        <v>3947</v>
      </c>
      <c r="D4504">
        <v>500</v>
      </c>
      <c r="F4504">
        <v>1</v>
      </c>
      <c r="G4504" t="s">
        <v>22</v>
      </c>
      <c r="H4504" t="s">
        <v>21</v>
      </c>
      <c r="I4504" t="s">
        <v>60</v>
      </c>
      <c r="J4504" t="s">
        <v>61</v>
      </c>
      <c r="L4504" t="s">
        <v>82</v>
      </c>
    </row>
    <row r="4505" spans="1:13">
      <c r="A4505">
        <v>46024</v>
      </c>
      <c r="B4505" t="s">
        <v>3947</v>
      </c>
      <c r="F4505">
        <v>1</v>
      </c>
      <c r="G4505" t="s">
        <v>64</v>
      </c>
      <c r="L4505" t="s">
        <v>82</v>
      </c>
      <c r="M4505" t="s">
        <v>96</v>
      </c>
    </row>
    <row r="4506" spans="1:13">
      <c r="A4506">
        <v>46024</v>
      </c>
      <c r="B4506" t="s">
        <v>3948</v>
      </c>
      <c r="F4506">
        <v>1</v>
      </c>
      <c r="G4506" t="s">
        <v>64</v>
      </c>
      <c r="L4506" t="s">
        <v>82</v>
      </c>
      <c r="M4506" t="s">
        <v>96</v>
      </c>
    </row>
    <row r="4507" spans="1:13">
      <c r="A4507">
        <v>46024</v>
      </c>
      <c r="B4507" t="s">
        <v>63</v>
      </c>
      <c r="D4507">
        <v>5500</v>
      </c>
      <c r="G4507" t="s">
        <v>70</v>
      </c>
      <c r="I4507" t="s">
        <v>60</v>
      </c>
      <c r="J4507" t="s">
        <v>61</v>
      </c>
      <c r="L4507" t="s">
        <v>62</v>
      </c>
    </row>
    <row r="4508" spans="1:13">
      <c r="A4508">
        <v>46024</v>
      </c>
      <c r="B4508" t="s">
        <v>63</v>
      </c>
      <c r="D4508">
        <v>14500</v>
      </c>
      <c r="F4508">
        <v>2</v>
      </c>
      <c r="G4508" t="s">
        <v>70</v>
      </c>
      <c r="I4508" t="s">
        <v>71</v>
      </c>
      <c r="J4508" t="s">
        <v>72</v>
      </c>
      <c r="K4508" t="s">
        <v>3949</v>
      </c>
      <c r="L4508" t="s">
        <v>62</v>
      </c>
      <c r="M4508" t="s">
        <v>90</v>
      </c>
    </row>
    <row r="4509" spans="1:13">
      <c r="A4509">
        <v>46024</v>
      </c>
      <c r="B4509" t="s">
        <v>63</v>
      </c>
      <c r="D4509">
        <v>36000</v>
      </c>
      <c r="F4509">
        <v>1</v>
      </c>
      <c r="G4509" t="s">
        <v>70</v>
      </c>
      <c r="I4509" t="s">
        <v>71</v>
      </c>
      <c r="J4509" t="s">
        <v>72</v>
      </c>
      <c r="K4509" t="s">
        <v>3950</v>
      </c>
      <c r="L4509" t="s">
        <v>62</v>
      </c>
      <c r="M4509" t="s">
        <v>90</v>
      </c>
    </row>
    <row r="4510" spans="1:13">
      <c r="A4510">
        <v>46024</v>
      </c>
      <c r="B4510" t="s">
        <v>63</v>
      </c>
      <c r="E4510">
        <v>5500</v>
      </c>
      <c r="F4510">
        <v>1</v>
      </c>
      <c r="G4510" t="s">
        <v>65</v>
      </c>
      <c r="H4510" t="s">
        <v>66</v>
      </c>
      <c r="I4510" t="s">
        <v>60</v>
      </c>
      <c r="J4510" t="s">
        <v>61</v>
      </c>
      <c r="L4510" t="s">
        <v>62</v>
      </c>
      <c r="M4510" t="s">
        <v>3280</v>
      </c>
    </row>
    <row r="4511" spans="1:13">
      <c r="A4511">
        <v>46024</v>
      </c>
      <c r="B4511" t="s">
        <v>3951</v>
      </c>
      <c r="F4511">
        <v>1</v>
      </c>
      <c r="G4511" t="s">
        <v>0</v>
      </c>
      <c r="L4511" t="s">
        <v>86</v>
      </c>
      <c r="M4511" t="s">
        <v>3952</v>
      </c>
    </row>
    <row r="4512" spans="1:13">
      <c r="A4512">
        <v>46025</v>
      </c>
      <c r="B4512" t="s">
        <v>3953</v>
      </c>
      <c r="D4512">
        <v>500</v>
      </c>
      <c r="F4512">
        <v>1</v>
      </c>
      <c r="G4512" t="s">
        <v>22</v>
      </c>
      <c r="H4512" t="s">
        <v>21</v>
      </c>
      <c r="I4512" t="s">
        <v>60</v>
      </c>
      <c r="J4512" t="s">
        <v>61</v>
      </c>
      <c r="L4512" t="s">
        <v>82</v>
      </c>
    </row>
    <row r="4513" spans="1:13">
      <c r="A4513">
        <v>46025</v>
      </c>
      <c r="B4513" t="s">
        <v>3953</v>
      </c>
      <c r="F4513">
        <v>1</v>
      </c>
      <c r="G4513" t="s">
        <v>64</v>
      </c>
      <c r="L4513" t="s">
        <v>82</v>
      </c>
      <c r="M4513" t="s">
        <v>96</v>
      </c>
    </row>
    <row r="4514" spans="1:13">
      <c r="A4514">
        <v>46025</v>
      </c>
      <c r="B4514" t="s">
        <v>3954</v>
      </c>
      <c r="D4514">
        <v>500</v>
      </c>
      <c r="F4514">
        <v>1</v>
      </c>
      <c r="G4514" t="s">
        <v>22</v>
      </c>
      <c r="H4514" t="s">
        <v>21</v>
      </c>
      <c r="I4514" t="s">
        <v>60</v>
      </c>
      <c r="J4514" t="s">
        <v>61</v>
      </c>
      <c r="L4514" t="s">
        <v>82</v>
      </c>
    </row>
    <row r="4515" spans="1:13">
      <c r="A4515">
        <v>46025</v>
      </c>
      <c r="B4515" t="s">
        <v>3955</v>
      </c>
      <c r="D4515">
        <v>500</v>
      </c>
      <c r="F4515">
        <v>1</v>
      </c>
      <c r="G4515" t="s">
        <v>22</v>
      </c>
      <c r="H4515" t="s">
        <v>21</v>
      </c>
      <c r="I4515" t="s">
        <v>60</v>
      </c>
      <c r="J4515" t="s">
        <v>61</v>
      </c>
      <c r="L4515" t="s">
        <v>82</v>
      </c>
    </row>
    <row r="4516" spans="1:13">
      <c r="A4516">
        <v>46025</v>
      </c>
      <c r="B4516" t="s">
        <v>3956</v>
      </c>
      <c r="F4516">
        <v>1</v>
      </c>
      <c r="G4516" t="s">
        <v>64</v>
      </c>
      <c r="L4516" t="s">
        <v>82</v>
      </c>
      <c r="M4516" t="s">
        <v>96</v>
      </c>
    </row>
    <row r="4517" spans="1:13">
      <c r="A4517">
        <v>46025</v>
      </c>
      <c r="B4517" t="s">
        <v>3957</v>
      </c>
      <c r="D4517">
        <v>500</v>
      </c>
      <c r="F4517">
        <v>1</v>
      </c>
      <c r="G4517" t="s">
        <v>22</v>
      </c>
      <c r="H4517" t="s">
        <v>21</v>
      </c>
      <c r="I4517" t="s">
        <v>60</v>
      </c>
      <c r="J4517" t="s">
        <v>61</v>
      </c>
      <c r="L4517" t="s">
        <v>82</v>
      </c>
    </row>
    <row r="4518" spans="1:13">
      <c r="A4518">
        <v>46025</v>
      </c>
      <c r="B4518" t="s">
        <v>3958</v>
      </c>
      <c r="D4518">
        <v>500</v>
      </c>
      <c r="F4518">
        <v>1</v>
      </c>
      <c r="G4518" t="s">
        <v>22</v>
      </c>
      <c r="H4518" t="s">
        <v>21</v>
      </c>
      <c r="I4518" t="s">
        <v>60</v>
      </c>
      <c r="J4518" t="s">
        <v>61</v>
      </c>
      <c r="L4518" t="s">
        <v>86</v>
      </c>
    </row>
    <row r="4519" spans="1:13">
      <c r="A4519">
        <v>46025</v>
      </c>
      <c r="B4519" t="s">
        <v>3958</v>
      </c>
      <c r="F4519">
        <v>1</v>
      </c>
      <c r="G4519" t="s">
        <v>64</v>
      </c>
      <c r="L4519" t="s">
        <v>86</v>
      </c>
      <c r="M4519" t="s">
        <v>964</v>
      </c>
    </row>
    <row r="4520" spans="1:13">
      <c r="A4520">
        <v>46025</v>
      </c>
      <c r="B4520" t="s">
        <v>3959</v>
      </c>
      <c r="F4520">
        <v>1</v>
      </c>
      <c r="G4520" t="s">
        <v>107</v>
      </c>
      <c r="H4520" t="s">
        <v>21</v>
      </c>
      <c r="L4520" t="s">
        <v>82</v>
      </c>
      <c r="M4520" t="s">
        <v>3932</v>
      </c>
    </row>
    <row r="4521" spans="1:13">
      <c r="A4521">
        <v>46025</v>
      </c>
      <c r="B4521" t="s">
        <v>3960</v>
      </c>
      <c r="F4521">
        <v>1</v>
      </c>
      <c r="G4521" t="s">
        <v>64</v>
      </c>
      <c r="L4521" t="s">
        <v>86</v>
      </c>
      <c r="M4521" t="s">
        <v>3961</v>
      </c>
    </row>
    <row r="4522" spans="1:13">
      <c r="A4522">
        <v>46025</v>
      </c>
      <c r="B4522" t="s">
        <v>3962</v>
      </c>
      <c r="D4522">
        <v>500</v>
      </c>
      <c r="F4522">
        <v>1</v>
      </c>
      <c r="G4522" t="s">
        <v>22</v>
      </c>
      <c r="H4522" t="s">
        <v>21</v>
      </c>
      <c r="I4522" t="s">
        <v>60</v>
      </c>
      <c r="J4522" t="s">
        <v>61</v>
      </c>
      <c r="L4522" t="s">
        <v>82</v>
      </c>
    </row>
    <row r="4523" spans="1:13">
      <c r="A4523">
        <v>46025</v>
      </c>
      <c r="B4523" t="s">
        <v>63</v>
      </c>
      <c r="D4523">
        <v>78500</v>
      </c>
      <c r="G4523" t="s">
        <v>70</v>
      </c>
      <c r="I4523" t="s">
        <v>60</v>
      </c>
      <c r="J4523" t="s">
        <v>61</v>
      </c>
      <c r="L4523" t="s">
        <v>62</v>
      </c>
    </row>
    <row r="4524" spans="1:13">
      <c r="A4524">
        <v>46025</v>
      </c>
      <c r="B4524" t="s">
        <v>63</v>
      </c>
      <c r="D4524">
        <v>10500</v>
      </c>
      <c r="F4524">
        <v>1</v>
      </c>
      <c r="G4524" t="s">
        <v>70</v>
      </c>
      <c r="I4524" t="s">
        <v>71</v>
      </c>
      <c r="J4524" t="s">
        <v>535</v>
      </c>
      <c r="K4524" t="s">
        <v>3963</v>
      </c>
      <c r="L4524" t="s">
        <v>62</v>
      </c>
      <c r="M4524" t="s">
        <v>90</v>
      </c>
    </row>
    <row r="4525" spans="1:13">
      <c r="A4525">
        <v>46025</v>
      </c>
      <c r="B4525" t="s">
        <v>63</v>
      </c>
      <c r="D4525">
        <v>17000</v>
      </c>
      <c r="F4525">
        <v>2</v>
      </c>
      <c r="G4525" t="s">
        <v>70</v>
      </c>
      <c r="I4525" t="s">
        <v>71</v>
      </c>
      <c r="J4525" t="s">
        <v>535</v>
      </c>
      <c r="K4525" t="s">
        <v>3964</v>
      </c>
      <c r="L4525" t="s">
        <v>62</v>
      </c>
      <c r="M4525" t="s">
        <v>90</v>
      </c>
    </row>
    <row r="4526" spans="1:13">
      <c r="A4526">
        <v>46025</v>
      </c>
      <c r="B4526" t="s">
        <v>63</v>
      </c>
      <c r="D4526">
        <v>25500</v>
      </c>
      <c r="F4526">
        <v>2</v>
      </c>
      <c r="G4526" t="s">
        <v>70</v>
      </c>
      <c r="I4526" t="s">
        <v>71</v>
      </c>
      <c r="J4526" t="s">
        <v>72</v>
      </c>
      <c r="K4526" t="s">
        <v>3965</v>
      </c>
      <c r="L4526" t="s">
        <v>62</v>
      </c>
      <c r="M4526" t="s">
        <v>3966</v>
      </c>
    </row>
    <row r="4527" spans="1:13">
      <c r="A4527">
        <v>46025</v>
      </c>
      <c r="B4527" t="s">
        <v>76</v>
      </c>
      <c r="D4527">
        <v>10000</v>
      </c>
      <c r="G4527" t="s">
        <v>77</v>
      </c>
      <c r="I4527" t="s">
        <v>60</v>
      </c>
      <c r="J4527" t="s">
        <v>61</v>
      </c>
      <c r="L4527" t="s">
        <v>62</v>
      </c>
    </row>
    <row r="4528" spans="1:13">
      <c r="A4528">
        <v>46025</v>
      </c>
      <c r="B4528" t="s">
        <v>63</v>
      </c>
      <c r="D4528">
        <v>200</v>
      </c>
      <c r="F4528">
        <v>2</v>
      </c>
      <c r="G4528" t="s">
        <v>22</v>
      </c>
      <c r="H4528" t="s">
        <v>93</v>
      </c>
      <c r="I4528" t="s">
        <v>60</v>
      </c>
      <c r="J4528" t="s">
        <v>61</v>
      </c>
      <c r="L4528" t="s">
        <v>62</v>
      </c>
    </row>
    <row r="4529" spans="1:13">
      <c r="A4529">
        <v>46025</v>
      </c>
      <c r="B4529" t="s">
        <v>63</v>
      </c>
      <c r="D4529">
        <v>18000</v>
      </c>
      <c r="F4529">
        <v>2</v>
      </c>
      <c r="G4529" t="s">
        <v>70</v>
      </c>
      <c r="I4529" t="s">
        <v>71</v>
      </c>
      <c r="J4529" t="s">
        <v>72</v>
      </c>
      <c r="K4529" t="s">
        <v>3967</v>
      </c>
      <c r="L4529" t="s">
        <v>62</v>
      </c>
      <c r="M4529" t="s">
        <v>734</v>
      </c>
    </row>
    <row r="4530" spans="1:13">
      <c r="A4530">
        <v>46025</v>
      </c>
      <c r="B4530" t="s">
        <v>3968</v>
      </c>
      <c r="F4530">
        <v>1</v>
      </c>
      <c r="G4530" t="s">
        <v>64</v>
      </c>
      <c r="L4530" t="s">
        <v>86</v>
      </c>
      <c r="M4530" t="s">
        <v>96</v>
      </c>
    </row>
    <row r="4531" spans="1:13">
      <c r="A4531">
        <v>46025</v>
      </c>
      <c r="B4531" t="s">
        <v>63</v>
      </c>
      <c r="D4531">
        <v>31000</v>
      </c>
      <c r="F4531">
        <v>3</v>
      </c>
      <c r="G4531" t="s">
        <v>70</v>
      </c>
      <c r="I4531" t="s">
        <v>71</v>
      </c>
      <c r="J4531" t="s">
        <v>535</v>
      </c>
      <c r="K4531" t="s">
        <v>3969</v>
      </c>
      <c r="L4531" t="s">
        <v>62</v>
      </c>
      <c r="M4531" t="s">
        <v>90</v>
      </c>
    </row>
    <row r="4532" spans="1:13">
      <c r="A4532">
        <v>46025</v>
      </c>
      <c r="B4532" t="s">
        <v>3970</v>
      </c>
      <c r="D4532">
        <v>500</v>
      </c>
      <c r="F4532">
        <v>1</v>
      </c>
      <c r="G4532" t="s">
        <v>22</v>
      </c>
      <c r="H4532" t="s">
        <v>21</v>
      </c>
      <c r="I4532" t="s">
        <v>60</v>
      </c>
      <c r="J4532" t="s">
        <v>61</v>
      </c>
      <c r="L4532" t="s">
        <v>86</v>
      </c>
    </row>
    <row r="4533" spans="1:13">
      <c r="A4533">
        <v>46025</v>
      </c>
      <c r="B4533" t="s">
        <v>3971</v>
      </c>
      <c r="D4533">
        <v>500</v>
      </c>
      <c r="F4533">
        <v>1</v>
      </c>
      <c r="G4533" t="s">
        <v>22</v>
      </c>
      <c r="H4533" t="s">
        <v>21</v>
      </c>
      <c r="I4533" t="s">
        <v>60</v>
      </c>
      <c r="J4533" t="s">
        <v>61</v>
      </c>
      <c r="L4533" t="s">
        <v>82</v>
      </c>
    </row>
    <row r="4534" spans="1:13">
      <c r="A4534">
        <v>46025</v>
      </c>
      <c r="B4534" t="s">
        <v>3972</v>
      </c>
      <c r="D4534">
        <v>500</v>
      </c>
      <c r="F4534">
        <v>1</v>
      </c>
      <c r="G4534" t="s">
        <v>22</v>
      </c>
      <c r="H4534" t="s">
        <v>21</v>
      </c>
      <c r="I4534" t="s">
        <v>60</v>
      </c>
      <c r="J4534" t="s">
        <v>61</v>
      </c>
      <c r="L4534" t="s">
        <v>86</v>
      </c>
    </row>
    <row r="4535" spans="1:13">
      <c r="A4535">
        <v>46025</v>
      </c>
      <c r="B4535" t="s">
        <v>3973</v>
      </c>
      <c r="D4535">
        <v>500</v>
      </c>
      <c r="F4535">
        <v>0</v>
      </c>
      <c r="G4535" t="s">
        <v>22</v>
      </c>
      <c r="H4535" t="s">
        <v>21</v>
      </c>
      <c r="I4535" t="s">
        <v>60</v>
      </c>
      <c r="J4535" t="s">
        <v>61</v>
      </c>
      <c r="L4535" t="s">
        <v>86</v>
      </c>
      <c r="M4535" t="s">
        <v>83</v>
      </c>
    </row>
    <row r="4536" spans="1:13">
      <c r="A4536">
        <v>46025</v>
      </c>
      <c r="B4536" t="s">
        <v>3974</v>
      </c>
      <c r="F4536">
        <v>1</v>
      </c>
      <c r="G4536" t="s">
        <v>99</v>
      </c>
      <c r="H4536" t="s">
        <v>21</v>
      </c>
      <c r="L4536" t="s">
        <v>86</v>
      </c>
      <c r="M4536" t="s">
        <v>3943</v>
      </c>
    </row>
    <row r="4537" spans="1:13">
      <c r="A4537">
        <v>46025</v>
      </c>
      <c r="B4537" t="s">
        <v>3975</v>
      </c>
      <c r="F4537">
        <v>1</v>
      </c>
      <c r="G4537" t="s">
        <v>64</v>
      </c>
      <c r="L4537" t="s">
        <v>86</v>
      </c>
      <c r="M4537" t="s">
        <v>96</v>
      </c>
    </row>
    <row r="4538" spans="1:13">
      <c r="A4538">
        <v>46025</v>
      </c>
      <c r="B4538" t="s">
        <v>3976</v>
      </c>
      <c r="D4538">
        <v>500</v>
      </c>
      <c r="F4538">
        <v>1</v>
      </c>
      <c r="G4538" t="s">
        <v>22</v>
      </c>
      <c r="H4538" t="s">
        <v>21</v>
      </c>
      <c r="I4538" t="s">
        <v>60</v>
      </c>
      <c r="J4538" t="s">
        <v>61</v>
      </c>
      <c r="L4538" t="s">
        <v>86</v>
      </c>
    </row>
    <row r="4539" spans="1:13">
      <c r="A4539">
        <v>46025</v>
      </c>
      <c r="B4539" t="s">
        <v>3977</v>
      </c>
      <c r="D4539">
        <v>500</v>
      </c>
      <c r="F4539">
        <v>0</v>
      </c>
      <c r="G4539" t="s">
        <v>22</v>
      </c>
      <c r="H4539" t="s">
        <v>21</v>
      </c>
      <c r="I4539" t="s">
        <v>60</v>
      </c>
      <c r="J4539" t="s">
        <v>61</v>
      </c>
      <c r="L4539" t="s">
        <v>86</v>
      </c>
      <c r="M4539" t="s">
        <v>83</v>
      </c>
    </row>
    <row r="4540" spans="1:13">
      <c r="A4540">
        <v>46025</v>
      </c>
      <c r="B4540" t="s">
        <v>3978</v>
      </c>
      <c r="D4540">
        <v>500</v>
      </c>
      <c r="F4540">
        <v>1</v>
      </c>
      <c r="G4540" t="s">
        <v>22</v>
      </c>
      <c r="H4540" t="s">
        <v>21</v>
      </c>
      <c r="I4540" t="s">
        <v>60</v>
      </c>
      <c r="J4540" t="s">
        <v>61</v>
      </c>
      <c r="L4540" t="s">
        <v>86</v>
      </c>
    </row>
    <row r="4541" spans="1:13">
      <c r="A4541">
        <v>46025</v>
      </c>
      <c r="B4541" t="s">
        <v>3979</v>
      </c>
      <c r="D4541">
        <v>500</v>
      </c>
      <c r="F4541">
        <v>0</v>
      </c>
      <c r="G4541" t="s">
        <v>22</v>
      </c>
      <c r="H4541" t="s">
        <v>21</v>
      </c>
      <c r="I4541" t="s">
        <v>60</v>
      </c>
      <c r="J4541" t="s">
        <v>61</v>
      </c>
      <c r="L4541" t="s">
        <v>86</v>
      </c>
      <c r="M4541" t="s">
        <v>83</v>
      </c>
    </row>
    <row r="4542" spans="1:13">
      <c r="A4542">
        <v>46025</v>
      </c>
      <c r="B4542" t="s">
        <v>63</v>
      </c>
      <c r="E4542">
        <v>7000</v>
      </c>
      <c r="F4542">
        <v>1</v>
      </c>
      <c r="G4542" t="s">
        <v>65</v>
      </c>
      <c r="H4542" t="s">
        <v>66</v>
      </c>
      <c r="I4542" t="s">
        <v>60</v>
      </c>
      <c r="J4542" t="s">
        <v>61</v>
      </c>
      <c r="L4542" t="s">
        <v>62</v>
      </c>
      <c r="M4542" t="s">
        <v>3280</v>
      </c>
    </row>
    <row r="4543" spans="1:13">
      <c r="A4543">
        <v>46026</v>
      </c>
      <c r="B4543" t="s">
        <v>63</v>
      </c>
      <c r="D4543">
        <v>6500</v>
      </c>
      <c r="F4543">
        <v>1</v>
      </c>
      <c r="G4543" t="s">
        <v>70</v>
      </c>
      <c r="I4543" t="s">
        <v>71</v>
      </c>
      <c r="J4543" t="s">
        <v>72</v>
      </c>
      <c r="K4543" t="s">
        <v>3980</v>
      </c>
      <c r="L4543" t="s">
        <v>62</v>
      </c>
      <c r="M4543" t="s">
        <v>90</v>
      </c>
    </row>
    <row r="4544" spans="1:13">
      <c r="A4544">
        <v>46026</v>
      </c>
      <c r="B4544" t="s">
        <v>3981</v>
      </c>
      <c r="D4544">
        <v>500</v>
      </c>
      <c r="F4544">
        <v>1</v>
      </c>
      <c r="G4544" t="s">
        <v>22</v>
      </c>
      <c r="H4544" t="s">
        <v>21</v>
      </c>
      <c r="I4544" t="s">
        <v>60</v>
      </c>
      <c r="J4544" t="s">
        <v>61</v>
      </c>
      <c r="L4544" t="s">
        <v>82</v>
      </c>
    </row>
    <row r="4545" spans="1:13">
      <c r="A4545">
        <v>46026</v>
      </c>
      <c r="B4545" t="s">
        <v>3982</v>
      </c>
      <c r="F4545">
        <v>1</v>
      </c>
      <c r="G4545" t="s">
        <v>64</v>
      </c>
      <c r="L4545" t="s">
        <v>82</v>
      </c>
      <c r="M4545" t="s">
        <v>96</v>
      </c>
    </row>
    <row r="4546" spans="1:13">
      <c r="A4546">
        <v>46026</v>
      </c>
      <c r="B4546" t="s">
        <v>63</v>
      </c>
      <c r="D4546">
        <v>100</v>
      </c>
      <c r="F4546">
        <v>1</v>
      </c>
      <c r="G4546" t="s">
        <v>22</v>
      </c>
      <c r="H4546" t="s">
        <v>93</v>
      </c>
      <c r="I4546" t="s">
        <v>60</v>
      </c>
      <c r="J4546" t="s">
        <v>61</v>
      </c>
      <c r="L4546" t="s">
        <v>62</v>
      </c>
    </row>
    <row r="4547" spans="1:13">
      <c r="A4547">
        <v>46026</v>
      </c>
      <c r="B4547" t="s">
        <v>63</v>
      </c>
      <c r="D4547">
        <v>12500</v>
      </c>
      <c r="G4547" t="s">
        <v>70</v>
      </c>
      <c r="I4547" t="s">
        <v>60</v>
      </c>
      <c r="J4547" t="s">
        <v>61</v>
      </c>
      <c r="L4547" t="s">
        <v>62</v>
      </c>
    </row>
    <row r="4548" spans="1:13">
      <c r="A4548">
        <v>46026</v>
      </c>
      <c r="B4548" t="s">
        <v>3983</v>
      </c>
      <c r="F4548">
        <v>1</v>
      </c>
      <c r="G4548" t="s">
        <v>590</v>
      </c>
      <c r="H4548" t="s">
        <v>21</v>
      </c>
      <c r="L4548" t="s">
        <v>86</v>
      </c>
      <c r="M4548" t="s">
        <v>3943</v>
      </c>
    </row>
    <row r="4549" spans="1:13">
      <c r="A4549">
        <v>46026</v>
      </c>
      <c r="B4549" t="s">
        <v>3984</v>
      </c>
      <c r="D4549">
        <v>500</v>
      </c>
      <c r="F4549">
        <v>0</v>
      </c>
      <c r="G4549" t="s">
        <v>22</v>
      </c>
      <c r="H4549" t="s">
        <v>21</v>
      </c>
      <c r="I4549" t="s">
        <v>60</v>
      </c>
      <c r="J4549" t="s">
        <v>61</v>
      </c>
      <c r="L4549" t="s">
        <v>86</v>
      </c>
      <c r="M4549" t="s">
        <v>83</v>
      </c>
    </row>
    <row r="4550" spans="1:13">
      <c r="A4550">
        <v>46026</v>
      </c>
      <c r="B4550" t="s">
        <v>3985</v>
      </c>
      <c r="F4550">
        <v>1</v>
      </c>
      <c r="G4550" t="s">
        <v>2490</v>
      </c>
      <c r="L4550" t="s">
        <v>86</v>
      </c>
      <c r="M4550" t="s">
        <v>2993</v>
      </c>
    </row>
    <row r="4551" spans="1:13">
      <c r="A4551">
        <v>46026</v>
      </c>
      <c r="B4551" t="s">
        <v>3986</v>
      </c>
      <c r="F4551">
        <v>1</v>
      </c>
      <c r="G4551" t="s">
        <v>2490</v>
      </c>
      <c r="L4551" t="s">
        <v>86</v>
      </c>
      <c r="M4551" t="s">
        <v>2993</v>
      </c>
    </row>
    <row r="4552" spans="1:13">
      <c r="A4552">
        <v>46026</v>
      </c>
      <c r="B4552" t="s">
        <v>63</v>
      </c>
      <c r="D4552">
        <v>37000</v>
      </c>
      <c r="F4552">
        <v>3</v>
      </c>
      <c r="G4552" t="s">
        <v>70</v>
      </c>
      <c r="I4552" t="s">
        <v>71</v>
      </c>
      <c r="J4552" t="s">
        <v>72</v>
      </c>
      <c r="K4552" t="s">
        <v>3987</v>
      </c>
      <c r="L4552" t="s">
        <v>62</v>
      </c>
      <c r="M4552" t="s">
        <v>90</v>
      </c>
    </row>
    <row r="4553" spans="1:13">
      <c r="A4553">
        <v>46026</v>
      </c>
      <c r="B4553" t="s">
        <v>63</v>
      </c>
      <c r="E4553">
        <v>1000</v>
      </c>
      <c r="F4553">
        <v>1</v>
      </c>
      <c r="G4553" t="s">
        <v>65</v>
      </c>
      <c r="H4553" t="s">
        <v>66</v>
      </c>
      <c r="I4553" t="s">
        <v>60</v>
      </c>
      <c r="J4553" t="s">
        <v>61</v>
      </c>
      <c r="L4553" t="s">
        <v>62</v>
      </c>
      <c r="M4553" t="s">
        <v>3280</v>
      </c>
    </row>
    <row r="4554" spans="1:13">
      <c r="A4554">
        <v>46027</v>
      </c>
      <c r="B4554" t="s">
        <v>80</v>
      </c>
      <c r="E4554">
        <v>5942</v>
      </c>
      <c r="F4554">
        <v>1</v>
      </c>
      <c r="G4554" t="s">
        <v>74</v>
      </c>
      <c r="H4554" t="s">
        <v>75</v>
      </c>
      <c r="I4554" t="s">
        <v>60</v>
      </c>
      <c r="J4554" t="s">
        <v>61</v>
      </c>
      <c r="L4554" t="s">
        <v>87</v>
      </c>
    </row>
    <row r="4555" spans="1:13">
      <c r="A4555">
        <v>46027</v>
      </c>
      <c r="B4555" t="s">
        <v>80</v>
      </c>
      <c r="E4555">
        <v>1558</v>
      </c>
      <c r="F4555">
        <v>1</v>
      </c>
      <c r="G4555" t="s">
        <v>65</v>
      </c>
      <c r="H4555" t="s">
        <v>66</v>
      </c>
      <c r="I4555" t="s">
        <v>60</v>
      </c>
      <c r="J4555" t="s">
        <v>61</v>
      </c>
      <c r="L4555" t="s">
        <v>62</v>
      </c>
    </row>
    <row r="4556" spans="1:13">
      <c r="A4556">
        <v>46027</v>
      </c>
      <c r="B4556" t="s">
        <v>81</v>
      </c>
      <c r="D4556">
        <v>40000</v>
      </c>
      <c r="F4556">
        <v>1</v>
      </c>
      <c r="G4556" t="s">
        <v>74</v>
      </c>
      <c r="H4556" t="s">
        <v>75</v>
      </c>
      <c r="I4556" t="s">
        <v>60</v>
      </c>
      <c r="J4556" t="s">
        <v>61</v>
      </c>
      <c r="L4556" t="s">
        <v>88</v>
      </c>
    </row>
    <row r="4557" spans="1:13">
      <c r="A4557">
        <v>46027</v>
      </c>
      <c r="B4557" t="s">
        <v>3988</v>
      </c>
      <c r="C4557" t="s">
        <v>3989</v>
      </c>
      <c r="F4557">
        <v>21</v>
      </c>
      <c r="G4557" t="s">
        <v>22</v>
      </c>
      <c r="H4557" t="s">
        <v>21</v>
      </c>
      <c r="L4557" t="s">
        <v>95</v>
      </c>
    </row>
    <row r="4558" spans="1:13">
      <c r="A4558">
        <v>46027</v>
      </c>
      <c r="B4558" t="s">
        <v>3990</v>
      </c>
      <c r="F4558">
        <v>1</v>
      </c>
      <c r="G4558" t="s">
        <v>79</v>
      </c>
      <c r="H4558" t="s">
        <v>21</v>
      </c>
      <c r="L4558" t="s">
        <v>82</v>
      </c>
      <c r="M4558" t="s">
        <v>327</v>
      </c>
    </row>
    <row r="4559" spans="1:13">
      <c r="A4559">
        <v>46027</v>
      </c>
      <c r="B4559" t="s">
        <v>3991</v>
      </c>
      <c r="F4559">
        <v>1</v>
      </c>
      <c r="G4559" t="s">
        <v>2490</v>
      </c>
      <c r="L4559" t="s">
        <v>89</v>
      </c>
      <c r="M4559" t="s">
        <v>2993</v>
      </c>
    </row>
    <row r="4560" spans="1:13">
      <c r="A4560">
        <v>46027</v>
      </c>
      <c r="B4560" t="s">
        <v>3992</v>
      </c>
      <c r="F4560">
        <v>1</v>
      </c>
      <c r="G4560" t="s">
        <v>64</v>
      </c>
      <c r="L4560" t="s">
        <v>89</v>
      </c>
      <c r="M4560" t="s">
        <v>3993</v>
      </c>
    </row>
    <row r="4561" spans="1:13">
      <c r="A4561">
        <v>46027</v>
      </c>
      <c r="B4561" t="s">
        <v>63</v>
      </c>
      <c r="D4561">
        <v>15000</v>
      </c>
      <c r="F4561">
        <v>2</v>
      </c>
      <c r="G4561" t="s">
        <v>70</v>
      </c>
      <c r="I4561" t="s">
        <v>71</v>
      </c>
      <c r="J4561" t="s">
        <v>72</v>
      </c>
      <c r="K4561" t="s">
        <v>3994</v>
      </c>
      <c r="L4561" t="s">
        <v>62</v>
      </c>
      <c r="M4561" t="s">
        <v>90</v>
      </c>
    </row>
    <row r="4562" spans="1:13">
      <c r="A4562">
        <v>46027</v>
      </c>
      <c r="B4562" t="s">
        <v>63</v>
      </c>
      <c r="D4562">
        <v>85000</v>
      </c>
      <c r="G4562" t="s">
        <v>70</v>
      </c>
      <c r="I4562" t="s">
        <v>60</v>
      </c>
      <c r="J4562" t="s">
        <v>61</v>
      </c>
      <c r="L4562" t="s">
        <v>62</v>
      </c>
    </row>
    <row r="4563" spans="1:13">
      <c r="A4563">
        <v>46027</v>
      </c>
      <c r="B4563" t="s">
        <v>3995</v>
      </c>
      <c r="F4563">
        <v>1</v>
      </c>
      <c r="G4563" t="s">
        <v>64</v>
      </c>
      <c r="L4563" t="s">
        <v>89</v>
      </c>
      <c r="M4563" t="s">
        <v>96</v>
      </c>
    </row>
    <row r="4564" spans="1:13">
      <c r="A4564">
        <v>46027</v>
      </c>
      <c r="B4564" t="s">
        <v>3996</v>
      </c>
      <c r="F4564">
        <v>1</v>
      </c>
      <c r="G4564" t="s">
        <v>603</v>
      </c>
      <c r="H4564" t="s">
        <v>21</v>
      </c>
      <c r="L4564" t="s">
        <v>89</v>
      </c>
      <c r="M4564" t="s">
        <v>3997</v>
      </c>
    </row>
    <row r="4565" spans="1:13">
      <c r="A4565">
        <v>46027</v>
      </c>
      <c r="B4565" t="s">
        <v>3998</v>
      </c>
      <c r="F4565">
        <v>1</v>
      </c>
      <c r="G4565" t="s">
        <v>319</v>
      </c>
      <c r="H4565" t="s">
        <v>21</v>
      </c>
      <c r="L4565" t="s">
        <v>89</v>
      </c>
      <c r="M4565" t="s">
        <v>3997</v>
      </c>
    </row>
    <row r="4566" spans="1:13">
      <c r="A4566">
        <v>46027</v>
      </c>
      <c r="B4566" t="s">
        <v>3999</v>
      </c>
      <c r="F4566">
        <v>1</v>
      </c>
      <c r="G4566" t="s">
        <v>319</v>
      </c>
      <c r="H4566" t="s">
        <v>21</v>
      </c>
      <c r="L4566" t="s">
        <v>89</v>
      </c>
      <c r="M4566" t="s">
        <v>3997</v>
      </c>
    </row>
    <row r="4567" spans="1:13">
      <c r="A4567">
        <v>46027</v>
      </c>
      <c r="B4567" t="s">
        <v>4000</v>
      </c>
      <c r="F4567">
        <v>1</v>
      </c>
      <c r="G4567" t="s">
        <v>79</v>
      </c>
      <c r="H4567" t="s">
        <v>21</v>
      </c>
      <c r="L4567" t="s">
        <v>89</v>
      </c>
      <c r="M4567" t="s">
        <v>327</v>
      </c>
    </row>
    <row r="4568" spans="1:13">
      <c r="A4568">
        <v>46027</v>
      </c>
      <c r="B4568" t="s">
        <v>4001</v>
      </c>
      <c r="F4568">
        <v>1</v>
      </c>
      <c r="G4568" t="s">
        <v>79</v>
      </c>
      <c r="H4568" t="s">
        <v>21</v>
      </c>
      <c r="L4568" t="s">
        <v>89</v>
      </c>
      <c r="M4568" t="s">
        <v>327</v>
      </c>
    </row>
    <row r="4569" spans="1:13">
      <c r="A4569">
        <v>46027</v>
      </c>
      <c r="B4569" t="s">
        <v>4001</v>
      </c>
      <c r="F4569">
        <v>1</v>
      </c>
      <c r="G4569" t="s">
        <v>64</v>
      </c>
      <c r="L4569" t="s">
        <v>89</v>
      </c>
      <c r="M4569" t="s">
        <v>4002</v>
      </c>
    </row>
    <row r="4570" spans="1:13">
      <c r="A4570">
        <v>46027</v>
      </c>
      <c r="B4570" t="s">
        <v>4003</v>
      </c>
      <c r="F4570">
        <v>1</v>
      </c>
      <c r="G4570" t="s">
        <v>64</v>
      </c>
      <c r="L4570" t="s">
        <v>89</v>
      </c>
      <c r="M4570" t="s">
        <v>96</v>
      </c>
    </row>
    <row r="4571" spans="1:13">
      <c r="A4571">
        <v>46028</v>
      </c>
      <c r="B4571" t="s">
        <v>3646</v>
      </c>
      <c r="E4571">
        <v>842546</v>
      </c>
      <c r="F4571">
        <v>1</v>
      </c>
      <c r="G4571" t="s">
        <v>74</v>
      </c>
      <c r="H4571" t="s">
        <v>75</v>
      </c>
      <c r="I4571" t="s">
        <v>60</v>
      </c>
      <c r="J4571" t="s">
        <v>61</v>
      </c>
      <c r="L4571" t="s">
        <v>104</v>
      </c>
    </row>
    <row r="4572" spans="1:13">
      <c r="A4572">
        <v>46028</v>
      </c>
      <c r="B4572" t="s">
        <v>4004</v>
      </c>
      <c r="D4572">
        <v>500</v>
      </c>
      <c r="F4572">
        <v>1</v>
      </c>
      <c r="G4572" t="s">
        <v>22</v>
      </c>
      <c r="H4572" t="s">
        <v>21</v>
      </c>
      <c r="I4572" t="s">
        <v>60</v>
      </c>
      <c r="J4572" t="s">
        <v>61</v>
      </c>
      <c r="L4572" t="s">
        <v>82</v>
      </c>
    </row>
    <row r="4573" spans="1:13">
      <c r="A4573">
        <v>46028</v>
      </c>
      <c r="B4573" t="s">
        <v>4005</v>
      </c>
      <c r="D4573">
        <v>500</v>
      </c>
      <c r="F4573">
        <v>1</v>
      </c>
      <c r="G4573" t="s">
        <v>22</v>
      </c>
      <c r="H4573" t="s">
        <v>21</v>
      </c>
      <c r="I4573" t="s">
        <v>60</v>
      </c>
      <c r="J4573" t="s">
        <v>61</v>
      </c>
      <c r="L4573" t="s">
        <v>82</v>
      </c>
    </row>
    <row r="4574" spans="1:13">
      <c r="A4574">
        <v>46028</v>
      </c>
      <c r="B4574" t="s">
        <v>4006</v>
      </c>
      <c r="F4574">
        <v>1</v>
      </c>
      <c r="G4574" t="s">
        <v>2490</v>
      </c>
      <c r="L4574" t="s">
        <v>89</v>
      </c>
      <c r="M4574" t="s">
        <v>2993</v>
      </c>
    </row>
    <row r="4575" spans="1:13">
      <c r="A4575">
        <v>46028</v>
      </c>
      <c r="B4575" t="s">
        <v>294</v>
      </c>
      <c r="F4575">
        <v>1</v>
      </c>
      <c r="G4575" t="s">
        <v>590</v>
      </c>
      <c r="H4575" t="s">
        <v>21</v>
      </c>
      <c r="L4575" t="s">
        <v>82</v>
      </c>
      <c r="M4575" t="s">
        <v>4007</v>
      </c>
    </row>
    <row r="4576" spans="1:13">
      <c r="A4576">
        <v>46028</v>
      </c>
      <c r="B4576" t="s">
        <v>4008</v>
      </c>
      <c r="F4576">
        <v>1</v>
      </c>
      <c r="G4576" t="s">
        <v>590</v>
      </c>
      <c r="H4576" t="s">
        <v>21</v>
      </c>
      <c r="L4576" t="s">
        <v>82</v>
      </c>
      <c r="M4576" t="s">
        <v>4007</v>
      </c>
    </row>
    <row r="4577" spans="1:13">
      <c r="A4577">
        <v>46028</v>
      </c>
      <c r="B4577" t="s">
        <v>4009</v>
      </c>
      <c r="F4577">
        <v>1</v>
      </c>
      <c r="G4577" t="s">
        <v>590</v>
      </c>
      <c r="H4577" t="s">
        <v>21</v>
      </c>
      <c r="L4577" t="s">
        <v>82</v>
      </c>
      <c r="M4577" t="s">
        <v>4007</v>
      </c>
    </row>
    <row r="4578" spans="1:13">
      <c r="A4578">
        <v>46028</v>
      </c>
      <c r="B4578" t="s">
        <v>4010</v>
      </c>
      <c r="F4578">
        <v>1</v>
      </c>
      <c r="G4578" t="s">
        <v>590</v>
      </c>
      <c r="H4578" t="s">
        <v>21</v>
      </c>
      <c r="L4578" t="s">
        <v>82</v>
      </c>
      <c r="M4578" t="s">
        <v>4007</v>
      </c>
    </row>
    <row r="4579" spans="1:13">
      <c r="A4579">
        <v>46028</v>
      </c>
      <c r="B4579" t="s">
        <v>4011</v>
      </c>
      <c r="F4579">
        <v>1</v>
      </c>
      <c r="G4579" t="s">
        <v>590</v>
      </c>
      <c r="H4579" t="s">
        <v>21</v>
      </c>
      <c r="L4579" t="s">
        <v>82</v>
      </c>
      <c r="M4579" t="s">
        <v>4007</v>
      </c>
    </row>
    <row r="4580" spans="1:13">
      <c r="A4580">
        <v>46028</v>
      </c>
      <c r="B4580" t="s">
        <v>4012</v>
      </c>
      <c r="F4580">
        <v>1</v>
      </c>
      <c r="G4580" t="s">
        <v>555</v>
      </c>
      <c r="H4580" t="s">
        <v>21</v>
      </c>
      <c r="L4580" t="s">
        <v>82</v>
      </c>
      <c r="M4580" t="s">
        <v>4007</v>
      </c>
    </row>
    <row r="4581" spans="1:13">
      <c r="A4581">
        <v>46028</v>
      </c>
      <c r="B4581" t="s">
        <v>4013</v>
      </c>
      <c r="D4581">
        <v>500</v>
      </c>
      <c r="F4581">
        <v>1</v>
      </c>
      <c r="G4581" t="s">
        <v>22</v>
      </c>
      <c r="H4581" t="s">
        <v>21</v>
      </c>
      <c r="I4581" t="s">
        <v>60</v>
      </c>
      <c r="J4581" t="s">
        <v>61</v>
      </c>
      <c r="L4581" t="s">
        <v>86</v>
      </c>
    </row>
    <row r="4582" spans="1:13">
      <c r="A4582">
        <v>46028</v>
      </c>
      <c r="B4582" t="s">
        <v>76</v>
      </c>
      <c r="D4582">
        <v>8770</v>
      </c>
      <c r="G4582" t="s">
        <v>77</v>
      </c>
      <c r="I4582" t="s">
        <v>60</v>
      </c>
      <c r="J4582" t="s">
        <v>61</v>
      </c>
      <c r="L4582" t="s">
        <v>62</v>
      </c>
    </row>
    <row r="4583" spans="1:13">
      <c r="A4583">
        <v>46028</v>
      </c>
      <c r="B4583" t="s">
        <v>63</v>
      </c>
      <c r="D4583">
        <v>6500</v>
      </c>
      <c r="F4583">
        <v>1</v>
      </c>
      <c r="G4583" t="s">
        <v>70</v>
      </c>
      <c r="I4583" t="s">
        <v>71</v>
      </c>
      <c r="J4583" t="s">
        <v>535</v>
      </c>
      <c r="K4583" t="s">
        <v>4014</v>
      </c>
      <c r="L4583" t="s">
        <v>62</v>
      </c>
      <c r="M4583" t="s">
        <v>4015</v>
      </c>
    </row>
    <row r="4584" spans="1:13">
      <c r="A4584">
        <v>46028</v>
      </c>
      <c r="B4584" t="s">
        <v>63</v>
      </c>
      <c r="D4584">
        <v>8000</v>
      </c>
      <c r="F4584">
        <v>1</v>
      </c>
      <c r="G4584" t="s">
        <v>70</v>
      </c>
      <c r="I4584" t="s">
        <v>71</v>
      </c>
      <c r="J4584" t="s">
        <v>72</v>
      </c>
      <c r="K4584" t="s">
        <v>4016</v>
      </c>
      <c r="L4584" t="s">
        <v>62</v>
      </c>
      <c r="M4584" t="s">
        <v>90</v>
      </c>
    </row>
    <row r="4585" spans="1:13">
      <c r="A4585">
        <v>46028</v>
      </c>
      <c r="B4585" t="s">
        <v>196</v>
      </c>
      <c r="E4585">
        <v>8000</v>
      </c>
      <c r="F4585">
        <v>1</v>
      </c>
      <c r="G4585" t="s">
        <v>65</v>
      </c>
      <c r="H4585" t="s">
        <v>560</v>
      </c>
      <c r="I4585" t="s">
        <v>60</v>
      </c>
      <c r="J4585" t="s">
        <v>61</v>
      </c>
      <c r="L4585" t="s">
        <v>62</v>
      </c>
    </row>
    <row r="4586" spans="1:13">
      <c r="A4586">
        <v>46028</v>
      </c>
      <c r="B4586" t="s">
        <v>63</v>
      </c>
      <c r="D4586">
        <v>8000</v>
      </c>
      <c r="G4586" t="s">
        <v>70</v>
      </c>
      <c r="I4586" t="s">
        <v>60</v>
      </c>
      <c r="J4586" t="s">
        <v>61</v>
      </c>
      <c r="L4586" t="s">
        <v>62</v>
      </c>
    </row>
    <row r="4587" spans="1:13">
      <c r="A4587">
        <v>46028</v>
      </c>
      <c r="B4587" t="s">
        <v>81</v>
      </c>
      <c r="D4587">
        <v>92500</v>
      </c>
      <c r="F4587">
        <v>1</v>
      </c>
      <c r="G4587" t="s">
        <v>74</v>
      </c>
      <c r="H4587" t="s">
        <v>75</v>
      </c>
      <c r="I4587" t="s">
        <v>60</v>
      </c>
      <c r="J4587" t="s">
        <v>61</v>
      </c>
      <c r="L4587" t="s">
        <v>88</v>
      </c>
    </row>
    <row r="4588" spans="1:13">
      <c r="A4588">
        <v>46028</v>
      </c>
      <c r="B4588" t="s">
        <v>63</v>
      </c>
      <c r="D4588">
        <v>100</v>
      </c>
      <c r="F4588">
        <v>1</v>
      </c>
      <c r="G4588" t="s">
        <v>22</v>
      </c>
      <c r="H4588" t="s">
        <v>93</v>
      </c>
      <c r="I4588" t="s">
        <v>60</v>
      </c>
      <c r="J4588" t="s">
        <v>61</v>
      </c>
      <c r="L4588" t="s">
        <v>62</v>
      </c>
    </row>
    <row r="4589" spans="1:13">
      <c r="A4589">
        <v>46028</v>
      </c>
      <c r="B4589" t="s">
        <v>63</v>
      </c>
      <c r="E4589">
        <v>1500</v>
      </c>
      <c r="F4589">
        <v>1</v>
      </c>
      <c r="G4589" t="s">
        <v>65</v>
      </c>
      <c r="H4589" t="s">
        <v>66</v>
      </c>
      <c r="I4589" t="s">
        <v>60</v>
      </c>
      <c r="J4589" t="s">
        <v>61</v>
      </c>
      <c r="L4589" t="s">
        <v>62</v>
      </c>
      <c r="M4589" t="s">
        <v>3280</v>
      </c>
    </row>
    <row r="4590" spans="1:13">
      <c r="A4590">
        <v>46028</v>
      </c>
      <c r="B4590" t="s">
        <v>4017</v>
      </c>
      <c r="F4590">
        <v>1</v>
      </c>
      <c r="G4590" t="s">
        <v>0</v>
      </c>
      <c r="L4590" t="s">
        <v>82</v>
      </c>
      <c r="M4590" t="s">
        <v>3952</v>
      </c>
    </row>
    <row r="4591" spans="1:13">
      <c r="A4591">
        <v>46029</v>
      </c>
      <c r="B4591" t="s">
        <v>84</v>
      </c>
      <c r="D4591">
        <v>-41600</v>
      </c>
      <c r="G4591" t="s">
        <v>77</v>
      </c>
      <c r="I4591" t="s">
        <v>60</v>
      </c>
      <c r="J4591" t="s">
        <v>61</v>
      </c>
      <c r="L4591" t="s">
        <v>62</v>
      </c>
    </row>
    <row r="4592" spans="1:13">
      <c r="A4592">
        <v>46029</v>
      </c>
      <c r="B4592" t="s">
        <v>84</v>
      </c>
      <c r="E4592">
        <v>-2200</v>
      </c>
      <c r="G4592" t="s">
        <v>65</v>
      </c>
      <c r="H4592" t="s">
        <v>85</v>
      </c>
      <c r="I4592" t="s">
        <v>60</v>
      </c>
      <c r="J4592" t="s">
        <v>61</v>
      </c>
      <c r="L4592" t="s">
        <v>62</v>
      </c>
    </row>
    <row r="4593" spans="1:13">
      <c r="A4593">
        <v>46029</v>
      </c>
      <c r="B4593" t="s">
        <v>4018</v>
      </c>
      <c r="F4593">
        <v>1</v>
      </c>
      <c r="G4593" t="s">
        <v>2490</v>
      </c>
      <c r="L4593" t="s">
        <v>82</v>
      </c>
      <c r="M4593" t="s">
        <v>2993</v>
      </c>
    </row>
    <row r="4594" spans="1:13">
      <c r="A4594">
        <v>46029</v>
      </c>
      <c r="B4594" t="s">
        <v>4019</v>
      </c>
      <c r="F4594">
        <v>1</v>
      </c>
      <c r="G4594" t="s">
        <v>79</v>
      </c>
      <c r="H4594" t="s">
        <v>21</v>
      </c>
      <c r="L4594" t="s">
        <v>82</v>
      </c>
      <c r="M4594" t="s">
        <v>327</v>
      </c>
    </row>
    <row r="4595" spans="1:13">
      <c r="A4595">
        <v>46029</v>
      </c>
      <c r="B4595" t="s">
        <v>4020</v>
      </c>
      <c r="F4595">
        <v>1</v>
      </c>
      <c r="G4595" t="s">
        <v>564</v>
      </c>
      <c r="H4595" t="s">
        <v>21</v>
      </c>
      <c r="L4595" t="s">
        <v>82</v>
      </c>
      <c r="M4595" t="s">
        <v>327</v>
      </c>
    </row>
    <row r="4596" spans="1:13">
      <c r="A4596">
        <v>46029</v>
      </c>
      <c r="B4596" t="s">
        <v>4021</v>
      </c>
      <c r="D4596">
        <v>500</v>
      </c>
      <c r="F4596">
        <v>1</v>
      </c>
      <c r="G4596" t="s">
        <v>22</v>
      </c>
      <c r="H4596" t="s">
        <v>21</v>
      </c>
      <c r="I4596" t="s">
        <v>60</v>
      </c>
      <c r="J4596" t="s">
        <v>61</v>
      </c>
      <c r="L4596" t="s">
        <v>82</v>
      </c>
    </row>
    <row r="4597" spans="1:13">
      <c r="A4597">
        <v>46029</v>
      </c>
      <c r="B4597" t="s">
        <v>4022</v>
      </c>
      <c r="F4597">
        <v>1</v>
      </c>
      <c r="G4597" t="s">
        <v>564</v>
      </c>
      <c r="H4597" t="s">
        <v>21</v>
      </c>
      <c r="L4597" t="s">
        <v>82</v>
      </c>
      <c r="M4597" t="s">
        <v>327</v>
      </c>
    </row>
    <row r="4598" spans="1:13">
      <c r="A4598">
        <v>46029</v>
      </c>
      <c r="B4598" t="s">
        <v>4023</v>
      </c>
      <c r="F4598">
        <v>1</v>
      </c>
      <c r="G4598" t="s">
        <v>64</v>
      </c>
      <c r="L4598" t="s">
        <v>86</v>
      </c>
      <c r="M4598" t="s">
        <v>96</v>
      </c>
    </row>
    <row r="4599" spans="1:13">
      <c r="A4599">
        <v>46029</v>
      </c>
      <c r="B4599" t="s">
        <v>4024</v>
      </c>
      <c r="F4599">
        <v>1</v>
      </c>
      <c r="G4599" t="s">
        <v>64</v>
      </c>
      <c r="L4599" t="s">
        <v>82</v>
      </c>
      <c r="M4599" t="s">
        <v>4025</v>
      </c>
    </row>
    <row r="4600" spans="1:13">
      <c r="A4600">
        <v>46029</v>
      </c>
      <c r="B4600" t="s">
        <v>4026</v>
      </c>
      <c r="D4600">
        <v>500</v>
      </c>
      <c r="F4600">
        <v>1</v>
      </c>
      <c r="G4600" t="s">
        <v>22</v>
      </c>
      <c r="H4600" t="s">
        <v>21</v>
      </c>
      <c r="I4600" t="s">
        <v>60</v>
      </c>
      <c r="J4600" t="s">
        <v>61</v>
      </c>
      <c r="L4600" t="s">
        <v>82</v>
      </c>
    </row>
    <row r="4601" spans="1:13">
      <c r="A4601">
        <v>46029</v>
      </c>
      <c r="B4601" t="s">
        <v>4026</v>
      </c>
      <c r="D4601">
        <v>209999.01</v>
      </c>
      <c r="F4601">
        <v>1</v>
      </c>
      <c r="G4601" t="s">
        <v>64</v>
      </c>
      <c r="I4601" t="s">
        <v>60</v>
      </c>
      <c r="J4601" t="s">
        <v>61</v>
      </c>
      <c r="L4601" t="s">
        <v>82</v>
      </c>
    </row>
    <row r="4602" spans="1:13">
      <c r="A4602">
        <v>46029</v>
      </c>
      <c r="B4602" t="s">
        <v>3196</v>
      </c>
      <c r="F4602">
        <v>1</v>
      </c>
      <c r="G4602" t="s">
        <v>64</v>
      </c>
      <c r="L4602" t="s">
        <v>82</v>
      </c>
      <c r="M4602" t="s">
        <v>96</v>
      </c>
    </row>
    <row r="4603" spans="1:13">
      <c r="A4603">
        <v>46029</v>
      </c>
      <c r="B4603" t="s">
        <v>63</v>
      </c>
      <c r="D4603">
        <v>8000</v>
      </c>
      <c r="G4603" t="s">
        <v>70</v>
      </c>
      <c r="I4603" t="s">
        <v>60</v>
      </c>
      <c r="J4603" t="s">
        <v>61</v>
      </c>
      <c r="L4603" t="s">
        <v>62</v>
      </c>
    </row>
    <row r="4604" spans="1:13">
      <c r="A4604">
        <v>46029</v>
      </c>
      <c r="B4604" t="s">
        <v>63</v>
      </c>
      <c r="E4604">
        <v>1000</v>
      </c>
      <c r="F4604">
        <v>1</v>
      </c>
      <c r="G4604" t="s">
        <v>65</v>
      </c>
      <c r="H4604" t="s">
        <v>66</v>
      </c>
      <c r="I4604" t="s">
        <v>60</v>
      </c>
      <c r="J4604" t="s">
        <v>61</v>
      </c>
      <c r="L4604" t="s">
        <v>62</v>
      </c>
      <c r="M4604" t="s">
        <v>3280</v>
      </c>
    </row>
    <row r="4605" spans="1:13">
      <c r="A4605">
        <v>46030</v>
      </c>
      <c r="B4605" t="s">
        <v>81</v>
      </c>
      <c r="D4605">
        <v>84800</v>
      </c>
      <c r="F4605">
        <v>1</v>
      </c>
      <c r="G4605" t="s">
        <v>74</v>
      </c>
      <c r="H4605" t="s">
        <v>75</v>
      </c>
      <c r="I4605" t="s">
        <v>60</v>
      </c>
      <c r="J4605" t="s">
        <v>61</v>
      </c>
      <c r="L4605" t="s">
        <v>88</v>
      </c>
    </row>
    <row r="4606" spans="1:13">
      <c r="A4606">
        <v>46030</v>
      </c>
      <c r="B4606" t="s">
        <v>4027</v>
      </c>
      <c r="D4606">
        <v>500</v>
      </c>
      <c r="F4606">
        <v>1</v>
      </c>
      <c r="G4606" t="s">
        <v>22</v>
      </c>
      <c r="H4606" t="s">
        <v>21</v>
      </c>
      <c r="I4606" t="s">
        <v>60</v>
      </c>
      <c r="J4606" t="s">
        <v>61</v>
      </c>
      <c r="L4606" t="s">
        <v>89</v>
      </c>
    </row>
    <row r="4607" spans="1:13">
      <c r="A4607">
        <v>46030</v>
      </c>
      <c r="B4607" t="s">
        <v>4028</v>
      </c>
      <c r="F4607">
        <v>1</v>
      </c>
      <c r="G4607" t="s">
        <v>2490</v>
      </c>
      <c r="L4607" t="s">
        <v>89</v>
      </c>
      <c r="M4607" t="s">
        <v>2993</v>
      </c>
    </row>
    <row r="4608" spans="1:13">
      <c r="A4608">
        <v>46030</v>
      </c>
      <c r="B4608" t="s">
        <v>63</v>
      </c>
      <c r="D4608">
        <v>100</v>
      </c>
      <c r="F4608">
        <v>1</v>
      </c>
      <c r="G4608" t="s">
        <v>22</v>
      </c>
      <c r="H4608" t="s">
        <v>93</v>
      </c>
      <c r="I4608" t="s">
        <v>60</v>
      </c>
      <c r="J4608" t="s">
        <v>61</v>
      </c>
      <c r="L4608" t="s">
        <v>62</v>
      </c>
    </row>
    <row r="4609" spans="1:13">
      <c r="A4609">
        <v>46030</v>
      </c>
      <c r="B4609" t="s">
        <v>63</v>
      </c>
      <c r="D4609">
        <v>17500</v>
      </c>
      <c r="G4609" t="s">
        <v>70</v>
      </c>
      <c r="I4609" t="s">
        <v>60</v>
      </c>
      <c r="J4609" t="s">
        <v>61</v>
      </c>
      <c r="L4609" t="s">
        <v>62</v>
      </c>
    </row>
    <row r="4610" spans="1:13">
      <c r="A4610">
        <v>46030</v>
      </c>
      <c r="B4610" t="s">
        <v>4029</v>
      </c>
      <c r="F4610">
        <v>1</v>
      </c>
      <c r="G4610" t="s">
        <v>99</v>
      </c>
      <c r="H4610" t="s">
        <v>21</v>
      </c>
      <c r="L4610" t="s">
        <v>86</v>
      </c>
      <c r="M4610" t="s">
        <v>4030</v>
      </c>
    </row>
    <row r="4611" spans="1:13">
      <c r="A4611">
        <v>46030</v>
      </c>
      <c r="B4611" t="s">
        <v>4031</v>
      </c>
      <c r="D4611">
        <v>500</v>
      </c>
      <c r="F4611">
        <v>1</v>
      </c>
      <c r="G4611" t="s">
        <v>22</v>
      </c>
      <c r="H4611" t="s">
        <v>21</v>
      </c>
      <c r="I4611" t="s">
        <v>60</v>
      </c>
      <c r="J4611" t="s">
        <v>61</v>
      </c>
      <c r="L4611" t="s">
        <v>86</v>
      </c>
    </row>
    <row r="4612" spans="1:13">
      <c r="A4612">
        <v>46030</v>
      </c>
      <c r="B4612" t="s">
        <v>4032</v>
      </c>
      <c r="F4612">
        <v>1</v>
      </c>
      <c r="G4612" t="s">
        <v>64</v>
      </c>
      <c r="L4612" t="s">
        <v>86</v>
      </c>
      <c r="M4612" t="s">
        <v>96</v>
      </c>
    </row>
    <row r="4613" spans="1:13">
      <c r="A4613">
        <v>46030</v>
      </c>
      <c r="B4613" t="s">
        <v>4033</v>
      </c>
      <c r="D4613">
        <v>500</v>
      </c>
      <c r="F4613">
        <v>1</v>
      </c>
      <c r="G4613" t="s">
        <v>22</v>
      </c>
      <c r="H4613" t="s">
        <v>21</v>
      </c>
      <c r="I4613" t="s">
        <v>60</v>
      </c>
      <c r="J4613" t="s">
        <v>61</v>
      </c>
      <c r="L4613" t="s">
        <v>86</v>
      </c>
    </row>
    <row r="4614" spans="1:13">
      <c r="A4614">
        <v>46030</v>
      </c>
      <c r="B4614" t="s">
        <v>4034</v>
      </c>
      <c r="D4614">
        <v>500</v>
      </c>
      <c r="F4614">
        <v>0</v>
      </c>
      <c r="G4614" t="s">
        <v>22</v>
      </c>
      <c r="H4614" t="s">
        <v>21</v>
      </c>
      <c r="I4614" t="s">
        <v>60</v>
      </c>
      <c r="J4614" t="s">
        <v>61</v>
      </c>
      <c r="L4614" t="s">
        <v>86</v>
      </c>
      <c r="M4614" t="s">
        <v>83</v>
      </c>
    </row>
    <row r="4615" spans="1:13">
      <c r="A4615">
        <v>46030</v>
      </c>
      <c r="B4615" t="s">
        <v>4035</v>
      </c>
      <c r="D4615">
        <v>500</v>
      </c>
      <c r="F4615">
        <v>1</v>
      </c>
      <c r="G4615" t="s">
        <v>22</v>
      </c>
      <c r="H4615" t="s">
        <v>21</v>
      </c>
      <c r="I4615" t="s">
        <v>60</v>
      </c>
      <c r="J4615" t="s">
        <v>61</v>
      </c>
      <c r="L4615" t="s">
        <v>86</v>
      </c>
    </row>
    <row r="4616" spans="1:13">
      <c r="A4616">
        <v>46030</v>
      </c>
      <c r="B4616" t="s">
        <v>3889</v>
      </c>
      <c r="D4616">
        <v>500</v>
      </c>
      <c r="F4616">
        <v>0</v>
      </c>
      <c r="G4616" t="s">
        <v>22</v>
      </c>
      <c r="H4616" t="s">
        <v>21</v>
      </c>
      <c r="I4616" t="s">
        <v>60</v>
      </c>
      <c r="J4616" t="s">
        <v>61</v>
      </c>
      <c r="L4616" t="s">
        <v>86</v>
      </c>
      <c r="M4616" t="s">
        <v>83</v>
      </c>
    </row>
    <row r="4617" spans="1:13">
      <c r="A4617">
        <v>46030</v>
      </c>
      <c r="B4617" t="s">
        <v>4036</v>
      </c>
      <c r="F4617">
        <v>1</v>
      </c>
      <c r="G4617" t="s">
        <v>79</v>
      </c>
      <c r="H4617" t="s">
        <v>21</v>
      </c>
      <c r="L4617" t="s">
        <v>86</v>
      </c>
      <c r="M4617" t="s">
        <v>327</v>
      </c>
    </row>
    <row r="4618" spans="1:13">
      <c r="A4618">
        <v>46030</v>
      </c>
      <c r="B4618" t="s">
        <v>63</v>
      </c>
      <c r="E4618">
        <v>3000</v>
      </c>
      <c r="F4618">
        <v>1</v>
      </c>
      <c r="G4618" t="s">
        <v>65</v>
      </c>
      <c r="H4618" t="s">
        <v>66</v>
      </c>
      <c r="I4618" t="s">
        <v>60</v>
      </c>
      <c r="J4618" t="s">
        <v>61</v>
      </c>
      <c r="L4618" t="s">
        <v>62</v>
      </c>
      <c r="M4618" t="s">
        <v>3280</v>
      </c>
    </row>
    <row r="4619" spans="1:13">
      <c r="A4619">
        <v>46030</v>
      </c>
      <c r="B4619" t="s">
        <v>4037</v>
      </c>
      <c r="F4619">
        <v>1</v>
      </c>
      <c r="G4619" t="s">
        <v>2490</v>
      </c>
      <c r="L4619" t="s">
        <v>89</v>
      </c>
      <c r="M4619" t="s">
        <v>2993</v>
      </c>
    </row>
    <row r="4620" spans="1:13">
      <c r="A4620">
        <v>46030</v>
      </c>
      <c r="B4620" t="s">
        <v>4038</v>
      </c>
      <c r="F4620">
        <v>1</v>
      </c>
      <c r="G4620" t="s">
        <v>2490</v>
      </c>
      <c r="L4620" t="s">
        <v>89</v>
      </c>
      <c r="M4620" t="s">
        <v>2993</v>
      </c>
    </row>
    <row r="4621" spans="1:13">
      <c r="A4621">
        <v>46031</v>
      </c>
      <c r="B4621" t="s">
        <v>4039</v>
      </c>
      <c r="D4621">
        <v>500</v>
      </c>
      <c r="F4621">
        <v>1</v>
      </c>
      <c r="G4621" t="s">
        <v>22</v>
      </c>
      <c r="H4621" t="s">
        <v>21</v>
      </c>
      <c r="I4621" t="s">
        <v>60</v>
      </c>
      <c r="J4621" t="s">
        <v>61</v>
      </c>
      <c r="L4621" t="s">
        <v>89</v>
      </c>
    </row>
    <row r="4622" spans="1:13">
      <c r="A4622">
        <v>46031</v>
      </c>
      <c r="B4622" t="s">
        <v>4040</v>
      </c>
      <c r="F4622">
        <v>1</v>
      </c>
      <c r="G4622" t="s">
        <v>590</v>
      </c>
      <c r="H4622" t="s">
        <v>21</v>
      </c>
      <c r="L4622" t="s">
        <v>89</v>
      </c>
      <c r="M4622" t="s">
        <v>4030</v>
      </c>
    </row>
    <row r="4623" spans="1:13">
      <c r="A4623">
        <v>46031</v>
      </c>
      <c r="B4623" t="s">
        <v>4041</v>
      </c>
      <c r="F4623">
        <v>1</v>
      </c>
      <c r="G4623" t="s">
        <v>590</v>
      </c>
      <c r="H4623" t="s">
        <v>21</v>
      </c>
      <c r="L4623" t="s">
        <v>89</v>
      </c>
      <c r="M4623" t="s">
        <v>4030</v>
      </c>
    </row>
    <row r="4624" spans="1:13">
      <c r="A4624">
        <v>46031</v>
      </c>
      <c r="B4624" t="s">
        <v>4042</v>
      </c>
      <c r="D4624">
        <v>500</v>
      </c>
      <c r="F4624">
        <v>1</v>
      </c>
      <c r="G4624" t="s">
        <v>22</v>
      </c>
      <c r="H4624" t="s">
        <v>21</v>
      </c>
      <c r="I4624" t="s">
        <v>60</v>
      </c>
      <c r="J4624" t="s">
        <v>61</v>
      </c>
      <c r="L4624" t="s">
        <v>89</v>
      </c>
    </row>
    <row r="4625" spans="1:13">
      <c r="A4625">
        <v>46031</v>
      </c>
      <c r="B4625" t="s">
        <v>4043</v>
      </c>
      <c r="F4625">
        <v>1</v>
      </c>
      <c r="G4625" t="s">
        <v>564</v>
      </c>
      <c r="H4625" t="s">
        <v>21</v>
      </c>
      <c r="L4625" t="s">
        <v>89</v>
      </c>
      <c r="M4625" t="s">
        <v>327</v>
      </c>
    </row>
    <row r="4626" spans="1:13">
      <c r="A4626">
        <v>46031</v>
      </c>
      <c r="B4626" t="s">
        <v>4044</v>
      </c>
      <c r="F4626">
        <v>1</v>
      </c>
      <c r="G4626" t="s">
        <v>590</v>
      </c>
      <c r="H4626" t="s">
        <v>21</v>
      </c>
      <c r="L4626" t="s">
        <v>89</v>
      </c>
      <c r="M4626" t="s">
        <v>4030</v>
      </c>
    </row>
    <row r="4627" spans="1:13">
      <c r="A4627">
        <v>46031</v>
      </c>
      <c r="B4627" t="s">
        <v>4045</v>
      </c>
      <c r="F4627">
        <v>1</v>
      </c>
      <c r="G4627" t="s">
        <v>590</v>
      </c>
      <c r="H4627" t="s">
        <v>21</v>
      </c>
      <c r="L4627" t="s">
        <v>89</v>
      </c>
      <c r="M4627" t="s">
        <v>4030</v>
      </c>
    </row>
    <row r="4628" spans="1:13">
      <c r="A4628">
        <v>46031</v>
      </c>
      <c r="B4628" t="s">
        <v>4046</v>
      </c>
      <c r="D4628">
        <v>500</v>
      </c>
      <c r="F4628">
        <v>1</v>
      </c>
      <c r="G4628" t="s">
        <v>22</v>
      </c>
      <c r="H4628" t="s">
        <v>21</v>
      </c>
      <c r="I4628" t="s">
        <v>60</v>
      </c>
      <c r="J4628" t="s">
        <v>61</v>
      </c>
      <c r="L4628" t="s">
        <v>89</v>
      </c>
    </row>
    <row r="4629" spans="1:13">
      <c r="A4629">
        <v>46031</v>
      </c>
      <c r="B4629" t="s">
        <v>4046</v>
      </c>
      <c r="F4629">
        <v>1</v>
      </c>
      <c r="G4629" t="s">
        <v>2490</v>
      </c>
      <c r="L4629" t="s">
        <v>89</v>
      </c>
      <c r="M4629" t="s">
        <v>2993</v>
      </c>
    </row>
    <row r="4630" spans="1:13">
      <c r="A4630">
        <v>46031</v>
      </c>
      <c r="B4630" t="s">
        <v>196</v>
      </c>
      <c r="E4630">
        <v>8000</v>
      </c>
      <c r="F4630">
        <v>1</v>
      </c>
      <c r="G4630" t="s">
        <v>65</v>
      </c>
      <c r="H4630" t="s">
        <v>560</v>
      </c>
      <c r="I4630" t="s">
        <v>60</v>
      </c>
      <c r="J4630" t="s">
        <v>61</v>
      </c>
      <c r="L4630" t="s">
        <v>62</v>
      </c>
    </row>
    <row r="4631" spans="1:13">
      <c r="A4631">
        <v>46031</v>
      </c>
      <c r="B4631" t="s">
        <v>63</v>
      </c>
      <c r="D4631">
        <v>30000</v>
      </c>
      <c r="G4631" t="s">
        <v>70</v>
      </c>
      <c r="I4631" t="s">
        <v>60</v>
      </c>
      <c r="J4631" t="s">
        <v>61</v>
      </c>
      <c r="L4631" t="s">
        <v>62</v>
      </c>
    </row>
    <row r="4632" spans="1:13">
      <c r="A4632">
        <v>46031</v>
      </c>
      <c r="B4632" t="s">
        <v>63</v>
      </c>
      <c r="D4632">
        <v>16000</v>
      </c>
      <c r="F4632">
        <v>1</v>
      </c>
      <c r="G4632" t="s">
        <v>70</v>
      </c>
      <c r="I4632" t="s">
        <v>71</v>
      </c>
      <c r="J4632" t="s">
        <v>72</v>
      </c>
      <c r="K4632" t="s">
        <v>4047</v>
      </c>
      <c r="L4632" t="s">
        <v>62</v>
      </c>
      <c r="M4632" t="s">
        <v>90</v>
      </c>
    </row>
    <row r="4633" spans="1:13">
      <c r="A4633">
        <v>46031</v>
      </c>
      <c r="B4633" t="s">
        <v>4048</v>
      </c>
      <c r="F4633">
        <v>1</v>
      </c>
      <c r="G4633" t="s">
        <v>590</v>
      </c>
      <c r="H4633" t="s">
        <v>21</v>
      </c>
      <c r="L4633" t="s">
        <v>82</v>
      </c>
      <c r="M4633" t="s">
        <v>4030</v>
      </c>
    </row>
    <row r="4634" spans="1:13">
      <c r="A4634">
        <v>46031</v>
      </c>
      <c r="B4634" t="s">
        <v>4034</v>
      </c>
      <c r="D4634">
        <v>500</v>
      </c>
      <c r="F4634">
        <v>1</v>
      </c>
      <c r="G4634" t="s">
        <v>22</v>
      </c>
      <c r="H4634" t="s">
        <v>21</v>
      </c>
      <c r="I4634" t="s">
        <v>60</v>
      </c>
      <c r="J4634" t="s">
        <v>61</v>
      </c>
      <c r="L4634" t="s">
        <v>82</v>
      </c>
    </row>
    <row r="4635" spans="1:13">
      <c r="A4635">
        <v>46031</v>
      </c>
      <c r="B4635" t="s">
        <v>63</v>
      </c>
      <c r="D4635">
        <v>100</v>
      </c>
      <c r="F4635">
        <v>1</v>
      </c>
      <c r="G4635" t="s">
        <v>22</v>
      </c>
      <c r="H4635" t="s">
        <v>93</v>
      </c>
      <c r="I4635" t="s">
        <v>60</v>
      </c>
      <c r="J4635" t="s">
        <v>61</v>
      </c>
      <c r="L4635" t="s">
        <v>62</v>
      </c>
    </row>
    <row r="4636" spans="1:13">
      <c r="A4636">
        <v>46031</v>
      </c>
      <c r="B4636" t="s">
        <v>76</v>
      </c>
      <c r="D4636">
        <v>8000</v>
      </c>
      <c r="G4636" t="s">
        <v>77</v>
      </c>
      <c r="I4636" t="s">
        <v>60</v>
      </c>
      <c r="J4636" t="s">
        <v>61</v>
      </c>
      <c r="L4636" t="s">
        <v>62</v>
      </c>
    </row>
    <row r="4637" spans="1:13">
      <c r="A4637">
        <v>46031</v>
      </c>
      <c r="B4637" t="s">
        <v>606</v>
      </c>
      <c r="E4637">
        <v>70000</v>
      </c>
      <c r="F4637">
        <v>1</v>
      </c>
      <c r="G4637" t="s">
        <v>65</v>
      </c>
      <c r="H4637" t="s">
        <v>348</v>
      </c>
      <c r="I4637" t="s">
        <v>60</v>
      </c>
      <c r="J4637" t="s">
        <v>61</v>
      </c>
      <c r="L4637" t="s">
        <v>62</v>
      </c>
      <c r="M4637" t="s">
        <v>3463</v>
      </c>
    </row>
    <row r="4638" spans="1:13">
      <c r="A4638">
        <v>46031</v>
      </c>
      <c r="B4638" t="s">
        <v>604</v>
      </c>
      <c r="E4638">
        <v>70000</v>
      </c>
      <c r="F4638">
        <v>1</v>
      </c>
      <c r="G4638" t="s">
        <v>65</v>
      </c>
      <c r="H4638" t="s">
        <v>348</v>
      </c>
      <c r="I4638" t="s">
        <v>60</v>
      </c>
      <c r="J4638" t="s">
        <v>61</v>
      </c>
      <c r="L4638" t="s">
        <v>62</v>
      </c>
      <c r="M4638" t="s">
        <v>3463</v>
      </c>
    </row>
    <row r="4639" spans="1:13">
      <c r="A4639">
        <v>46031</v>
      </c>
      <c r="B4639" t="s">
        <v>248</v>
      </c>
      <c r="E4639">
        <v>70000</v>
      </c>
      <c r="F4639">
        <v>1</v>
      </c>
      <c r="G4639" t="s">
        <v>65</v>
      </c>
      <c r="H4639" t="s">
        <v>348</v>
      </c>
      <c r="I4639" t="s">
        <v>60</v>
      </c>
      <c r="J4639" t="s">
        <v>61</v>
      </c>
      <c r="L4639" t="s">
        <v>62</v>
      </c>
      <c r="M4639" t="s">
        <v>3463</v>
      </c>
    </row>
    <row r="4640" spans="1:13">
      <c r="A4640">
        <v>46031</v>
      </c>
      <c r="B4640" t="s">
        <v>63</v>
      </c>
      <c r="E4640">
        <v>2000</v>
      </c>
      <c r="F4640">
        <v>1</v>
      </c>
      <c r="G4640" t="s">
        <v>65</v>
      </c>
      <c r="H4640" t="s">
        <v>66</v>
      </c>
      <c r="I4640" t="s">
        <v>60</v>
      </c>
      <c r="J4640" t="s">
        <v>61</v>
      </c>
      <c r="L4640" t="s">
        <v>62</v>
      </c>
      <c r="M4640" t="s">
        <v>3280</v>
      </c>
    </row>
    <row r="4641" spans="1:13">
      <c r="A4641">
        <v>46031</v>
      </c>
      <c r="B4641" t="s">
        <v>63</v>
      </c>
      <c r="E4641">
        <v>100</v>
      </c>
      <c r="F4641">
        <v>1</v>
      </c>
      <c r="G4641" t="s">
        <v>65</v>
      </c>
      <c r="H4641" t="s">
        <v>66</v>
      </c>
      <c r="I4641" t="s">
        <v>60</v>
      </c>
      <c r="J4641" t="s">
        <v>61</v>
      </c>
      <c r="L4641" t="s">
        <v>62</v>
      </c>
      <c r="M4641" t="s">
        <v>392</v>
      </c>
    </row>
    <row r="4642" spans="1:13">
      <c r="A4642">
        <v>46031</v>
      </c>
      <c r="B4642" t="s">
        <v>81</v>
      </c>
      <c r="D4642">
        <v>47000</v>
      </c>
      <c r="F4642">
        <v>1</v>
      </c>
      <c r="G4642" t="s">
        <v>74</v>
      </c>
      <c r="H4642" t="s">
        <v>75</v>
      </c>
      <c r="I4642" t="s">
        <v>60</v>
      </c>
      <c r="J4642" t="s">
        <v>61</v>
      </c>
      <c r="L4642" t="s">
        <v>88</v>
      </c>
    </row>
    <row r="4643" spans="1:13">
      <c r="A4643">
        <v>46031</v>
      </c>
      <c r="B4643" t="s">
        <v>4049</v>
      </c>
      <c r="E4643">
        <v>47000</v>
      </c>
      <c r="F4643">
        <v>1</v>
      </c>
      <c r="G4643" t="s">
        <v>65</v>
      </c>
      <c r="H4643" t="s">
        <v>66</v>
      </c>
      <c r="I4643" t="s">
        <v>60</v>
      </c>
      <c r="J4643" t="s">
        <v>61</v>
      </c>
      <c r="L4643" t="s">
        <v>62</v>
      </c>
      <c r="M4643" t="s">
        <v>4050</v>
      </c>
    </row>
    <row r="4644" spans="1:13">
      <c r="A4644">
        <v>46032</v>
      </c>
      <c r="B4644" t="s">
        <v>81</v>
      </c>
      <c r="D4644">
        <v>35000</v>
      </c>
      <c r="F4644">
        <v>1</v>
      </c>
      <c r="G4644" t="s">
        <v>74</v>
      </c>
      <c r="H4644" t="s">
        <v>75</v>
      </c>
      <c r="I4644" t="s">
        <v>60</v>
      </c>
      <c r="J4644" t="s">
        <v>61</v>
      </c>
      <c r="L4644" t="s">
        <v>88</v>
      </c>
    </row>
    <row r="4645" spans="1:13">
      <c r="A4645">
        <v>46032</v>
      </c>
      <c r="B4645" t="s">
        <v>4049</v>
      </c>
      <c r="E4645">
        <v>35000</v>
      </c>
      <c r="F4645">
        <v>1</v>
      </c>
      <c r="G4645" t="s">
        <v>65</v>
      </c>
      <c r="H4645" t="s">
        <v>66</v>
      </c>
      <c r="I4645" t="s">
        <v>60</v>
      </c>
      <c r="J4645" t="s">
        <v>61</v>
      </c>
      <c r="L4645" t="s">
        <v>62</v>
      </c>
      <c r="M4645" t="s">
        <v>4050</v>
      </c>
    </row>
    <row r="4646" spans="1:13">
      <c r="A4646">
        <v>46032</v>
      </c>
      <c r="B4646" t="s">
        <v>4051</v>
      </c>
      <c r="D4646">
        <v>500</v>
      </c>
      <c r="F4646">
        <v>1</v>
      </c>
      <c r="G4646" t="s">
        <v>22</v>
      </c>
      <c r="H4646" t="s">
        <v>21</v>
      </c>
      <c r="I4646" t="s">
        <v>60</v>
      </c>
      <c r="J4646" t="s">
        <v>61</v>
      </c>
      <c r="L4646" t="s">
        <v>82</v>
      </c>
    </row>
    <row r="4647" spans="1:13">
      <c r="A4647">
        <v>46032</v>
      </c>
      <c r="B4647" t="s">
        <v>63</v>
      </c>
      <c r="D4647">
        <v>300</v>
      </c>
      <c r="F4647">
        <v>3</v>
      </c>
      <c r="G4647" t="s">
        <v>22</v>
      </c>
      <c r="H4647" t="s">
        <v>93</v>
      </c>
      <c r="I4647" t="s">
        <v>60</v>
      </c>
      <c r="J4647" t="s">
        <v>61</v>
      </c>
      <c r="L4647" t="s">
        <v>62</v>
      </c>
    </row>
    <row r="4648" spans="1:13">
      <c r="A4648">
        <v>46032</v>
      </c>
      <c r="B4648" t="s">
        <v>76</v>
      </c>
      <c r="D4648">
        <v>46280</v>
      </c>
      <c r="G4648" t="s">
        <v>77</v>
      </c>
      <c r="I4648" t="s">
        <v>60</v>
      </c>
      <c r="J4648" t="s">
        <v>61</v>
      </c>
      <c r="L4648" t="s">
        <v>62</v>
      </c>
    </row>
    <row r="4649" spans="1:13">
      <c r="A4649">
        <v>46032</v>
      </c>
      <c r="B4649" t="s">
        <v>63</v>
      </c>
      <c r="D4649">
        <v>32500</v>
      </c>
      <c r="G4649" t="s">
        <v>70</v>
      </c>
      <c r="I4649" t="s">
        <v>60</v>
      </c>
      <c r="J4649" t="s">
        <v>61</v>
      </c>
      <c r="L4649" t="s">
        <v>62</v>
      </c>
    </row>
    <row r="4650" spans="1:13">
      <c r="A4650">
        <v>46032</v>
      </c>
      <c r="B4650" t="s">
        <v>4052</v>
      </c>
      <c r="F4650">
        <v>1</v>
      </c>
      <c r="G4650" t="s">
        <v>2490</v>
      </c>
      <c r="L4650" t="s">
        <v>82</v>
      </c>
      <c r="M4650" t="s">
        <v>2993</v>
      </c>
    </row>
    <row r="4651" spans="1:13">
      <c r="A4651">
        <v>46032</v>
      </c>
      <c r="B4651" t="s">
        <v>4053</v>
      </c>
      <c r="F4651">
        <v>1</v>
      </c>
      <c r="G4651" t="s">
        <v>64</v>
      </c>
      <c r="L4651" t="s">
        <v>86</v>
      </c>
      <c r="M4651" t="s">
        <v>96</v>
      </c>
    </row>
    <row r="4652" spans="1:13">
      <c r="A4652">
        <v>46032</v>
      </c>
      <c r="B4652" t="s">
        <v>4054</v>
      </c>
      <c r="F4652">
        <v>1</v>
      </c>
      <c r="G4652" t="s">
        <v>64</v>
      </c>
      <c r="L4652" t="s">
        <v>86</v>
      </c>
      <c r="M4652" t="s">
        <v>4055</v>
      </c>
    </row>
    <row r="4653" spans="1:13">
      <c r="A4653">
        <v>46032</v>
      </c>
      <c r="B4653" t="s">
        <v>4056</v>
      </c>
      <c r="F4653">
        <v>1</v>
      </c>
      <c r="G4653" t="s">
        <v>64</v>
      </c>
      <c r="L4653" t="s">
        <v>86</v>
      </c>
      <c r="M4653" t="s">
        <v>96</v>
      </c>
    </row>
    <row r="4654" spans="1:13">
      <c r="A4654">
        <v>46032</v>
      </c>
      <c r="B4654" t="s">
        <v>4057</v>
      </c>
      <c r="F4654">
        <v>1</v>
      </c>
      <c r="G4654" t="s">
        <v>64</v>
      </c>
      <c r="L4654" t="s">
        <v>86</v>
      </c>
      <c r="M4654" t="s">
        <v>96</v>
      </c>
    </row>
    <row r="4655" spans="1:13">
      <c r="A4655">
        <v>46032</v>
      </c>
      <c r="B4655" t="s">
        <v>4058</v>
      </c>
      <c r="D4655">
        <v>500</v>
      </c>
      <c r="F4655">
        <v>1</v>
      </c>
      <c r="G4655" t="s">
        <v>22</v>
      </c>
      <c r="H4655" t="s">
        <v>21</v>
      </c>
      <c r="I4655" t="s">
        <v>60</v>
      </c>
      <c r="J4655" t="s">
        <v>61</v>
      </c>
      <c r="L4655" t="s">
        <v>86</v>
      </c>
    </row>
    <row r="4656" spans="1:13">
      <c r="A4656">
        <v>46032</v>
      </c>
      <c r="B4656" t="s">
        <v>4059</v>
      </c>
      <c r="F4656">
        <v>1</v>
      </c>
      <c r="G4656" t="s">
        <v>377</v>
      </c>
      <c r="H4656" t="s">
        <v>21</v>
      </c>
      <c r="L4656" t="s">
        <v>86</v>
      </c>
      <c r="M4656" t="s">
        <v>327</v>
      </c>
    </row>
    <row r="4657" spans="1:13">
      <c r="A4657">
        <v>46032</v>
      </c>
      <c r="B4657" t="s">
        <v>63</v>
      </c>
      <c r="E4657">
        <v>1000</v>
      </c>
      <c r="F4657">
        <v>1</v>
      </c>
      <c r="G4657" t="s">
        <v>65</v>
      </c>
      <c r="H4657" t="s">
        <v>66</v>
      </c>
      <c r="I4657" t="s">
        <v>60</v>
      </c>
      <c r="J4657" t="s">
        <v>61</v>
      </c>
      <c r="L4657" t="s">
        <v>62</v>
      </c>
      <c r="M4657" t="s">
        <v>3280</v>
      </c>
    </row>
    <row r="4658" spans="1:13">
      <c r="A4658">
        <v>46032</v>
      </c>
      <c r="B4658" t="s">
        <v>63</v>
      </c>
      <c r="E4658">
        <v>300</v>
      </c>
      <c r="F4658">
        <v>1</v>
      </c>
      <c r="G4658" t="s">
        <v>65</v>
      </c>
      <c r="H4658" t="s">
        <v>66</v>
      </c>
      <c r="I4658" t="s">
        <v>60</v>
      </c>
      <c r="J4658" t="s">
        <v>61</v>
      </c>
      <c r="L4658" t="s">
        <v>62</v>
      </c>
      <c r="M4658" t="s">
        <v>392</v>
      </c>
    </row>
    <row r="4659" spans="1:13">
      <c r="A4659">
        <v>46032</v>
      </c>
      <c r="B4659" t="s">
        <v>63</v>
      </c>
      <c r="D4659">
        <v>7999</v>
      </c>
      <c r="F4659">
        <v>1</v>
      </c>
      <c r="G4659" t="s">
        <v>70</v>
      </c>
      <c r="I4659" t="s">
        <v>71</v>
      </c>
      <c r="J4659" t="s">
        <v>535</v>
      </c>
      <c r="K4659" t="s">
        <v>4060</v>
      </c>
      <c r="L4659" t="s">
        <v>62</v>
      </c>
      <c r="M4659" t="s">
        <v>4061</v>
      </c>
    </row>
    <row r="4660" spans="1:13">
      <c r="A4660">
        <v>46032</v>
      </c>
      <c r="B4660" t="s">
        <v>4062</v>
      </c>
      <c r="F4660">
        <v>1</v>
      </c>
      <c r="G4660" t="s">
        <v>2490</v>
      </c>
      <c r="L4660" t="s">
        <v>86</v>
      </c>
      <c r="M4660" t="s">
        <v>2993</v>
      </c>
    </row>
    <row r="4661" spans="1:13">
      <c r="A4661">
        <v>46033</v>
      </c>
      <c r="B4661" t="s">
        <v>63</v>
      </c>
      <c r="D4661">
        <v>35500</v>
      </c>
      <c r="G4661" t="s">
        <v>70</v>
      </c>
      <c r="I4661" t="s">
        <v>60</v>
      </c>
      <c r="J4661" t="s">
        <v>61</v>
      </c>
      <c r="L4661" t="s">
        <v>62</v>
      </c>
    </row>
    <row r="4662" spans="1:13">
      <c r="A4662">
        <v>46033</v>
      </c>
      <c r="B4662" t="s">
        <v>4063</v>
      </c>
      <c r="D4662">
        <v>500</v>
      </c>
      <c r="F4662">
        <v>0</v>
      </c>
      <c r="G4662" t="s">
        <v>22</v>
      </c>
      <c r="H4662" t="s">
        <v>21</v>
      </c>
      <c r="I4662" t="s">
        <v>60</v>
      </c>
      <c r="J4662" t="s">
        <v>61</v>
      </c>
      <c r="L4662" t="s">
        <v>86</v>
      </c>
      <c r="M4662" t="s">
        <v>83</v>
      </c>
    </row>
    <row r="4663" spans="1:13">
      <c r="A4663">
        <v>46033</v>
      </c>
      <c r="B4663" t="s">
        <v>63</v>
      </c>
      <c r="E4663">
        <v>500</v>
      </c>
      <c r="F4663">
        <v>1</v>
      </c>
      <c r="G4663" t="s">
        <v>65</v>
      </c>
      <c r="H4663" t="s">
        <v>66</v>
      </c>
      <c r="I4663" t="s">
        <v>60</v>
      </c>
      <c r="J4663" t="s">
        <v>61</v>
      </c>
      <c r="L4663" t="s">
        <v>62</v>
      </c>
      <c r="M4663" t="s">
        <v>3280</v>
      </c>
    </row>
    <row r="4664" spans="1:13">
      <c r="A4664">
        <v>46033</v>
      </c>
      <c r="B4664" t="s">
        <v>4064</v>
      </c>
      <c r="F4664">
        <v>1</v>
      </c>
      <c r="G4664" t="s">
        <v>64</v>
      </c>
      <c r="L4664" t="s">
        <v>89</v>
      </c>
      <c r="M4664" t="s">
        <v>96</v>
      </c>
    </row>
    <row r="4665" spans="1:13">
      <c r="A4665">
        <v>46033</v>
      </c>
      <c r="B4665" t="s">
        <v>4065</v>
      </c>
      <c r="F4665">
        <v>1</v>
      </c>
      <c r="G4665" t="s">
        <v>64</v>
      </c>
      <c r="L4665" t="s">
        <v>89</v>
      </c>
      <c r="M4665" t="s">
        <v>96</v>
      </c>
    </row>
    <row r="4666" spans="1:13">
      <c r="A4666">
        <v>46033</v>
      </c>
      <c r="B4666" t="s">
        <v>63</v>
      </c>
      <c r="D4666">
        <v>6000</v>
      </c>
      <c r="F4666">
        <v>1</v>
      </c>
      <c r="G4666" t="s">
        <v>70</v>
      </c>
      <c r="I4666" t="s">
        <v>71</v>
      </c>
      <c r="J4666" t="s">
        <v>72</v>
      </c>
      <c r="K4666" t="s">
        <v>4066</v>
      </c>
      <c r="L4666" t="s">
        <v>62</v>
      </c>
      <c r="M4666" t="s">
        <v>90</v>
      </c>
    </row>
    <row r="4667" spans="1:13">
      <c r="A4667">
        <v>46033</v>
      </c>
      <c r="B4667" t="s">
        <v>4067</v>
      </c>
      <c r="F4667">
        <v>1</v>
      </c>
      <c r="G4667" t="s">
        <v>64</v>
      </c>
      <c r="L4667" t="s">
        <v>89</v>
      </c>
      <c r="M4667" t="s">
        <v>4068</v>
      </c>
    </row>
    <row r="4668" spans="1:13">
      <c r="A4668">
        <v>46033</v>
      </c>
      <c r="B4668" t="s">
        <v>4069</v>
      </c>
      <c r="F4668">
        <v>1</v>
      </c>
      <c r="G4668" t="s">
        <v>2490</v>
      </c>
      <c r="L4668" t="s">
        <v>89</v>
      </c>
      <c r="M4668" t="s">
        <v>2993</v>
      </c>
    </row>
    <row r="4669" spans="1:13">
      <c r="A4669">
        <v>46033</v>
      </c>
      <c r="B4669" t="s">
        <v>4070</v>
      </c>
      <c r="F4669">
        <v>1</v>
      </c>
      <c r="G4669" t="s">
        <v>64</v>
      </c>
      <c r="L4669" t="s">
        <v>89</v>
      </c>
      <c r="M4669" t="s">
        <v>4071</v>
      </c>
    </row>
    <row r="4670" spans="1:13">
      <c r="A4670">
        <v>46033</v>
      </c>
      <c r="B4670" t="s">
        <v>76</v>
      </c>
      <c r="D4670">
        <v>2000</v>
      </c>
      <c r="G4670" t="s">
        <v>77</v>
      </c>
      <c r="I4670" t="s">
        <v>60</v>
      </c>
      <c r="J4670" t="s">
        <v>61</v>
      </c>
      <c r="L4670" t="s">
        <v>62</v>
      </c>
    </row>
    <row r="4671" spans="1:13">
      <c r="A4671">
        <v>46034</v>
      </c>
      <c r="B4671" t="s">
        <v>102</v>
      </c>
      <c r="C4671" t="s">
        <v>1734</v>
      </c>
      <c r="F4671">
        <v>26</v>
      </c>
      <c r="G4671" t="s">
        <v>22</v>
      </c>
      <c r="H4671" t="s">
        <v>21</v>
      </c>
      <c r="L4671" t="s">
        <v>95</v>
      </c>
    </row>
    <row r="4672" spans="1:13">
      <c r="A4672">
        <v>46034</v>
      </c>
      <c r="B4672" t="s">
        <v>81</v>
      </c>
      <c r="D4672">
        <v>129500</v>
      </c>
      <c r="F4672">
        <v>1</v>
      </c>
      <c r="G4672" t="s">
        <v>74</v>
      </c>
      <c r="H4672" t="s">
        <v>75</v>
      </c>
      <c r="I4672" t="s">
        <v>60</v>
      </c>
      <c r="J4672" t="s">
        <v>61</v>
      </c>
      <c r="L4672" t="s">
        <v>88</v>
      </c>
    </row>
    <row r="4673" spans="1:13">
      <c r="A4673">
        <v>46034</v>
      </c>
      <c r="B4673" t="s">
        <v>4049</v>
      </c>
      <c r="E4673">
        <v>129500</v>
      </c>
      <c r="F4673">
        <v>1</v>
      </c>
      <c r="G4673" t="s">
        <v>65</v>
      </c>
      <c r="H4673" t="s">
        <v>66</v>
      </c>
      <c r="I4673" t="s">
        <v>60</v>
      </c>
      <c r="J4673" t="s">
        <v>61</v>
      </c>
      <c r="L4673" t="s">
        <v>62</v>
      </c>
      <c r="M4673" t="s">
        <v>4050</v>
      </c>
    </row>
    <row r="4674" spans="1:13">
      <c r="A4674">
        <v>46034</v>
      </c>
      <c r="B4674" t="s">
        <v>4072</v>
      </c>
      <c r="D4674">
        <v>500</v>
      </c>
      <c r="F4674">
        <v>1</v>
      </c>
      <c r="G4674" t="s">
        <v>22</v>
      </c>
      <c r="H4674" t="s">
        <v>21</v>
      </c>
      <c r="I4674" t="s">
        <v>60</v>
      </c>
      <c r="J4674" t="s">
        <v>61</v>
      </c>
      <c r="L4674" t="s">
        <v>89</v>
      </c>
    </row>
    <row r="4675" spans="1:13">
      <c r="A4675">
        <v>46034</v>
      </c>
      <c r="B4675" t="s">
        <v>63</v>
      </c>
      <c r="D4675">
        <v>100</v>
      </c>
      <c r="F4675">
        <v>1</v>
      </c>
      <c r="G4675" t="s">
        <v>22</v>
      </c>
      <c r="H4675" t="s">
        <v>93</v>
      </c>
      <c r="I4675" t="s">
        <v>60</v>
      </c>
      <c r="J4675" t="s">
        <v>61</v>
      </c>
      <c r="L4675" t="s">
        <v>62</v>
      </c>
    </row>
    <row r="4676" spans="1:13">
      <c r="A4676">
        <v>46034</v>
      </c>
      <c r="B4676" t="s">
        <v>76</v>
      </c>
      <c r="D4676">
        <v>25000</v>
      </c>
      <c r="G4676" t="s">
        <v>77</v>
      </c>
      <c r="I4676" t="s">
        <v>60</v>
      </c>
      <c r="J4676" t="s">
        <v>61</v>
      </c>
      <c r="L4676" t="s">
        <v>62</v>
      </c>
    </row>
    <row r="4677" spans="1:13">
      <c r="A4677">
        <v>46034</v>
      </c>
      <c r="B4677" t="s">
        <v>84</v>
      </c>
      <c r="D4677">
        <v>-52000</v>
      </c>
      <c r="G4677" t="s">
        <v>77</v>
      </c>
      <c r="I4677" t="s">
        <v>60</v>
      </c>
      <c r="J4677" t="s">
        <v>61</v>
      </c>
      <c r="L4677" t="s">
        <v>62</v>
      </c>
    </row>
    <row r="4678" spans="1:13">
      <c r="A4678">
        <v>46034</v>
      </c>
      <c r="B4678" t="s">
        <v>84</v>
      </c>
      <c r="E4678">
        <v>-2750</v>
      </c>
      <c r="G4678" t="s">
        <v>65</v>
      </c>
      <c r="H4678" t="s">
        <v>85</v>
      </c>
      <c r="I4678" t="s">
        <v>60</v>
      </c>
      <c r="J4678" t="s">
        <v>61</v>
      </c>
      <c r="L4678" t="s">
        <v>62</v>
      </c>
    </row>
    <row r="4679" spans="1:13">
      <c r="A4679">
        <v>46034</v>
      </c>
      <c r="B4679" t="s">
        <v>4073</v>
      </c>
      <c r="D4679">
        <v>500</v>
      </c>
      <c r="F4679">
        <v>0</v>
      </c>
      <c r="G4679" t="s">
        <v>22</v>
      </c>
      <c r="H4679" t="s">
        <v>21</v>
      </c>
      <c r="I4679" t="s">
        <v>60</v>
      </c>
      <c r="J4679" t="s">
        <v>61</v>
      </c>
      <c r="L4679" t="s">
        <v>82</v>
      </c>
      <c r="M4679" t="s">
        <v>83</v>
      </c>
    </row>
    <row r="4680" spans="1:13">
      <c r="A4680">
        <v>46034</v>
      </c>
      <c r="B4680" t="s">
        <v>4074</v>
      </c>
      <c r="D4680">
        <v>500</v>
      </c>
      <c r="F4680">
        <v>0</v>
      </c>
      <c r="G4680" t="s">
        <v>22</v>
      </c>
      <c r="H4680" t="s">
        <v>21</v>
      </c>
      <c r="I4680" t="s">
        <v>60</v>
      </c>
      <c r="J4680" t="s">
        <v>61</v>
      </c>
      <c r="L4680" t="s">
        <v>82</v>
      </c>
      <c r="M4680" t="s">
        <v>83</v>
      </c>
    </row>
    <row r="4681" spans="1:13">
      <c r="A4681">
        <v>46034</v>
      </c>
      <c r="B4681" t="s">
        <v>63</v>
      </c>
      <c r="D4681">
        <v>10500</v>
      </c>
      <c r="G4681" t="s">
        <v>70</v>
      </c>
      <c r="I4681" t="s">
        <v>60</v>
      </c>
      <c r="J4681" t="s">
        <v>61</v>
      </c>
      <c r="L4681" t="s">
        <v>62</v>
      </c>
    </row>
    <row r="4682" spans="1:13">
      <c r="A4682">
        <v>46034</v>
      </c>
      <c r="B4682" t="s">
        <v>63</v>
      </c>
      <c r="E4682">
        <v>1500</v>
      </c>
      <c r="F4682">
        <v>1</v>
      </c>
      <c r="G4682" t="s">
        <v>65</v>
      </c>
      <c r="H4682" t="s">
        <v>66</v>
      </c>
      <c r="I4682" t="s">
        <v>60</v>
      </c>
      <c r="J4682" t="s">
        <v>61</v>
      </c>
      <c r="L4682" t="s">
        <v>62</v>
      </c>
      <c r="M4682" t="s">
        <v>3280</v>
      </c>
    </row>
    <row r="4683" spans="1:13">
      <c r="A4683">
        <v>46034</v>
      </c>
      <c r="B4683" t="s">
        <v>63</v>
      </c>
      <c r="E4683">
        <v>100</v>
      </c>
      <c r="F4683">
        <v>1</v>
      </c>
      <c r="G4683" t="s">
        <v>65</v>
      </c>
      <c r="H4683" t="s">
        <v>66</v>
      </c>
      <c r="I4683" t="s">
        <v>60</v>
      </c>
      <c r="J4683" t="s">
        <v>61</v>
      </c>
      <c r="L4683" t="s">
        <v>62</v>
      </c>
      <c r="M4683" t="s">
        <v>392</v>
      </c>
    </row>
    <row r="4684" spans="1:13">
      <c r="A4684">
        <v>46035</v>
      </c>
      <c r="B4684" t="s">
        <v>4075</v>
      </c>
      <c r="F4684">
        <v>1</v>
      </c>
      <c r="G4684" t="s">
        <v>79</v>
      </c>
      <c r="H4684" t="s">
        <v>21</v>
      </c>
      <c r="L4684" t="s">
        <v>89</v>
      </c>
      <c r="M4684" t="s">
        <v>327</v>
      </c>
    </row>
    <row r="4685" spans="1:13">
      <c r="A4685">
        <v>46035</v>
      </c>
      <c r="B4685" t="s">
        <v>4076</v>
      </c>
      <c r="D4685">
        <v>500</v>
      </c>
      <c r="F4685">
        <v>1</v>
      </c>
      <c r="G4685" t="s">
        <v>22</v>
      </c>
      <c r="H4685" t="s">
        <v>21</v>
      </c>
      <c r="I4685" t="s">
        <v>60</v>
      </c>
      <c r="J4685" t="s">
        <v>61</v>
      </c>
      <c r="L4685" t="s">
        <v>89</v>
      </c>
    </row>
    <row r="4686" spans="1:13">
      <c r="A4686">
        <v>46035</v>
      </c>
      <c r="B4686" t="s">
        <v>4077</v>
      </c>
      <c r="D4686">
        <v>500</v>
      </c>
      <c r="F4686">
        <v>1</v>
      </c>
      <c r="G4686" t="s">
        <v>22</v>
      </c>
      <c r="H4686" t="s">
        <v>21</v>
      </c>
      <c r="I4686" t="s">
        <v>60</v>
      </c>
      <c r="J4686" t="s">
        <v>61</v>
      </c>
      <c r="L4686" t="s">
        <v>89</v>
      </c>
    </row>
    <row r="4687" spans="1:13">
      <c r="A4687">
        <v>46035</v>
      </c>
      <c r="B4687" t="s">
        <v>4078</v>
      </c>
      <c r="D4687">
        <v>500</v>
      </c>
      <c r="F4687">
        <v>1</v>
      </c>
      <c r="G4687" t="s">
        <v>22</v>
      </c>
      <c r="H4687" t="s">
        <v>21</v>
      </c>
      <c r="I4687" t="s">
        <v>60</v>
      </c>
      <c r="J4687" t="s">
        <v>61</v>
      </c>
      <c r="L4687" t="s">
        <v>89</v>
      </c>
    </row>
    <row r="4688" spans="1:13">
      <c r="A4688">
        <v>46035</v>
      </c>
      <c r="B4688" t="s">
        <v>4079</v>
      </c>
      <c r="D4688">
        <v>500</v>
      </c>
      <c r="F4688">
        <v>1</v>
      </c>
      <c r="G4688" t="s">
        <v>22</v>
      </c>
      <c r="H4688" t="s">
        <v>21</v>
      </c>
      <c r="I4688" t="s">
        <v>60</v>
      </c>
      <c r="J4688" t="s">
        <v>61</v>
      </c>
      <c r="L4688" t="s">
        <v>89</v>
      </c>
    </row>
    <row r="4689" spans="1:13">
      <c r="A4689">
        <v>46035</v>
      </c>
      <c r="B4689" t="s">
        <v>4080</v>
      </c>
      <c r="F4689">
        <v>1</v>
      </c>
      <c r="G4689" t="s">
        <v>79</v>
      </c>
      <c r="H4689" t="s">
        <v>21</v>
      </c>
      <c r="L4689" t="s">
        <v>89</v>
      </c>
      <c r="M4689" t="s">
        <v>327</v>
      </c>
    </row>
    <row r="4690" spans="1:13">
      <c r="A4690">
        <v>46035</v>
      </c>
      <c r="B4690" t="s">
        <v>63</v>
      </c>
      <c r="E4690">
        <v>2000</v>
      </c>
      <c r="F4690">
        <v>1</v>
      </c>
      <c r="G4690" t="s">
        <v>65</v>
      </c>
      <c r="H4690" t="s">
        <v>66</v>
      </c>
      <c r="I4690" t="s">
        <v>60</v>
      </c>
      <c r="J4690" t="s">
        <v>61</v>
      </c>
      <c r="L4690" t="s">
        <v>62</v>
      </c>
      <c r="M4690" t="s">
        <v>3280</v>
      </c>
    </row>
    <row r="4691" spans="1:13">
      <c r="A4691">
        <v>46035</v>
      </c>
      <c r="B4691" t="s">
        <v>63</v>
      </c>
      <c r="D4691">
        <v>16000</v>
      </c>
      <c r="F4691">
        <v>2</v>
      </c>
      <c r="G4691" t="s">
        <v>70</v>
      </c>
      <c r="I4691" t="s">
        <v>71</v>
      </c>
      <c r="J4691" t="s">
        <v>72</v>
      </c>
      <c r="K4691" t="s">
        <v>4081</v>
      </c>
      <c r="L4691" t="s">
        <v>62</v>
      </c>
      <c r="M4691" t="s">
        <v>272</v>
      </c>
    </row>
    <row r="4692" spans="1:13">
      <c r="A4692">
        <v>46035</v>
      </c>
      <c r="B4692" t="s">
        <v>63</v>
      </c>
      <c r="D4692">
        <v>8000</v>
      </c>
      <c r="G4692" t="s">
        <v>70</v>
      </c>
      <c r="I4692" t="s">
        <v>60</v>
      </c>
      <c r="J4692" t="s">
        <v>61</v>
      </c>
      <c r="L4692" t="s">
        <v>62</v>
      </c>
    </row>
    <row r="4693" spans="1:13">
      <c r="A4693">
        <v>46036</v>
      </c>
      <c r="B4693" t="s">
        <v>4082</v>
      </c>
      <c r="D4693">
        <v>500</v>
      </c>
      <c r="F4693">
        <v>1</v>
      </c>
      <c r="G4693" t="s">
        <v>22</v>
      </c>
      <c r="H4693" t="s">
        <v>21</v>
      </c>
      <c r="I4693" t="s">
        <v>60</v>
      </c>
      <c r="J4693" t="s">
        <v>61</v>
      </c>
      <c r="L4693" t="s">
        <v>86</v>
      </c>
    </row>
    <row r="4694" spans="1:13">
      <c r="A4694">
        <v>46036</v>
      </c>
      <c r="B4694" t="s">
        <v>4083</v>
      </c>
      <c r="F4694">
        <v>1</v>
      </c>
      <c r="G4694" t="s">
        <v>2490</v>
      </c>
      <c r="L4694" t="s">
        <v>86</v>
      </c>
      <c r="M4694" t="s">
        <v>2993</v>
      </c>
    </row>
    <row r="4695" spans="1:13">
      <c r="A4695">
        <v>46036</v>
      </c>
      <c r="B4695" t="s">
        <v>63</v>
      </c>
      <c r="D4695">
        <v>67000</v>
      </c>
      <c r="G4695" t="s">
        <v>70</v>
      </c>
      <c r="I4695" t="s">
        <v>60</v>
      </c>
      <c r="J4695" t="s">
        <v>61</v>
      </c>
      <c r="L4695" t="s">
        <v>62</v>
      </c>
    </row>
    <row r="4696" spans="1:13">
      <c r="A4696">
        <v>46036</v>
      </c>
      <c r="B4696" t="s">
        <v>4084</v>
      </c>
      <c r="D4696">
        <v>500</v>
      </c>
      <c r="F4696">
        <v>0</v>
      </c>
      <c r="G4696" t="s">
        <v>22</v>
      </c>
      <c r="H4696" t="s">
        <v>21</v>
      </c>
      <c r="I4696" t="s">
        <v>60</v>
      </c>
      <c r="J4696" t="s">
        <v>61</v>
      </c>
      <c r="L4696" t="s">
        <v>82</v>
      </c>
      <c r="M4696" t="s">
        <v>83</v>
      </c>
    </row>
    <row r="4697" spans="1:13">
      <c r="A4697">
        <v>46036</v>
      </c>
      <c r="B4697" t="s">
        <v>1667</v>
      </c>
      <c r="D4697">
        <v>500</v>
      </c>
      <c r="F4697">
        <v>1</v>
      </c>
      <c r="G4697" t="s">
        <v>22</v>
      </c>
      <c r="H4697" t="s">
        <v>21</v>
      </c>
      <c r="I4697" t="s">
        <v>60</v>
      </c>
      <c r="J4697" t="s">
        <v>61</v>
      </c>
      <c r="L4697" t="s">
        <v>82</v>
      </c>
    </row>
    <row r="4698" spans="1:13">
      <c r="A4698">
        <v>46036</v>
      </c>
      <c r="B4698" t="s">
        <v>1667</v>
      </c>
      <c r="F4698">
        <v>1</v>
      </c>
      <c r="G4698" t="s">
        <v>64</v>
      </c>
      <c r="L4698" t="s">
        <v>82</v>
      </c>
      <c r="M4698" t="s">
        <v>96</v>
      </c>
    </row>
    <row r="4699" spans="1:13">
      <c r="A4699">
        <v>46036</v>
      </c>
      <c r="B4699" t="s">
        <v>4085</v>
      </c>
      <c r="F4699">
        <v>1</v>
      </c>
      <c r="G4699" t="s">
        <v>22</v>
      </c>
      <c r="H4699" t="s">
        <v>21</v>
      </c>
      <c r="L4699" t="s">
        <v>461</v>
      </c>
      <c r="M4699" t="s">
        <v>941</v>
      </c>
    </row>
    <row r="4700" spans="1:13">
      <c r="A4700">
        <v>46036</v>
      </c>
      <c r="B4700" t="s">
        <v>4086</v>
      </c>
      <c r="F4700">
        <v>1</v>
      </c>
      <c r="G4700" t="s">
        <v>2490</v>
      </c>
      <c r="L4700" t="s">
        <v>89</v>
      </c>
      <c r="M4700" t="s">
        <v>2993</v>
      </c>
    </row>
    <row r="4701" spans="1:13">
      <c r="A4701">
        <v>46036</v>
      </c>
      <c r="B4701" t="s">
        <v>4087</v>
      </c>
      <c r="F4701">
        <v>1</v>
      </c>
      <c r="G4701" t="s">
        <v>2490</v>
      </c>
      <c r="L4701" t="s">
        <v>89</v>
      </c>
      <c r="M4701" t="s">
        <v>2993</v>
      </c>
    </row>
    <row r="4702" spans="1:13">
      <c r="A4702">
        <v>46036</v>
      </c>
      <c r="B4702" t="s">
        <v>4088</v>
      </c>
      <c r="F4702">
        <v>1</v>
      </c>
      <c r="G4702" t="s">
        <v>99</v>
      </c>
      <c r="H4702" t="s">
        <v>21</v>
      </c>
      <c r="L4702" t="s">
        <v>82</v>
      </c>
      <c r="M4702" t="s">
        <v>4089</v>
      </c>
    </row>
    <row r="4703" spans="1:13">
      <c r="A4703">
        <v>46036</v>
      </c>
      <c r="B4703" t="s">
        <v>4090</v>
      </c>
      <c r="D4703">
        <v>500</v>
      </c>
      <c r="F4703">
        <v>0</v>
      </c>
      <c r="G4703" t="s">
        <v>22</v>
      </c>
      <c r="H4703" t="s">
        <v>21</v>
      </c>
      <c r="I4703" t="s">
        <v>60</v>
      </c>
      <c r="J4703" t="s">
        <v>61</v>
      </c>
      <c r="L4703" t="s">
        <v>82</v>
      </c>
      <c r="M4703" t="s">
        <v>83</v>
      </c>
    </row>
    <row r="4704" spans="1:13">
      <c r="A4704">
        <v>46036</v>
      </c>
      <c r="B4704" t="s">
        <v>4091</v>
      </c>
      <c r="F4704">
        <v>1</v>
      </c>
      <c r="G4704" t="s">
        <v>79</v>
      </c>
      <c r="H4704" t="s">
        <v>21</v>
      </c>
      <c r="L4704" t="s">
        <v>82</v>
      </c>
      <c r="M4704" t="s">
        <v>327</v>
      </c>
    </row>
    <row r="4705" spans="1:13">
      <c r="A4705">
        <v>46036</v>
      </c>
      <c r="B4705" t="s">
        <v>63</v>
      </c>
      <c r="E4705">
        <v>2000</v>
      </c>
      <c r="F4705">
        <v>1</v>
      </c>
      <c r="G4705" t="s">
        <v>65</v>
      </c>
      <c r="H4705" t="s">
        <v>66</v>
      </c>
      <c r="I4705" t="s">
        <v>60</v>
      </c>
      <c r="J4705" t="s">
        <v>61</v>
      </c>
      <c r="L4705" t="s">
        <v>62</v>
      </c>
      <c r="M4705" t="s">
        <v>3280</v>
      </c>
    </row>
    <row r="4706" spans="1:13">
      <c r="A4706">
        <v>46037</v>
      </c>
      <c r="B4706" t="s">
        <v>4092</v>
      </c>
      <c r="D4706">
        <v>500</v>
      </c>
      <c r="F4706">
        <v>1</v>
      </c>
      <c r="G4706" t="s">
        <v>22</v>
      </c>
      <c r="H4706" t="s">
        <v>21</v>
      </c>
      <c r="I4706" t="s">
        <v>60</v>
      </c>
      <c r="J4706" t="s">
        <v>61</v>
      </c>
      <c r="L4706" t="s">
        <v>89</v>
      </c>
    </row>
    <row r="4707" spans="1:13">
      <c r="A4707">
        <v>46037</v>
      </c>
      <c r="B4707" t="s">
        <v>4093</v>
      </c>
      <c r="D4707">
        <v>500</v>
      </c>
      <c r="F4707">
        <v>1</v>
      </c>
      <c r="G4707" t="s">
        <v>22</v>
      </c>
      <c r="H4707" t="s">
        <v>21</v>
      </c>
      <c r="I4707" t="s">
        <v>60</v>
      </c>
      <c r="J4707" t="s">
        <v>61</v>
      </c>
      <c r="L4707" t="s">
        <v>89</v>
      </c>
    </row>
    <row r="4708" spans="1:13">
      <c r="A4708">
        <v>46037</v>
      </c>
      <c r="B4708" t="s">
        <v>4094</v>
      </c>
      <c r="F4708">
        <v>1</v>
      </c>
      <c r="G4708" t="s">
        <v>79</v>
      </c>
      <c r="H4708" t="s">
        <v>21</v>
      </c>
      <c r="L4708" t="s">
        <v>89</v>
      </c>
      <c r="M4708" t="s">
        <v>327</v>
      </c>
    </row>
    <row r="4709" spans="1:13">
      <c r="A4709">
        <v>46037</v>
      </c>
      <c r="B4709" t="s">
        <v>4095</v>
      </c>
      <c r="F4709">
        <v>1</v>
      </c>
      <c r="G4709" t="s">
        <v>79</v>
      </c>
      <c r="H4709" t="s">
        <v>21</v>
      </c>
      <c r="L4709" t="s">
        <v>89</v>
      </c>
      <c r="M4709" t="s">
        <v>327</v>
      </c>
    </row>
    <row r="4710" spans="1:13">
      <c r="A4710">
        <v>46037</v>
      </c>
      <c r="B4710" t="s">
        <v>63</v>
      </c>
      <c r="D4710">
        <v>22000</v>
      </c>
      <c r="G4710" t="s">
        <v>70</v>
      </c>
      <c r="I4710" t="s">
        <v>60</v>
      </c>
      <c r="J4710" t="s">
        <v>61</v>
      </c>
      <c r="L4710" t="s">
        <v>62</v>
      </c>
    </row>
    <row r="4711" spans="1:13">
      <c r="A4711">
        <v>46037</v>
      </c>
      <c r="B4711" t="s">
        <v>4096</v>
      </c>
      <c r="F4711">
        <v>1</v>
      </c>
      <c r="G4711" t="s">
        <v>64</v>
      </c>
      <c r="L4711" t="s">
        <v>89</v>
      </c>
      <c r="M4711" t="s">
        <v>4097</v>
      </c>
    </row>
    <row r="4712" spans="1:13">
      <c r="A4712">
        <v>46037</v>
      </c>
      <c r="B4712" t="s">
        <v>4098</v>
      </c>
      <c r="D4712">
        <v>500</v>
      </c>
      <c r="F4712">
        <v>1</v>
      </c>
      <c r="G4712" t="s">
        <v>22</v>
      </c>
      <c r="H4712" t="s">
        <v>21</v>
      </c>
      <c r="I4712" t="s">
        <v>60</v>
      </c>
      <c r="J4712" t="s">
        <v>61</v>
      </c>
      <c r="L4712" t="s">
        <v>86</v>
      </c>
    </row>
    <row r="4713" spans="1:13">
      <c r="A4713">
        <v>46037</v>
      </c>
      <c r="B4713" t="s">
        <v>4099</v>
      </c>
      <c r="D4713">
        <v>500</v>
      </c>
      <c r="F4713">
        <v>0</v>
      </c>
      <c r="G4713" t="s">
        <v>22</v>
      </c>
      <c r="H4713" t="s">
        <v>21</v>
      </c>
      <c r="I4713" t="s">
        <v>60</v>
      </c>
      <c r="J4713" t="s">
        <v>61</v>
      </c>
      <c r="L4713" t="s">
        <v>86</v>
      </c>
      <c r="M4713" t="s">
        <v>83</v>
      </c>
    </row>
    <row r="4714" spans="1:13">
      <c r="A4714">
        <v>46037</v>
      </c>
      <c r="B4714" t="s">
        <v>4099</v>
      </c>
      <c r="F4714">
        <v>1</v>
      </c>
      <c r="G4714" t="s">
        <v>2490</v>
      </c>
      <c r="L4714" t="s">
        <v>86</v>
      </c>
      <c r="M4714" t="s">
        <v>2993</v>
      </c>
    </row>
    <row r="4715" spans="1:13">
      <c r="A4715">
        <v>46037</v>
      </c>
      <c r="B4715" t="s">
        <v>4100</v>
      </c>
      <c r="D4715">
        <v>500</v>
      </c>
      <c r="F4715">
        <v>0</v>
      </c>
      <c r="G4715" t="s">
        <v>22</v>
      </c>
      <c r="H4715" t="s">
        <v>21</v>
      </c>
      <c r="I4715" t="s">
        <v>60</v>
      </c>
      <c r="J4715" t="s">
        <v>61</v>
      </c>
      <c r="L4715" t="s">
        <v>86</v>
      </c>
      <c r="M4715" t="s">
        <v>83</v>
      </c>
    </row>
    <row r="4716" spans="1:13">
      <c r="A4716">
        <v>46037</v>
      </c>
      <c r="B4716" t="s">
        <v>4101</v>
      </c>
      <c r="D4716">
        <v>500</v>
      </c>
      <c r="F4716">
        <v>0</v>
      </c>
      <c r="G4716" t="s">
        <v>22</v>
      </c>
      <c r="H4716" t="s">
        <v>21</v>
      </c>
      <c r="I4716" t="s">
        <v>60</v>
      </c>
      <c r="J4716" t="s">
        <v>61</v>
      </c>
      <c r="L4716" t="s">
        <v>86</v>
      </c>
      <c r="M4716" t="s">
        <v>83</v>
      </c>
    </row>
    <row r="4717" spans="1:13">
      <c r="A4717">
        <v>46037</v>
      </c>
      <c r="B4717" t="s">
        <v>546</v>
      </c>
      <c r="F4717">
        <v>-18</v>
      </c>
      <c r="G4717" t="s">
        <v>22</v>
      </c>
      <c r="H4717" t="s">
        <v>93</v>
      </c>
      <c r="L4717" t="s">
        <v>461</v>
      </c>
    </row>
    <row r="4718" spans="1:13">
      <c r="A4718">
        <v>46037</v>
      </c>
      <c r="B4718" t="s">
        <v>4102</v>
      </c>
      <c r="F4718">
        <v>1</v>
      </c>
      <c r="G4718" t="s">
        <v>2490</v>
      </c>
      <c r="L4718" t="s">
        <v>86</v>
      </c>
      <c r="M4718" t="s">
        <v>2993</v>
      </c>
    </row>
    <row r="4719" spans="1:13">
      <c r="A4719">
        <v>46037</v>
      </c>
      <c r="B4719" t="s">
        <v>4103</v>
      </c>
      <c r="D4719">
        <v>500</v>
      </c>
      <c r="F4719">
        <v>1</v>
      </c>
      <c r="G4719" t="s">
        <v>22</v>
      </c>
      <c r="H4719" t="s">
        <v>21</v>
      </c>
      <c r="I4719" t="s">
        <v>60</v>
      </c>
      <c r="J4719" t="s">
        <v>61</v>
      </c>
      <c r="L4719" t="s">
        <v>86</v>
      </c>
    </row>
    <row r="4720" spans="1:13">
      <c r="A4720">
        <v>46037</v>
      </c>
      <c r="B4720" t="s">
        <v>2735</v>
      </c>
      <c r="F4720">
        <v>1</v>
      </c>
      <c r="G4720" t="s">
        <v>64</v>
      </c>
      <c r="L4720" t="s">
        <v>86</v>
      </c>
      <c r="M4720" t="s">
        <v>96</v>
      </c>
    </row>
    <row r="4721" spans="1:13">
      <c r="A4721">
        <v>46037</v>
      </c>
      <c r="B4721" t="s">
        <v>63</v>
      </c>
      <c r="D4721">
        <v>100</v>
      </c>
      <c r="F4721">
        <v>1</v>
      </c>
      <c r="G4721" t="s">
        <v>22</v>
      </c>
      <c r="H4721" t="s">
        <v>93</v>
      </c>
      <c r="I4721" t="s">
        <v>60</v>
      </c>
      <c r="J4721" t="s">
        <v>61</v>
      </c>
      <c r="L4721" t="s">
        <v>62</v>
      </c>
    </row>
    <row r="4722" spans="1:13">
      <c r="A4722">
        <v>46037</v>
      </c>
      <c r="B4722" t="s">
        <v>63</v>
      </c>
      <c r="E4722">
        <v>3500</v>
      </c>
      <c r="F4722">
        <v>1</v>
      </c>
      <c r="G4722" t="s">
        <v>65</v>
      </c>
      <c r="H4722" t="s">
        <v>66</v>
      </c>
      <c r="I4722" t="s">
        <v>60</v>
      </c>
      <c r="J4722" t="s">
        <v>61</v>
      </c>
      <c r="L4722" t="s">
        <v>62</v>
      </c>
      <c r="M4722" t="s">
        <v>3280</v>
      </c>
    </row>
    <row r="4723" spans="1:13">
      <c r="A4723">
        <v>46037</v>
      </c>
      <c r="B4723" t="s">
        <v>63</v>
      </c>
      <c r="E4723">
        <v>100</v>
      </c>
      <c r="F4723">
        <v>1</v>
      </c>
      <c r="G4723" t="s">
        <v>65</v>
      </c>
      <c r="H4723" t="s">
        <v>66</v>
      </c>
      <c r="I4723" t="s">
        <v>60</v>
      </c>
      <c r="J4723" t="s">
        <v>61</v>
      </c>
      <c r="L4723" t="s">
        <v>62</v>
      </c>
      <c r="M4723" t="s">
        <v>392</v>
      </c>
    </row>
    <row r="4724" spans="1:13">
      <c r="A4724">
        <v>46037</v>
      </c>
      <c r="B4724" t="s">
        <v>4104</v>
      </c>
      <c r="F4724">
        <v>1</v>
      </c>
      <c r="G4724" t="s">
        <v>0</v>
      </c>
      <c r="L4724" t="s">
        <v>89</v>
      </c>
      <c r="M4724" t="s">
        <v>3952</v>
      </c>
    </row>
    <row r="4725" spans="1:13">
      <c r="A4725">
        <v>46038</v>
      </c>
      <c r="B4725" t="s">
        <v>63</v>
      </c>
      <c r="D4725">
        <v>100</v>
      </c>
      <c r="F4725">
        <v>1</v>
      </c>
      <c r="G4725" t="s">
        <v>22</v>
      </c>
      <c r="H4725" t="s">
        <v>93</v>
      </c>
      <c r="I4725" t="s">
        <v>60</v>
      </c>
      <c r="J4725" t="s">
        <v>61</v>
      </c>
      <c r="L4725" t="s">
        <v>62</v>
      </c>
    </row>
    <row r="4726" spans="1:13">
      <c r="A4726">
        <v>46038</v>
      </c>
      <c r="B4726" t="s">
        <v>76</v>
      </c>
      <c r="D4726">
        <v>30400</v>
      </c>
      <c r="G4726" t="s">
        <v>77</v>
      </c>
      <c r="I4726" t="s">
        <v>60</v>
      </c>
      <c r="J4726" t="s">
        <v>61</v>
      </c>
      <c r="L4726" t="s">
        <v>62</v>
      </c>
    </row>
    <row r="4727" spans="1:13">
      <c r="A4727">
        <v>46038</v>
      </c>
      <c r="B4727" t="s">
        <v>63</v>
      </c>
      <c r="D4727">
        <v>76392</v>
      </c>
      <c r="G4727" t="s">
        <v>70</v>
      </c>
      <c r="I4727" t="s">
        <v>60</v>
      </c>
      <c r="J4727" t="s">
        <v>61</v>
      </c>
      <c r="L4727" t="s">
        <v>62</v>
      </c>
    </row>
    <row r="4728" spans="1:13">
      <c r="A4728">
        <v>46038</v>
      </c>
      <c r="B4728" t="s">
        <v>63</v>
      </c>
      <c r="D4728">
        <v>12000</v>
      </c>
      <c r="F4728">
        <v>2</v>
      </c>
      <c r="G4728" t="s">
        <v>70</v>
      </c>
      <c r="I4728" t="s">
        <v>71</v>
      </c>
      <c r="J4728" t="s">
        <v>72</v>
      </c>
      <c r="K4728">
        <v>769</v>
      </c>
      <c r="L4728" t="s">
        <v>62</v>
      </c>
      <c r="M4728" t="s">
        <v>90</v>
      </c>
    </row>
    <row r="4729" spans="1:13">
      <c r="A4729">
        <v>46038</v>
      </c>
      <c r="B4729" t="s">
        <v>105</v>
      </c>
      <c r="E4729">
        <v>818800</v>
      </c>
      <c r="F4729">
        <v>1</v>
      </c>
      <c r="G4729" t="s">
        <v>74</v>
      </c>
      <c r="H4729" t="s">
        <v>75</v>
      </c>
      <c r="I4729" t="s">
        <v>60</v>
      </c>
      <c r="J4729" t="s">
        <v>61</v>
      </c>
      <c r="L4729" t="s">
        <v>104</v>
      </c>
    </row>
    <row r="4730" spans="1:13">
      <c r="A4730">
        <v>46038</v>
      </c>
      <c r="B4730" t="s">
        <v>4105</v>
      </c>
      <c r="F4730">
        <v>1</v>
      </c>
      <c r="G4730" t="s">
        <v>79</v>
      </c>
      <c r="H4730" t="s">
        <v>21</v>
      </c>
      <c r="L4730" t="s">
        <v>89</v>
      </c>
      <c r="M4730" t="s">
        <v>327</v>
      </c>
    </row>
    <row r="4731" spans="1:13">
      <c r="A4731">
        <v>46038</v>
      </c>
      <c r="B4731" t="s">
        <v>4105</v>
      </c>
      <c r="F4731">
        <v>1</v>
      </c>
      <c r="G4731" t="s">
        <v>64</v>
      </c>
      <c r="L4731" t="s">
        <v>89</v>
      </c>
      <c r="M4731" t="s">
        <v>96</v>
      </c>
    </row>
    <row r="4732" spans="1:13">
      <c r="A4732">
        <v>46038</v>
      </c>
      <c r="B4732" t="s">
        <v>2584</v>
      </c>
      <c r="F4732">
        <v>1</v>
      </c>
      <c r="G4732" t="s">
        <v>64</v>
      </c>
      <c r="L4732" t="s">
        <v>82</v>
      </c>
      <c r="M4732" t="s">
        <v>96</v>
      </c>
    </row>
    <row r="4733" spans="1:13">
      <c r="A4733">
        <v>46038</v>
      </c>
      <c r="B4733" t="s">
        <v>63</v>
      </c>
      <c r="E4733">
        <v>100</v>
      </c>
      <c r="F4733">
        <v>1</v>
      </c>
      <c r="G4733" t="s">
        <v>65</v>
      </c>
      <c r="H4733" t="s">
        <v>66</v>
      </c>
      <c r="I4733" t="s">
        <v>60</v>
      </c>
      <c r="J4733" t="s">
        <v>61</v>
      </c>
      <c r="L4733" t="s">
        <v>62</v>
      </c>
      <c r="M4733" t="s">
        <v>392</v>
      </c>
    </row>
    <row r="4734" spans="1:13">
      <c r="A4734">
        <v>46039</v>
      </c>
      <c r="B4734" t="s">
        <v>4106</v>
      </c>
      <c r="F4734">
        <v>1</v>
      </c>
      <c r="G4734" t="s">
        <v>64</v>
      </c>
      <c r="L4734" t="s">
        <v>89</v>
      </c>
      <c r="M4734" t="s">
        <v>96</v>
      </c>
    </row>
    <row r="4735" spans="1:13">
      <c r="A4735">
        <v>46039</v>
      </c>
      <c r="B4735" t="s">
        <v>4107</v>
      </c>
      <c r="D4735">
        <v>500</v>
      </c>
      <c r="F4735">
        <v>1</v>
      </c>
      <c r="G4735" t="s">
        <v>22</v>
      </c>
      <c r="H4735" t="s">
        <v>21</v>
      </c>
      <c r="I4735" t="s">
        <v>60</v>
      </c>
      <c r="J4735" t="s">
        <v>61</v>
      </c>
      <c r="L4735" t="s">
        <v>89</v>
      </c>
    </row>
    <row r="4736" spans="1:13">
      <c r="A4736">
        <v>46039</v>
      </c>
      <c r="B4736" t="s">
        <v>4107</v>
      </c>
      <c r="F4736">
        <v>1</v>
      </c>
      <c r="G4736" t="s">
        <v>2490</v>
      </c>
      <c r="L4736" t="s">
        <v>89</v>
      </c>
      <c r="M4736" t="s">
        <v>2993</v>
      </c>
    </row>
    <row r="4737" spans="1:13">
      <c r="A4737">
        <v>46039</v>
      </c>
      <c r="B4737" t="s">
        <v>196</v>
      </c>
      <c r="E4737">
        <v>8000</v>
      </c>
      <c r="F4737">
        <v>1</v>
      </c>
      <c r="G4737" t="s">
        <v>65</v>
      </c>
      <c r="H4737" t="s">
        <v>560</v>
      </c>
      <c r="I4737" t="s">
        <v>60</v>
      </c>
      <c r="J4737" t="s">
        <v>61</v>
      </c>
      <c r="L4737" t="s">
        <v>62</v>
      </c>
    </row>
    <row r="4738" spans="1:13">
      <c r="A4738">
        <v>46039</v>
      </c>
      <c r="B4738" t="s">
        <v>4108</v>
      </c>
      <c r="D4738">
        <v>500</v>
      </c>
      <c r="F4738">
        <v>1</v>
      </c>
      <c r="G4738" t="s">
        <v>22</v>
      </c>
      <c r="H4738" t="s">
        <v>21</v>
      </c>
      <c r="I4738" t="s">
        <v>60</v>
      </c>
      <c r="J4738" t="s">
        <v>61</v>
      </c>
      <c r="L4738" t="s">
        <v>89</v>
      </c>
    </row>
    <row r="4739" spans="1:13">
      <c r="A4739">
        <v>46039</v>
      </c>
      <c r="B4739" t="s">
        <v>4109</v>
      </c>
      <c r="F4739">
        <v>1</v>
      </c>
      <c r="G4739" t="s">
        <v>377</v>
      </c>
      <c r="H4739" t="s">
        <v>21</v>
      </c>
      <c r="L4739" t="s">
        <v>89</v>
      </c>
      <c r="M4739" t="s">
        <v>327</v>
      </c>
    </row>
    <row r="4740" spans="1:13">
      <c r="A4740">
        <v>46039</v>
      </c>
      <c r="B4740" t="s">
        <v>4110</v>
      </c>
      <c r="F4740">
        <v>1</v>
      </c>
      <c r="G4740" t="s">
        <v>22</v>
      </c>
      <c r="H4740" t="s">
        <v>21</v>
      </c>
      <c r="L4740" t="s">
        <v>461</v>
      </c>
      <c r="M4740" t="s">
        <v>4111</v>
      </c>
    </row>
    <row r="4741" spans="1:13">
      <c r="A4741">
        <v>46039</v>
      </c>
      <c r="B4741" t="s">
        <v>4112</v>
      </c>
      <c r="F4741">
        <v>1</v>
      </c>
      <c r="G4741" t="s">
        <v>377</v>
      </c>
      <c r="H4741" t="s">
        <v>21</v>
      </c>
      <c r="L4741" t="s">
        <v>89</v>
      </c>
      <c r="M4741" t="s">
        <v>327</v>
      </c>
    </row>
    <row r="4742" spans="1:13">
      <c r="A4742">
        <v>46039</v>
      </c>
      <c r="B4742" t="s">
        <v>4112</v>
      </c>
      <c r="D4742">
        <v>500</v>
      </c>
      <c r="F4742">
        <v>0</v>
      </c>
      <c r="G4742" t="s">
        <v>22</v>
      </c>
      <c r="H4742" t="s">
        <v>21</v>
      </c>
      <c r="I4742" t="s">
        <v>60</v>
      </c>
      <c r="J4742" t="s">
        <v>61</v>
      </c>
      <c r="L4742" t="s">
        <v>89</v>
      </c>
      <c r="M4742" t="s">
        <v>83</v>
      </c>
    </row>
    <row r="4743" spans="1:13">
      <c r="A4743">
        <v>46039</v>
      </c>
      <c r="B4743" t="s">
        <v>4113</v>
      </c>
      <c r="D4743">
        <v>500</v>
      </c>
      <c r="F4743">
        <v>0</v>
      </c>
      <c r="G4743" t="s">
        <v>22</v>
      </c>
      <c r="H4743" t="s">
        <v>21</v>
      </c>
      <c r="I4743" t="s">
        <v>60</v>
      </c>
      <c r="J4743" t="s">
        <v>61</v>
      </c>
      <c r="L4743" t="s">
        <v>86</v>
      </c>
      <c r="M4743" t="s">
        <v>83</v>
      </c>
    </row>
    <row r="4744" spans="1:13">
      <c r="A4744">
        <v>46039</v>
      </c>
      <c r="B4744" t="s">
        <v>4114</v>
      </c>
      <c r="F4744">
        <v>1</v>
      </c>
      <c r="G4744" t="s">
        <v>64</v>
      </c>
      <c r="L4744" t="s">
        <v>86</v>
      </c>
      <c r="M4744" t="s">
        <v>96</v>
      </c>
    </row>
    <row r="4745" spans="1:13">
      <c r="A4745">
        <v>46039</v>
      </c>
      <c r="B4745" t="s">
        <v>63</v>
      </c>
      <c r="D4745">
        <v>6000</v>
      </c>
      <c r="G4745" t="s">
        <v>70</v>
      </c>
      <c r="I4745" t="s">
        <v>60</v>
      </c>
      <c r="J4745" t="s">
        <v>61</v>
      </c>
      <c r="L4745" t="s">
        <v>62</v>
      </c>
    </row>
    <row r="4746" spans="1:13">
      <c r="A4746">
        <v>46039</v>
      </c>
      <c r="B4746" t="s">
        <v>4115</v>
      </c>
      <c r="D4746">
        <v>500</v>
      </c>
      <c r="F4746">
        <v>0</v>
      </c>
      <c r="G4746" t="s">
        <v>22</v>
      </c>
      <c r="H4746" t="s">
        <v>21</v>
      </c>
      <c r="I4746" t="s">
        <v>60</v>
      </c>
      <c r="J4746" t="s">
        <v>61</v>
      </c>
      <c r="L4746" t="s">
        <v>86</v>
      </c>
      <c r="M4746" t="s">
        <v>83</v>
      </c>
    </row>
    <row r="4747" spans="1:13">
      <c r="A4747">
        <v>46039</v>
      </c>
      <c r="B4747" t="s">
        <v>4116</v>
      </c>
      <c r="F4747">
        <v>1</v>
      </c>
      <c r="G4747" t="s">
        <v>377</v>
      </c>
      <c r="H4747" t="s">
        <v>21</v>
      </c>
      <c r="L4747" t="s">
        <v>86</v>
      </c>
      <c r="M4747" t="s">
        <v>327</v>
      </c>
    </row>
    <row r="4748" spans="1:13">
      <c r="A4748">
        <v>46039</v>
      </c>
      <c r="B4748" t="s">
        <v>4116</v>
      </c>
      <c r="D4748">
        <v>500</v>
      </c>
      <c r="F4748">
        <v>0</v>
      </c>
      <c r="G4748" t="s">
        <v>22</v>
      </c>
      <c r="H4748" t="s">
        <v>21</v>
      </c>
      <c r="I4748" t="s">
        <v>60</v>
      </c>
      <c r="J4748" t="s">
        <v>61</v>
      </c>
      <c r="L4748" t="s">
        <v>86</v>
      </c>
      <c r="M4748" t="s">
        <v>83</v>
      </c>
    </row>
    <row r="4749" spans="1:13">
      <c r="A4749">
        <v>46039</v>
      </c>
      <c r="B4749" t="s">
        <v>4117</v>
      </c>
      <c r="F4749">
        <v>1</v>
      </c>
      <c r="G4749" t="s">
        <v>64</v>
      </c>
      <c r="L4749" t="s">
        <v>86</v>
      </c>
      <c r="M4749" t="s">
        <v>96</v>
      </c>
    </row>
    <row r="4750" spans="1:13">
      <c r="A4750">
        <v>46039</v>
      </c>
      <c r="B4750" t="s">
        <v>76</v>
      </c>
      <c r="D4750">
        <v>10000</v>
      </c>
      <c r="G4750" t="s">
        <v>77</v>
      </c>
      <c r="I4750" t="s">
        <v>60</v>
      </c>
      <c r="J4750" t="s">
        <v>61</v>
      </c>
      <c r="L4750" t="s">
        <v>62</v>
      </c>
    </row>
    <row r="4751" spans="1:13">
      <c r="A4751">
        <v>46039</v>
      </c>
      <c r="B4751" t="s">
        <v>4118</v>
      </c>
      <c r="D4751">
        <v>500</v>
      </c>
      <c r="F4751">
        <v>1</v>
      </c>
      <c r="G4751" t="s">
        <v>22</v>
      </c>
      <c r="H4751" t="s">
        <v>21</v>
      </c>
      <c r="I4751" t="s">
        <v>60</v>
      </c>
      <c r="J4751" t="s">
        <v>61</v>
      </c>
      <c r="L4751" t="s">
        <v>86</v>
      </c>
    </row>
    <row r="4752" spans="1:13">
      <c r="A4752">
        <v>46039</v>
      </c>
      <c r="B4752" t="s">
        <v>63</v>
      </c>
      <c r="E4752">
        <v>3500</v>
      </c>
      <c r="F4752">
        <v>1</v>
      </c>
      <c r="G4752" t="s">
        <v>65</v>
      </c>
      <c r="H4752" t="s">
        <v>66</v>
      </c>
      <c r="I4752" t="s">
        <v>60</v>
      </c>
      <c r="J4752" t="s">
        <v>61</v>
      </c>
      <c r="L4752" t="s">
        <v>62</v>
      </c>
      <c r="M4752" t="s">
        <v>3280</v>
      </c>
    </row>
    <row r="4753" spans="1:13">
      <c r="A4753">
        <v>46040</v>
      </c>
      <c r="B4753" t="s">
        <v>4119</v>
      </c>
      <c r="D4753">
        <v>500</v>
      </c>
      <c r="F4753">
        <v>1</v>
      </c>
      <c r="G4753" t="s">
        <v>22</v>
      </c>
      <c r="H4753" t="s">
        <v>21</v>
      </c>
      <c r="I4753" t="s">
        <v>60</v>
      </c>
      <c r="J4753" t="s">
        <v>61</v>
      </c>
      <c r="L4753" t="s">
        <v>82</v>
      </c>
    </row>
    <row r="4754" spans="1:13">
      <c r="A4754">
        <v>46040</v>
      </c>
      <c r="B4754" t="s">
        <v>4120</v>
      </c>
      <c r="D4754">
        <v>500</v>
      </c>
      <c r="F4754">
        <v>1</v>
      </c>
      <c r="G4754" t="s">
        <v>22</v>
      </c>
      <c r="H4754" t="s">
        <v>21</v>
      </c>
      <c r="I4754" t="s">
        <v>60</v>
      </c>
      <c r="J4754" t="s">
        <v>61</v>
      </c>
      <c r="L4754" t="s">
        <v>82</v>
      </c>
    </row>
    <row r="4755" spans="1:13">
      <c r="A4755">
        <v>46040</v>
      </c>
      <c r="B4755" t="s">
        <v>4121</v>
      </c>
      <c r="F4755">
        <v>1</v>
      </c>
      <c r="G4755" t="s">
        <v>64</v>
      </c>
      <c r="L4755" t="s">
        <v>82</v>
      </c>
      <c r="M4755" t="s">
        <v>4122</v>
      </c>
    </row>
    <row r="4756" spans="1:13">
      <c r="A4756">
        <v>46040</v>
      </c>
      <c r="B4756" t="s">
        <v>4123</v>
      </c>
      <c r="D4756">
        <v>500</v>
      </c>
      <c r="F4756">
        <v>1</v>
      </c>
      <c r="G4756" t="s">
        <v>22</v>
      </c>
      <c r="H4756" t="s">
        <v>21</v>
      </c>
      <c r="I4756" t="s">
        <v>60</v>
      </c>
      <c r="J4756" t="s">
        <v>61</v>
      </c>
      <c r="L4756" t="s">
        <v>82</v>
      </c>
    </row>
    <row r="4757" spans="1:13">
      <c r="A4757">
        <v>46040</v>
      </c>
      <c r="B4757" t="s">
        <v>4124</v>
      </c>
      <c r="D4757">
        <v>500</v>
      </c>
      <c r="F4757">
        <v>1</v>
      </c>
      <c r="G4757" t="s">
        <v>22</v>
      </c>
      <c r="H4757" t="s">
        <v>21</v>
      </c>
      <c r="I4757" t="s">
        <v>60</v>
      </c>
      <c r="J4757" t="s">
        <v>61</v>
      </c>
      <c r="L4757" t="s">
        <v>82</v>
      </c>
    </row>
    <row r="4758" spans="1:13">
      <c r="A4758">
        <v>46040</v>
      </c>
      <c r="B4758" t="s">
        <v>63</v>
      </c>
      <c r="D4758">
        <v>24000</v>
      </c>
      <c r="G4758" t="s">
        <v>70</v>
      </c>
      <c r="I4758" t="s">
        <v>60</v>
      </c>
      <c r="J4758" t="s">
        <v>61</v>
      </c>
      <c r="L4758" t="s">
        <v>62</v>
      </c>
    </row>
    <row r="4759" spans="1:13">
      <c r="A4759">
        <v>46040</v>
      </c>
      <c r="B4759" t="s">
        <v>63</v>
      </c>
      <c r="D4759">
        <v>100</v>
      </c>
      <c r="F4759">
        <v>1</v>
      </c>
      <c r="G4759" t="s">
        <v>22</v>
      </c>
      <c r="H4759" t="s">
        <v>93</v>
      </c>
      <c r="I4759" t="s">
        <v>60</v>
      </c>
      <c r="J4759" t="s">
        <v>61</v>
      </c>
      <c r="L4759" t="s">
        <v>62</v>
      </c>
    </row>
    <row r="4760" spans="1:13">
      <c r="A4760">
        <v>46040</v>
      </c>
      <c r="B4760" t="s">
        <v>4125</v>
      </c>
      <c r="F4760">
        <v>1</v>
      </c>
      <c r="G4760" t="s">
        <v>377</v>
      </c>
      <c r="H4760" t="s">
        <v>21</v>
      </c>
      <c r="L4760" t="s">
        <v>86</v>
      </c>
      <c r="M4760" t="s">
        <v>327</v>
      </c>
    </row>
    <row r="4761" spans="1:13">
      <c r="A4761">
        <v>46040</v>
      </c>
      <c r="B4761" t="s">
        <v>4126</v>
      </c>
      <c r="D4761">
        <v>500</v>
      </c>
      <c r="F4761">
        <v>1</v>
      </c>
      <c r="G4761" t="s">
        <v>22</v>
      </c>
      <c r="H4761" t="s">
        <v>21</v>
      </c>
      <c r="I4761" t="s">
        <v>60</v>
      </c>
      <c r="J4761" t="s">
        <v>61</v>
      </c>
      <c r="L4761" t="s">
        <v>86</v>
      </c>
    </row>
    <row r="4762" spans="1:13">
      <c r="A4762">
        <v>46040</v>
      </c>
      <c r="B4762" t="s">
        <v>63</v>
      </c>
      <c r="E4762">
        <v>2600</v>
      </c>
      <c r="F4762">
        <v>1</v>
      </c>
      <c r="G4762" t="s">
        <v>65</v>
      </c>
      <c r="H4762" t="s">
        <v>66</v>
      </c>
      <c r="I4762" t="s">
        <v>60</v>
      </c>
      <c r="J4762" t="s">
        <v>61</v>
      </c>
      <c r="L4762" t="s">
        <v>62</v>
      </c>
      <c r="M4762" t="s">
        <v>3280</v>
      </c>
    </row>
    <row r="4763" spans="1:13">
      <c r="A4763">
        <v>46041</v>
      </c>
      <c r="B4763" t="s">
        <v>102</v>
      </c>
      <c r="C4763" t="s">
        <v>4127</v>
      </c>
      <c r="F4763">
        <v>26</v>
      </c>
      <c r="G4763" t="s">
        <v>22</v>
      </c>
      <c r="H4763" t="s">
        <v>21</v>
      </c>
      <c r="L4763" t="s">
        <v>95</v>
      </c>
    </row>
    <row r="4764" spans="1:13">
      <c r="A4764">
        <v>46041</v>
      </c>
      <c r="B4764" t="s">
        <v>432</v>
      </c>
      <c r="C4764" t="s">
        <v>4128</v>
      </c>
      <c r="E4764">
        <v>38000</v>
      </c>
      <c r="F4764">
        <v>1</v>
      </c>
      <c r="G4764" t="s">
        <v>65</v>
      </c>
      <c r="H4764" t="s">
        <v>265</v>
      </c>
      <c r="I4764" t="s">
        <v>60</v>
      </c>
      <c r="J4764" t="s">
        <v>61</v>
      </c>
      <c r="L4764" t="s">
        <v>62</v>
      </c>
    </row>
    <row r="4765" spans="1:13">
      <c r="A4765">
        <v>46041</v>
      </c>
      <c r="B4765" t="s">
        <v>432</v>
      </c>
      <c r="C4765" t="s">
        <v>4129</v>
      </c>
      <c r="E4765">
        <v>38000</v>
      </c>
      <c r="F4765">
        <v>1</v>
      </c>
      <c r="G4765" t="s">
        <v>65</v>
      </c>
      <c r="H4765" t="s">
        <v>265</v>
      </c>
      <c r="I4765" t="s">
        <v>60</v>
      </c>
      <c r="J4765" t="s">
        <v>61</v>
      </c>
      <c r="L4765" t="s">
        <v>768</v>
      </c>
    </row>
    <row r="4766" spans="1:13">
      <c r="A4766">
        <v>46041</v>
      </c>
      <c r="B4766" t="s">
        <v>4130</v>
      </c>
      <c r="D4766">
        <v>500</v>
      </c>
      <c r="F4766">
        <v>1</v>
      </c>
      <c r="G4766" t="s">
        <v>22</v>
      </c>
      <c r="H4766" t="s">
        <v>21</v>
      </c>
      <c r="I4766" t="s">
        <v>60</v>
      </c>
      <c r="J4766" t="s">
        <v>61</v>
      </c>
      <c r="L4766" t="s">
        <v>89</v>
      </c>
    </row>
    <row r="4767" spans="1:13">
      <c r="A4767">
        <v>46041</v>
      </c>
      <c r="B4767" t="s">
        <v>4131</v>
      </c>
      <c r="F4767">
        <v>1</v>
      </c>
      <c r="G4767" t="s">
        <v>377</v>
      </c>
      <c r="H4767" t="s">
        <v>21</v>
      </c>
      <c r="L4767" t="s">
        <v>89</v>
      </c>
      <c r="M4767" t="s">
        <v>327</v>
      </c>
    </row>
    <row r="4768" spans="1:13">
      <c r="A4768">
        <v>46041</v>
      </c>
      <c r="B4768" t="s">
        <v>4132</v>
      </c>
      <c r="F4768">
        <v>1</v>
      </c>
      <c r="G4768" t="s">
        <v>377</v>
      </c>
      <c r="H4768" t="s">
        <v>21</v>
      </c>
      <c r="L4768" t="s">
        <v>89</v>
      </c>
      <c r="M4768" t="s">
        <v>327</v>
      </c>
    </row>
    <row r="4769" spans="1:13">
      <c r="A4769">
        <v>46041</v>
      </c>
      <c r="B4769" t="s">
        <v>4133</v>
      </c>
      <c r="F4769">
        <v>1</v>
      </c>
      <c r="G4769" t="s">
        <v>79</v>
      </c>
      <c r="H4769" t="s">
        <v>21</v>
      </c>
      <c r="L4769" t="s">
        <v>89</v>
      </c>
      <c r="M4769" t="s">
        <v>327</v>
      </c>
    </row>
    <row r="4770" spans="1:13">
      <c r="A4770">
        <v>46041</v>
      </c>
      <c r="B4770" t="s">
        <v>4134</v>
      </c>
      <c r="D4770">
        <v>500</v>
      </c>
      <c r="F4770">
        <v>1</v>
      </c>
      <c r="G4770" t="s">
        <v>22</v>
      </c>
      <c r="H4770" t="s">
        <v>21</v>
      </c>
      <c r="I4770" t="s">
        <v>60</v>
      </c>
      <c r="J4770" t="s">
        <v>61</v>
      </c>
      <c r="L4770" t="s">
        <v>89</v>
      </c>
    </row>
    <row r="4771" spans="1:13">
      <c r="A4771">
        <v>46041</v>
      </c>
      <c r="B4771" t="s">
        <v>4135</v>
      </c>
      <c r="D4771">
        <v>500</v>
      </c>
      <c r="F4771">
        <v>1</v>
      </c>
      <c r="G4771" t="s">
        <v>22</v>
      </c>
      <c r="H4771" t="s">
        <v>21</v>
      </c>
      <c r="I4771" t="s">
        <v>60</v>
      </c>
      <c r="J4771" t="s">
        <v>61</v>
      </c>
      <c r="L4771" t="s">
        <v>82</v>
      </c>
    </row>
    <row r="4772" spans="1:13">
      <c r="A4772">
        <v>46041</v>
      </c>
      <c r="B4772" t="s">
        <v>4136</v>
      </c>
      <c r="F4772">
        <v>1</v>
      </c>
      <c r="G4772" t="s">
        <v>603</v>
      </c>
      <c r="H4772" t="s">
        <v>21</v>
      </c>
      <c r="L4772" t="s">
        <v>82</v>
      </c>
      <c r="M4772" t="s">
        <v>4137</v>
      </c>
    </row>
    <row r="4773" spans="1:13">
      <c r="A4773">
        <v>46041</v>
      </c>
      <c r="B4773" t="s">
        <v>4138</v>
      </c>
      <c r="F4773">
        <v>1</v>
      </c>
      <c r="G4773" t="s">
        <v>377</v>
      </c>
      <c r="H4773" t="s">
        <v>21</v>
      </c>
      <c r="L4773" t="s">
        <v>82</v>
      </c>
      <c r="M4773" t="s">
        <v>327</v>
      </c>
    </row>
    <row r="4774" spans="1:13">
      <c r="A4774">
        <v>46041</v>
      </c>
      <c r="B4774" t="s">
        <v>63</v>
      </c>
      <c r="D4774">
        <v>16000</v>
      </c>
      <c r="G4774" t="s">
        <v>70</v>
      </c>
      <c r="I4774" t="s">
        <v>60</v>
      </c>
      <c r="J4774" t="s">
        <v>61</v>
      </c>
      <c r="L4774" t="s">
        <v>62</v>
      </c>
    </row>
    <row r="4775" spans="1:13">
      <c r="A4775">
        <v>46041</v>
      </c>
      <c r="B4775" t="s">
        <v>63</v>
      </c>
      <c r="D4775">
        <v>300</v>
      </c>
      <c r="F4775">
        <v>3</v>
      </c>
      <c r="G4775" t="s">
        <v>22</v>
      </c>
      <c r="H4775" t="s">
        <v>93</v>
      </c>
      <c r="I4775" t="s">
        <v>60</v>
      </c>
      <c r="J4775" t="s">
        <v>61</v>
      </c>
      <c r="L4775" t="s">
        <v>62</v>
      </c>
    </row>
    <row r="4776" spans="1:13">
      <c r="A4776">
        <v>46041</v>
      </c>
      <c r="B4776" t="s">
        <v>76</v>
      </c>
      <c r="D4776">
        <v>10200</v>
      </c>
      <c r="G4776" t="s">
        <v>77</v>
      </c>
      <c r="I4776" t="s">
        <v>60</v>
      </c>
      <c r="J4776" t="s">
        <v>61</v>
      </c>
      <c r="L4776" t="s">
        <v>62</v>
      </c>
    </row>
    <row r="4777" spans="1:13">
      <c r="A4777">
        <v>46041</v>
      </c>
      <c r="B4777" t="s">
        <v>63</v>
      </c>
      <c r="E4777">
        <v>1500</v>
      </c>
      <c r="F4777">
        <v>1</v>
      </c>
      <c r="G4777" t="s">
        <v>65</v>
      </c>
      <c r="H4777" t="s">
        <v>66</v>
      </c>
      <c r="I4777" t="s">
        <v>60</v>
      </c>
      <c r="J4777" t="s">
        <v>61</v>
      </c>
      <c r="L4777" t="s">
        <v>62</v>
      </c>
      <c r="M4777" t="s">
        <v>3280</v>
      </c>
    </row>
    <row r="4778" spans="1:13">
      <c r="A4778">
        <v>46041</v>
      </c>
      <c r="B4778" t="s">
        <v>63</v>
      </c>
      <c r="E4778">
        <v>300</v>
      </c>
      <c r="F4778">
        <v>1</v>
      </c>
      <c r="G4778" t="s">
        <v>65</v>
      </c>
      <c r="H4778" t="s">
        <v>66</v>
      </c>
      <c r="I4778" t="s">
        <v>60</v>
      </c>
      <c r="J4778" t="s">
        <v>61</v>
      </c>
      <c r="L4778" t="s">
        <v>62</v>
      </c>
      <c r="M4778" t="s">
        <v>392</v>
      </c>
    </row>
    <row r="4779" spans="1:13">
      <c r="A4779">
        <v>46041</v>
      </c>
      <c r="B4779" t="s">
        <v>4139</v>
      </c>
      <c r="F4779">
        <v>1</v>
      </c>
      <c r="G4779" t="s">
        <v>0</v>
      </c>
      <c r="L4779" t="s">
        <v>89</v>
      </c>
      <c r="M4779" t="s">
        <v>3952</v>
      </c>
    </row>
    <row r="4780" spans="1:13">
      <c r="A4780">
        <v>46041</v>
      </c>
      <c r="B4780" t="s">
        <v>4140</v>
      </c>
      <c r="F4780">
        <v>1</v>
      </c>
      <c r="G4780" t="s">
        <v>0</v>
      </c>
      <c r="L4780" t="s">
        <v>82</v>
      </c>
      <c r="M4780" t="s">
        <v>3952</v>
      </c>
    </row>
    <row r="4781" spans="1:13">
      <c r="A4781">
        <v>46042</v>
      </c>
      <c r="B4781" t="s">
        <v>84</v>
      </c>
      <c r="D4781">
        <v>-31200</v>
      </c>
      <c r="G4781" t="s">
        <v>77</v>
      </c>
      <c r="I4781" t="s">
        <v>60</v>
      </c>
      <c r="J4781" t="s">
        <v>61</v>
      </c>
      <c r="L4781" t="s">
        <v>62</v>
      </c>
    </row>
    <row r="4782" spans="1:13">
      <c r="A4782">
        <v>46042</v>
      </c>
      <c r="B4782" t="s">
        <v>84</v>
      </c>
      <c r="E4782">
        <v>-1650</v>
      </c>
      <c r="G4782" t="s">
        <v>65</v>
      </c>
      <c r="H4782" t="s">
        <v>85</v>
      </c>
      <c r="I4782" t="s">
        <v>60</v>
      </c>
      <c r="J4782" t="s">
        <v>61</v>
      </c>
      <c r="L4782" t="s">
        <v>62</v>
      </c>
    </row>
    <row r="4783" spans="1:13">
      <c r="A4783">
        <v>46042</v>
      </c>
      <c r="B4783" t="s">
        <v>4141</v>
      </c>
      <c r="D4783">
        <v>500</v>
      </c>
      <c r="F4783">
        <v>1</v>
      </c>
      <c r="G4783" t="s">
        <v>22</v>
      </c>
      <c r="H4783" t="s">
        <v>21</v>
      </c>
      <c r="I4783" t="s">
        <v>60</v>
      </c>
      <c r="J4783" t="s">
        <v>61</v>
      </c>
      <c r="L4783" t="s">
        <v>82</v>
      </c>
    </row>
    <row r="4784" spans="1:13">
      <c r="A4784">
        <v>46042</v>
      </c>
      <c r="B4784" t="s">
        <v>4142</v>
      </c>
      <c r="D4784">
        <v>500</v>
      </c>
      <c r="F4784">
        <v>1</v>
      </c>
      <c r="G4784" t="s">
        <v>22</v>
      </c>
      <c r="H4784" t="s">
        <v>21</v>
      </c>
      <c r="I4784" t="s">
        <v>60</v>
      </c>
      <c r="J4784" t="s">
        <v>61</v>
      </c>
      <c r="L4784" t="s">
        <v>82</v>
      </c>
    </row>
    <row r="4785" spans="1:13">
      <c r="A4785">
        <v>46042</v>
      </c>
      <c r="B4785" t="s">
        <v>63</v>
      </c>
      <c r="D4785">
        <v>6104</v>
      </c>
      <c r="G4785" t="s">
        <v>70</v>
      </c>
      <c r="I4785" t="s">
        <v>60</v>
      </c>
      <c r="J4785" t="s">
        <v>61</v>
      </c>
      <c r="L4785" t="s">
        <v>62</v>
      </c>
    </row>
    <row r="4786" spans="1:13">
      <c r="A4786">
        <v>46042</v>
      </c>
      <c r="B4786" t="s">
        <v>63</v>
      </c>
      <c r="D4786">
        <v>16000</v>
      </c>
      <c r="F4786">
        <v>2</v>
      </c>
      <c r="G4786" t="s">
        <v>70</v>
      </c>
      <c r="I4786" t="s">
        <v>71</v>
      </c>
      <c r="J4786" t="s">
        <v>72</v>
      </c>
      <c r="K4786" t="s">
        <v>4143</v>
      </c>
      <c r="L4786" t="s">
        <v>62</v>
      </c>
      <c r="M4786" t="s">
        <v>90</v>
      </c>
    </row>
    <row r="4787" spans="1:13">
      <c r="A4787">
        <v>46042</v>
      </c>
      <c r="B4787" t="s">
        <v>4144</v>
      </c>
      <c r="D4787">
        <v>500</v>
      </c>
      <c r="F4787">
        <v>1</v>
      </c>
      <c r="G4787" t="s">
        <v>22</v>
      </c>
      <c r="H4787" t="s">
        <v>21</v>
      </c>
      <c r="I4787" t="s">
        <v>60</v>
      </c>
      <c r="J4787" t="s">
        <v>61</v>
      </c>
      <c r="L4787" t="s">
        <v>89</v>
      </c>
    </row>
    <row r="4788" spans="1:13">
      <c r="A4788">
        <v>46042</v>
      </c>
      <c r="B4788" t="s">
        <v>4144</v>
      </c>
      <c r="F4788">
        <v>1</v>
      </c>
      <c r="G4788" t="s">
        <v>64</v>
      </c>
      <c r="L4788" t="s">
        <v>89</v>
      </c>
      <c r="M4788" t="s">
        <v>96</v>
      </c>
    </row>
    <row r="4789" spans="1:13">
      <c r="A4789">
        <v>46042</v>
      </c>
      <c r="B4789" t="s">
        <v>4145</v>
      </c>
      <c r="D4789">
        <v>500</v>
      </c>
      <c r="F4789">
        <v>0</v>
      </c>
      <c r="G4789" t="s">
        <v>22</v>
      </c>
      <c r="H4789" t="s">
        <v>21</v>
      </c>
      <c r="I4789" t="s">
        <v>60</v>
      </c>
      <c r="J4789" t="s">
        <v>61</v>
      </c>
      <c r="L4789" t="s">
        <v>89</v>
      </c>
      <c r="M4789" t="s">
        <v>83</v>
      </c>
    </row>
    <row r="4790" spans="1:13">
      <c r="A4790">
        <v>46042</v>
      </c>
      <c r="B4790" t="s">
        <v>4146</v>
      </c>
      <c r="F4790">
        <v>1</v>
      </c>
      <c r="G4790" t="s">
        <v>79</v>
      </c>
      <c r="H4790" t="s">
        <v>21</v>
      </c>
      <c r="L4790" t="s">
        <v>89</v>
      </c>
      <c r="M4790" t="s">
        <v>327</v>
      </c>
    </row>
    <row r="4791" spans="1:13">
      <c r="A4791">
        <v>46042</v>
      </c>
      <c r="B4791" t="s">
        <v>4147</v>
      </c>
      <c r="D4791">
        <v>500</v>
      </c>
      <c r="F4791">
        <v>1</v>
      </c>
      <c r="G4791" t="s">
        <v>22</v>
      </c>
      <c r="H4791" t="s">
        <v>21</v>
      </c>
      <c r="I4791" t="s">
        <v>60</v>
      </c>
      <c r="J4791" t="s">
        <v>61</v>
      </c>
      <c r="L4791" t="s">
        <v>89</v>
      </c>
    </row>
    <row r="4792" spans="1:13">
      <c r="A4792">
        <v>46042</v>
      </c>
      <c r="B4792" t="s">
        <v>4148</v>
      </c>
      <c r="D4792">
        <v>500</v>
      </c>
      <c r="F4792">
        <v>1</v>
      </c>
      <c r="G4792" t="s">
        <v>22</v>
      </c>
      <c r="H4792" t="s">
        <v>21</v>
      </c>
      <c r="I4792" t="s">
        <v>60</v>
      </c>
      <c r="J4792" t="s">
        <v>61</v>
      </c>
      <c r="L4792" t="s">
        <v>89</v>
      </c>
    </row>
    <row r="4793" spans="1:13">
      <c r="A4793">
        <v>46042</v>
      </c>
      <c r="B4793" t="s">
        <v>4149</v>
      </c>
      <c r="F4793">
        <v>1</v>
      </c>
      <c r="G4793" t="s">
        <v>79</v>
      </c>
      <c r="H4793" t="s">
        <v>21</v>
      </c>
      <c r="L4793" t="s">
        <v>89</v>
      </c>
      <c r="M4793" t="s">
        <v>327</v>
      </c>
    </row>
    <row r="4794" spans="1:13">
      <c r="A4794">
        <v>46042</v>
      </c>
      <c r="B4794" t="s">
        <v>259</v>
      </c>
      <c r="D4794">
        <v>500</v>
      </c>
      <c r="F4794">
        <v>0</v>
      </c>
      <c r="G4794" t="s">
        <v>22</v>
      </c>
      <c r="H4794" t="s">
        <v>21</v>
      </c>
      <c r="I4794" t="s">
        <v>60</v>
      </c>
      <c r="J4794" t="s">
        <v>61</v>
      </c>
      <c r="L4794" t="s">
        <v>89</v>
      </c>
      <c r="M4794" t="s">
        <v>83</v>
      </c>
    </row>
    <row r="4795" spans="1:13">
      <c r="A4795">
        <v>46042</v>
      </c>
      <c r="B4795" t="s">
        <v>63</v>
      </c>
      <c r="D4795">
        <v>8000</v>
      </c>
      <c r="F4795">
        <v>1</v>
      </c>
      <c r="G4795" t="s">
        <v>70</v>
      </c>
      <c r="I4795" t="s">
        <v>71</v>
      </c>
      <c r="J4795" t="s">
        <v>72</v>
      </c>
      <c r="K4795" t="s">
        <v>4150</v>
      </c>
      <c r="L4795" t="s">
        <v>62</v>
      </c>
      <c r="M4795" t="s">
        <v>90</v>
      </c>
    </row>
    <row r="4796" spans="1:13">
      <c r="A4796">
        <v>46042</v>
      </c>
      <c r="B4796" t="s">
        <v>63</v>
      </c>
      <c r="E4796">
        <v>3500</v>
      </c>
      <c r="F4796">
        <v>1</v>
      </c>
      <c r="G4796" t="s">
        <v>65</v>
      </c>
      <c r="H4796" t="s">
        <v>66</v>
      </c>
      <c r="I4796" t="s">
        <v>60</v>
      </c>
      <c r="J4796" t="s">
        <v>61</v>
      </c>
      <c r="L4796" t="s">
        <v>62</v>
      </c>
      <c r="M4796" t="s">
        <v>3280</v>
      </c>
    </row>
    <row r="4797" spans="1:13">
      <c r="A4797">
        <v>46043</v>
      </c>
      <c r="B4797" t="s">
        <v>81</v>
      </c>
      <c r="D4797">
        <v>40000</v>
      </c>
      <c r="F4797">
        <v>1</v>
      </c>
      <c r="G4797" t="s">
        <v>74</v>
      </c>
      <c r="H4797" t="s">
        <v>75</v>
      </c>
      <c r="I4797" t="s">
        <v>60</v>
      </c>
      <c r="J4797" t="s">
        <v>61</v>
      </c>
      <c r="L4797" t="s">
        <v>88</v>
      </c>
    </row>
    <row r="4798" spans="1:13">
      <c r="A4798">
        <v>46043</v>
      </c>
      <c r="B4798" t="s">
        <v>4151</v>
      </c>
      <c r="F4798">
        <v>1</v>
      </c>
      <c r="G4798" t="s">
        <v>98</v>
      </c>
      <c r="H4798" t="s">
        <v>21</v>
      </c>
      <c r="L4798" t="s">
        <v>82</v>
      </c>
      <c r="M4798" t="s">
        <v>327</v>
      </c>
    </row>
    <row r="4799" spans="1:13">
      <c r="A4799">
        <v>46043</v>
      </c>
      <c r="B4799" t="s">
        <v>4152</v>
      </c>
      <c r="D4799">
        <v>500</v>
      </c>
      <c r="F4799">
        <v>0</v>
      </c>
      <c r="G4799" t="s">
        <v>22</v>
      </c>
      <c r="H4799" t="s">
        <v>21</v>
      </c>
      <c r="I4799" t="s">
        <v>60</v>
      </c>
      <c r="J4799" t="s">
        <v>61</v>
      </c>
      <c r="L4799" t="s">
        <v>82</v>
      </c>
      <c r="M4799" t="s">
        <v>83</v>
      </c>
    </row>
    <row r="4800" spans="1:13">
      <c r="A4800">
        <v>46043</v>
      </c>
      <c r="B4800" t="s">
        <v>4153</v>
      </c>
      <c r="D4800">
        <v>500</v>
      </c>
      <c r="F4800">
        <v>0</v>
      </c>
      <c r="G4800" t="s">
        <v>22</v>
      </c>
      <c r="H4800" t="s">
        <v>21</v>
      </c>
      <c r="I4800" t="s">
        <v>60</v>
      </c>
      <c r="J4800" t="s">
        <v>61</v>
      </c>
      <c r="L4800" t="s">
        <v>82</v>
      </c>
      <c r="M4800" t="s">
        <v>83</v>
      </c>
    </row>
    <row r="4801" spans="1:13">
      <c r="A4801">
        <v>46043</v>
      </c>
      <c r="B4801" t="s">
        <v>63</v>
      </c>
      <c r="D4801">
        <v>5000</v>
      </c>
      <c r="G4801" t="s">
        <v>70</v>
      </c>
      <c r="I4801" t="s">
        <v>60</v>
      </c>
      <c r="J4801" t="s">
        <v>61</v>
      </c>
      <c r="L4801" t="s">
        <v>62</v>
      </c>
    </row>
    <row r="4802" spans="1:13">
      <c r="A4802">
        <v>46043</v>
      </c>
      <c r="B4802" t="s">
        <v>76</v>
      </c>
      <c r="D4802">
        <v>6000</v>
      </c>
      <c r="G4802" t="s">
        <v>77</v>
      </c>
      <c r="I4802" t="s">
        <v>60</v>
      </c>
      <c r="J4802" t="s">
        <v>61</v>
      </c>
      <c r="L4802" t="s">
        <v>62</v>
      </c>
    </row>
    <row r="4803" spans="1:13">
      <c r="A4803">
        <v>46043</v>
      </c>
      <c r="B4803" t="s">
        <v>63</v>
      </c>
      <c r="D4803">
        <v>200</v>
      </c>
      <c r="F4803">
        <v>2</v>
      </c>
      <c r="G4803" t="s">
        <v>22</v>
      </c>
      <c r="H4803" t="s">
        <v>93</v>
      </c>
      <c r="I4803" t="s">
        <v>60</v>
      </c>
      <c r="J4803" t="s">
        <v>61</v>
      </c>
      <c r="L4803" t="s">
        <v>62</v>
      </c>
    </row>
    <row r="4804" spans="1:13">
      <c r="A4804">
        <v>46043</v>
      </c>
      <c r="B4804" t="s">
        <v>4154</v>
      </c>
      <c r="D4804">
        <v>500</v>
      </c>
      <c r="F4804">
        <v>1</v>
      </c>
      <c r="G4804" t="s">
        <v>22</v>
      </c>
      <c r="H4804" t="s">
        <v>21</v>
      </c>
      <c r="I4804" t="s">
        <v>60</v>
      </c>
      <c r="J4804" t="s">
        <v>61</v>
      </c>
      <c r="L4804" t="s">
        <v>82</v>
      </c>
    </row>
    <row r="4805" spans="1:13">
      <c r="A4805">
        <v>46043</v>
      </c>
      <c r="B4805" t="s">
        <v>4155</v>
      </c>
      <c r="D4805">
        <v>500</v>
      </c>
      <c r="F4805">
        <v>1</v>
      </c>
      <c r="G4805" t="s">
        <v>22</v>
      </c>
      <c r="H4805" t="s">
        <v>21</v>
      </c>
      <c r="I4805" t="s">
        <v>60</v>
      </c>
      <c r="J4805" t="s">
        <v>61</v>
      </c>
      <c r="L4805" t="s">
        <v>82</v>
      </c>
    </row>
    <row r="4806" spans="1:13">
      <c r="A4806">
        <v>46043</v>
      </c>
      <c r="B4806" t="s">
        <v>4156</v>
      </c>
      <c r="D4806">
        <v>500</v>
      </c>
      <c r="F4806">
        <v>1</v>
      </c>
      <c r="G4806" t="s">
        <v>22</v>
      </c>
      <c r="H4806" t="s">
        <v>21</v>
      </c>
      <c r="I4806" t="s">
        <v>60</v>
      </c>
      <c r="J4806" t="s">
        <v>61</v>
      </c>
      <c r="L4806" t="s">
        <v>82</v>
      </c>
    </row>
    <row r="4807" spans="1:13">
      <c r="A4807">
        <v>46043</v>
      </c>
      <c r="B4807" t="s">
        <v>4157</v>
      </c>
      <c r="F4807">
        <v>1</v>
      </c>
      <c r="G4807" t="s">
        <v>79</v>
      </c>
      <c r="H4807" t="s">
        <v>21</v>
      </c>
      <c r="L4807" t="s">
        <v>82</v>
      </c>
      <c r="M4807" t="s">
        <v>327</v>
      </c>
    </row>
    <row r="4808" spans="1:13">
      <c r="A4808">
        <v>46043</v>
      </c>
      <c r="B4808" t="s">
        <v>4157</v>
      </c>
      <c r="F4808">
        <v>1</v>
      </c>
      <c r="G4808" t="s">
        <v>64</v>
      </c>
      <c r="L4808" t="s">
        <v>82</v>
      </c>
      <c r="M4808" t="s">
        <v>4158</v>
      </c>
    </row>
    <row r="4809" spans="1:13">
      <c r="A4809">
        <v>46043</v>
      </c>
      <c r="B4809" t="s">
        <v>4159</v>
      </c>
      <c r="D4809">
        <v>500</v>
      </c>
      <c r="F4809">
        <v>1</v>
      </c>
      <c r="G4809" t="s">
        <v>22</v>
      </c>
      <c r="H4809" t="s">
        <v>21</v>
      </c>
      <c r="I4809" t="s">
        <v>60</v>
      </c>
      <c r="J4809" t="s">
        <v>61</v>
      </c>
      <c r="L4809" t="s">
        <v>82</v>
      </c>
    </row>
    <row r="4810" spans="1:13">
      <c r="A4810">
        <v>46043</v>
      </c>
      <c r="B4810" t="s">
        <v>4160</v>
      </c>
      <c r="F4810">
        <v>1</v>
      </c>
      <c r="G4810" t="s">
        <v>107</v>
      </c>
      <c r="H4810" t="s">
        <v>21</v>
      </c>
      <c r="L4810" t="s">
        <v>82</v>
      </c>
      <c r="M4810" t="s">
        <v>4161</v>
      </c>
    </row>
    <row r="4811" spans="1:13">
      <c r="A4811">
        <v>46043</v>
      </c>
      <c r="B4811" t="s">
        <v>63</v>
      </c>
      <c r="E4811">
        <v>3000</v>
      </c>
      <c r="F4811">
        <v>1</v>
      </c>
      <c r="G4811" t="s">
        <v>65</v>
      </c>
      <c r="H4811" t="s">
        <v>66</v>
      </c>
      <c r="I4811" t="s">
        <v>60</v>
      </c>
      <c r="J4811" t="s">
        <v>61</v>
      </c>
      <c r="L4811" t="s">
        <v>62</v>
      </c>
      <c r="M4811" t="s">
        <v>3280</v>
      </c>
    </row>
    <row r="4812" spans="1:13">
      <c r="A4812">
        <v>46043</v>
      </c>
      <c r="B4812" t="s">
        <v>63</v>
      </c>
      <c r="E4812">
        <v>200</v>
      </c>
      <c r="F4812">
        <v>1</v>
      </c>
      <c r="G4812" t="s">
        <v>65</v>
      </c>
      <c r="H4812" t="s">
        <v>66</v>
      </c>
      <c r="I4812" t="s">
        <v>60</v>
      </c>
      <c r="J4812" t="s">
        <v>61</v>
      </c>
      <c r="L4812" t="s">
        <v>62</v>
      </c>
      <c r="M4812" t="s">
        <v>392</v>
      </c>
    </row>
    <row r="4813" spans="1:13">
      <c r="A4813">
        <v>46044</v>
      </c>
      <c r="B4813" t="s">
        <v>81</v>
      </c>
      <c r="D4813">
        <v>20000</v>
      </c>
      <c r="F4813">
        <v>1</v>
      </c>
      <c r="G4813" t="s">
        <v>74</v>
      </c>
      <c r="H4813" t="s">
        <v>75</v>
      </c>
      <c r="I4813" t="s">
        <v>60</v>
      </c>
      <c r="J4813" t="s">
        <v>61</v>
      </c>
      <c r="L4813" t="s">
        <v>88</v>
      </c>
    </row>
    <row r="4814" spans="1:13">
      <c r="A4814">
        <v>46044</v>
      </c>
      <c r="B4814" t="s">
        <v>4162</v>
      </c>
      <c r="C4814" t="s">
        <v>4163</v>
      </c>
      <c r="E4814">
        <v>54000</v>
      </c>
      <c r="F4814">
        <v>1</v>
      </c>
      <c r="G4814" t="s">
        <v>65</v>
      </c>
      <c r="H4814" t="s">
        <v>265</v>
      </c>
      <c r="I4814" t="s">
        <v>60</v>
      </c>
      <c r="J4814" t="s">
        <v>61</v>
      </c>
      <c r="L4814" t="s">
        <v>62</v>
      </c>
      <c r="M4814" t="s">
        <v>4164</v>
      </c>
    </row>
    <row r="4815" spans="1:13">
      <c r="A4815">
        <v>46044</v>
      </c>
      <c r="B4815" t="s">
        <v>4165</v>
      </c>
      <c r="F4815">
        <v>1</v>
      </c>
      <c r="G4815" t="s">
        <v>64</v>
      </c>
      <c r="L4815" t="s">
        <v>89</v>
      </c>
      <c r="M4815" t="s">
        <v>96</v>
      </c>
    </row>
    <row r="4816" spans="1:13">
      <c r="A4816">
        <v>46044</v>
      </c>
      <c r="B4816" t="s">
        <v>4166</v>
      </c>
      <c r="F4816">
        <v>1</v>
      </c>
      <c r="G4816" t="s">
        <v>107</v>
      </c>
      <c r="H4816" t="s">
        <v>21</v>
      </c>
      <c r="L4816" t="s">
        <v>89</v>
      </c>
      <c r="M4816" t="s">
        <v>4167</v>
      </c>
    </row>
    <row r="4817" spans="1:13">
      <c r="A4817">
        <v>46044</v>
      </c>
      <c r="B4817" t="s">
        <v>4168</v>
      </c>
      <c r="F4817">
        <v>1</v>
      </c>
      <c r="G4817" t="s">
        <v>22</v>
      </c>
      <c r="H4817" t="s">
        <v>21</v>
      </c>
      <c r="L4817" t="s">
        <v>461</v>
      </c>
      <c r="M4817" t="s">
        <v>941</v>
      </c>
    </row>
    <row r="4818" spans="1:13">
      <c r="A4818">
        <v>46044</v>
      </c>
      <c r="B4818" t="s">
        <v>4169</v>
      </c>
      <c r="F4818">
        <v>1</v>
      </c>
      <c r="G4818" t="s">
        <v>64</v>
      </c>
      <c r="L4818" t="s">
        <v>89</v>
      </c>
      <c r="M4818" t="s">
        <v>1121</v>
      </c>
    </row>
    <row r="4819" spans="1:13">
      <c r="A4819">
        <v>46044</v>
      </c>
      <c r="B4819" t="s">
        <v>4170</v>
      </c>
      <c r="F4819">
        <v>1</v>
      </c>
      <c r="G4819" t="s">
        <v>64</v>
      </c>
      <c r="L4819" t="s">
        <v>89</v>
      </c>
      <c r="M4819" t="s">
        <v>3993</v>
      </c>
    </row>
    <row r="4820" spans="1:13">
      <c r="A4820">
        <v>46044</v>
      </c>
      <c r="B4820" t="s">
        <v>4171</v>
      </c>
      <c r="F4820">
        <v>1</v>
      </c>
      <c r="G4820" t="s">
        <v>64</v>
      </c>
      <c r="L4820" t="s">
        <v>89</v>
      </c>
      <c r="M4820" t="s">
        <v>96</v>
      </c>
    </row>
    <row r="4821" spans="1:13">
      <c r="A4821">
        <v>46044</v>
      </c>
      <c r="B4821" t="s">
        <v>4172</v>
      </c>
      <c r="F4821">
        <v>1</v>
      </c>
      <c r="G4821" t="s">
        <v>64</v>
      </c>
      <c r="L4821" t="s">
        <v>89</v>
      </c>
      <c r="M4821" t="s">
        <v>1121</v>
      </c>
    </row>
    <row r="4822" spans="1:13">
      <c r="A4822">
        <v>46044</v>
      </c>
      <c r="B4822" t="s">
        <v>4173</v>
      </c>
      <c r="F4822">
        <v>1</v>
      </c>
      <c r="G4822" t="s">
        <v>79</v>
      </c>
      <c r="H4822" t="s">
        <v>21</v>
      </c>
      <c r="L4822" t="s">
        <v>89</v>
      </c>
      <c r="M4822" t="s">
        <v>327</v>
      </c>
    </row>
    <row r="4823" spans="1:13">
      <c r="A4823">
        <v>46044</v>
      </c>
      <c r="B4823" t="s">
        <v>4173</v>
      </c>
      <c r="F4823">
        <v>1</v>
      </c>
      <c r="G4823" t="s">
        <v>64</v>
      </c>
      <c r="L4823" t="s">
        <v>89</v>
      </c>
      <c r="M4823" t="s">
        <v>4174</v>
      </c>
    </row>
    <row r="4824" spans="1:13">
      <c r="A4824">
        <v>46044</v>
      </c>
      <c r="B4824" t="s">
        <v>4175</v>
      </c>
      <c r="D4824">
        <v>500</v>
      </c>
      <c r="F4824">
        <v>1</v>
      </c>
      <c r="G4824" t="s">
        <v>22</v>
      </c>
      <c r="H4824" t="s">
        <v>21</v>
      </c>
      <c r="I4824" t="s">
        <v>60</v>
      </c>
      <c r="J4824" t="s">
        <v>61</v>
      </c>
      <c r="L4824" t="s">
        <v>89</v>
      </c>
    </row>
    <row r="4825" spans="1:13">
      <c r="A4825">
        <v>46044</v>
      </c>
      <c r="B4825" t="s">
        <v>63</v>
      </c>
      <c r="D4825">
        <v>20000</v>
      </c>
      <c r="G4825" t="s">
        <v>70</v>
      </c>
      <c r="I4825" t="s">
        <v>60</v>
      </c>
      <c r="J4825" t="s">
        <v>61</v>
      </c>
      <c r="L4825" t="s">
        <v>62</v>
      </c>
    </row>
    <row r="4826" spans="1:13">
      <c r="A4826">
        <v>46044</v>
      </c>
      <c r="B4826" t="s">
        <v>63</v>
      </c>
      <c r="E4826">
        <v>500</v>
      </c>
      <c r="F4826">
        <v>1</v>
      </c>
      <c r="G4826" t="s">
        <v>65</v>
      </c>
      <c r="H4826" t="s">
        <v>66</v>
      </c>
      <c r="I4826" t="s">
        <v>60</v>
      </c>
      <c r="J4826" t="s">
        <v>61</v>
      </c>
      <c r="L4826" t="s">
        <v>62</v>
      </c>
      <c r="M4826" t="s">
        <v>3280</v>
      </c>
    </row>
    <row r="4827" spans="1:13">
      <c r="A4827">
        <v>46044</v>
      </c>
      <c r="B4827" t="s">
        <v>4176</v>
      </c>
      <c r="F4827">
        <v>1</v>
      </c>
      <c r="G4827" t="s">
        <v>0</v>
      </c>
      <c r="L4827" t="s">
        <v>86</v>
      </c>
      <c r="M4827" t="s">
        <v>3952</v>
      </c>
    </row>
    <row r="4828" spans="1:13">
      <c r="A4828">
        <v>46045</v>
      </c>
      <c r="B4828" t="s">
        <v>81</v>
      </c>
      <c r="D4828">
        <v>35000</v>
      </c>
      <c r="F4828">
        <v>1</v>
      </c>
      <c r="G4828" t="s">
        <v>74</v>
      </c>
      <c r="H4828" t="s">
        <v>75</v>
      </c>
      <c r="I4828" t="s">
        <v>60</v>
      </c>
      <c r="J4828" t="s">
        <v>61</v>
      </c>
      <c r="L4828" t="s">
        <v>88</v>
      </c>
    </row>
    <row r="4829" spans="1:13">
      <c r="A4829">
        <v>46045</v>
      </c>
      <c r="B4829" t="s">
        <v>63</v>
      </c>
      <c r="D4829">
        <v>300</v>
      </c>
      <c r="F4829">
        <v>3</v>
      </c>
      <c r="G4829" t="s">
        <v>22</v>
      </c>
      <c r="H4829" t="s">
        <v>93</v>
      </c>
      <c r="I4829" t="s">
        <v>60</v>
      </c>
      <c r="J4829" t="s">
        <v>61</v>
      </c>
      <c r="L4829" t="s">
        <v>62</v>
      </c>
    </row>
    <row r="4830" spans="1:13">
      <c r="A4830">
        <v>46045</v>
      </c>
      <c r="B4830" t="s">
        <v>4177</v>
      </c>
      <c r="D4830">
        <v>500</v>
      </c>
      <c r="F4830">
        <v>1</v>
      </c>
      <c r="G4830" t="s">
        <v>22</v>
      </c>
      <c r="H4830" t="s">
        <v>21</v>
      </c>
      <c r="I4830" t="s">
        <v>60</v>
      </c>
      <c r="J4830" t="s">
        <v>61</v>
      </c>
      <c r="L4830" t="s">
        <v>82</v>
      </c>
    </row>
    <row r="4831" spans="1:13">
      <c r="A4831">
        <v>46045</v>
      </c>
      <c r="B4831" t="s">
        <v>76</v>
      </c>
      <c r="D4831">
        <v>20200</v>
      </c>
      <c r="G4831" t="s">
        <v>77</v>
      </c>
      <c r="I4831" t="s">
        <v>60</v>
      </c>
      <c r="J4831" t="s">
        <v>61</v>
      </c>
      <c r="L4831" t="s">
        <v>62</v>
      </c>
    </row>
    <row r="4832" spans="1:13">
      <c r="A4832">
        <v>46045</v>
      </c>
      <c r="B4832" t="s">
        <v>4178</v>
      </c>
      <c r="D4832">
        <v>500</v>
      </c>
      <c r="F4832">
        <v>1</v>
      </c>
      <c r="G4832" t="s">
        <v>22</v>
      </c>
      <c r="H4832" t="s">
        <v>21</v>
      </c>
      <c r="I4832" t="s">
        <v>60</v>
      </c>
      <c r="J4832" t="s">
        <v>61</v>
      </c>
      <c r="L4832" t="s">
        <v>89</v>
      </c>
    </row>
    <row r="4833" spans="1:13">
      <c r="A4833">
        <v>46045</v>
      </c>
      <c r="B4833" t="s">
        <v>4179</v>
      </c>
      <c r="D4833">
        <v>500</v>
      </c>
      <c r="F4833">
        <v>1</v>
      </c>
      <c r="G4833" t="s">
        <v>22</v>
      </c>
      <c r="H4833" t="s">
        <v>21</v>
      </c>
      <c r="I4833" t="s">
        <v>60</v>
      </c>
      <c r="J4833" t="s">
        <v>61</v>
      </c>
      <c r="L4833" t="s">
        <v>89</v>
      </c>
    </row>
    <row r="4834" spans="1:13">
      <c r="A4834">
        <v>46045</v>
      </c>
      <c r="B4834" t="s">
        <v>4180</v>
      </c>
      <c r="F4834">
        <v>1</v>
      </c>
      <c r="G4834" t="s">
        <v>564</v>
      </c>
      <c r="H4834" t="s">
        <v>21</v>
      </c>
      <c r="L4834" t="s">
        <v>89</v>
      </c>
      <c r="M4834" t="s">
        <v>327</v>
      </c>
    </row>
    <row r="4835" spans="1:13">
      <c r="A4835">
        <v>46045</v>
      </c>
      <c r="B4835" t="s">
        <v>63</v>
      </c>
      <c r="E4835">
        <v>1500</v>
      </c>
      <c r="F4835">
        <v>1</v>
      </c>
      <c r="G4835" t="s">
        <v>65</v>
      </c>
      <c r="H4835" t="s">
        <v>66</v>
      </c>
      <c r="I4835" t="s">
        <v>60</v>
      </c>
      <c r="J4835" t="s">
        <v>61</v>
      </c>
      <c r="L4835" t="s">
        <v>62</v>
      </c>
      <c r="M4835" t="s">
        <v>3280</v>
      </c>
    </row>
    <row r="4836" spans="1:13">
      <c r="A4836">
        <v>46045</v>
      </c>
      <c r="B4836" t="s">
        <v>63</v>
      </c>
      <c r="E4836">
        <v>300</v>
      </c>
      <c r="F4836">
        <v>1</v>
      </c>
      <c r="G4836" t="s">
        <v>65</v>
      </c>
      <c r="H4836" t="s">
        <v>66</v>
      </c>
      <c r="I4836" t="s">
        <v>60</v>
      </c>
      <c r="J4836" t="s">
        <v>61</v>
      </c>
      <c r="L4836" t="s">
        <v>62</v>
      </c>
      <c r="M4836" t="s">
        <v>392</v>
      </c>
    </row>
    <row r="4837" spans="1:13">
      <c r="A4837">
        <v>46046</v>
      </c>
      <c r="B4837" t="s">
        <v>4181</v>
      </c>
      <c r="D4837">
        <v>500</v>
      </c>
      <c r="F4837">
        <v>1</v>
      </c>
      <c r="G4837" t="s">
        <v>22</v>
      </c>
      <c r="H4837" t="s">
        <v>21</v>
      </c>
      <c r="I4837" t="s">
        <v>60</v>
      </c>
      <c r="J4837" t="s">
        <v>61</v>
      </c>
      <c r="L4837" t="s">
        <v>89</v>
      </c>
    </row>
    <row r="4838" spans="1:13">
      <c r="A4838">
        <v>46046</v>
      </c>
      <c r="B4838" t="s">
        <v>4182</v>
      </c>
      <c r="D4838">
        <v>500</v>
      </c>
      <c r="F4838">
        <v>1</v>
      </c>
      <c r="G4838" t="s">
        <v>22</v>
      </c>
      <c r="H4838" t="s">
        <v>21</v>
      </c>
      <c r="I4838" t="s">
        <v>60</v>
      </c>
      <c r="J4838" t="s">
        <v>61</v>
      </c>
      <c r="L4838" t="s">
        <v>89</v>
      </c>
    </row>
    <row r="4839" spans="1:13">
      <c r="A4839">
        <v>46046</v>
      </c>
      <c r="B4839" t="s">
        <v>4183</v>
      </c>
      <c r="D4839">
        <v>500</v>
      </c>
      <c r="F4839">
        <v>1</v>
      </c>
      <c r="G4839" t="s">
        <v>22</v>
      </c>
      <c r="H4839" t="s">
        <v>21</v>
      </c>
      <c r="I4839" t="s">
        <v>60</v>
      </c>
      <c r="J4839" t="s">
        <v>61</v>
      </c>
      <c r="L4839" t="s">
        <v>89</v>
      </c>
    </row>
    <row r="4840" spans="1:13">
      <c r="A4840">
        <v>46046</v>
      </c>
      <c r="B4840" t="s">
        <v>196</v>
      </c>
      <c r="E4840">
        <v>8000</v>
      </c>
      <c r="F4840">
        <v>1</v>
      </c>
      <c r="G4840" t="s">
        <v>65</v>
      </c>
      <c r="H4840" t="s">
        <v>560</v>
      </c>
      <c r="I4840" t="s">
        <v>60</v>
      </c>
      <c r="J4840" t="s">
        <v>61</v>
      </c>
      <c r="L4840" t="s">
        <v>62</v>
      </c>
    </row>
    <row r="4841" spans="1:13">
      <c r="A4841">
        <v>46046</v>
      </c>
      <c r="B4841" t="s">
        <v>562</v>
      </c>
      <c r="D4841">
        <v>2000</v>
      </c>
      <c r="G4841" t="s">
        <v>77</v>
      </c>
      <c r="I4841" t="s">
        <v>60</v>
      </c>
      <c r="J4841" t="s">
        <v>61</v>
      </c>
      <c r="L4841" t="s">
        <v>62</v>
      </c>
    </row>
    <row r="4842" spans="1:13">
      <c r="A4842">
        <v>46046</v>
      </c>
      <c r="B4842" t="s">
        <v>4184</v>
      </c>
      <c r="D4842">
        <v>500</v>
      </c>
      <c r="F4842">
        <v>1</v>
      </c>
      <c r="G4842" t="s">
        <v>22</v>
      </c>
      <c r="H4842" t="s">
        <v>21</v>
      </c>
      <c r="I4842" t="s">
        <v>60</v>
      </c>
      <c r="J4842" t="s">
        <v>61</v>
      </c>
      <c r="L4842" t="s">
        <v>89</v>
      </c>
    </row>
    <row r="4843" spans="1:13">
      <c r="A4843">
        <v>46046</v>
      </c>
      <c r="B4843" t="s">
        <v>4185</v>
      </c>
      <c r="F4843">
        <v>1</v>
      </c>
      <c r="G4843" t="s">
        <v>2490</v>
      </c>
      <c r="L4843" t="s">
        <v>89</v>
      </c>
      <c r="M4843" t="s">
        <v>2993</v>
      </c>
    </row>
    <row r="4844" spans="1:13">
      <c r="A4844">
        <v>46046</v>
      </c>
      <c r="B4844" t="s">
        <v>4186</v>
      </c>
      <c r="D4844">
        <v>500</v>
      </c>
      <c r="F4844">
        <v>1</v>
      </c>
      <c r="G4844" t="s">
        <v>22</v>
      </c>
      <c r="H4844" t="s">
        <v>21</v>
      </c>
      <c r="I4844" t="s">
        <v>60</v>
      </c>
      <c r="J4844" t="s">
        <v>61</v>
      </c>
      <c r="L4844" t="s">
        <v>89</v>
      </c>
    </row>
    <row r="4845" spans="1:13">
      <c r="A4845">
        <v>46046</v>
      </c>
      <c r="B4845" t="s">
        <v>63</v>
      </c>
      <c r="E4845">
        <v>2500</v>
      </c>
      <c r="F4845">
        <v>1</v>
      </c>
      <c r="G4845" t="s">
        <v>65</v>
      </c>
      <c r="H4845" t="s">
        <v>66</v>
      </c>
      <c r="I4845" t="s">
        <v>60</v>
      </c>
      <c r="J4845" t="s">
        <v>61</v>
      </c>
      <c r="L4845" t="s">
        <v>62</v>
      </c>
      <c r="M4845" t="s">
        <v>3280</v>
      </c>
    </row>
    <row r="4846" spans="1:13">
      <c r="A4846">
        <v>46047</v>
      </c>
      <c r="B4846" t="s">
        <v>4187</v>
      </c>
      <c r="D4846">
        <v>500</v>
      </c>
      <c r="F4846">
        <v>1</v>
      </c>
      <c r="G4846" t="s">
        <v>22</v>
      </c>
      <c r="H4846" t="s">
        <v>21</v>
      </c>
      <c r="I4846" t="s">
        <v>60</v>
      </c>
      <c r="J4846" t="s">
        <v>61</v>
      </c>
      <c r="L4846" t="s">
        <v>82</v>
      </c>
    </row>
    <row r="4847" spans="1:13">
      <c r="A4847">
        <v>46047</v>
      </c>
      <c r="B4847" t="s">
        <v>4188</v>
      </c>
      <c r="F4847">
        <v>1</v>
      </c>
      <c r="G4847" t="s">
        <v>319</v>
      </c>
      <c r="H4847" t="s">
        <v>21</v>
      </c>
      <c r="L4847" t="s">
        <v>82</v>
      </c>
      <c r="M4847" t="s">
        <v>4189</v>
      </c>
    </row>
    <row r="4848" spans="1:13">
      <c r="A4848">
        <v>46047</v>
      </c>
      <c r="B4848" t="s">
        <v>4190</v>
      </c>
      <c r="F4848">
        <v>1</v>
      </c>
      <c r="G4848" t="s">
        <v>79</v>
      </c>
      <c r="H4848" t="s">
        <v>21</v>
      </c>
      <c r="L4848" t="s">
        <v>82</v>
      </c>
      <c r="M4848" t="s">
        <v>327</v>
      </c>
    </row>
    <row r="4849" spans="1:13">
      <c r="A4849">
        <v>46047</v>
      </c>
      <c r="B4849" t="s">
        <v>4191</v>
      </c>
      <c r="F4849">
        <v>1</v>
      </c>
      <c r="G4849" t="s">
        <v>64</v>
      </c>
      <c r="L4849" t="s">
        <v>82</v>
      </c>
      <c r="M4849" t="s">
        <v>1121</v>
      </c>
    </row>
    <row r="4850" spans="1:13">
      <c r="A4850">
        <v>46047</v>
      </c>
      <c r="B4850" t="s">
        <v>4192</v>
      </c>
      <c r="F4850">
        <v>1</v>
      </c>
      <c r="G4850" t="s">
        <v>64</v>
      </c>
      <c r="L4850" t="s">
        <v>82</v>
      </c>
      <c r="M4850" t="s">
        <v>1121</v>
      </c>
    </row>
    <row r="4851" spans="1:13">
      <c r="A4851">
        <v>46047</v>
      </c>
      <c r="B4851" t="s">
        <v>63</v>
      </c>
      <c r="D4851">
        <v>19500</v>
      </c>
      <c r="G4851" t="s">
        <v>70</v>
      </c>
      <c r="I4851" t="s">
        <v>60</v>
      </c>
      <c r="J4851" t="s">
        <v>61</v>
      </c>
      <c r="L4851" t="s">
        <v>62</v>
      </c>
    </row>
    <row r="4852" spans="1:13">
      <c r="A4852">
        <v>46047</v>
      </c>
      <c r="B4852" t="s">
        <v>63</v>
      </c>
      <c r="D4852">
        <v>16000</v>
      </c>
      <c r="F4852">
        <v>3</v>
      </c>
      <c r="G4852" t="s">
        <v>70</v>
      </c>
      <c r="I4852" t="s">
        <v>71</v>
      </c>
      <c r="J4852" t="s">
        <v>72</v>
      </c>
      <c r="K4852" t="s">
        <v>4193</v>
      </c>
      <c r="L4852" t="s">
        <v>62</v>
      </c>
      <c r="M4852" t="s">
        <v>90</v>
      </c>
    </row>
    <row r="4853" spans="1:13">
      <c r="A4853">
        <v>46047</v>
      </c>
      <c r="B4853" t="s">
        <v>4194</v>
      </c>
      <c r="F4853">
        <v>1</v>
      </c>
      <c r="G4853" t="s">
        <v>64</v>
      </c>
      <c r="L4853" t="s">
        <v>82</v>
      </c>
      <c r="M4853" t="s">
        <v>96</v>
      </c>
    </row>
    <row r="4854" spans="1:13">
      <c r="A4854">
        <v>46047</v>
      </c>
      <c r="B4854" t="s">
        <v>63</v>
      </c>
      <c r="E4854">
        <v>500</v>
      </c>
      <c r="F4854">
        <v>1</v>
      </c>
      <c r="G4854" t="s">
        <v>65</v>
      </c>
      <c r="H4854" t="s">
        <v>66</v>
      </c>
      <c r="I4854" t="s">
        <v>60</v>
      </c>
      <c r="J4854" t="s">
        <v>61</v>
      </c>
      <c r="L4854" t="s">
        <v>62</v>
      </c>
      <c r="M4854" t="s">
        <v>3280</v>
      </c>
    </row>
    <row r="4855" spans="1:13">
      <c r="A4855">
        <v>46048</v>
      </c>
      <c r="B4855" t="s">
        <v>81</v>
      </c>
      <c r="D4855">
        <v>36600</v>
      </c>
      <c r="F4855">
        <v>1</v>
      </c>
      <c r="G4855" t="s">
        <v>74</v>
      </c>
      <c r="H4855" t="s">
        <v>75</v>
      </c>
      <c r="I4855" t="s">
        <v>60</v>
      </c>
      <c r="J4855" t="s">
        <v>61</v>
      </c>
      <c r="L4855" t="s">
        <v>88</v>
      </c>
    </row>
    <row r="4856" spans="1:13">
      <c r="A4856">
        <v>46048</v>
      </c>
      <c r="B4856" t="s">
        <v>4195</v>
      </c>
      <c r="D4856">
        <v>500</v>
      </c>
      <c r="F4856">
        <v>1</v>
      </c>
      <c r="G4856" t="s">
        <v>22</v>
      </c>
      <c r="H4856" t="s">
        <v>21</v>
      </c>
      <c r="I4856" t="s">
        <v>60</v>
      </c>
      <c r="J4856" t="s">
        <v>61</v>
      </c>
      <c r="L4856" t="s">
        <v>82</v>
      </c>
    </row>
    <row r="4857" spans="1:13">
      <c r="A4857">
        <v>46048</v>
      </c>
      <c r="B4857" t="s">
        <v>4196</v>
      </c>
      <c r="D4857">
        <v>500</v>
      </c>
      <c r="F4857">
        <v>1</v>
      </c>
      <c r="G4857" t="s">
        <v>22</v>
      </c>
      <c r="H4857" t="s">
        <v>21</v>
      </c>
      <c r="I4857" t="s">
        <v>60</v>
      </c>
      <c r="J4857" t="s">
        <v>61</v>
      </c>
      <c r="L4857" t="s">
        <v>82</v>
      </c>
    </row>
    <row r="4858" spans="1:13">
      <c r="A4858">
        <v>46048</v>
      </c>
      <c r="B4858" t="s">
        <v>4196</v>
      </c>
      <c r="F4858">
        <v>1</v>
      </c>
      <c r="G4858" t="s">
        <v>64</v>
      </c>
      <c r="L4858" t="s">
        <v>82</v>
      </c>
      <c r="M4858" t="s">
        <v>96</v>
      </c>
    </row>
    <row r="4859" spans="1:13">
      <c r="A4859">
        <v>46048</v>
      </c>
      <c r="B4859" t="s">
        <v>4197</v>
      </c>
      <c r="F4859">
        <v>1</v>
      </c>
      <c r="G4859" t="s">
        <v>64</v>
      </c>
      <c r="L4859" t="s">
        <v>82</v>
      </c>
      <c r="M4859" t="s">
        <v>96</v>
      </c>
    </row>
    <row r="4860" spans="1:13">
      <c r="A4860">
        <v>46048</v>
      </c>
      <c r="B4860" t="s">
        <v>63</v>
      </c>
      <c r="D4860">
        <v>18500</v>
      </c>
      <c r="G4860" t="s">
        <v>70</v>
      </c>
      <c r="I4860" t="s">
        <v>60</v>
      </c>
      <c r="J4860" t="s">
        <v>61</v>
      </c>
      <c r="L4860" t="s">
        <v>62</v>
      </c>
    </row>
    <row r="4861" spans="1:13">
      <c r="A4861">
        <v>46048</v>
      </c>
      <c r="B4861" t="s">
        <v>3553</v>
      </c>
      <c r="D4861">
        <v>500</v>
      </c>
      <c r="F4861">
        <v>0</v>
      </c>
      <c r="G4861" t="s">
        <v>22</v>
      </c>
      <c r="H4861" t="s">
        <v>21</v>
      </c>
      <c r="I4861" t="s">
        <v>60</v>
      </c>
      <c r="J4861" t="s">
        <v>61</v>
      </c>
      <c r="L4861" t="s">
        <v>82</v>
      </c>
      <c r="M4861" t="s">
        <v>83</v>
      </c>
    </row>
    <row r="4862" spans="1:13">
      <c r="A4862">
        <v>46048</v>
      </c>
      <c r="B4862" t="s">
        <v>84</v>
      </c>
      <c r="D4862">
        <v>-52000</v>
      </c>
      <c r="G4862" t="s">
        <v>77</v>
      </c>
      <c r="I4862" t="s">
        <v>60</v>
      </c>
      <c r="J4862" t="s">
        <v>61</v>
      </c>
      <c r="L4862" t="s">
        <v>62</v>
      </c>
    </row>
    <row r="4863" spans="1:13">
      <c r="A4863">
        <v>46048</v>
      </c>
      <c r="B4863" t="s">
        <v>84</v>
      </c>
      <c r="E4863">
        <v>-2750</v>
      </c>
      <c r="G4863" t="s">
        <v>65</v>
      </c>
      <c r="H4863" t="s">
        <v>85</v>
      </c>
      <c r="I4863" t="s">
        <v>60</v>
      </c>
      <c r="J4863" t="s">
        <v>61</v>
      </c>
      <c r="L4863" t="s">
        <v>62</v>
      </c>
    </row>
    <row r="4864" spans="1:13">
      <c r="A4864">
        <v>46048</v>
      </c>
      <c r="B4864" t="s">
        <v>4198</v>
      </c>
      <c r="F4864">
        <v>1</v>
      </c>
      <c r="G4864" t="s">
        <v>79</v>
      </c>
      <c r="H4864" t="s">
        <v>21</v>
      </c>
      <c r="L4864" t="s">
        <v>89</v>
      </c>
      <c r="M4864" t="s">
        <v>327</v>
      </c>
    </row>
    <row r="4865" spans="1:13">
      <c r="A4865">
        <v>46048</v>
      </c>
      <c r="B4865" t="s">
        <v>4199</v>
      </c>
      <c r="D4865">
        <v>500</v>
      </c>
      <c r="F4865">
        <v>1</v>
      </c>
      <c r="G4865" t="s">
        <v>22</v>
      </c>
      <c r="H4865" t="s">
        <v>21</v>
      </c>
      <c r="I4865" t="s">
        <v>60</v>
      </c>
      <c r="J4865" t="s">
        <v>61</v>
      </c>
      <c r="L4865" t="s">
        <v>89</v>
      </c>
    </row>
    <row r="4866" spans="1:13">
      <c r="A4866">
        <v>46048</v>
      </c>
      <c r="B4866" t="s">
        <v>63</v>
      </c>
      <c r="E4866">
        <v>2000</v>
      </c>
      <c r="F4866">
        <v>1</v>
      </c>
      <c r="G4866" t="s">
        <v>65</v>
      </c>
      <c r="H4866" t="s">
        <v>66</v>
      </c>
      <c r="I4866" t="s">
        <v>60</v>
      </c>
      <c r="J4866" t="s">
        <v>61</v>
      </c>
      <c r="L4866" t="s">
        <v>62</v>
      </c>
      <c r="M4866" t="s">
        <v>3280</v>
      </c>
    </row>
    <row r="4867" spans="1:13">
      <c r="A4867">
        <v>46048</v>
      </c>
      <c r="B4867" t="s">
        <v>4200</v>
      </c>
      <c r="F4867">
        <v>1</v>
      </c>
      <c r="G4867" t="s">
        <v>0</v>
      </c>
      <c r="L4867" t="s">
        <v>89</v>
      </c>
      <c r="M4867" t="s">
        <v>3952</v>
      </c>
    </row>
    <row r="4868" spans="1:13">
      <c r="A4868">
        <v>46049</v>
      </c>
      <c r="B4868" t="s">
        <v>4201</v>
      </c>
      <c r="D4868">
        <v>500</v>
      </c>
      <c r="F4868">
        <v>0</v>
      </c>
      <c r="G4868" t="s">
        <v>22</v>
      </c>
      <c r="H4868" t="s">
        <v>21</v>
      </c>
      <c r="I4868" t="s">
        <v>60</v>
      </c>
      <c r="J4868" t="s">
        <v>61</v>
      </c>
      <c r="L4868" t="s">
        <v>89</v>
      </c>
      <c r="M4868" t="s">
        <v>83</v>
      </c>
    </row>
    <row r="4869" spans="1:13">
      <c r="A4869">
        <v>46049</v>
      </c>
      <c r="B4869" t="s">
        <v>4202</v>
      </c>
      <c r="F4869">
        <v>1</v>
      </c>
      <c r="G4869" t="s">
        <v>79</v>
      </c>
      <c r="H4869" t="s">
        <v>21</v>
      </c>
      <c r="L4869" t="s">
        <v>89</v>
      </c>
      <c r="M4869" t="s">
        <v>327</v>
      </c>
    </row>
    <row r="4870" spans="1:13">
      <c r="A4870">
        <v>46049</v>
      </c>
      <c r="B4870" t="s">
        <v>4202</v>
      </c>
      <c r="D4870">
        <v>500</v>
      </c>
      <c r="F4870">
        <v>0</v>
      </c>
      <c r="G4870" t="s">
        <v>22</v>
      </c>
      <c r="H4870" t="s">
        <v>21</v>
      </c>
      <c r="I4870" t="s">
        <v>60</v>
      </c>
      <c r="J4870" t="s">
        <v>61</v>
      </c>
      <c r="L4870" t="s">
        <v>89</v>
      </c>
      <c r="M4870" t="s">
        <v>83</v>
      </c>
    </row>
    <row r="4871" spans="1:13">
      <c r="A4871">
        <v>46049</v>
      </c>
      <c r="B4871" t="s">
        <v>4203</v>
      </c>
      <c r="F4871">
        <v>1</v>
      </c>
      <c r="G4871" t="s">
        <v>64</v>
      </c>
      <c r="L4871" t="s">
        <v>89</v>
      </c>
      <c r="M4871" t="s">
        <v>96</v>
      </c>
    </row>
    <row r="4872" spans="1:13">
      <c r="A4872">
        <v>46049</v>
      </c>
      <c r="B4872" t="s">
        <v>4204</v>
      </c>
      <c r="D4872">
        <v>500</v>
      </c>
      <c r="F4872">
        <v>1</v>
      </c>
      <c r="G4872" t="s">
        <v>22</v>
      </c>
      <c r="H4872" t="s">
        <v>21</v>
      </c>
      <c r="I4872" t="s">
        <v>60</v>
      </c>
      <c r="J4872" t="s">
        <v>61</v>
      </c>
      <c r="L4872" t="s">
        <v>82</v>
      </c>
    </row>
    <row r="4873" spans="1:13">
      <c r="A4873">
        <v>46049</v>
      </c>
      <c r="B4873" t="s">
        <v>4205</v>
      </c>
      <c r="F4873">
        <v>1</v>
      </c>
      <c r="G4873" t="s">
        <v>64</v>
      </c>
      <c r="L4873" t="s">
        <v>82</v>
      </c>
      <c r="M4873" t="s">
        <v>4206</v>
      </c>
    </row>
    <row r="4874" spans="1:13">
      <c r="A4874">
        <v>46049</v>
      </c>
      <c r="B4874" t="s">
        <v>4207</v>
      </c>
      <c r="F4874">
        <v>1</v>
      </c>
      <c r="G4874" t="s">
        <v>590</v>
      </c>
      <c r="H4874" t="s">
        <v>21</v>
      </c>
      <c r="L4874" t="s">
        <v>82</v>
      </c>
      <c r="M4874" t="s">
        <v>4208</v>
      </c>
    </row>
    <row r="4875" spans="1:13">
      <c r="A4875">
        <v>46049</v>
      </c>
      <c r="B4875" t="s">
        <v>63</v>
      </c>
      <c r="D4875">
        <v>100</v>
      </c>
      <c r="F4875">
        <v>1</v>
      </c>
      <c r="G4875" t="s">
        <v>22</v>
      </c>
      <c r="H4875" t="s">
        <v>93</v>
      </c>
      <c r="I4875" t="s">
        <v>60</v>
      </c>
      <c r="J4875" t="s">
        <v>61</v>
      </c>
      <c r="L4875" t="s">
        <v>62</v>
      </c>
    </row>
    <row r="4876" spans="1:13">
      <c r="A4876">
        <v>46049</v>
      </c>
      <c r="B4876" t="s">
        <v>76</v>
      </c>
      <c r="D4876">
        <v>3000</v>
      </c>
      <c r="G4876" t="s">
        <v>77</v>
      </c>
      <c r="I4876" t="s">
        <v>60</v>
      </c>
      <c r="J4876" t="s">
        <v>61</v>
      </c>
      <c r="L4876" t="s">
        <v>62</v>
      </c>
    </row>
    <row r="4877" spans="1:13">
      <c r="A4877">
        <v>46049</v>
      </c>
      <c r="B4877" t="s">
        <v>63</v>
      </c>
      <c r="D4877">
        <v>34000</v>
      </c>
      <c r="F4877">
        <v>3</v>
      </c>
      <c r="G4877" t="s">
        <v>70</v>
      </c>
      <c r="I4877" t="s">
        <v>71</v>
      </c>
      <c r="J4877" t="s">
        <v>72</v>
      </c>
      <c r="K4877" t="s">
        <v>4209</v>
      </c>
      <c r="L4877" t="s">
        <v>62</v>
      </c>
      <c r="M4877" t="s">
        <v>90</v>
      </c>
    </row>
    <row r="4878" spans="1:13">
      <c r="A4878">
        <v>46049</v>
      </c>
      <c r="B4878" t="s">
        <v>4210</v>
      </c>
      <c r="F4878">
        <v>1</v>
      </c>
      <c r="G4878" t="s">
        <v>64</v>
      </c>
      <c r="L4878" t="s">
        <v>82</v>
      </c>
      <c r="M4878" t="s">
        <v>4211</v>
      </c>
    </row>
    <row r="4879" spans="1:13">
      <c r="A4879">
        <v>46049</v>
      </c>
      <c r="B4879" t="s">
        <v>63</v>
      </c>
      <c r="E4879">
        <v>1500</v>
      </c>
      <c r="F4879">
        <v>1</v>
      </c>
      <c r="G4879" t="s">
        <v>65</v>
      </c>
      <c r="H4879" t="s">
        <v>66</v>
      </c>
      <c r="I4879" t="s">
        <v>60</v>
      </c>
      <c r="J4879" t="s">
        <v>61</v>
      </c>
      <c r="L4879" t="s">
        <v>62</v>
      </c>
      <c r="M4879" t="s">
        <v>3280</v>
      </c>
    </row>
    <row r="4880" spans="1:13">
      <c r="A4880">
        <v>46049</v>
      </c>
      <c r="B4880" t="s">
        <v>63</v>
      </c>
      <c r="E4880">
        <v>100</v>
      </c>
      <c r="F4880">
        <v>1</v>
      </c>
      <c r="G4880" t="s">
        <v>65</v>
      </c>
      <c r="H4880" t="s">
        <v>66</v>
      </c>
      <c r="I4880" t="s">
        <v>60</v>
      </c>
      <c r="J4880" t="s">
        <v>61</v>
      </c>
      <c r="L4880" t="s">
        <v>62</v>
      </c>
      <c r="M4880" t="s">
        <v>392</v>
      </c>
    </row>
    <row r="4881" spans="1:13">
      <c r="A4881">
        <v>46050</v>
      </c>
      <c r="B4881" t="s">
        <v>4212</v>
      </c>
      <c r="D4881">
        <v>500</v>
      </c>
      <c r="F4881">
        <v>1</v>
      </c>
      <c r="G4881" t="s">
        <v>22</v>
      </c>
      <c r="H4881" t="s">
        <v>21</v>
      </c>
      <c r="I4881" t="s">
        <v>60</v>
      </c>
      <c r="J4881" t="s">
        <v>61</v>
      </c>
      <c r="L4881" t="s">
        <v>82</v>
      </c>
    </row>
    <row r="4882" spans="1:13">
      <c r="A4882">
        <v>46050</v>
      </c>
      <c r="B4882" t="s">
        <v>4213</v>
      </c>
      <c r="D4882">
        <v>500</v>
      </c>
      <c r="F4882">
        <v>1</v>
      </c>
      <c r="G4882" t="s">
        <v>22</v>
      </c>
      <c r="H4882" t="s">
        <v>21</v>
      </c>
      <c r="I4882" t="s">
        <v>60</v>
      </c>
      <c r="J4882" t="s">
        <v>61</v>
      </c>
      <c r="L4882" t="s">
        <v>82</v>
      </c>
    </row>
    <row r="4883" spans="1:13">
      <c r="A4883">
        <v>46050</v>
      </c>
      <c r="B4883" t="s">
        <v>4214</v>
      </c>
      <c r="D4883">
        <v>500</v>
      </c>
      <c r="F4883">
        <v>1</v>
      </c>
      <c r="G4883" t="s">
        <v>22</v>
      </c>
      <c r="H4883" t="s">
        <v>21</v>
      </c>
      <c r="I4883" t="s">
        <v>60</v>
      </c>
      <c r="J4883" t="s">
        <v>61</v>
      </c>
      <c r="L4883" t="s">
        <v>82</v>
      </c>
    </row>
    <row r="4884" spans="1:13">
      <c r="A4884">
        <v>46050</v>
      </c>
      <c r="B4884" t="s">
        <v>4215</v>
      </c>
      <c r="F4884">
        <v>1</v>
      </c>
      <c r="G4884" t="s">
        <v>64</v>
      </c>
      <c r="L4884" t="s">
        <v>82</v>
      </c>
      <c r="M4884" t="s">
        <v>96</v>
      </c>
    </row>
    <row r="4885" spans="1:13">
      <c r="A4885">
        <v>46050</v>
      </c>
      <c r="B4885" t="s">
        <v>4216</v>
      </c>
      <c r="D4885">
        <v>500</v>
      </c>
      <c r="F4885">
        <v>1</v>
      </c>
      <c r="G4885" t="s">
        <v>22</v>
      </c>
      <c r="H4885" t="s">
        <v>21</v>
      </c>
      <c r="I4885" t="s">
        <v>60</v>
      </c>
      <c r="J4885" t="s">
        <v>61</v>
      </c>
      <c r="L4885" t="s">
        <v>82</v>
      </c>
    </row>
    <row r="4886" spans="1:13">
      <c r="A4886">
        <v>46050</v>
      </c>
      <c r="B4886" t="s">
        <v>4216</v>
      </c>
      <c r="F4886">
        <v>1</v>
      </c>
      <c r="G4886" t="s">
        <v>64</v>
      </c>
      <c r="L4886" t="s">
        <v>82</v>
      </c>
      <c r="M4886" t="s">
        <v>96</v>
      </c>
    </row>
    <row r="4887" spans="1:13">
      <c r="A4887">
        <v>46050</v>
      </c>
      <c r="B4887" t="s">
        <v>4217</v>
      </c>
      <c r="D4887">
        <v>500</v>
      </c>
      <c r="F4887">
        <v>1</v>
      </c>
      <c r="G4887" t="s">
        <v>22</v>
      </c>
      <c r="H4887" t="s">
        <v>21</v>
      </c>
      <c r="I4887" t="s">
        <v>60</v>
      </c>
      <c r="J4887" t="s">
        <v>61</v>
      </c>
      <c r="L4887" t="s">
        <v>82</v>
      </c>
    </row>
    <row r="4888" spans="1:13">
      <c r="A4888">
        <v>46050</v>
      </c>
      <c r="B4888" t="s">
        <v>4218</v>
      </c>
      <c r="D4888">
        <v>500</v>
      </c>
      <c r="F4888">
        <v>1</v>
      </c>
      <c r="G4888" t="s">
        <v>22</v>
      </c>
      <c r="H4888" t="s">
        <v>21</v>
      </c>
      <c r="I4888" t="s">
        <v>60</v>
      </c>
      <c r="J4888" t="s">
        <v>61</v>
      </c>
      <c r="L4888" t="s">
        <v>82</v>
      </c>
    </row>
    <row r="4889" spans="1:13">
      <c r="A4889">
        <v>46050</v>
      </c>
      <c r="B4889" t="s">
        <v>4219</v>
      </c>
      <c r="F4889">
        <v>1</v>
      </c>
      <c r="G4889" t="s">
        <v>64</v>
      </c>
      <c r="L4889" t="s">
        <v>82</v>
      </c>
      <c r="M4889" t="s">
        <v>4220</v>
      </c>
    </row>
    <row r="4890" spans="1:13">
      <c r="A4890">
        <v>46050</v>
      </c>
      <c r="B4890" t="s">
        <v>63</v>
      </c>
      <c r="D4890">
        <v>8000</v>
      </c>
      <c r="F4890">
        <v>1</v>
      </c>
      <c r="G4890" t="s">
        <v>70</v>
      </c>
      <c r="I4890" t="s">
        <v>71</v>
      </c>
      <c r="J4890" t="s">
        <v>535</v>
      </c>
      <c r="K4890" t="s">
        <v>4221</v>
      </c>
      <c r="L4890" t="s">
        <v>62</v>
      </c>
      <c r="M4890" t="s">
        <v>90</v>
      </c>
    </row>
    <row r="4891" spans="1:13">
      <c r="A4891">
        <v>46050</v>
      </c>
      <c r="B4891" t="s">
        <v>63</v>
      </c>
      <c r="D4891">
        <v>100</v>
      </c>
      <c r="F4891">
        <v>1</v>
      </c>
      <c r="G4891" t="s">
        <v>22</v>
      </c>
      <c r="H4891" t="s">
        <v>93</v>
      </c>
      <c r="I4891" t="s">
        <v>60</v>
      </c>
      <c r="J4891" t="s">
        <v>61</v>
      </c>
      <c r="L4891" t="s">
        <v>62</v>
      </c>
    </row>
    <row r="4892" spans="1:13">
      <c r="A4892">
        <v>46050</v>
      </c>
      <c r="B4892" t="s">
        <v>76</v>
      </c>
      <c r="D4892">
        <v>8570</v>
      </c>
      <c r="G4892" t="s">
        <v>77</v>
      </c>
      <c r="I4892" t="s">
        <v>60</v>
      </c>
      <c r="J4892" t="s">
        <v>61</v>
      </c>
      <c r="L4892" t="s">
        <v>62</v>
      </c>
    </row>
    <row r="4893" spans="1:13">
      <c r="A4893">
        <v>46050</v>
      </c>
      <c r="B4893" t="s">
        <v>63</v>
      </c>
      <c r="E4893">
        <v>3000</v>
      </c>
      <c r="F4893">
        <v>1</v>
      </c>
      <c r="G4893" t="s">
        <v>65</v>
      </c>
      <c r="H4893" t="s">
        <v>66</v>
      </c>
      <c r="I4893" t="s">
        <v>60</v>
      </c>
      <c r="J4893" t="s">
        <v>61</v>
      </c>
      <c r="L4893" t="s">
        <v>62</v>
      </c>
      <c r="M4893" t="s">
        <v>3280</v>
      </c>
    </row>
    <row r="4894" spans="1:13">
      <c r="A4894">
        <v>46050</v>
      </c>
      <c r="B4894" t="s">
        <v>63</v>
      </c>
      <c r="E4894">
        <v>100</v>
      </c>
      <c r="F4894">
        <v>1</v>
      </c>
      <c r="G4894" t="s">
        <v>65</v>
      </c>
      <c r="H4894" t="s">
        <v>66</v>
      </c>
      <c r="I4894" t="s">
        <v>60</v>
      </c>
      <c r="J4894" t="s">
        <v>61</v>
      </c>
      <c r="L4894" t="s">
        <v>62</v>
      </c>
      <c r="M4894" t="s">
        <v>392</v>
      </c>
    </row>
    <row r="4895" spans="1:13">
      <c r="A4895">
        <v>46051</v>
      </c>
      <c r="B4895" t="s">
        <v>4222</v>
      </c>
      <c r="D4895">
        <v>500</v>
      </c>
      <c r="F4895">
        <v>0</v>
      </c>
      <c r="G4895" t="s">
        <v>22</v>
      </c>
      <c r="H4895" t="s">
        <v>21</v>
      </c>
      <c r="I4895" t="s">
        <v>60</v>
      </c>
      <c r="J4895" t="s">
        <v>61</v>
      </c>
      <c r="L4895" t="s">
        <v>89</v>
      </c>
      <c r="M4895" t="s">
        <v>83</v>
      </c>
    </row>
    <row r="4896" spans="1:13">
      <c r="A4896">
        <v>46051</v>
      </c>
      <c r="B4896" t="s">
        <v>4223</v>
      </c>
      <c r="F4896">
        <v>1</v>
      </c>
      <c r="G4896" t="s">
        <v>79</v>
      </c>
      <c r="H4896" t="s">
        <v>21</v>
      </c>
      <c r="L4896" t="s">
        <v>89</v>
      </c>
      <c r="M4896" t="s">
        <v>327</v>
      </c>
    </row>
    <row r="4897" spans="1:13">
      <c r="A4897">
        <v>46051</v>
      </c>
      <c r="B4897" t="s">
        <v>4224</v>
      </c>
      <c r="F4897">
        <v>1</v>
      </c>
      <c r="G4897" t="s">
        <v>64</v>
      </c>
      <c r="L4897" t="s">
        <v>89</v>
      </c>
      <c r="M4897" t="s">
        <v>1121</v>
      </c>
    </row>
    <row r="4898" spans="1:13">
      <c r="A4898">
        <v>46051</v>
      </c>
      <c r="B4898" t="s">
        <v>63</v>
      </c>
      <c r="D4898">
        <v>6500</v>
      </c>
      <c r="G4898" t="s">
        <v>70</v>
      </c>
      <c r="I4898" t="s">
        <v>60</v>
      </c>
      <c r="J4898" t="s">
        <v>61</v>
      </c>
      <c r="L4898" t="s">
        <v>62</v>
      </c>
    </row>
    <row r="4899" spans="1:13">
      <c r="A4899">
        <v>46051</v>
      </c>
      <c r="B4899" t="s">
        <v>4225</v>
      </c>
      <c r="F4899">
        <v>1</v>
      </c>
      <c r="G4899" t="s">
        <v>98</v>
      </c>
      <c r="H4899" t="s">
        <v>21</v>
      </c>
      <c r="L4899" t="s">
        <v>89</v>
      </c>
      <c r="M4899" t="s">
        <v>327</v>
      </c>
    </row>
    <row r="4900" spans="1:13">
      <c r="A4900">
        <v>46051</v>
      </c>
      <c r="B4900" t="s">
        <v>4226</v>
      </c>
      <c r="F4900">
        <v>1</v>
      </c>
      <c r="G4900" t="s">
        <v>590</v>
      </c>
      <c r="H4900" t="s">
        <v>21</v>
      </c>
      <c r="L4900" t="s">
        <v>89</v>
      </c>
      <c r="M4900" t="s">
        <v>4161</v>
      </c>
    </row>
    <row r="4901" spans="1:13">
      <c r="A4901">
        <v>46051</v>
      </c>
      <c r="B4901" t="s">
        <v>4227</v>
      </c>
      <c r="F4901">
        <v>1</v>
      </c>
      <c r="G4901" t="s">
        <v>590</v>
      </c>
      <c r="H4901" t="s">
        <v>21</v>
      </c>
      <c r="L4901" t="s">
        <v>89</v>
      </c>
      <c r="M4901" t="s">
        <v>4161</v>
      </c>
    </row>
    <row r="4902" spans="1:13">
      <c r="A4902">
        <v>46051</v>
      </c>
      <c r="B4902" t="s">
        <v>4228</v>
      </c>
      <c r="F4902">
        <v>1</v>
      </c>
      <c r="G4902" t="s">
        <v>79</v>
      </c>
      <c r="H4902" t="s">
        <v>21</v>
      </c>
      <c r="L4902" t="s">
        <v>89</v>
      </c>
      <c r="M4902" t="s">
        <v>327</v>
      </c>
    </row>
    <row r="4903" spans="1:13">
      <c r="A4903">
        <v>46051</v>
      </c>
      <c r="B4903" t="s">
        <v>4229</v>
      </c>
      <c r="F4903">
        <v>1</v>
      </c>
      <c r="G4903" t="s">
        <v>64</v>
      </c>
      <c r="L4903" t="s">
        <v>89</v>
      </c>
      <c r="M4903" t="s">
        <v>4230</v>
      </c>
    </row>
    <row r="4904" spans="1:13">
      <c r="A4904">
        <v>46051</v>
      </c>
      <c r="B4904" t="s">
        <v>4231</v>
      </c>
      <c r="F4904">
        <v>1</v>
      </c>
      <c r="G4904" t="s">
        <v>590</v>
      </c>
      <c r="H4904" t="s">
        <v>21</v>
      </c>
      <c r="L4904" t="s">
        <v>89</v>
      </c>
      <c r="M4904" t="s">
        <v>4161</v>
      </c>
    </row>
    <row r="4905" spans="1:13">
      <c r="A4905">
        <v>46051</v>
      </c>
      <c r="B4905" t="s">
        <v>63</v>
      </c>
      <c r="E4905">
        <v>500</v>
      </c>
      <c r="F4905">
        <v>1</v>
      </c>
      <c r="G4905" t="s">
        <v>65</v>
      </c>
      <c r="H4905" t="s">
        <v>66</v>
      </c>
      <c r="I4905" t="s">
        <v>60</v>
      </c>
      <c r="J4905" t="s">
        <v>61</v>
      </c>
      <c r="L4905" t="s">
        <v>62</v>
      </c>
      <c r="M4905" t="s">
        <v>3280</v>
      </c>
    </row>
    <row r="4906" spans="1:13">
      <c r="A4906">
        <v>46052</v>
      </c>
      <c r="B4906" t="s">
        <v>63</v>
      </c>
      <c r="D4906">
        <v>100</v>
      </c>
      <c r="F4906">
        <v>1</v>
      </c>
      <c r="G4906" t="s">
        <v>22</v>
      </c>
      <c r="H4906" t="s">
        <v>93</v>
      </c>
      <c r="I4906" t="s">
        <v>60</v>
      </c>
      <c r="J4906" t="s">
        <v>61</v>
      </c>
      <c r="L4906" t="s">
        <v>62</v>
      </c>
    </row>
    <row r="4907" spans="1:13">
      <c r="A4907">
        <v>46052</v>
      </c>
      <c r="B4907" t="s">
        <v>76</v>
      </c>
      <c r="D4907">
        <v>12200</v>
      </c>
      <c r="G4907" t="s">
        <v>77</v>
      </c>
      <c r="I4907" t="s">
        <v>60</v>
      </c>
      <c r="J4907" t="s">
        <v>61</v>
      </c>
      <c r="L4907" t="s">
        <v>62</v>
      </c>
    </row>
    <row r="4908" spans="1:13">
      <c r="A4908">
        <v>46052</v>
      </c>
      <c r="B4908" t="s">
        <v>196</v>
      </c>
      <c r="E4908">
        <v>8000</v>
      </c>
      <c r="F4908">
        <v>1</v>
      </c>
      <c r="G4908" t="s">
        <v>65</v>
      </c>
      <c r="H4908" t="s">
        <v>560</v>
      </c>
      <c r="I4908" t="s">
        <v>60</v>
      </c>
      <c r="J4908" t="s">
        <v>61</v>
      </c>
      <c r="L4908" t="s">
        <v>62</v>
      </c>
    </row>
    <row r="4909" spans="1:13">
      <c r="A4909">
        <v>46052</v>
      </c>
      <c r="B4909" t="s">
        <v>63</v>
      </c>
      <c r="D4909">
        <v>8000</v>
      </c>
      <c r="F4909">
        <v>1</v>
      </c>
      <c r="G4909" t="s">
        <v>70</v>
      </c>
      <c r="I4909" t="s">
        <v>71</v>
      </c>
      <c r="J4909" t="s">
        <v>72</v>
      </c>
      <c r="K4909" t="s">
        <v>4232</v>
      </c>
      <c r="L4909" t="s">
        <v>62</v>
      </c>
      <c r="M4909" t="s">
        <v>90</v>
      </c>
    </row>
    <row r="4910" spans="1:13">
      <c r="A4910">
        <v>46052</v>
      </c>
      <c r="B4910" t="s">
        <v>63</v>
      </c>
      <c r="D4910">
        <v>27000</v>
      </c>
      <c r="F4910">
        <v>4</v>
      </c>
      <c r="G4910" t="s">
        <v>70</v>
      </c>
      <c r="I4910" t="s">
        <v>71</v>
      </c>
      <c r="J4910" t="s">
        <v>72</v>
      </c>
      <c r="K4910" t="s">
        <v>4233</v>
      </c>
      <c r="L4910" t="s">
        <v>62</v>
      </c>
      <c r="M4910" t="s">
        <v>90</v>
      </c>
    </row>
    <row r="4911" spans="1:13">
      <c r="A4911">
        <v>46052</v>
      </c>
      <c r="B4911" t="s">
        <v>4234</v>
      </c>
      <c r="D4911">
        <v>500</v>
      </c>
      <c r="F4911">
        <v>1</v>
      </c>
      <c r="G4911" t="s">
        <v>22</v>
      </c>
      <c r="H4911" t="s">
        <v>21</v>
      </c>
      <c r="I4911" t="s">
        <v>60</v>
      </c>
      <c r="J4911" t="s">
        <v>61</v>
      </c>
      <c r="L4911" t="s">
        <v>82</v>
      </c>
    </row>
    <row r="4912" spans="1:13">
      <c r="A4912">
        <v>46052</v>
      </c>
      <c r="B4912" t="s">
        <v>4235</v>
      </c>
      <c r="D4912">
        <v>500</v>
      </c>
      <c r="F4912">
        <v>1</v>
      </c>
      <c r="G4912" t="s">
        <v>22</v>
      </c>
      <c r="H4912" t="s">
        <v>21</v>
      </c>
      <c r="I4912" t="s">
        <v>60</v>
      </c>
      <c r="J4912" t="s">
        <v>61</v>
      </c>
      <c r="L4912" t="s">
        <v>82</v>
      </c>
    </row>
    <row r="4913" spans="1:13">
      <c r="A4913">
        <v>46052</v>
      </c>
      <c r="B4913" t="s">
        <v>4236</v>
      </c>
      <c r="F4913">
        <v>1</v>
      </c>
      <c r="G4913" t="s">
        <v>64</v>
      </c>
      <c r="L4913" t="s">
        <v>82</v>
      </c>
      <c r="M4913" t="s">
        <v>96</v>
      </c>
    </row>
    <row r="4914" spans="1:13">
      <c r="A4914">
        <v>46052</v>
      </c>
      <c r="B4914" t="s">
        <v>63</v>
      </c>
      <c r="E4914">
        <v>1000</v>
      </c>
      <c r="F4914">
        <v>1</v>
      </c>
      <c r="G4914" t="s">
        <v>65</v>
      </c>
      <c r="H4914" t="s">
        <v>66</v>
      </c>
      <c r="I4914" t="s">
        <v>60</v>
      </c>
      <c r="J4914" t="s">
        <v>61</v>
      </c>
      <c r="L4914" t="s">
        <v>62</v>
      </c>
      <c r="M4914" t="s">
        <v>3280</v>
      </c>
    </row>
    <row r="4915" spans="1:13">
      <c r="A4915">
        <v>46052</v>
      </c>
      <c r="B4915" t="s">
        <v>63</v>
      </c>
      <c r="E4915">
        <v>100</v>
      </c>
      <c r="F4915">
        <v>1</v>
      </c>
      <c r="G4915" t="s">
        <v>65</v>
      </c>
      <c r="H4915" t="s">
        <v>66</v>
      </c>
      <c r="I4915" t="s">
        <v>60</v>
      </c>
      <c r="J4915" t="s">
        <v>61</v>
      </c>
      <c r="L4915" t="s">
        <v>62</v>
      </c>
      <c r="M4915" t="s">
        <v>392</v>
      </c>
    </row>
    <row r="4916" spans="1:13">
      <c r="A4916">
        <v>46052</v>
      </c>
      <c r="B4916" t="s">
        <v>4237</v>
      </c>
      <c r="F4916">
        <v>1</v>
      </c>
      <c r="G4916" t="s">
        <v>0</v>
      </c>
      <c r="L4916" t="s">
        <v>82</v>
      </c>
      <c r="M4916" t="s">
        <v>3952</v>
      </c>
    </row>
    <row r="4917" spans="1:13">
      <c r="A4917">
        <v>46053</v>
      </c>
      <c r="B4917" t="s">
        <v>81</v>
      </c>
      <c r="D4917">
        <v>52000</v>
      </c>
      <c r="F4917">
        <v>1</v>
      </c>
      <c r="G4917" t="s">
        <v>74</v>
      </c>
      <c r="H4917" t="s">
        <v>75</v>
      </c>
      <c r="I4917" t="s">
        <v>60</v>
      </c>
      <c r="J4917" t="s">
        <v>61</v>
      </c>
      <c r="L4917" t="s">
        <v>88</v>
      </c>
    </row>
    <row r="4918" spans="1:13">
      <c r="A4918">
        <v>46053</v>
      </c>
      <c r="B4918" t="s">
        <v>4238</v>
      </c>
      <c r="D4918">
        <v>500</v>
      </c>
      <c r="F4918">
        <v>1</v>
      </c>
      <c r="G4918" t="s">
        <v>22</v>
      </c>
      <c r="H4918" t="s">
        <v>21</v>
      </c>
      <c r="I4918" t="s">
        <v>60</v>
      </c>
      <c r="J4918" t="s">
        <v>61</v>
      </c>
      <c r="L4918" t="s">
        <v>82</v>
      </c>
    </row>
    <row r="4919" spans="1:13">
      <c r="A4919">
        <v>46053</v>
      </c>
      <c r="B4919" t="s">
        <v>4239</v>
      </c>
      <c r="D4919">
        <v>500</v>
      </c>
      <c r="F4919">
        <v>1</v>
      </c>
      <c r="G4919" t="s">
        <v>22</v>
      </c>
      <c r="H4919" t="s">
        <v>21</v>
      </c>
      <c r="I4919" t="s">
        <v>60</v>
      </c>
      <c r="J4919" t="s">
        <v>61</v>
      </c>
      <c r="L4919" t="s">
        <v>82</v>
      </c>
    </row>
    <row r="4920" spans="1:13">
      <c r="A4920">
        <v>46053</v>
      </c>
      <c r="B4920" t="s">
        <v>84</v>
      </c>
      <c r="D4920">
        <v>-72800</v>
      </c>
      <c r="G4920" t="s">
        <v>77</v>
      </c>
      <c r="I4920" t="s">
        <v>60</v>
      </c>
      <c r="J4920" t="s">
        <v>61</v>
      </c>
      <c r="L4920" t="s">
        <v>62</v>
      </c>
    </row>
    <row r="4921" spans="1:13">
      <c r="A4921">
        <v>46053</v>
      </c>
      <c r="B4921" t="s">
        <v>84</v>
      </c>
      <c r="E4921">
        <v>-3850</v>
      </c>
      <c r="G4921" t="s">
        <v>65</v>
      </c>
      <c r="H4921" t="s">
        <v>85</v>
      </c>
      <c r="I4921" t="s">
        <v>60</v>
      </c>
      <c r="J4921" t="s">
        <v>61</v>
      </c>
      <c r="L4921" t="s">
        <v>62</v>
      </c>
    </row>
    <row r="4922" spans="1:13">
      <c r="A4922">
        <v>46053</v>
      </c>
      <c r="B4922" t="s">
        <v>290</v>
      </c>
      <c r="C4922" t="s">
        <v>4240</v>
      </c>
      <c r="E4922">
        <v>10598.87</v>
      </c>
      <c r="F4922">
        <v>1</v>
      </c>
      <c r="G4922" t="s">
        <v>65</v>
      </c>
      <c r="H4922" t="s">
        <v>292</v>
      </c>
      <c r="I4922" t="s">
        <v>60</v>
      </c>
      <c r="J4922" t="s">
        <v>61</v>
      </c>
      <c r="L4922" t="s">
        <v>62</v>
      </c>
      <c r="M4922" t="s">
        <v>4241</v>
      </c>
    </row>
    <row r="4923" spans="1:13">
      <c r="A4923">
        <v>46053</v>
      </c>
      <c r="B4923" t="s">
        <v>63</v>
      </c>
      <c r="D4923">
        <v>21000</v>
      </c>
      <c r="G4923" t="s">
        <v>70</v>
      </c>
      <c r="I4923" t="s">
        <v>60</v>
      </c>
      <c r="J4923" t="s">
        <v>61</v>
      </c>
      <c r="L4923" t="s">
        <v>62</v>
      </c>
    </row>
    <row r="4924" spans="1:13">
      <c r="A4924">
        <v>46053</v>
      </c>
      <c r="B4924" t="s">
        <v>63</v>
      </c>
      <c r="D4924">
        <v>100</v>
      </c>
      <c r="F4924">
        <v>1</v>
      </c>
      <c r="G4924" t="s">
        <v>22</v>
      </c>
      <c r="H4924" t="s">
        <v>93</v>
      </c>
      <c r="I4924" t="s">
        <v>60</v>
      </c>
      <c r="J4924" t="s">
        <v>61</v>
      </c>
      <c r="L4924" t="s">
        <v>62</v>
      </c>
    </row>
    <row r="4925" spans="1:13">
      <c r="A4925">
        <v>46053</v>
      </c>
      <c r="B4925" t="s">
        <v>76</v>
      </c>
      <c r="D4925">
        <v>6000</v>
      </c>
      <c r="G4925" t="s">
        <v>77</v>
      </c>
      <c r="I4925" t="s">
        <v>60</v>
      </c>
      <c r="J4925" t="s">
        <v>61</v>
      </c>
      <c r="L4925" t="s">
        <v>62</v>
      </c>
    </row>
    <row r="4926" spans="1:13">
      <c r="A4926">
        <v>46053</v>
      </c>
      <c r="B4926" t="s">
        <v>4242</v>
      </c>
      <c r="D4926">
        <v>500</v>
      </c>
      <c r="F4926">
        <v>1</v>
      </c>
      <c r="G4926" t="s">
        <v>22</v>
      </c>
      <c r="H4926" t="s">
        <v>21</v>
      </c>
      <c r="I4926" t="s">
        <v>60</v>
      </c>
      <c r="J4926" t="s">
        <v>61</v>
      </c>
      <c r="L4926" t="s">
        <v>82</v>
      </c>
    </row>
    <row r="4927" spans="1:13">
      <c r="A4927">
        <v>46053</v>
      </c>
      <c r="B4927" t="s">
        <v>63</v>
      </c>
      <c r="E4927">
        <v>1500</v>
      </c>
      <c r="F4927">
        <v>1</v>
      </c>
      <c r="G4927" t="s">
        <v>65</v>
      </c>
      <c r="H4927" t="s">
        <v>66</v>
      </c>
      <c r="I4927" t="s">
        <v>60</v>
      </c>
      <c r="J4927" t="s">
        <v>61</v>
      </c>
      <c r="L4927" t="s">
        <v>62</v>
      </c>
      <c r="M4927" t="s">
        <v>3280</v>
      </c>
    </row>
    <row r="4928" spans="1:13">
      <c r="A4928">
        <v>46053</v>
      </c>
      <c r="B4928" t="s">
        <v>63</v>
      </c>
      <c r="E4928">
        <v>100</v>
      </c>
      <c r="F4928">
        <v>1</v>
      </c>
      <c r="G4928" t="s">
        <v>65</v>
      </c>
      <c r="H4928" t="s">
        <v>66</v>
      </c>
      <c r="I4928" t="s">
        <v>60</v>
      </c>
      <c r="J4928" t="s">
        <v>61</v>
      </c>
      <c r="L4928" t="s">
        <v>62</v>
      </c>
      <c r="M4928" t="s">
        <v>392</v>
      </c>
    </row>
    <row r="4929" spans="1:13">
      <c r="A4929">
        <v>46054</v>
      </c>
      <c r="B4929" t="s">
        <v>63</v>
      </c>
      <c r="D4929">
        <v>12500</v>
      </c>
      <c r="F4929">
        <v>1</v>
      </c>
      <c r="G4929" t="s">
        <v>70</v>
      </c>
      <c r="I4929" t="s">
        <v>71</v>
      </c>
      <c r="J4929" t="s">
        <v>72</v>
      </c>
      <c r="K4929" t="s">
        <v>4243</v>
      </c>
      <c r="L4929" t="s">
        <v>62</v>
      </c>
      <c r="M4929" t="s">
        <v>90</v>
      </c>
    </row>
    <row r="4930" spans="1:13">
      <c r="A4930">
        <v>46054</v>
      </c>
      <c r="B4930" t="s">
        <v>63</v>
      </c>
      <c r="D4930">
        <v>12500</v>
      </c>
      <c r="G4930" t="s">
        <v>70</v>
      </c>
      <c r="I4930" t="s">
        <v>60</v>
      </c>
      <c r="J4930" t="s">
        <v>61</v>
      </c>
      <c r="L4930" t="s">
        <v>62</v>
      </c>
    </row>
    <row r="4931" spans="1:13">
      <c r="A4931">
        <v>46054</v>
      </c>
      <c r="B4931" t="s">
        <v>4244</v>
      </c>
      <c r="D4931">
        <v>500</v>
      </c>
      <c r="F4931">
        <v>1</v>
      </c>
      <c r="G4931" t="s">
        <v>22</v>
      </c>
      <c r="H4931" t="s">
        <v>21</v>
      </c>
      <c r="I4931" t="s">
        <v>60</v>
      </c>
      <c r="J4931" t="s">
        <v>61</v>
      </c>
      <c r="L4931" t="s">
        <v>89</v>
      </c>
    </row>
    <row r="4932" spans="1:13">
      <c r="A4932">
        <v>46054</v>
      </c>
      <c r="B4932" t="s">
        <v>4245</v>
      </c>
      <c r="F4932">
        <v>1</v>
      </c>
      <c r="G4932" t="s">
        <v>64</v>
      </c>
      <c r="L4932" t="s">
        <v>89</v>
      </c>
      <c r="M4932" t="s">
        <v>96</v>
      </c>
    </row>
    <row r="4933" spans="1:13">
      <c r="A4933">
        <v>46054</v>
      </c>
      <c r="B4933" t="s">
        <v>4246</v>
      </c>
      <c r="F4933">
        <v>1</v>
      </c>
      <c r="G4933" t="s">
        <v>64</v>
      </c>
      <c r="L4933" t="s">
        <v>89</v>
      </c>
      <c r="M4933" t="s">
        <v>96</v>
      </c>
    </row>
    <row r="4934" spans="1:13">
      <c r="A4934">
        <v>46054</v>
      </c>
      <c r="B4934" t="s">
        <v>4247</v>
      </c>
      <c r="D4934">
        <v>500</v>
      </c>
      <c r="F4934">
        <v>1</v>
      </c>
      <c r="G4934" t="s">
        <v>22</v>
      </c>
      <c r="H4934" t="s">
        <v>21</v>
      </c>
      <c r="I4934" t="s">
        <v>60</v>
      </c>
      <c r="J4934" t="s">
        <v>61</v>
      </c>
      <c r="L4934" t="s">
        <v>89</v>
      </c>
    </row>
    <row r="4935" spans="1:13">
      <c r="A4935">
        <v>46054</v>
      </c>
      <c r="B4935" t="s">
        <v>4248</v>
      </c>
      <c r="D4935">
        <v>500</v>
      </c>
      <c r="F4935">
        <v>1</v>
      </c>
      <c r="G4935" t="s">
        <v>22</v>
      </c>
      <c r="H4935" t="s">
        <v>21</v>
      </c>
      <c r="I4935" t="s">
        <v>60</v>
      </c>
      <c r="J4935" t="s">
        <v>61</v>
      </c>
      <c r="L4935" t="s">
        <v>89</v>
      </c>
    </row>
    <row r="4936" spans="1:13">
      <c r="A4936">
        <v>46054</v>
      </c>
      <c r="B4936" t="s">
        <v>4249</v>
      </c>
      <c r="F4936">
        <v>1</v>
      </c>
      <c r="G4936" t="s">
        <v>64</v>
      </c>
      <c r="L4936" t="s">
        <v>89</v>
      </c>
      <c r="M4936" t="s">
        <v>96</v>
      </c>
    </row>
    <row r="4937" spans="1:13">
      <c r="A4937">
        <v>46054</v>
      </c>
      <c r="B4937" t="s">
        <v>63</v>
      </c>
      <c r="E4937">
        <v>1500</v>
      </c>
      <c r="F4937">
        <v>1</v>
      </c>
      <c r="G4937" t="s">
        <v>65</v>
      </c>
      <c r="H4937" t="s">
        <v>66</v>
      </c>
      <c r="I4937" t="s">
        <v>60</v>
      </c>
      <c r="J4937" t="s">
        <v>61</v>
      </c>
      <c r="L4937" t="s">
        <v>62</v>
      </c>
      <c r="M4937" t="s">
        <v>3280</v>
      </c>
    </row>
    <row r="4938" spans="1:13">
      <c r="A4938">
        <v>46055</v>
      </c>
      <c r="B4938" t="s">
        <v>4250</v>
      </c>
      <c r="D4938">
        <v>500</v>
      </c>
      <c r="F4938">
        <v>1</v>
      </c>
      <c r="G4938" t="s">
        <v>22</v>
      </c>
      <c r="H4938" t="s">
        <v>21</v>
      </c>
      <c r="I4938" t="s">
        <v>60</v>
      </c>
      <c r="J4938" t="s">
        <v>61</v>
      </c>
      <c r="L4938" t="s">
        <v>89</v>
      </c>
    </row>
    <row r="4939" spans="1:13">
      <c r="A4939">
        <v>46055</v>
      </c>
      <c r="B4939" t="s">
        <v>76</v>
      </c>
      <c r="D4939">
        <v>23000</v>
      </c>
      <c r="G4939" t="s">
        <v>77</v>
      </c>
      <c r="I4939" t="s">
        <v>60</v>
      </c>
      <c r="J4939" t="s">
        <v>61</v>
      </c>
      <c r="L4939" t="s">
        <v>62</v>
      </c>
    </row>
    <row r="4940" spans="1:13">
      <c r="A4940">
        <v>46055</v>
      </c>
      <c r="B4940" t="s">
        <v>4251</v>
      </c>
      <c r="F4940">
        <v>1</v>
      </c>
      <c r="G4940" t="s">
        <v>64</v>
      </c>
      <c r="L4940" t="s">
        <v>89</v>
      </c>
      <c r="M4940" t="s">
        <v>96</v>
      </c>
    </row>
    <row r="4941" spans="1:13">
      <c r="A4941">
        <v>46055</v>
      </c>
      <c r="B4941" t="s">
        <v>4252</v>
      </c>
      <c r="D4941">
        <v>500</v>
      </c>
      <c r="F4941">
        <v>0</v>
      </c>
      <c r="G4941" t="s">
        <v>22</v>
      </c>
      <c r="H4941" t="s">
        <v>21</v>
      </c>
      <c r="I4941" t="s">
        <v>60</v>
      </c>
      <c r="J4941" t="s">
        <v>61</v>
      </c>
      <c r="L4941" t="s">
        <v>89</v>
      </c>
      <c r="M4941" t="s">
        <v>548</v>
      </c>
    </row>
    <row r="4942" spans="1:13">
      <c r="A4942">
        <v>46055</v>
      </c>
      <c r="B4942" t="s">
        <v>4253</v>
      </c>
      <c r="D4942">
        <v>500</v>
      </c>
      <c r="F4942">
        <v>0</v>
      </c>
      <c r="G4942" t="s">
        <v>22</v>
      </c>
      <c r="H4942" t="s">
        <v>21</v>
      </c>
      <c r="I4942" t="s">
        <v>60</v>
      </c>
      <c r="J4942" t="s">
        <v>61</v>
      </c>
      <c r="L4942" t="s">
        <v>89</v>
      </c>
      <c r="M4942" t="s">
        <v>548</v>
      </c>
    </row>
    <row r="4943" spans="1:13">
      <c r="A4943">
        <v>46055</v>
      </c>
      <c r="B4943" t="s">
        <v>4254</v>
      </c>
      <c r="F4943">
        <v>1</v>
      </c>
      <c r="G4943" t="s">
        <v>64</v>
      </c>
      <c r="L4943" t="s">
        <v>89</v>
      </c>
      <c r="M4943" t="s">
        <v>4255</v>
      </c>
    </row>
    <row r="4944" spans="1:13">
      <c r="A4944">
        <v>46055</v>
      </c>
      <c r="B4944" t="s">
        <v>63</v>
      </c>
      <c r="E4944">
        <v>2500</v>
      </c>
      <c r="F4944">
        <v>1</v>
      </c>
      <c r="G4944" t="s">
        <v>65</v>
      </c>
      <c r="H4944" t="s">
        <v>66</v>
      </c>
      <c r="I4944" t="s">
        <v>60</v>
      </c>
      <c r="J4944" t="s">
        <v>61</v>
      </c>
      <c r="L4944" t="s">
        <v>62</v>
      </c>
      <c r="M4944" t="s">
        <v>3280</v>
      </c>
    </row>
    <row r="4945" spans="1:13">
      <c r="A4945">
        <v>46055</v>
      </c>
      <c r="B4945" t="s">
        <v>63</v>
      </c>
      <c r="D4945">
        <v>39000</v>
      </c>
      <c r="F4945">
        <v>4</v>
      </c>
      <c r="G4945" t="s">
        <v>70</v>
      </c>
      <c r="I4945" t="s">
        <v>71</v>
      </c>
      <c r="J4945" t="s">
        <v>535</v>
      </c>
      <c r="K4945" t="s">
        <v>4256</v>
      </c>
      <c r="L4945" t="s">
        <v>62</v>
      </c>
      <c r="M4945" t="s">
        <v>90</v>
      </c>
    </row>
    <row r="4946" spans="1:13">
      <c r="A4946">
        <v>46055</v>
      </c>
      <c r="B4946" t="s">
        <v>63</v>
      </c>
      <c r="D4946">
        <v>25500</v>
      </c>
      <c r="G4946" t="s">
        <v>70</v>
      </c>
      <c r="I4946" t="s">
        <v>60</v>
      </c>
      <c r="J4946" t="s">
        <v>61</v>
      </c>
      <c r="L4946" t="s">
        <v>62</v>
      </c>
    </row>
    <row r="4947" spans="1:13">
      <c r="A4947">
        <v>46055</v>
      </c>
      <c r="B4947" t="s">
        <v>63</v>
      </c>
      <c r="D4947">
        <v>26000</v>
      </c>
      <c r="F4947">
        <v>3</v>
      </c>
      <c r="G4947" t="s">
        <v>70</v>
      </c>
      <c r="I4947" t="s">
        <v>71</v>
      </c>
      <c r="J4947" t="s">
        <v>535</v>
      </c>
      <c r="K4947" t="s">
        <v>4257</v>
      </c>
      <c r="L4947" t="s">
        <v>62</v>
      </c>
      <c r="M4947" t="s">
        <v>90</v>
      </c>
    </row>
    <row r="4948" spans="1:13">
      <c r="A4948">
        <v>46055</v>
      </c>
      <c r="B4948" t="s">
        <v>4258</v>
      </c>
      <c r="D4948">
        <v>500</v>
      </c>
      <c r="F4948">
        <v>1</v>
      </c>
      <c r="G4948" t="s">
        <v>22</v>
      </c>
      <c r="H4948" t="s">
        <v>21</v>
      </c>
      <c r="I4948" t="s">
        <v>60</v>
      </c>
      <c r="J4948" t="s">
        <v>61</v>
      </c>
      <c r="L4948" t="s">
        <v>89</v>
      </c>
    </row>
    <row r="4949" spans="1:13">
      <c r="A4949">
        <v>46055</v>
      </c>
      <c r="B4949" t="s">
        <v>4259</v>
      </c>
      <c r="D4949">
        <v>500</v>
      </c>
      <c r="F4949">
        <v>0</v>
      </c>
      <c r="G4949" t="s">
        <v>22</v>
      </c>
      <c r="H4949" t="s">
        <v>21</v>
      </c>
      <c r="I4949" t="s">
        <v>60</v>
      </c>
      <c r="J4949" t="s">
        <v>61</v>
      </c>
      <c r="L4949" t="s">
        <v>89</v>
      </c>
    </row>
    <row r="4950" spans="1:13">
      <c r="A4950">
        <v>46055</v>
      </c>
      <c r="B4950" t="s">
        <v>4260</v>
      </c>
      <c r="F4950">
        <v>1</v>
      </c>
      <c r="G4950" t="s">
        <v>64</v>
      </c>
      <c r="L4950" t="s">
        <v>89</v>
      </c>
      <c r="M4950" t="s">
        <v>96</v>
      </c>
    </row>
    <row r="4951" spans="1:13">
      <c r="A4951">
        <v>46055</v>
      </c>
      <c r="B4951" t="s">
        <v>3988</v>
      </c>
      <c r="C4951" t="s">
        <v>4261</v>
      </c>
      <c r="F4951">
        <v>51</v>
      </c>
      <c r="G4951" t="s">
        <v>22</v>
      </c>
      <c r="H4951" t="s">
        <v>21</v>
      </c>
      <c r="L4951" t="s">
        <v>95</v>
      </c>
    </row>
    <row r="4952" spans="1:13">
      <c r="A4952">
        <v>46056</v>
      </c>
      <c r="B4952" t="s">
        <v>875</v>
      </c>
      <c r="D4952">
        <v>88000</v>
      </c>
      <c r="F4952">
        <v>1</v>
      </c>
      <c r="G4952" t="s">
        <v>74</v>
      </c>
      <c r="H4952" t="s">
        <v>75</v>
      </c>
      <c r="I4952" t="s">
        <v>60</v>
      </c>
      <c r="J4952" t="s">
        <v>61</v>
      </c>
      <c r="L4952" t="s">
        <v>88</v>
      </c>
    </row>
    <row r="4953" spans="1:13">
      <c r="A4953">
        <v>46056</v>
      </c>
      <c r="B4953" t="s">
        <v>4262</v>
      </c>
      <c r="F4953">
        <v>1</v>
      </c>
      <c r="G4953" t="s">
        <v>377</v>
      </c>
      <c r="H4953" t="s">
        <v>21</v>
      </c>
      <c r="L4953" t="s">
        <v>89</v>
      </c>
      <c r="M4953" t="s">
        <v>327</v>
      </c>
    </row>
    <row r="4954" spans="1:13">
      <c r="A4954">
        <v>46056</v>
      </c>
      <c r="B4954" t="s">
        <v>4093</v>
      </c>
      <c r="F4954">
        <v>1</v>
      </c>
      <c r="G4954" t="s">
        <v>64</v>
      </c>
      <c r="L4954" t="s">
        <v>89</v>
      </c>
      <c r="M4954" t="s">
        <v>96</v>
      </c>
    </row>
    <row r="4955" spans="1:13">
      <c r="A4955">
        <v>46056</v>
      </c>
      <c r="B4955" t="s">
        <v>4263</v>
      </c>
      <c r="F4955">
        <v>1</v>
      </c>
      <c r="G4955" t="s">
        <v>79</v>
      </c>
      <c r="H4955" t="s">
        <v>21</v>
      </c>
      <c r="L4955" t="s">
        <v>89</v>
      </c>
      <c r="M4955" t="s">
        <v>327</v>
      </c>
    </row>
    <row r="4956" spans="1:13">
      <c r="A4956">
        <v>46056</v>
      </c>
      <c r="B4956" t="s">
        <v>4264</v>
      </c>
      <c r="F4956">
        <v>1</v>
      </c>
      <c r="G4956" t="s">
        <v>79</v>
      </c>
      <c r="H4956" t="s">
        <v>21</v>
      </c>
      <c r="L4956" t="s">
        <v>89</v>
      </c>
      <c r="M4956" t="s">
        <v>327</v>
      </c>
    </row>
    <row r="4957" spans="1:13">
      <c r="A4957">
        <v>46056</v>
      </c>
      <c r="B4957" t="s">
        <v>562</v>
      </c>
      <c r="D4957">
        <v>11500</v>
      </c>
      <c r="G4957" t="s">
        <v>77</v>
      </c>
      <c r="I4957" t="s">
        <v>60</v>
      </c>
      <c r="J4957" t="s">
        <v>61</v>
      </c>
      <c r="L4957" t="s">
        <v>62</v>
      </c>
    </row>
    <row r="4958" spans="1:13">
      <c r="A4958">
        <v>46057</v>
      </c>
      <c r="B4958" t="s">
        <v>4265</v>
      </c>
      <c r="F4958">
        <v>1</v>
      </c>
      <c r="G4958" t="s">
        <v>64</v>
      </c>
      <c r="L4958" t="s">
        <v>89</v>
      </c>
      <c r="M4958" t="s">
        <v>2120</v>
      </c>
    </row>
    <row r="4959" spans="1:13">
      <c r="A4959">
        <v>46057</v>
      </c>
      <c r="B4959" t="s">
        <v>875</v>
      </c>
      <c r="D4959">
        <v>4000</v>
      </c>
      <c r="F4959">
        <v>1</v>
      </c>
      <c r="G4959" t="s">
        <v>74</v>
      </c>
      <c r="H4959" t="s">
        <v>75</v>
      </c>
      <c r="I4959" t="s">
        <v>60</v>
      </c>
      <c r="J4959" t="s">
        <v>61</v>
      </c>
      <c r="L4959" t="s">
        <v>88</v>
      </c>
    </row>
    <row r="4960" spans="1:13">
      <c r="A4960">
        <v>46057</v>
      </c>
      <c r="B4960" t="s">
        <v>63</v>
      </c>
      <c r="D4960">
        <v>8000</v>
      </c>
      <c r="G4960" t="s">
        <v>70</v>
      </c>
      <c r="I4960" t="s">
        <v>60</v>
      </c>
      <c r="J4960" t="s">
        <v>61</v>
      </c>
      <c r="L4960" t="s">
        <v>62</v>
      </c>
    </row>
    <row r="4961" spans="1:13">
      <c r="A4961">
        <v>46058</v>
      </c>
      <c r="B4961" t="s">
        <v>4266</v>
      </c>
      <c r="D4961">
        <v>500</v>
      </c>
      <c r="F4961">
        <v>1</v>
      </c>
      <c r="G4961" t="s">
        <v>22</v>
      </c>
      <c r="H4961" t="s">
        <v>21</v>
      </c>
      <c r="I4961" t="s">
        <v>60</v>
      </c>
      <c r="J4961" t="s">
        <v>61</v>
      </c>
      <c r="L4961" t="s">
        <v>89</v>
      </c>
    </row>
    <row r="4962" spans="1:13">
      <c r="A4962">
        <v>46058</v>
      </c>
      <c r="B4962" t="s">
        <v>4266</v>
      </c>
      <c r="F4962">
        <v>1</v>
      </c>
      <c r="G4962" t="s">
        <v>64</v>
      </c>
      <c r="L4962" t="s">
        <v>89</v>
      </c>
      <c r="M4962" t="s">
        <v>96</v>
      </c>
    </row>
    <row r="4963" spans="1:13">
      <c r="A4963">
        <v>46058</v>
      </c>
      <c r="B4963" t="s">
        <v>4267</v>
      </c>
      <c r="D4963">
        <v>500</v>
      </c>
      <c r="F4963">
        <v>1</v>
      </c>
      <c r="G4963" t="s">
        <v>22</v>
      </c>
      <c r="H4963" t="s">
        <v>21</v>
      </c>
      <c r="I4963" t="s">
        <v>60</v>
      </c>
      <c r="J4963" t="s">
        <v>61</v>
      </c>
      <c r="L4963" t="s">
        <v>89</v>
      </c>
    </row>
    <row r="4964" spans="1:13">
      <c r="A4964">
        <v>46058</v>
      </c>
      <c r="B4964" t="s">
        <v>4268</v>
      </c>
      <c r="D4964">
        <v>500</v>
      </c>
      <c r="F4964">
        <v>1</v>
      </c>
      <c r="G4964" t="s">
        <v>22</v>
      </c>
      <c r="H4964" t="s">
        <v>21</v>
      </c>
      <c r="I4964" t="s">
        <v>60</v>
      </c>
      <c r="J4964" t="s">
        <v>61</v>
      </c>
      <c r="L4964" t="s">
        <v>89</v>
      </c>
    </row>
    <row r="4965" spans="1:13">
      <c r="A4965">
        <v>46058</v>
      </c>
      <c r="B4965" t="s">
        <v>4269</v>
      </c>
      <c r="D4965">
        <v>500</v>
      </c>
      <c r="F4965">
        <v>0</v>
      </c>
      <c r="G4965" t="s">
        <v>22</v>
      </c>
      <c r="H4965" t="s">
        <v>21</v>
      </c>
      <c r="I4965" t="s">
        <v>60</v>
      </c>
      <c r="J4965" t="s">
        <v>61</v>
      </c>
      <c r="L4965" t="s">
        <v>89</v>
      </c>
    </row>
    <row r="4966" spans="1:13">
      <c r="A4966">
        <v>46058</v>
      </c>
      <c r="B4966" t="s">
        <v>63</v>
      </c>
      <c r="E4966">
        <v>4000</v>
      </c>
      <c r="F4966">
        <v>1</v>
      </c>
      <c r="G4966" t="s">
        <v>65</v>
      </c>
      <c r="H4966" t="s">
        <v>66</v>
      </c>
      <c r="I4966" t="s">
        <v>60</v>
      </c>
      <c r="J4966" t="s">
        <v>61</v>
      </c>
      <c r="L4966" t="s">
        <v>62</v>
      </c>
      <c r="M4966" t="s">
        <v>3280</v>
      </c>
    </row>
    <row r="4967" spans="1:13">
      <c r="A4967">
        <v>46058</v>
      </c>
      <c r="B4967" t="s">
        <v>76</v>
      </c>
      <c r="D4967">
        <v>55200</v>
      </c>
      <c r="G4967" t="s">
        <v>77</v>
      </c>
      <c r="I4967" t="s">
        <v>60</v>
      </c>
      <c r="J4967" t="s">
        <v>61</v>
      </c>
      <c r="L4967" t="s">
        <v>62</v>
      </c>
    </row>
    <row r="4968" spans="1:13">
      <c r="A4968">
        <v>46058</v>
      </c>
      <c r="B4968" t="s">
        <v>84</v>
      </c>
      <c r="D4968">
        <v>-52000</v>
      </c>
      <c r="G4968" t="s">
        <v>77</v>
      </c>
      <c r="I4968" t="s">
        <v>60</v>
      </c>
      <c r="J4968" t="s">
        <v>61</v>
      </c>
      <c r="L4968" t="s">
        <v>62</v>
      </c>
    </row>
    <row r="4969" spans="1:13">
      <c r="A4969">
        <v>46058</v>
      </c>
      <c r="B4969" t="s">
        <v>84</v>
      </c>
      <c r="E4969">
        <v>-2750</v>
      </c>
      <c r="F4969">
        <v>1</v>
      </c>
      <c r="G4969" t="s">
        <v>65</v>
      </c>
      <c r="H4969" t="s">
        <v>85</v>
      </c>
      <c r="I4969" t="s">
        <v>60</v>
      </c>
      <c r="J4969" t="s">
        <v>61</v>
      </c>
      <c r="L4969" t="s">
        <v>62</v>
      </c>
    </row>
    <row r="4970" spans="1:13">
      <c r="A4970">
        <v>46058</v>
      </c>
      <c r="B4970" t="s">
        <v>63</v>
      </c>
      <c r="D4970">
        <v>35000</v>
      </c>
      <c r="G4970" t="s">
        <v>70</v>
      </c>
      <c r="I4970" t="s">
        <v>60</v>
      </c>
      <c r="J4970" t="s">
        <v>61</v>
      </c>
      <c r="L4970" t="s">
        <v>62</v>
      </c>
    </row>
    <row r="4971" spans="1:13">
      <c r="A4971">
        <v>46058</v>
      </c>
      <c r="B4971" t="s">
        <v>4270</v>
      </c>
      <c r="D4971">
        <v>500</v>
      </c>
      <c r="F4971">
        <v>1</v>
      </c>
      <c r="G4971" t="s">
        <v>22</v>
      </c>
      <c r="H4971" t="s">
        <v>21</v>
      </c>
      <c r="I4971" t="s">
        <v>60</v>
      </c>
      <c r="J4971" t="s">
        <v>61</v>
      </c>
      <c r="L4971" t="s">
        <v>270</v>
      </c>
    </row>
    <row r="4972" spans="1:13">
      <c r="A4972">
        <v>46058</v>
      </c>
      <c r="B4972" t="s">
        <v>4271</v>
      </c>
      <c r="D4972">
        <v>500</v>
      </c>
      <c r="F4972">
        <v>1</v>
      </c>
      <c r="G4972" t="s">
        <v>22</v>
      </c>
      <c r="H4972" t="s">
        <v>21</v>
      </c>
      <c r="I4972" t="s">
        <v>60</v>
      </c>
      <c r="J4972" t="s">
        <v>61</v>
      </c>
      <c r="L4972" t="s">
        <v>270</v>
      </c>
    </row>
    <row r="4973" spans="1:13">
      <c r="A4973">
        <v>46058</v>
      </c>
      <c r="B4973" t="s">
        <v>63</v>
      </c>
      <c r="D4973">
        <v>100</v>
      </c>
      <c r="F4973">
        <v>1</v>
      </c>
      <c r="G4973" t="s">
        <v>22</v>
      </c>
      <c r="H4973" t="s">
        <v>93</v>
      </c>
      <c r="I4973" t="s">
        <v>60</v>
      </c>
      <c r="J4973" t="s">
        <v>61</v>
      </c>
      <c r="L4973" t="s">
        <v>62</v>
      </c>
    </row>
    <row r="4974" spans="1:13">
      <c r="A4974">
        <v>46058</v>
      </c>
      <c r="B4974" t="s">
        <v>63</v>
      </c>
      <c r="E4974">
        <v>100</v>
      </c>
      <c r="F4974">
        <v>1</v>
      </c>
      <c r="G4974" t="s">
        <v>65</v>
      </c>
      <c r="H4974" t="s">
        <v>66</v>
      </c>
      <c r="I4974" t="s">
        <v>60</v>
      </c>
      <c r="J4974" t="s">
        <v>61</v>
      </c>
      <c r="L4974" t="s">
        <v>62</v>
      </c>
      <c r="M4974" t="s">
        <v>392</v>
      </c>
    </row>
    <row r="4975" spans="1:13">
      <c r="A4975">
        <v>46058</v>
      </c>
      <c r="B4975" t="s">
        <v>4272</v>
      </c>
      <c r="D4975">
        <v>500</v>
      </c>
      <c r="F4975">
        <v>0</v>
      </c>
      <c r="G4975" t="s">
        <v>22</v>
      </c>
      <c r="H4975" t="s">
        <v>21</v>
      </c>
      <c r="I4975" t="s">
        <v>60</v>
      </c>
      <c r="J4975" t="s">
        <v>61</v>
      </c>
      <c r="L4975" t="s">
        <v>270</v>
      </c>
      <c r="M4975" t="s">
        <v>3048</v>
      </c>
    </row>
    <row r="4976" spans="1:13">
      <c r="A4976">
        <v>46058</v>
      </c>
      <c r="B4976" t="s">
        <v>4273</v>
      </c>
      <c r="D4976">
        <v>500</v>
      </c>
      <c r="F4976">
        <v>1</v>
      </c>
      <c r="G4976" t="s">
        <v>22</v>
      </c>
      <c r="H4976" t="s">
        <v>21</v>
      </c>
      <c r="I4976" t="s">
        <v>60</v>
      </c>
      <c r="J4976" t="s">
        <v>61</v>
      </c>
      <c r="L4976" t="s">
        <v>270</v>
      </c>
    </row>
    <row r="4977" spans="1:13">
      <c r="A4977">
        <v>46058</v>
      </c>
      <c r="B4977" t="s">
        <v>606</v>
      </c>
      <c r="E4977">
        <v>70000</v>
      </c>
      <c r="F4977">
        <v>1</v>
      </c>
      <c r="G4977" t="s">
        <v>65</v>
      </c>
      <c r="H4977" t="s">
        <v>348</v>
      </c>
      <c r="I4977" t="s">
        <v>60</v>
      </c>
      <c r="J4977" t="s">
        <v>61</v>
      </c>
      <c r="L4977" t="s">
        <v>62</v>
      </c>
      <c r="M4977" t="s">
        <v>3463</v>
      </c>
    </row>
    <row r="4978" spans="1:13">
      <c r="A4978">
        <v>46058</v>
      </c>
      <c r="B4978" t="s">
        <v>604</v>
      </c>
      <c r="E4978">
        <v>70000</v>
      </c>
      <c r="F4978">
        <v>1</v>
      </c>
      <c r="G4978" t="s">
        <v>65</v>
      </c>
      <c r="H4978" t="s">
        <v>348</v>
      </c>
      <c r="I4978" t="s">
        <v>60</v>
      </c>
      <c r="J4978" t="s">
        <v>61</v>
      </c>
      <c r="L4978" t="s">
        <v>62</v>
      </c>
      <c r="M4978" t="s">
        <v>3463</v>
      </c>
    </row>
    <row r="4979" spans="1:13">
      <c r="A4979">
        <v>46058</v>
      </c>
      <c r="B4979" t="s">
        <v>248</v>
      </c>
      <c r="E4979">
        <v>70000</v>
      </c>
      <c r="F4979">
        <v>1</v>
      </c>
      <c r="G4979" t="s">
        <v>65</v>
      </c>
      <c r="H4979" t="s">
        <v>348</v>
      </c>
      <c r="I4979" t="s">
        <v>60</v>
      </c>
      <c r="J4979" t="s">
        <v>61</v>
      </c>
      <c r="L4979" t="s">
        <v>62</v>
      </c>
      <c r="M4979" t="s">
        <v>3463</v>
      </c>
    </row>
    <row r="4980" spans="1:13">
      <c r="A4980">
        <v>46059</v>
      </c>
      <c r="B4980" t="s">
        <v>1468</v>
      </c>
      <c r="D4980">
        <v>500</v>
      </c>
      <c r="F4980">
        <v>1</v>
      </c>
      <c r="G4980" t="s">
        <v>22</v>
      </c>
      <c r="H4980" t="s">
        <v>21</v>
      </c>
      <c r="I4980" t="s">
        <v>60</v>
      </c>
      <c r="J4980" t="s">
        <v>61</v>
      </c>
      <c r="L4980" t="s">
        <v>89</v>
      </c>
    </row>
    <row r="4981" spans="1:13">
      <c r="A4981">
        <v>46059</v>
      </c>
      <c r="B4981" t="s">
        <v>4274</v>
      </c>
      <c r="D4981">
        <v>500</v>
      </c>
      <c r="F4981">
        <v>1</v>
      </c>
      <c r="G4981" t="s">
        <v>22</v>
      </c>
      <c r="H4981" t="s">
        <v>21</v>
      </c>
      <c r="I4981" t="s">
        <v>60</v>
      </c>
      <c r="J4981" t="s">
        <v>61</v>
      </c>
      <c r="L4981" t="s">
        <v>270</v>
      </c>
    </row>
    <row r="4982" spans="1:13">
      <c r="A4982">
        <v>46059</v>
      </c>
      <c r="B4982" t="s">
        <v>4274</v>
      </c>
      <c r="D4982">
        <v>360000</v>
      </c>
      <c r="F4982">
        <v>1</v>
      </c>
      <c r="G4982" t="s">
        <v>64</v>
      </c>
      <c r="I4982" t="s">
        <v>60</v>
      </c>
      <c r="J4982" t="s">
        <v>61</v>
      </c>
      <c r="L4982" t="s">
        <v>86</v>
      </c>
    </row>
    <row r="4983" spans="1:13">
      <c r="A4983">
        <v>46059</v>
      </c>
      <c r="B4983" t="s">
        <v>63</v>
      </c>
      <c r="D4983">
        <v>37000</v>
      </c>
      <c r="G4983" t="s">
        <v>70</v>
      </c>
      <c r="I4983" t="s">
        <v>60</v>
      </c>
      <c r="J4983" t="s">
        <v>61</v>
      </c>
      <c r="L4983" t="s">
        <v>62</v>
      </c>
    </row>
    <row r="4984" spans="1:13">
      <c r="A4984">
        <v>46059</v>
      </c>
      <c r="B4984" t="s">
        <v>80</v>
      </c>
      <c r="E4984">
        <v>7899</v>
      </c>
      <c r="F4984">
        <v>1</v>
      </c>
      <c r="G4984" t="s">
        <v>74</v>
      </c>
      <c r="H4984" t="s">
        <v>75</v>
      </c>
      <c r="I4984" t="s">
        <v>60</v>
      </c>
      <c r="J4984" t="s">
        <v>61</v>
      </c>
      <c r="L4984" t="s">
        <v>4275</v>
      </c>
    </row>
    <row r="4985" spans="1:13">
      <c r="A4985">
        <v>46059</v>
      </c>
      <c r="B4985" t="s">
        <v>80</v>
      </c>
      <c r="E4985">
        <v>101</v>
      </c>
      <c r="F4985">
        <v>1</v>
      </c>
      <c r="G4985" t="s">
        <v>65</v>
      </c>
      <c r="H4985" t="s">
        <v>66</v>
      </c>
      <c r="I4985" t="s">
        <v>60</v>
      </c>
      <c r="J4985" t="s">
        <v>61</v>
      </c>
      <c r="L4985" t="s">
        <v>4275</v>
      </c>
    </row>
    <row r="4986" spans="1:13">
      <c r="A4986">
        <v>46059</v>
      </c>
      <c r="B4986" t="s">
        <v>63</v>
      </c>
      <c r="D4986">
        <v>100</v>
      </c>
      <c r="F4986">
        <v>1</v>
      </c>
      <c r="G4986" t="s">
        <v>22</v>
      </c>
      <c r="H4986" t="s">
        <v>392</v>
      </c>
      <c r="I4986" t="s">
        <v>60</v>
      </c>
      <c r="J4986" t="s">
        <v>61</v>
      </c>
      <c r="L4986" t="s">
        <v>62</v>
      </c>
    </row>
    <row r="4987" spans="1:13">
      <c r="A4987">
        <v>46059</v>
      </c>
      <c r="B4987" t="s">
        <v>63</v>
      </c>
      <c r="E4987">
        <v>100</v>
      </c>
      <c r="F4987">
        <v>1</v>
      </c>
      <c r="G4987" t="s">
        <v>65</v>
      </c>
      <c r="H4987" t="s">
        <v>66</v>
      </c>
      <c r="I4987" t="s">
        <v>60</v>
      </c>
      <c r="J4987" t="s">
        <v>61</v>
      </c>
      <c r="L4987" t="s">
        <v>62</v>
      </c>
      <c r="M4987" t="s">
        <v>392</v>
      </c>
    </row>
    <row r="4988" spans="1:13">
      <c r="A4988">
        <v>46059</v>
      </c>
      <c r="B4988" t="s">
        <v>63</v>
      </c>
      <c r="E4988">
        <v>2500</v>
      </c>
      <c r="F4988">
        <v>1</v>
      </c>
      <c r="G4988" t="s">
        <v>65</v>
      </c>
      <c r="H4988" t="s">
        <v>66</v>
      </c>
      <c r="I4988" t="s">
        <v>60</v>
      </c>
      <c r="J4988" t="s">
        <v>61</v>
      </c>
      <c r="L4988" t="s">
        <v>62</v>
      </c>
      <c r="M4988" t="s">
        <v>3280</v>
      </c>
    </row>
    <row r="4989" spans="1:13">
      <c r="A4989">
        <v>46059</v>
      </c>
      <c r="B4989" t="s">
        <v>196</v>
      </c>
      <c r="E4989">
        <v>8000</v>
      </c>
      <c r="F4989">
        <v>1</v>
      </c>
      <c r="G4989" t="s">
        <v>65</v>
      </c>
      <c r="H4989" t="s">
        <v>560</v>
      </c>
      <c r="I4989" t="s">
        <v>60</v>
      </c>
      <c r="J4989" t="s">
        <v>61</v>
      </c>
      <c r="L4989" t="s">
        <v>62</v>
      </c>
    </row>
    <row r="4990" spans="1:13">
      <c r="A4990">
        <v>46059</v>
      </c>
      <c r="B4990" t="s">
        <v>4276</v>
      </c>
      <c r="F4990">
        <v>1</v>
      </c>
      <c r="G4990" t="s">
        <v>2490</v>
      </c>
      <c r="L4990" t="s">
        <v>86</v>
      </c>
    </row>
    <row r="4991" spans="1:13">
      <c r="A4991">
        <v>46059</v>
      </c>
      <c r="B4991" t="s">
        <v>4277</v>
      </c>
      <c r="D4991">
        <v>500</v>
      </c>
      <c r="F4991">
        <v>1</v>
      </c>
      <c r="G4991" t="s">
        <v>22</v>
      </c>
      <c r="H4991" t="s">
        <v>21</v>
      </c>
      <c r="I4991" t="s">
        <v>60</v>
      </c>
      <c r="J4991" t="s">
        <v>61</v>
      </c>
      <c r="L4991" t="s">
        <v>270</v>
      </c>
    </row>
    <row r="4992" spans="1:13">
      <c r="A4992">
        <v>46059</v>
      </c>
      <c r="B4992" t="s">
        <v>4278</v>
      </c>
      <c r="D4992">
        <v>500</v>
      </c>
      <c r="F4992">
        <v>0</v>
      </c>
      <c r="G4992" t="s">
        <v>22</v>
      </c>
      <c r="H4992" t="s">
        <v>21</v>
      </c>
      <c r="I4992" t="s">
        <v>60</v>
      </c>
      <c r="J4992" t="s">
        <v>61</v>
      </c>
      <c r="L4992" t="s">
        <v>270</v>
      </c>
      <c r="M4992" t="s">
        <v>3048</v>
      </c>
    </row>
    <row r="4993" spans="1:13">
      <c r="A4993">
        <v>46059</v>
      </c>
      <c r="B4993" t="s">
        <v>4279</v>
      </c>
      <c r="F4993">
        <v>1</v>
      </c>
      <c r="G4993" t="s">
        <v>79</v>
      </c>
      <c r="H4993" t="s">
        <v>21</v>
      </c>
      <c r="L4993" t="s">
        <v>86</v>
      </c>
      <c r="M4993" t="s">
        <v>327</v>
      </c>
    </row>
    <row r="4994" spans="1:13">
      <c r="A4994">
        <v>46059</v>
      </c>
      <c r="B4994" t="s">
        <v>4280</v>
      </c>
      <c r="D4994">
        <v>500</v>
      </c>
      <c r="F4994">
        <v>1</v>
      </c>
      <c r="G4994" t="s">
        <v>22</v>
      </c>
      <c r="H4994" t="s">
        <v>21</v>
      </c>
      <c r="I4994" t="s">
        <v>60</v>
      </c>
      <c r="J4994" t="s">
        <v>61</v>
      </c>
      <c r="L4994" t="s">
        <v>270</v>
      </c>
    </row>
    <row r="4995" spans="1:13">
      <c r="A4995">
        <v>46059</v>
      </c>
      <c r="B4995" t="s">
        <v>4281</v>
      </c>
      <c r="F4995">
        <v>1</v>
      </c>
      <c r="G4995" t="s">
        <v>64</v>
      </c>
      <c r="L4995" t="s">
        <v>86</v>
      </c>
      <c r="M4995" t="s">
        <v>96</v>
      </c>
    </row>
    <row r="4996" spans="1:13">
      <c r="A4996">
        <v>46060</v>
      </c>
      <c r="B4996" t="s">
        <v>4282</v>
      </c>
      <c r="F4996">
        <v>1</v>
      </c>
      <c r="G4996" t="s">
        <v>64</v>
      </c>
      <c r="L4996" t="s">
        <v>86</v>
      </c>
      <c r="M4996" t="s">
        <v>96</v>
      </c>
    </row>
    <row r="4997" spans="1:13">
      <c r="A4997">
        <v>46060</v>
      </c>
      <c r="B4997" t="s">
        <v>4283</v>
      </c>
      <c r="F4997">
        <v>1</v>
      </c>
      <c r="G4997" t="s">
        <v>64</v>
      </c>
      <c r="L4997" t="s">
        <v>86</v>
      </c>
      <c r="M4997" t="s">
        <v>96</v>
      </c>
    </row>
    <row r="4998" spans="1:13">
      <c r="A4998">
        <v>46060</v>
      </c>
      <c r="B4998" t="s">
        <v>63</v>
      </c>
      <c r="D4998">
        <v>44000</v>
      </c>
      <c r="G4998" t="s">
        <v>70</v>
      </c>
      <c r="I4998" t="s">
        <v>60</v>
      </c>
      <c r="J4998" t="s">
        <v>61</v>
      </c>
      <c r="L4998" t="s">
        <v>62</v>
      </c>
    </row>
    <row r="4999" spans="1:13">
      <c r="A4999">
        <v>46060</v>
      </c>
      <c r="B4999" t="s">
        <v>80</v>
      </c>
      <c r="E4999">
        <v>12836</v>
      </c>
      <c r="F4999">
        <v>1</v>
      </c>
      <c r="G4999" t="s">
        <v>74</v>
      </c>
      <c r="H4999" t="s">
        <v>75</v>
      </c>
      <c r="I4999" t="s">
        <v>60</v>
      </c>
      <c r="J4999" t="s">
        <v>61</v>
      </c>
      <c r="L4999" t="s">
        <v>4275</v>
      </c>
    </row>
    <row r="5000" spans="1:13">
      <c r="A5000">
        <v>46060</v>
      </c>
      <c r="B5000" t="s">
        <v>80</v>
      </c>
      <c r="E5000">
        <v>164</v>
      </c>
      <c r="F5000">
        <v>1</v>
      </c>
      <c r="G5000" t="s">
        <v>65</v>
      </c>
      <c r="H5000" t="s">
        <v>66</v>
      </c>
      <c r="I5000" t="s">
        <v>60</v>
      </c>
      <c r="J5000" t="s">
        <v>61</v>
      </c>
      <c r="L5000" t="s">
        <v>4275</v>
      </c>
    </row>
    <row r="5001" spans="1:13">
      <c r="A5001">
        <v>46060</v>
      </c>
      <c r="B5001" t="s">
        <v>4284</v>
      </c>
      <c r="F5001">
        <v>1</v>
      </c>
      <c r="G5001" t="s">
        <v>79</v>
      </c>
      <c r="H5001" t="s">
        <v>21</v>
      </c>
      <c r="L5001" t="s">
        <v>86</v>
      </c>
      <c r="M5001" t="s">
        <v>327</v>
      </c>
    </row>
    <row r="5002" spans="1:13">
      <c r="A5002">
        <v>46060</v>
      </c>
      <c r="B5002" t="s">
        <v>4285</v>
      </c>
      <c r="F5002">
        <v>1</v>
      </c>
      <c r="G5002" t="s">
        <v>79</v>
      </c>
      <c r="H5002" t="s">
        <v>21</v>
      </c>
      <c r="L5002" t="s">
        <v>86</v>
      </c>
      <c r="M5002" t="s">
        <v>327</v>
      </c>
    </row>
    <row r="5003" spans="1:13">
      <c r="A5003">
        <v>46060</v>
      </c>
      <c r="B5003" t="s">
        <v>4286</v>
      </c>
      <c r="D5003">
        <v>500</v>
      </c>
      <c r="F5003">
        <v>0</v>
      </c>
      <c r="G5003" t="s">
        <v>22</v>
      </c>
      <c r="H5003" t="s">
        <v>21</v>
      </c>
      <c r="I5003" t="s">
        <v>60</v>
      </c>
      <c r="J5003" t="s">
        <v>61</v>
      </c>
      <c r="L5003" t="s">
        <v>270</v>
      </c>
    </row>
    <row r="5004" spans="1:13">
      <c r="A5004">
        <v>46060</v>
      </c>
      <c r="B5004" t="s">
        <v>4287</v>
      </c>
      <c r="F5004">
        <v>1</v>
      </c>
      <c r="G5004" t="s">
        <v>590</v>
      </c>
      <c r="H5004" t="s">
        <v>21</v>
      </c>
      <c r="L5004" t="s">
        <v>270</v>
      </c>
    </row>
    <row r="5005" spans="1:13">
      <c r="A5005">
        <v>46060</v>
      </c>
      <c r="B5005" t="s">
        <v>63</v>
      </c>
      <c r="E5005">
        <v>300</v>
      </c>
      <c r="F5005">
        <v>1</v>
      </c>
      <c r="G5005" t="s">
        <v>65</v>
      </c>
      <c r="H5005" t="s">
        <v>66</v>
      </c>
      <c r="I5005" t="s">
        <v>60</v>
      </c>
      <c r="J5005" t="s">
        <v>61</v>
      </c>
      <c r="L5005" t="s">
        <v>62</v>
      </c>
      <c r="M5005" t="s">
        <v>392</v>
      </c>
    </row>
    <row r="5006" spans="1:13">
      <c r="A5006">
        <v>46060</v>
      </c>
      <c r="B5006" t="s">
        <v>63</v>
      </c>
      <c r="E5006">
        <v>1500</v>
      </c>
      <c r="F5006">
        <v>1</v>
      </c>
      <c r="G5006" t="s">
        <v>65</v>
      </c>
      <c r="H5006" t="s">
        <v>66</v>
      </c>
      <c r="I5006" t="s">
        <v>60</v>
      </c>
      <c r="J5006" t="s">
        <v>61</v>
      </c>
      <c r="L5006" t="s">
        <v>62</v>
      </c>
      <c r="M5006" t="s">
        <v>3280</v>
      </c>
    </row>
    <row r="5007" spans="1:13">
      <c r="A5007">
        <v>46060</v>
      </c>
      <c r="B5007" t="s">
        <v>63</v>
      </c>
      <c r="D5007">
        <v>300</v>
      </c>
      <c r="F5007">
        <v>3</v>
      </c>
      <c r="G5007" t="s">
        <v>22</v>
      </c>
      <c r="H5007" t="s">
        <v>93</v>
      </c>
      <c r="I5007" t="s">
        <v>60</v>
      </c>
      <c r="J5007" t="s">
        <v>61</v>
      </c>
      <c r="L5007" t="s">
        <v>62</v>
      </c>
    </row>
    <row r="5008" spans="1:13">
      <c r="A5008">
        <v>46060</v>
      </c>
      <c r="B5008" t="s">
        <v>63</v>
      </c>
      <c r="D5008">
        <v>21500</v>
      </c>
      <c r="F5008">
        <v>2</v>
      </c>
      <c r="G5008" t="s">
        <v>70</v>
      </c>
      <c r="I5008" t="s">
        <v>71</v>
      </c>
      <c r="J5008" t="s">
        <v>535</v>
      </c>
      <c r="K5008" t="s">
        <v>4288</v>
      </c>
      <c r="L5008" t="s">
        <v>62</v>
      </c>
      <c r="M5008" t="s">
        <v>90</v>
      </c>
    </row>
    <row r="5009" spans="1:13">
      <c r="A5009">
        <v>46060</v>
      </c>
      <c r="B5009" t="s">
        <v>4289</v>
      </c>
      <c r="F5009">
        <v>1</v>
      </c>
      <c r="G5009" t="s">
        <v>64</v>
      </c>
      <c r="L5009" t="s">
        <v>86</v>
      </c>
      <c r="M5009" t="s">
        <v>96</v>
      </c>
    </row>
    <row r="5010" spans="1:13">
      <c r="A5010">
        <v>46060</v>
      </c>
      <c r="B5010" t="s">
        <v>4290</v>
      </c>
      <c r="D5010">
        <v>500</v>
      </c>
      <c r="F5010">
        <v>1</v>
      </c>
      <c r="G5010" t="s">
        <v>22</v>
      </c>
      <c r="H5010" t="s">
        <v>21</v>
      </c>
      <c r="I5010" t="s">
        <v>60</v>
      </c>
      <c r="J5010" t="s">
        <v>61</v>
      </c>
      <c r="L5010" t="s">
        <v>270</v>
      </c>
    </row>
    <row r="5011" spans="1:13">
      <c r="A5011">
        <v>46060</v>
      </c>
      <c r="B5011" t="s">
        <v>4291</v>
      </c>
      <c r="D5011">
        <v>500</v>
      </c>
      <c r="F5011">
        <v>1</v>
      </c>
      <c r="G5011" t="s">
        <v>22</v>
      </c>
      <c r="H5011" t="s">
        <v>21</v>
      </c>
      <c r="I5011" t="s">
        <v>60</v>
      </c>
      <c r="J5011" t="s">
        <v>61</v>
      </c>
      <c r="L5011" t="s">
        <v>270</v>
      </c>
    </row>
    <row r="5012" spans="1:13">
      <c r="A5012">
        <v>46061</v>
      </c>
      <c r="B5012" t="s">
        <v>4292</v>
      </c>
      <c r="D5012">
        <v>500</v>
      </c>
      <c r="F5012">
        <v>1</v>
      </c>
      <c r="G5012" t="s">
        <v>22</v>
      </c>
      <c r="H5012" t="s">
        <v>21</v>
      </c>
      <c r="I5012" t="s">
        <v>60</v>
      </c>
      <c r="J5012" t="s">
        <v>61</v>
      </c>
      <c r="L5012" t="s">
        <v>270</v>
      </c>
    </row>
    <row r="5013" spans="1:13">
      <c r="A5013">
        <v>46061</v>
      </c>
      <c r="B5013" t="s">
        <v>4292</v>
      </c>
      <c r="F5013">
        <v>1</v>
      </c>
      <c r="G5013" t="s">
        <v>64</v>
      </c>
      <c r="L5013" t="s">
        <v>86</v>
      </c>
      <c r="M5013" t="s">
        <v>96</v>
      </c>
    </row>
    <row r="5014" spans="1:13">
      <c r="A5014">
        <v>46061</v>
      </c>
      <c r="B5014" t="s">
        <v>63</v>
      </c>
      <c r="D5014">
        <v>20500</v>
      </c>
      <c r="G5014" t="s">
        <v>70</v>
      </c>
      <c r="I5014" t="s">
        <v>60</v>
      </c>
      <c r="J5014" t="s">
        <v>61</v>
      </c>
      <c r="L5014" t="s">
        <v>62</v>
      </c>
    </row>
    <row r="5015" spans="1:13">
      <c r="A5015">
        <v>46061</v>
      </c>
      <c r="B5015" t="s">
        <v>4293</v>
      </c>
      <c r="F5015">
        <v>1</v>
      </c>
      <c r="G5015" t="s">
        <v>64</v>
      </c>
      <c r="L5015" t="s">
        <v>86</v>
      </c>
      <c r="M5015" t="s">
        <v>1035</v>
      </c>
    </row>
    <row r="5016" spans="1:13">
      <c r="A5016">
        <v>46061</v>
      </c>
      <c r="B5016" t="s">
        <v>63</v>
      </c>
      <c r="D5016">
        <v>100</v>
      </c>
      <c r="F5016">
        <v>1</v>
      </c>
      <c r="G5016" t="s">
        <v>22</v>
      </c>
      <c r="H5016" t="s">
        <v>93</v>
      </c>
      <c r="I5016" t="s">
        <v>60</v>
      </c>
      <c r="J5016" t="s">
        <v>61</v>
      </c>
      <c r="L5016" t="s">
        <v>62</v>
      </c>
    </row>
    <row r="5017" spans="1:13">
      <c r="A5017">
        <v>46061</v>
      </c>
      <c r="B5017" t="s">
        <v>4294</v>
      </c>
      <c r="F5017">
        <v>1</v>
      </c>
      <c r="G5017" t="s">
        <v>64</v>
      </c>
      <c r="L5017" t="s">
        <v>86</v>
      </c>
      <c r="M5017" t="s">
        <v>4097</v>
      </c>
    </row>
    <row r="5018" spans="1:13">
      <c r="A5018">
        <v>46061</v>
      </c>
      <c r="B5018" t="s">
        <v>4295</v>
      </c>
      <c r="D5018">
        <v>500</v>
      </c>
      <c r="F5018">
        <v>1</v>
      </c>
      <c r="G5018" t="s">
        <v>22</v>
      </c>
      <c r="H5018" t="s">
        <v>21</v>
      </c>
      <c r="I5018" t="s">
        <v>60</v>
      </c>
      <c r="J5018" t="s">
        <v>61</v>
      </c>
      <c r="L5018" t="s">
        <v>62</v>
      </c>
    </row>
    <row r="5019" spans="1:13">
      <c r="A5019">
        <v>46061</v>
      </c>
      <c r="B5019" t="s">
        <v>4296</v>
      </c>
      <c r="D5019">
        <v>60000</v>
      </c>
      <c r="F5019">
        <v>1</v>
      </c>
      <c r="G5019" t="s">
        <v>64</v>
      </c>
      <c r="I5019" t="s">
        <v>60</v>
      </c>
      <c r="J5019" t="s">
        <v>61</v>
      </c>
      <c r="L5019" t="s">
        <v>86</v>
      </c>
      <c r="M5019" t="s">
        <v>4297</v>
      </c>
    </row>
    <row r="5020" spans="1:13">
      <c r="A5020">
        <v>46061</v>
      </c>
      <c r="B5020" t="s">
        <v>63</v>
      </c>
      <c r="D5020">
        <v>23500</v>
      </c>
      <c r="F5020">
        <v>2</v>
      </c>
      <c r="G5020" t="s">
        <v>70</v>
      </c>
      <c r="I5020" t="s">
        <v>71</v>
      </c>
      <c r="J5020" t="s">
        <v>72</v>
      </c>
      <c r="K5020" t="s">
        <v>4298</v>
      </c>
      <c r="L5020" t="s">
        <v>62</v>
      </c>
      <c r="M5020" t="s">
        <v>90</v>
      </c>
    </row>
    <row r="5021" spans="1:13">
      <c r="A5021">
        <v>46061</v>
      </c>
      <c r="B5021" t="s">
        <v>63</v>
      </c>
      <c r="E5021">
        <v>100</v>
      </c>
      <c r="F5021">
        <v>1</v>
      </c>
      <c r="G5021" t="s">
        <v>65</v>
      </c>
      <c r="H5021" t="s">
        <v>66</v>
      </c>
      <c r="I5021" t="s">
        <v>60</v>
      </c>
      <c r="J5021" t="s">
        <v>61</v>
      </c>
      <c r="L5021" t="s">
        <v>62</v>
      </c>
      <c r="M5021" t="s">
        <v>392</v>
      </c>
    </row>
    <row r="5022" spans="1:13">
      <c r="A5022">
        <v>46061</v>
      </c>
      <c r="B5022" t="s">
        <v>63</v>
      </c>
      <c r="E5022">
        <v>1000</v>
      </c>
      <c r="F5022">
        <v>1</v>
      </c>
      <c r="G5022" t="s">
        <v>65</v>
      </c>
      <c r="H5022" t="s">
        <v>66</v>
      </c>
      <c r="I5022" t="s">
        <v>60</v>
      </c>
      <c r="J5022" t="s">
        <v>61</v>
      </c>
      <c r="L5022" t="s">
        <v>62</v>
      </c>
      <c r="M5022" t="s">
        <v>3280</v>
      </c>
    </row>
    <row r="5023" spans="1:13">
      <c r="A5023">
        <v>46062</v>
      </c>
      <c r="B5023" t="s">
        <v>81</v>
      </c>
      <c r="D5023">
        <v>29000</v>
      </c>
      <c r="F5023">
        <v>1</v>
      </c>
      <c r="G5023" t="s">
        <v>74</v>
      </c>
      <c r="H5023" t="s">
        <v>75</v>
      </c>
      <c r="I5023" t="s">
        <v>60</v>
      </c>
      <c r="J5023" t="s">
        <v>61</v>
      </c>
      <c r="L5023" t="s">
        <v>88</v>
      </c>
    </row>
    <row r="5024" spans="1:13">
      <c r="A5024">
        <v>46062</v>
      </c>
      <c r="B5024" t="s">
        <v>63</v>
      </c>
      <c r="D5024">
        <v>7500</v>
      </c>
      <c r="G5024" t="s">
        <v>70</v>
      </c>
      <c r="I5024" t="s">
        <v>60</v>
      </c>
      <c r="J5024" t="s">
        <v>61</v>
      </c>
      <c r="L5024" t="s">
        <v>62</v>
      </c>
    </row>
    <row r="5025" spans="1:13">
      <c r="A5025">
        <v>46062</v>
      </c>
      <c r="B5025" t="s">
        <v>4299</v>
      </c>
      <c r="D5025">
        <v>500</v>
      </c>
      <c r="F5025">
        <v>1</v>
      </c>
      <c r="G5025" t="s">
        <v>22</v>
      </c>
      <c r="H5025" t="s">
        <v>21</v>
      </c>
      <c r="I5025" t="s">
        <v>60</v>
      </c>
      <c r="J5025" t="s">
        <v>61</v>
      </c>
      <c r="L5025" t="s">
        <v>86</v>
      </c>
    </row>
    <row r="5026" spans="1:13">
      <c r="A5026">
        <v>46062</v>
      </c>
      <c r="B5026" t="s">
        <v>76</v>
      </c>
      <c r="D5026">
        <v>20000</v>
      </c>
      <c r="G5026" t="s">
        <v>77</v>
      </c>
      <c r="I5026" t="s">
        <v>60</v>
      </c>
      <c r="J5026" t="s">
        <v>61</v>
      </c>
      <c r="L5026" t="s">
        <v>62</v>
      </c>
    </row>
    <row r="5027" spans="1:13">
      <c r="A5027">
        <v>46062</v>
      </c>
      <c r="B5027" t="s">
        <v>4300</v>
      </c>
      <c r="F5027">
        <v>1</v>
      </c>
      <c r="G5027" t="s">
        <v>64</v>
      </c>
      <c r="L5027" t="s">
        <v>82</v>
      </c>
      <c r="M5027" t="s">
        <v>2455</v>
      </c>
    </row>
    <row r="5028" spans="1:13">
      <c r="A5028">
        <v>46062</v>
      </c>
      <c r="B5028" t="s">
        <v>4301</v>
      </c>
      <c r="F5028">
        <v>1</v>
      </c>
      <c r="G5028" t="s">
        <v>64</v>
      </c>
      <c r="L5028" t="s">
        <v>82</v>
      </c>
      <c r="M5028" t="s">
        <v>4302</v>
      </c>
    </row>
    <row r="5029" spans="1:13">
      <c r="A5029">
        <v>46062</v>
      </c>
      <c r="B5029" t="s">
        <v>4303</v>
      </c>
      <c r="D5029">
        <v>500</v>
      </c>
      <c r="F5029">
        <v>1</v>
      </c>
      <c r="G5029" t="s">
        <v>22</v>
      </c>
      <c r="H5029" t="s">
        <v>21</v>
      </c>
      <c r="I5029" t="s">
        <v>60</v>
      </c>
      <c r="J5029" t="s">
        <v>61</v>
      </c>
      <c r="L5029" t="s">
        <v>82</v>
      </c>
    </row>
    <row r="5030" spans="1:13">
      <c r="A5030">
        <v>46062</v>
      </c>
      <c r="B5030" t="s">
        <v>4304</v>
      </c>
      <c r="D5030">
        <v>500</v>
      </c>
      <c r="F5030">
        <v>1</v>
      </c>
      <c r="G5030" t="s">
        <v>22</v>
      </c>
      <c r="H5030" t="s">
        <v>21</v>
      </c>
      <c r="I5030" t="s">
        <v>60</v>
      </c>
      <c r="J5030" t="s">
        <v>61</v>
      </c>
      <c r="L5030" t="s">
        <v>82</v>
      </c>
    </row>
    <row r="5031" spans="1:13">
      <c r="A5031">
        <v>46062</v>
      </c>
      <c r="B5031" t="s">
        <v>4305</v>
      </c>
      <c r="D5031">
        <v>500</v>
      </c>
      <c r="F5031">
        <v>1</v>
      </c>
      <c r="G5031" t="s">
        <v>22</v>
      </c>
      <c r="H5031" t="s">
        <v>21</v>
      </c>
      <c r="I5031" t="s">
        <v>60</v>
      </c>
      <c r="J5031" t="s">
        <v>61</v>
      </c>
      <c r="L5031" t="s">
        <v>82</v>
      </c>
    </row>
    <row r="5032" spans="1:13">
      <c r="A5032">
        <v>46062</v>
      </c>
      <c r="B5032" t="s">
        <v>4306</v>
      </c>
      <c r="F5032">
        <v>1</v>
      </c>
      <c r="G5032" t="s">
        <v>319</v>
      </c>
      <c r="H5032" t="s">
        <v>21</v>
      </c>
      <c r="L5032" t="s">
        <v>82</v>
      </c>
      <c r="M5032" t="s">
        <v>4307</v>
      </c>
    </row>
    <row r="5033" spans="1:13">
      <c r="A5033">
        <v>46062</v>
      </c>
      <c r="B5033" t="s">
        <v>4308</v>
      </c>
      <c r="D5033">
        <v>500</v>
      </c>
      <c r="F5033">
        <v>1</v>
      </c>
      <c r="G5033" t="s">
        <v>22</v>
      </c>
      <c r="H5033" t="s">
        <v>21</v>
      </c>
      <c r="I5033" t="s">
        <v>60</v>
      </c>
      <c r="J5033" t="s">
        <v>61</v>
      </c>
      <c r="L5033" t="s">
        <v>82</v>
      </c>
    </row>
    <row r="5034" spans="1:13">
      <c r="A5034">
        <v>46062</v>
      </c>
      <c r="B5034" t="s">
        <v>4309</v>
      </c>
      <c r="D5034">
        <v>500</v>
      </c>
      <c r="F5034">
        <v>1</v>
      </c>
      <c r="G5034" t="s">
        <v>22</v>
      </c>
      <c r="H5034" t="s">
        <v>21</v>
      </c>
      <c r="I5034" t="s">
        <v>60</v>
      </c>
      <c r="J5034" t="s">
        <v>61</v>
      </c>
      <c r="L5034" t="s">
        <v>82</v>
      </c>
    </row>
    <row r="5035" spans="1:13">
      <c r="A5035">
        <v>46062</v>
      </c>
      <c r="B5035" t="s">
        <v>4310</v>
      </c>
      <c r="F5035">
        <v>1</v>
      </c>
      <c r="G5035" t="s">
        <v>564</v>
      </c>
      <c r="H5035" t="s">
        <v>21</v>
      </c>
      <c r="L5035" t="s">
        <v>82</v>
      </c>
      <c r="M5035" t="s">
        <v>327</v>
      </c>
    </row>
    <row r="5036" spans="1:13">
      <c r="A5036">
        <v>46062</v>
      </c>
      <c r="B5036" t="s">
        <v>63</v>
      </c>
      <c r="D5036">
        <v>300</v>
      </c>
      <c r="F5036">
        <v>1</v>
      </c>
      <c r="G5036" t="s">
        <v>22</v>
      </c>
      <c r="H5036" t="s">
        <v>93</v>
      </c>
      <c r="I5036" t="s">
        <v>60</v>
      </c>
      <c r="J5036" t="s">
        <v>61</v>
      </c>
      <c r="L5036" t="s">
        <v>62</v>
      </c>
    </row>
    <row r="5037" spans="1:13">
      <c r="A5037">
        <v>46062</v>
      </c>
      <c r="B5037" t="s">
        <v>63</v>
      </c>
      <c r="E5037">
        <v>3000</v>
      </c>
      <c r="F5037">
        <v>1</v>
      </c>
      <c r="G5037" t="s">
        <v>65</v>
      </c>
      <c r="H5037" t="s">
        <v>66</v>
      </c>
      <c r="I5037" t="s">
        <v>60</v>
      </c>
      <c r="J5037" t="s">
        <v>61</v>
      </c>
      <c r="L5037" t="s">
        <v>62</v>
      </c>
      <c r="M5037" t="s">
        <v>3280</v>
      </c>
    </row>
    <row r="5038" spans="1:13">
      <c r="A5038">
        <v>46062</v>
      </c>
      <c r="B5038" t="s">
        <v>63</v>
      </c>
      <c r="E5038">
        <v>300</v>
      </c>
      <c r="F5038">
        <v>1</v>
      </c>
      <c r="G5038" t="s">
        <v>65</v>
      </c>
      <c r="H5038" t="s">
        <v>66</v>
      </c>
      <c r="I5038" t="s">
        <v>60</v>
      </c>
      <c r="J5038" t="s">
        <v>61</v>
      </c>
      <c r="L5038" t="s">
        <v>62</v>
      </c>
      <c r="M5038" t="s">
        <v>392</v>
      </c>
    </row>
    <row r="5039" spans="1:13">
      <c r="A5039">
        <v>46062</v>
      </c>
      <c r="B5039" t="s">
        <v>3988</v>
      </c>
      <c r="C5039" t="s">
        <v>4311</v>
      </c>
      <c r="F5039">
        <v>38</v>
      </c>
      <c r="G5039" t="s">
        <v>22</v>
      </c>
      <c r="H5039" t="s">
        <v>21</v>
      </c>
      <c r="L5039" t="s">
        <v>95</v>
      </c>
    </row>
    <row r="5040" spans="1:13">
      <c r="A5040">
        <v>46063</v>
      </c>
      <c r="B5040" t="s">
        <v>81</v>
      </c>
      <c r="D5040">
        <v>36000</v>
      </c>
      <c r="F5040">
        <v>1</v>
      </c>
      <c r="G5040" t="s">
        <v>74</v>
      </c>
      <c r="H5040" t="s">
        <v>75</v>
      </c>
      <c r="I5040" t="s">
        <v>60</v>
      </c>
      <c r="J5040" t="s">
        <v>61</v>
      </c>
      <c r="L5040" t="s">
        <v>88</v>
      </c>
    </row>
    <row r="5041" spans="1:13">
      <c r="A5041">
        <v>46063</v>
      </c>
      <c r="B5041" t="s">
        <v>4312</v>
      </c>
      <c r="D5041">
        <v>500</v>
      </c>
      <c r="F5041">
        <v>1</v>
      </c>
      <c r="G5041" t="s">
        <v>22</v>
      </c>
      <c r="H5041" t="s">
        <v>21</v>
      </c>
      <c r="I5041" t="s">
        <v>60</v>
      </c>
      <c r="J5041" t="s">
        <v>61</v>
      </c>
      <c r="L5041" t="s">
        <v>82</v>
      </c>
    </row>
    <row r="5042" spans="1:13">
      <c r="A5042">
        <v>46063</v>
      </c>
      <c r="B5042" t="s">
        <v>4313</v>
      </c>
      <c r="D5042">
        <v>500</v>
      </c>
      <c r="F5042">
        <v>1</v>
      </c>
      <c r="G5042" t="s">
        <v>22</v>
      </c>
      <c r="H5042" t="s">
        <v>21</v>
      </c>
      <c r="I5042" t="s">
        <v>60</v>
      </c>
      <c r="J5042" t="s">
        <v>61</v>
      </c>
      <c r="L5042" t="s">
        <v>82</v>
      </c>
    </row>
    <row r="5043" spans="1:13">
      <c r="A5043">
        <v>46063</v>
      </c>
      <c r="B5043" t="s">
        <v>4314</v>
      </c>
      <c r="D5043">
        <v>500</v>
      </c>
      <c r="F5043">
        <v>0</v>
      </c>
      <c r="G5043" t="s">
        <v>22</v>
      </c>
      <c r="H5043" t="s">
        <v>21</v>
      </c>
      <c r="I5043" t="s">
        <v>60</v>
      </c>
      <c r="J5043" t="s">
        <v>61</v>
      </c>
      <c r="L5043" t="s">
        <v>86</v>
      </c>
      <c r="M5043" t="s">
        <v>548</v>
      </c>
    </row>
    <row r="5044" spans="1:13">
      <c r="A5044">
        <v>46063</v>
      </c>
      <c r="B5044" t="s">
        <v>4315</v>
      </c>
      <c r="F5044">
        <v>1</v>
      </c>
      <c r="G5044" t="s">
        <v>587</v>
      </c>
      <c r="H5044" t="s">
        <v>21</v>
      </c>
      <c r="L5044" t="s">
        <v>82</v>
      </c>
      <c r="M5044" t="s">
        <v>327</v>
      </c>
    </row>
    <row r="5045" spans="1:13">
      <c r="A5045">
        <v>46063</v>
      </c>
      <c r="B5045" t="s">
        <v>63</v>
      </c>
      <c r="D5045">
        <v>24500</v>
      </c>
      <c r="G5045" t="s">
        <v>70</v>
      </c>
      <c r="I5045" t="s">
        <v>60</v>
      </c>
      <c r="J5045" t="s">
        <v>61</v>
      </c>
      <c r="L5045" t="s">
        <v>62</v>
      </c>
    </row>
    <row r="5046" spans="1:13">
      <c r="A5046">
        <v>46063</v>
      </c>
      <c r="B5046" t="s">
        <v>4316</v>
      </c>
      <c r="D5046">
        <v>500</v>
      </c>
      <c r="F5046">
        <v>1</v>
      </c>
      <c r="G5046" t="s">
        <v>22</v>
      </c>
      <c r="H5046" t="s">
        <v>21</v>
      </c>
      <c r="I5046" t="s">
        <v>60</v>
      </c>
      <c r="J5046" t="s">
        <v>61</v>
      </c>
      <c r="L5046" t="s">
        <v>86</v>
      </c>
    </row>
    <row r="5047" spans="1:13">
      <c r="A5047">
        <v>46063</v>
      </c>
      <c r="B5047" t="s">
        <v>63</v>
      </c>
      <c r="E5047">
        <v>2000</v>
      </c>
      <c r="F5047">
        <v>1</v>
      </c>
      <c r="G5047" t="s">
        <v>65</v>
      </c>
      <c r="H5047" t="s">
        <v>66</v>
      </c>
      <c r="I5047" t="s">
        <v>60</v>
      </c>
      <c r="J5047" t="s">
        <v>61</v>
      </c>
      <c r="L5047" t="s">
        <v>62</v>
      </c>
      <c r="M5047" t="s">
        <v>3280</v>
      </c>
    </row>
    <row r="5048" spans="1:13">
      <c r="A5048">
        <v>46064</v>
      </c>
      <c r="B5048" t="s">
        <v>81</v>
      </c>
      <c r="D5048">
        <v>64000</v>
      </c>
      <c r="F5048">
        <v>1</v>
      </c>
      <c r="G5048" t="s">
        <v>74</v>
      </c>
      <c r="H5048" t="s">
        <v>75</v>
      </c>
      <c r="I5048" t="s">
        <v>60</v>
      </c>
      <c r="J5048" t="s">
        <v>61</v>
      </c>
      <c r="L5048" t="s">
        <v>88</v>
      </c>
    </row>
    <row r="5049" spans="1:13">
      <c r="A5049">
        <v>46064</v>
      </c>
      <c r="B5049" t="s">
        <v>84</v>
      </c>
      <c r="D5049">
        <v>-41600</v>
      </c>
      <c r="G5049" t="s">
        <v>77</v>
      </c>
      <c r="I5049" t="s">
        <v>60</v>
      </c>
      <c r="J5049" t="s">
        <v>61</v>
      </c>
      <c r="L5049" t="s">
        <v>62</v>
      </c>
    </row>
    <row r="5050" spans="1:13">
      <c r="A5050">
        <v>46064</v>
      </c>
      <c r="B5050" t="s">
        <v>84</v>
      </c>
      <c r="E5050">
        <v>-2200</v>
      </c>
      <c r="F5050">
        <v>1</v>
      </c>
      <c r="G5050" t="s">
        <v>65</v>
      </c>
      <c r="H5050" t="s">
        <v>85</v>
      </c>
      <c r="I5050" t="s">
        <v>60</v>
      </c>
      <c r="J5050" t="s">
        <v>61</v>
      </c>
      <c r="L5050" t="s">
        <v>62</v>
      </c>
    </row>
    <row r="5051" spans="1:13">
      <c r="A5051">
        <v>46064</v>
      </c>
      <c r="B5051" t="s">
        <v>4317</v>
      </c>
      <c r="D5051">
        <v>500</v>
      </c>
      <c r="F5051">
        <v>1</v>
      </c>
      <c r="G5051" t="s">
        <v>22</v>
      </c>
      <c r="H5051" t="s">
        <v>21</v>
      </c>
      <c r="I5051" t="s">
        <v>60</v>
      </c>
      <c r="J5051" t="s">
        <v>61</v>
      </c>
      <c r="L5051" t="s">
        <v>82</v>
      </c>
    </row>
    <row r="5052" spans="1:13">
      <c r="A5052">
        <v>46064</v>
      </c>
      <c r="B5052" t="s">
        <v>4318</v>
      </c>
      <c r="D5052">
        <v>500</v>
      </c>
      <c r="F5052">
        <v>1</v>
      </c>
      <c r="G5052" t="s">
        <v>22</v>
      </c>
      <c r="H5052" t="s">
        <v>21</v>
      </c>
      <c r="I5052" t="s">
        <v>60</v>
      </c>
      <c r="J5052" t="s">
        <v>61</v>
      </c>
      <c r="L5052" t="s">
        <v>82</v>
      </c>
    </row>
    <row r="5053" spans="1:13">
      <c r="A5053">
        <v>46064</v>
      </c>
      <c r="B5053" t="s">
        <v>4319</v>
      </c>
      <c r="D5053">
        <v>500</v>
      </c>
      <c r="F5053">
        <v>1</v>
      </c>
      <c r="G5053" t="s">
        <v>22</v>
      </c>
      <c r="H5053" t="s">
        <v>21</v>
      </c>
      <c r="I5053" t="s">
        <v>60</v>
      </c>
      <c r="J5053" t="s">
        <v>61</v>
      </c>
      <c r="L5053" t="s">
        <v>82</v>
      </c>
    </row>
    <row r="5054" spans="1:13">
      <c r="A5054">
        <v>46064</v>
      </c>
      <c r="B5054" t="s">
        <v>4319</v>
      </c>
      <c r="F5054">
        <v>1</v>
      </c>
      <c r="G5054" t="s">
        <v>64</v>
      </c>
      <c r="L5054" t="s">
        <v>82</v>
      </c>
      <c r="M5054" t="s">
        <v>96</v>
      </c>
    </row>
    <row r="5055" spans="1:13">
      <c r="A5055">
        <v>46064</v>
      </c>
      <c r="B5055" t="s">
        <v>63</v>
      </c>
      <c r="D5055">
        <v>8000</v>
      </c>
      <c r="G5055" t="s">
        <v>70</v>
      </c>
      <c r="I5055" t="s">
        <v>60</v>
      </c>
      <c r="J5055" t="s">
        <v>61</v>
      </c>
      <c r="L5055" t="s">
        <v>62</v>
      </c>
    </row>
    <row r="5056" spans="1:13">
      <c r="A5056">
        <v>46064</v>
      </c>
      <c r="B5056" t="s">
        <v>4320</v>
      </c>
      <c r="D5056">
        <v>500</v>
      </c>
      <c r="F5056">
        <v>1</v>
      </c>
      <c r="G5056" t="s">
        <v>22</v>
      </c>
      <c r="H5056" t="s">
        <v>21</v>
      </c>
      <c r="I5056" t="s">
        <v>60</v>
      </c>
      <c r="J5056" t="s">
        <v>61</v>
      </c>
      <c r="L5056" t="s">
        <v>82</v>
      </c>
    </row>
    <row r="5057" spans="1:13">
      <c r="A5057">
        <v>46064</v>
      </c>
      <c r="B5057" t="s">
        <v>4321</v>
      </c>
      <c r="D5057">
        <v>500</v>
      </c>
      <c r="F5057">
        <v>0</v>
      </c>
      <c r="G5057" t="s">
        <v>22</v>
      </c>
      <c r="H5057" t="s">
        <v>21</v>
      </c>
      <c r="I5057" t="s">
        <v>60</v>
      </c>
      <c r="J5057" t="s">
        <v>61</v>
      </c>
      <c r="L5057" t="s">
        <v>82</v>
      </c>
      <c r="M5057" t="s">
        <v>548</v>
      </c>
    </row>
    <row r="5058" spans="1:13">
      <c r="A5058">
        <v>46064</v>
      </c>
      <c r="B5058" t="s">
        <v>817</v>
      </c>
      <c r="D5058">
        <v>500</v>
      </c>
      <c r="F5058">
        <v>0</v>
      </c>
      <c r="G5058" t="s">
        <v>22</v>
      </c>
      <c r="H5058" t="s">
        <v>21</v>
      </c>
      <c r="I5058" t="s">
        <v>60</v>
      </c>
      <c r="J5058" t="s">
        <v>61</v>
      </c>
      <c r="L5058" t="s">
        <v>82</v>
      </c>
      <c r="M5058" t="s">
        <v>548</v>
      </c>
    </row>
    <row r="5059" spans="1:13">
      <c r="A5059">
        <v>46064</v>
      </c>
      <c r="B5059" t="s">
        <v>2452</v>
      </c>
      <c r="D5059">
        <v>500</v>
      </c>
      <c r="F5059">
        <v>1</v>
      </c>
      <c r="G5059" t="s">
        <v>22</v>
      </c>
      <c r="H5059" t="s">
        <v>21</v>
      </c>
      <c r="I5059" t="s">
        <v>60</v>
      </c>
      <c r="J5059" t="s">
        <v>61</v>
      </c>
      <c r="L5059" t="s">
        <v>89</v>
      </c>
    </row>
    <row r="5060" spans="1:13">
      <c r="A5060">
        <v>46064</v>
      </c>
      <c r="B5060" t="s">
        <v>4322</v>
      </c>
      <c r="D5060">
        <v>500</v>
      </c>
      <c r="F5060">
        <v>0</v>
      </c>
      <c r="G5060" t="s">
        <v>22</v>
      </c>
      <c r="H5060" t="s">
        <v>21</v>
      </c>
      <c r="I5060" t="s">
        <v>60</v>
      </c>
      <c r="J5060" t="s">
        <v>61</v>
      </c>
      <c r="L5060" t="s">
        <v>82</v>
      </c>
      <c r="M5060" t="s">
        <v>548</v>
      </c>
    </row>
    <row r="5061" spans="1:13">
      <c r="A5061">
        <v>46064</v>
      </c>
      <c r="B5061" t="s">
        <v>4323</v>
      </c>
      <c r="D5061">
        <v>500</v>
      </c>
      <c r="F5061">
        <v>1</v>
      </c>
      <c r="G5061" t="s">
        <v>22</v>
      </c>
      <c r="H5061" t="s">
        <v>21</v>
      </c>
      <c r="I5061" t="s">
        <v>60</v>
      </c>
      <c r="J5061" t="s">
        <v>61</v>
      </c>
      <c r="L5061" t="s">
        <v>89</v>
      </c>
    </row>
    <row r="5062" spans="1:13">
      <c r="A5062">
        <v>46064</v>
      </c>
      <c r="B5062" t="s">
        <v>3306</v>
      </c>
      <c r="D5062">
        <v>500</v>
      </c>
      <c r="F5062">
        <v>0</v>
      </c>
      <c r="G5062" t="s">
        <v>22</v>
      </c>
      <c r="H5062" t="s">
        <v>21</v>
      </c>
      <c r="I5062" t="s">
        <v>60</v>
      </c>
      <c r="J5062" t="s">
        <v>61</v>
      </c>
      <c r="L5062" t="s">
        <v>89</v>
      </c>
      <c r="M5062" t="s">
        <v>548</v>
      </c>
    </row>
    <row r="5063" spans="1:13">
      <c r="A5063">
        <v>46064</v>
      </c>
      <c r="B5063" t="s">
        <v>4324</v>
      </c>
      <c r="F5063">
        <v>1</v>
      </c>
      <c r="G5063" t="s">
        <v>564</v>
      </c>
      <c r="H5063" t="s">
        <v>21</v>
      </c>
      <c r="L5063" t="s">
        <v>89</v>
      </c>
      <c r="M5063" t="s">
        <v>327</v>
      </c>
    </row>
    <row r="5064" spans="1:13">
      <c r="A5064">
        <v>46064</v>
      </c>
      <c r="B5064" t="s">
        <v>63</v>
      </c>
      <c r="E5064">
        <v>5500</v>
      </c>
      <c r="F5064">
        <v>1</v>
      </c>
      <c r="G5064" t="s">
        <v>65</v>
      </c>
      <c r="H5064" t="s">
        <v>66</v>
      </c>
      <c r="I5064" t="s">
        <v>60</v>
      </c>
      <c r="J5064" t="s">
        <v>61</v>
      </c>
      <c r="L5064" t="s">
        <v>62</v>
      </c>
      <c r="M5064" t="s">
        <v>3280</v>
      </c>
    </row>
    <row r="5065" spans="1:13">
      <c r="A5065">
        <v>46064</v>
      </c>
      <c r="B5065" t="s">
        <v>4325</v>
      </c>
      <c r="F5065">
        <v>1</v>
      </c>
      <c r="G5065" t="s">
        <v>564</v>
      </c>
      <c r="H5065" t="s">
        <v>21</v>
      </c>
      <c r="L5065" t="s">
        <v>89</v>
      </c>
      <c r="M5065" t="s">
        <v>327</v>
      </c>
    </row>
    <row r="5066" spans="1:13">
      <c r="A5066">
        <v>46065</v>
      </c>
      <c r="B5066" t="s">
        <v>81</v>
      </c>
      <c r="D5066">
        <v>68000</v>
      </c>
      <c r="F5066">
        <v>1</v>
      </c>
      <c r="G5066" t="s">
        <v>74</v>
      </c>
      <c r="H5066" t="s">
        <v>75</v>
      </c>
      <c r="I5066" t="s">
        <v>60</v>
      </c>
      <c r="J5066" t="s">
        <v>61</v>
      </c>
      <c r="L5066" t="s">
        <v>88</v>
      </c>
    </row>
    <row r="5067" spans="1:13">
      <c r="A5067">
        <v>46065</v>
      </c>
      <c r="B5067" t="s">
        <v>4326</v>
      </c>
      <c r="D5067">
        <v>500</v>
      </c>
      <c r="F5067">
        <v>1</v>
      </c>
      <c r="G5067" t="s">
        <v>22</v>
      </c>
      <c r="H5067" t="s">
        <v>21</v>
      </c>
      <c r="I5067" t="s">
        <v>60</v>
      </c>
      <c r="J5067" t="s">
        <v>61</v>
      </c>
      <c r="L5067" t="s">
        <v>89</v>
      </c>
    </row>
    <row r="5068" spans="1:13">
      <c r="A5068">
        <v>46065</v>
      </c>
      <c r="B5068" t="s">
        <v>63</v>
      </c>
      <c r="E5068">
        <v>2000</v>
      </c>
      <c r="F5068">
        <v>1</v>
      </c>
      <c r="G5068" t="s">
        <v>65</v>
      </c>
      <c r="H5068" t="s">
        <v>66</v>
      </c>
      <c r="I5068" t="s">
        <v>60</v>
      </c>
      <c r="J5068" t="s">
        <v>61</v>
      </c>
      <c r="L5068" t="s">
        <v>62</v>
      </c>
      <c r="M5068" t="s">
        <v>3280</v>
      </c>
    </row>
    <row r="5069" spans="1:13">
      <c r="A5069">
        <v>46065</v>
      </c>
      <c r="B5069" t="s">
        <v>4327</v>
      </c>
      <c r="D5069">
        <v>500</v>
      </c>
      <c r="F5069">
        <v>0</v>
      </c>
      <c r="G5069" t="s">
        <v>22</v>
      </c>
      <c r="H5069" t="s">
        <v>21</v>
      </c>
      <c r="I5069" t="s">
        <v>60</v>
      </c>
      <c r="J5069" t="s">
        <v>61</v>
      </c>
      <c r="L5069" t="s">
        <v>86</v>
      </c>
      <c r="M5069" t="s">
        <v>548</v>
      </c>
    </row>
    <row r="5070" spans="1:13">
      <c r="A5070">
        <v>46065</v>
      </c>
      <c r="B5070" t="s">
        <v>4328</v>
      </c>
      <c r="D5070">
        <v>500</v>
      </c>
      <c r="F5070">
        <v>0</v>
      </c>
      <c r="G5070" t="s">
        <v>22</v>
      </c>
      <c r="H5070" t="s">
        <v>21</v>
      </c>
      <c r="I5070" t="s">
        <v>60</v>
      </c>
      <c r="J5070" t="s">
        <v>61</v>
      </c>
      <c r="L5070" t="s">
        <v>86</v>
      </c>
      <c r="M5070" t="s">
        <v>548</v>
      </c>
    </row>
    <row r="5071" spans="1:13">
      <c r="A5071">
        <v>46065</v>
      </c>
      <c r="B5071" t="s">
        <v>4329</v>
      </c>
      <c r="D5071">
        <v>500</v>
      </c>
      <c r="F5071">
        <v>1</v>
      </c>
      <c r="G5071" t="s">
        <v>22</v>
      </c>
      <c r="H5071" t="s">
        <v>21</v>
      </c>
      <c r="I5071" t="s">
        <v>60</v>
      </c>
      <c r="J5071" t="s">
        <v>61</v>
      </c>
      <c r="L5071" t="s">
        <v>86</v>
      </c>
    </row>
    <row r="5072" spans="1:13">
      <c r="A5072">
        <v>46066</v>
      </c>
      <c r="B5072" t="s">
        <v>105</v>
      </c>
      <c r="E5072">
        <v>881536</v>
      </c>
      <c r="F5072">
        <v>1</v>
      </c>
      <c r="G5072" t="s">
        <v>74</v>
      </c>
      <c r="H5072" t="s">
        <v>75</v>
      </c>
      <c r="I5072" t="s">
        <v>60</v>
      </c>
      <c r="J5072" t="s">
        <v>61</v>
      </c>
      <c r="L5072" t="s">
        <v>104</v>
      </c>
    </row>
    <row r="5073" spans="1:13">
      <c r="A5073">
        <v>46066</v>
      </c>
      <c r="B5073" t="s">
        <v>81</v>
      </c>
      <c r="D5073">
        <v>14000</v>
      </c>
      <c r="F5073">
        <v>1</v>
      </c>
      <c r="G5073" t="s">
        <v>74</v>
      </c>
      <c r="H5073" t="s">
        <v>75</v>
      </c>
      <c r="I5073" t="s">
        <v>60</v>
      </c>
      <c r="J5073" t="s">
        <v>61</v>
      </c>
      <c r="L5073" t="s">
        <v>88</v>
      </c>
    </row>
    <row r="5074" spans="1:13">
      <c r="A5074">
        <v>46066</v>
      </c>
      <c r="B5074" t="s">
        <v>334</v>
      </c>
      <c r="D5074">
        <v>500</v>
      </c>
      <c r="F5074">
        <v>1</v>
      </c>
      <c r="G5074" t="s">
        <v>22</v>
      </c>
      <c r="H5074" t="s">
        <v>21</v>
      </c>
      <c r="I5074" t="s">
        <v>60</v>
      </c>
      <c r="J5074" t="s">
        <v>61</v>
      </c>
      <c r="L5074" t="s">
        <v>89</v>
      </c>
    </row>
    <row r="5075" spans="1:13">
      <c r="A5075">
        <v>46066</v>
      </c>
      <c r="B5075" t="s">
        <v>2278</v>
      </c>
      <c r="D5075">
        <v>500</v>
      </c>
      <c r="F5075">
        <v>1</v>
      </c>
      <c r="G5075" t="s">
        <v>22</v>
      </c>
      <c r="H5075" t="s">
        <v>21</v>
      </c>
      <c r="I5075" t="s">
        <v>60</v>
      </c>
      <c r="J5075" t="s">
        <v>61</v>
      </c>
      <c r="L5075" t="s">
        <v>89</v>
      </c>
    </row>
    <row r="5076" spans="1:13">
      <c r="A5076">
        <v>46066</v>
      </c>
      <c r="B5076" t="s">
        <v>4330</v>
      </c>
      <c r="F5076">
        <v>1</v>
      </c>
      <c r="G5076" t="s">
        <v>377</v>
      </c>
      <c r="H5076" t="s">
        <v>21</v>
      </c>
      <c r="L5076" t="s">
        <v>86</v>
      </c>
      <c r="M5076" t="s">
        <v>327</v>
      </c>
    </row>
    <row r="5077" spans="1:13">
      <c r="A5077">
        <v>46066</v>
      </c>
      <c r="B5077" t="s">
        <v>63</v>
      </c>
      <c r="D5077">
        <v>100</v>
      </c>
      <c r="F5077">
        <v>1</v>
      </c>
      <c r="G5077" t="s">
        <v>22</v>
      </c>
      <c r="H5077" t="s">
        <v>93</v>
      </c>
      <c r="I5077" t="s">
        <v>60</v>
      </c>
      <c r="J5077" t="s">
        <v>61</v>
      </c>
      <c r="L5077" t="s">
        <v>62</v>
      </c>
    </row>
    <row r="5078" spans="1:13">
      <c r="A5078">
        <v>46066</v>
      </c>
      <c r="B5078" t="s">
        <v>4331</v>
      </c>
      <c r="F5078">
        <v>1</v>
      </c>
      <c r="G5078" t="s">
        <v>98</v>
      </c>
      <c r="H5078" t="s">
        <v>21</v>
      </c>
      <c r="L5078" t="s">
        <v>89</v>
      </c>
      <c r="M5078" t="s">
        <v>327</v>
      </c>
    </row>
    <row r="5079" spans="1:13">
      <c r="A5079">
        <v>46066</v>
      </c>
      <c r="B5079" t="s">
        <v>4331</v>
      </c>
      <c r="D5079">
        <v>500</v>
      </c>
      <c r="F5079">
        <v>0</v>
      </c>
      <c r="G5079" t="s">
        <v>22</v>
      </c>
      <c r="H5079" t="s">
        <v>21</v>
      </c>
      <c r="I5079" t="s">
        <v>60</v>
      </c>
      <c r="J5079" t="s">
        <v>61</v>
      </c>
      <c r="L5079" t="s">
        <v>89</v>
      </c>
      <c r="M5079" t="s">
        <v>548</v>
      </c>
    </row>
    <row r="5080" spans="1:13">
      <c r="A5080">
        <v>46066</v>
      </c>
      <c r="B5080" t="s">
        <v>4332</v>
      </c>
      <c r="F5080">
        <v>1</v>
      </c>
      <c r="G5080" t="s">
        <v>377</v>
      </c>
      <c r="H5080" t="s">
        <v>21</v>
      </c>
      <c r="L5080" t="s">
        <v>89</v>
      </c>
      <c r="M5080" t="s">
        <v>327</v>
      </c>
    </row>
    <row r="5081" spans="1:13">
      <c r="A5081">
        <v>46066</v>
      </c>
      <c r="B5081" t="s">
        <v>63</v>
      </c>
      <c r="D5081">
        <v>9000</v>
      </c>
      <c r="G5081" t="s">
        <v>70</v>
      </c>
      <c r="I5081" t="s">
        <v>60</v>
      </c>
      <c r="J5081" t="s">
        <v>61</v>
      </c>
      <c r="L5081" t="s">
        <v>62</v>
      </c>
    </row>
    <row r="5082" spans="1:13">
      <c r="A5082">
        <v>46066</v>
      </c>
      <c r="B5082" t="s">
        <v>76</v>
      </c>
      <c r="D5082">
        <v>2000</v>
      </c>
      <c r="G5082" t="s">
        <v>77</v>
      </c>
      <c r="I5082" t="s">
        <v>60</v>
      </c>
      <c r="J5082" t="s">
        <v>61</v>
      </c>
      <c r="L5082" t="s">
        <v>62</v>
      </c>
    </row>
    <row r="5083" spans="1:13">
      <c r="A5083">
        <v>46066</v>
      </c>
      <c r="B5083" t="s">
        <v>4333</v>
      </c>
      <c r="D5083">
        <v>500</v>
      </c>
      <c r="F5083">
        <v>1</v>
      </c>
      <c r="G5083" t="s">
        <v>22</v>
      </c>
      <c r="H5083" t="s">
        <v>21</v>
      </c>
      <c r="I5083" t="s">
        <v>60</v>
      </c>
      <c r="J5083" t="s">
        <v>61</v>
      </c>
      <c r="L5083" t="s">
        <v>86</v>
      </c>
    </row>
    <row r="5084" spans="1:13">
      <c r="A5084">
        <v>46066</v>
      </c>
      <c r="B5084" t="s">
        <v>63</v>
      </c>
      <c r="E5084">
        <v>2000</v>
      </c>
      <c r="F5084">
        <v>1</v>
      </c>
      <c r="G5084" t="s">
        <v>65</v>
      </c>
      <c r="H5084" t="s">
        <v>66</v>
      </c>
      <c r="I5084" t="s">
        <v>60</v>
      </c>
      <c r="J5084" t="s">
        <v>61</v>
      </c>
      <c r="L5084" t="s">
        <v>62</v>
      </c>
      <c r="M5084" t="s">
        <v>3280</v>
      </c>
    </row>
    <row r="5085" spans="1:13">
      <c r="A5085">
        <v>46066</v>
      </c>
      <c r="B5085" t="s">
        <v>63</v>
      </c>
      <c r="E5085">
        <v>100</v>
      </c>
      <c r="F5085">
        <v>1</v>
      </c>
      <c r="G5085" t="s">
        <v>65</v>
      </c>
      <c r="H5085" t="s">
        <v>66</v>
      </c>
      <c r="I5085" t="s">
        <v>60</v>
      </c>
      <c r="J5085" t="s">
        <v>61</v>
      </c>
      <c r="L5085" t="s">
        <v>62</v>
      </c>
      <c r="M5085" t="s">
        <v>392</v>
      </c>
    </row>
    <row r="5086" spans="1:13">
      <c r="A5086">
        <v>46067</v>
      </c>
      <c r="B5086" t="s">
        <v>4334</v>
      </c>
      <c r="F5086">
        <v>-10</v>
      </c>
      <c r="G5086" t="s">
        <v>22</v>
      </c>
      <c r="H5086" t="s">
        <v>93</v>
      </c>
      <c r="L5086" t="s">
        <v>101</v>
      </c>
    </row>
    <row r="5087" spans="1:13">
      <c r="A5087">
        <v>46067</v>
      </c>
      <c r="B5087" t="s">
        <v>4335</v>
      </c>
      <c r="F5087">
        <v>1</v>
      </c>
      <c r="G5087" t="s">
        <v>64</v>
      </c>
      <c r="L5087" t="s">
        <v>89</v>
      </c>
      <c r="M5087" t="s">
        <v>96</v>
      </c>
    </row>
    <row r="5088" spans="1:13">
      <c r="A5088">
        <v>46067</v>
      </c>
      <c r="B5088" t="s">
        <v>4336</v>
      </c>
      <c r="D5088">
        <v>500</v>
      </c>
      <c r="F5088">
        <v>1</v>
      </c>
      <c r="G5088" t="s">
        <v>22</v>
      </c>
      <c r="H5088" t="s">
        <v>21</v>
      </c>
      <c r="I5088" t="s">
        <v>60</v>
      </c>
      <c r="J5088" t="s">
        <v>61</v>
      </c>
      <c r="L5088" t="s">
        <v>82</v>
      </c>
    </row>
    <row r="5089" spans="1:13">
      <c r="A5089">
        <v>46067</v>
      </c>
      <c r="B5089" t="s">
        <v>4337</v>
      </c>
      <c r="D5089">
        <v>500</v>
      </c>
      <c r="F5089">
        <v>1</v>
      </c>
      <c r="G5089" t="s">
        <v>22</v>
      </c>
      <c r="H5089" t="s">
        <v>21</v>
      </c>
      <c r="I5089" t="s">
        <v>60</v>
      </c>
      <c r="J5089" t="s">
        <v>61</v>
      </c>
      <c r="L5089" t="s">
        <v>82</v>
      </c>
    </row>
    <row r="5090" spans="1:13">
      <c r="A5090">
        <v>46067</v>
      </c>
      <c r="B5090" t="s">
        <v>1139</v>
      </c>
      <c r="F5090">
        <v>1</v>
      </c>
      <c r="G5090" t="s">
        <v>64</v>
      </c>
      <c r="L5090" t="s">
        <v>89</v>
      </c>
      <c r="M5090" t="s">
        <v>4230</v>
      </c>
    </row>
    <row r="5091" spans="1:13">
      <c r="A5091">
        <v>46067</v>
      </c>
      <c r="B5091" t="s">
        <v>4338</v>
      </c>
      <c r="D5091">
        <v>500</v>
      </c>
      <c r="F5091">
        <v>0</v>
      </c>
      <c r="G5091" t="s">
        <v>22</v>
      </c>
      <c r="H5091" t="s">
        <v>21</v>
      </c>
      <c r="I5091" t="s">
        <v>60</v>
      </c>
      <c r="J5091" t="s">
        <v>61</v>
      </c>
      <c r="L5091" t="s">
        <v>89</v>
      </c>
      <c r="M5091" t="s">
        <v>548</v>
      </c>
    </row>
    <row r="5092" spans="1:13">
      <c r="A5092">
        <v>46067</v>
      </c>
      <c r="B5092" t="s">
        <v>4339</v>
      </c>
      <c r="F5092">
        <v>1</v>
      </c>
      <c r="G5092" t="s">
        <v>64</v>
      </c>
      <c r="L5092" t="s">
        <v>82</v>
      </c>
      <c r="M5092" t="s">
        <v>96</v>
      </c>
    </row>
    <row r="5093" spans="1:13">
      <c r="A5093">
        <v>46067</v>
      </c>
      <c r="B5093" t="s">
        <v>63</v>
      </c>
      <c r="D5093">
        <v>14000</v>
      </c>
      <c r="F5093">
        <v>1</v>
      </c>
      <c r="G5093" t="s">
        <v>70</v>
      </c>
      <c r="I5093" t="s">
        <v>71</v>
      </c>
      <c r="J5093" t="s">
        <v>72</v>
      </c>
      <c r="K5093" t="s">
        <v>4340</v>
      </c>
      <c r="L5093" t="s">
        <v>62</v>
      </c>
      <c r="M5093" t="s">
        <v>90</v>
      </c>
    </row>
    <row r="5094" spans="1:13">
      <c r="A5094">
        <v>46067</v>
      </c>
      <c r="B5094" t="s">
        <v>63</v>
      </c>
      <c r="D5094">
        <v>8000</v>
      </c>
      <c r="G5094" t="s">
        <v>70</v>
      </c>
      <c r="I5094" t="s">
        <v>60</v>
      </c>
      <c r="J5094" t="s">
        <v>61</v>
      </c>
      <c r="L5094" t="s">
        <v>62</v>
      </c>
    </row>
    <row r="5095" spans="1:13">
      <c r="A5095">
        <v>46067</v>
      </c>
      <c r="B5095" t="s">
        <v>4341</v>
      </c>
      <c r="D5095">
        <v>500</v>
      </c>
      <c r="F5095">
        <v>0</v>
      </c>
      <c r="G5095" t="s">
        <v>22</v>
      </c>
      <c r="H5095" t="s">
        <v>21</v>
      </c>
      <c r="I5095" t="s">
        <v>60</v>
      </c>
      <c r="J5095" t="s">
        <v>61</v>
      </c>
      <c r="L5095" t="s">
        <v>89</v>
      </c>
      <c r="M5095" t="s">
        <v>548</v>
      </c>
    </row>
    <row r="5096" spans="1:13">
      <c r="A5096">
        <v>46067</v>
      </c>
      <c r="B5096" t="s">
        <v>4342</v>
      </c>
      <c r="D5096">
        <v>500</v>
      </c>
      <c r="F5096">
        <v>1</v>
      </c>
      <c r="G5096" t="s">
        <v>22</v>
      </c>
      <c r="H5096" t="s">
        <v>21</v>
      </c>
      <c r="I5096" t="s">
        <v>60</v>
      </c>
      <c r="J5096" t="s">
        <v>61</v>
      </c>
      <c r="L5096" t="s">
        <v>82</v>
      </c>
    </row>
    <row r="5097" spans="1:13">
      <c r="A5097">
        <v>46067</v>
      </c>
      <c r="B5097" t="s">
        <v>4343</v>
      </c>
      <c r="D5097">
        <v>500</v>
      </c>
      <c r="F5097">
        <v>1</v>
      </c>
      <c r="G5097" t="s">
        <v>22</v>
      </c>
      <c r="H5097" t="s">
        <v>21</v>
      </c>
      <c r="I5097" t="s">
        <v>60</v>
      </c>
      <c r="J5097" t="s">
        <v>61</v>
      </c>
      <c r="L5097" t="s">
        <v>82</v>
      </c>
    </row>
    <row r="5098" spans="1:13">
      <c r="A5098">
        <v>46067</v>
      </c>
      <c r="B5098" t="s">
        <v>63</v>
      </c>
      <c r="D5098">
        <v>200</v>
      </c>
      <c r="F5098">
        <v>2</v>
      </c>
      <c r="G5098" t="s">
        <v>22</v>
      </c>
      <c r="H5098" t="s">
        <v>93</v>
      </c>
      <c r="I5098" t="s">
        <v>60</v>
      </c>
      <c r="J5098" t="s">
        <v>61</v>
      </c>
      <c r="L5098" t="s">
        <v>62</v>
      </c>
    </row>
    <row r="5099" spans="1:13">
      <c r="A5099">
        <v>46067</v>
      </c>
      <c r="B5099" t="s">
        <v>76</v>
      </c>
      <c r="D5099">
        <v>17000</v>
      </c>
      <c r="G5099" t="s">
        <v>77</v>
      </c>
      <c r="I5099" t="s">
        <v>60</v>
      </c>
      <c r="J5099" t="s">
        <v>61</v>
      </c>
      <c r="L5099" t="s">
        <v>62</v>
      </c>
    </row>
    <row r="5100" spans="1:13">
      <c r="A5100">
        <v>46067</v>
      </c>
      <c r="B5100" t="s">
        <v>63</v>
      </c>
      <c r="E5100">
        <v>3000</v>
      </c>
      <c r="F5100">
        <v>1</v>
      </c>
      <c r="G5100" t="s">
        <v>65</v>
      </c>
      <c r="H5100" t="s">
        <v>66</v>
      </c>
      <c r="I5100" t="s">
        <v>60</v>
      </c>
      <c r="J5100" t="s">
        <v>61</v>
      </c>
      <c r="L5100" t="s">
        <v>62</v>
      </c>
      <c r="M5100" t="s">
        <v>3280</v>
      </c>
    </row>
    <row r="5101" spans="1:13">
      <c r="A5101">
        <v>46067</v>
      </c>
      <c r="B5101" t="s">
        <v>63</v>
      </c>
      <c r="E5101">
        <v>200</v>
      </c>
      <c r="F5101">
        <v>1</v>
      </c>
      <c r="G5101" t="s">
        <v>65</v>
      </c>
      <c r="H5101" t="s">
        <v>66</v>
      </c>
      <c r="I5101" t="s">
        <v>60</v>
      </c>
      <c r="J5101" t="s">
        <v>61</v>
      </c>
      <c r="L5101" t="s">
        <v>62</v>
      </c>
      <c r="M5101" t="s">
        <v>392</v>
      </c>
    </row>
    <row r="5102" spans="1:13">
      <c r="A5102">
        <v>46068</v>
      </c>
      <c r="B5102" t="s">
        <v>4344</v>
      </c>
      <c r="F5102">
        <v>1</v>
      </c>
      <c r="G5102" t="s">
        <v>64</v>
      </c>
      <c r="L5102" t="s">
        <v>82</v>
      </c>
      <c r="M5102" t="s">
        <v>96</v>
      </c>
    </row>
    <row r="5103" spans="1:13">
      <c r="A5103">
        <v>46068</v>
      </c>
      <c r="B5103" t="s">
        <v>63</v>
      </c>
      <c r="D5103">
        <v>39000</v>
      </c>
      <c r="G5103" t="s">
        <v>70</v>
      </c>
      <c r="I5103" t="s">
        <v>60</v>
      </c>
      <c r="J5103" t="s">
        <v>61</v>
      </c>
      <c r="L5103" t="s">
        <v>62</v>
      </c>
    </row>
    <row r="5104" spans="1:13">
      <c r="A5104">
        <v>46068</v>
      </c>
      <c r="B5104" t="s">
        <v>63</v>
      </c>
      <c r="D5104">
        <v>38000</v>
      </c>
      <c r="F5104">
        <v>3</v>
      </c>
      <c r="G5104" t="s">
        <v>70</v>
      </c>
      <c r="I5104" t="s">
        <v>71</v>
      </c>
      <c r="J5104" t="s">
        <v>72</v>
      </c>
      <c r="K5104" t="s">
        <v>4345</v>
      </c>
      <c r="L5104" t="s">
        <v>62</v>
      </c>
      <c r="M5104" t="s">
        <v>90</v>
      </c>
    </row>
    <row r="5105" spans="1:13">
      <c r="A5105">
        <v>46068</v>
      </c>
      <c r="B5105" t="s">
        <v>63</v>
      </c>
      <c r="D5105">
        <v>31500</v>
      </c>
      <c r="F5105">
        <v>2</v>
      </c>
      <c r="G5105" t="s">
        <v>70</v>
      </c>
      <c r="I5105" t="s">
        <v>71</v>
      </c>
      <c r="J5105" t="s">
        <v>72</v>
      </c>
      <c r="K5105" t="s">
        <v>4346</v>
      </c>
      <c r="L5105" t="s">
        <v>62</v>
      </c>
      <c r="M5105" t="s">
        <v>90</v>
      </c>
    </row>
    <row r="5106" spans="1:13">
      <c r="A5106">
        <v>46068</v>
      </c>
      <c r="B5106" t="s">
        <v>4347</v>
      </c>
      <c r="F5106">
        <v>1</v>
      </c>
      <c r="G5106" t="s">
        <v>64</v>
      </c>
      <c r="L5106" t="s">
        <v>82</v>
      </c>
      <c r="M5106" t="s">
        <v>4348</v>
      </c>
    </row>
    <row r="5107" spans="1:13">
      <c r="A5107">
        <v>46068</v>
      </c>
      <c r="B5107" t="s">
        <v>63</v>
      </c>
      <c r="D5107">
        <v>24000</v>
      </c>
      <c r="F5107">
        <v>4</v>
      </c>
      <c r="G5107" t="s">
        <v>70</v>
      </c>
      <c r="I5107" t="s">
        <v>71</v>
      </c>
      <c r="J5107" t="s">
        <v>72</v>
      </c>
      <c r="K5107" t="s">
        <v>4349</v>
      </c>
      <c r="L5107" t="s">
        <v>62</v>
      </c>
      <c r="M5107" t="s">
        <v>90</v>
      </c>
    </row>
    <row r="5108" spans="1:13">
      <c r="A5108">
        <v>46068</v>
      </c>
      <c r="B5108" t="s">
        <v>4350</v>
      </c>
      <c r="F5108">
        <v>1</v>
      </c>
      <c r="G5108" t="s">
        <v>377</v>
      </c>
      <c r="H5108" t="s">
        <v>21</v>
      </c>
      <c r="L5108" t="s">
        <v>89</v>
      </c>
      <c r="M5108" t="s">
        <v>327</v>
      </c>
    </row>
    <row r="5109" spans="1:13">
      <c r="A5109">
        <v>46068</v>
      </c>
      <c r="B5109" t="s">
        <v>4351</v>
      </c>
      <c r="D5109">
        <v>500</v>
      </c>
      <c r="F5109">
        <v>1</v>
      </c>
      <c r="G5109" t="s">
        <v>22</v>
      </c>
      <c r="H5109" t="s">
        <v>21</v>
      </c>
      <c r="I5109" t="s">
        <v>60</v>
      </c>
      <c r="J5109" t="s">
        <v>61</v>
      </c>
      <c r="L5109" t="s">
        <v>89</v>
      </c>
    </row>
    <row r="5110" spans="1:13">
      <c r="A5110">
        <v>46068</v>
      </c>
      <c r="B5110" t="s">
        <v>4352</v>
      </c>
      <c r="D5110">
        <v>500</v>
      </c>
      <c r="F5110">
        <v>1</v>
      </c>
      <c r="G5110" t="s">
        <v>22</v>
      </c>
      <c r="H5110" t="s">
        <v>21</v>
      </c>
      <c r="I5110" t="s">
        <v>60</v>
      </c>
      <c r="J5110" t="s">
        <v>61</v>
      </c>
      <c r="L5110" t="s">
        <v>89</v>
      </c>
    </row>
    <row r="5111" spans="1:13">
      <c r="A5111">
        <v>46068</v>
      </c>
      <c r="B5111" t="s">
        <v>4353</v>
      </c>
      <c r="D5111">
        <v>500</v>
      </c>
      <c r="F5111">
        <v>1</v>
      </c>
      <c r="G5111" t="s">
        <v>22</v>
      </c>
      <c r="H5111" t="s">
        <v>21</v>
      </c>
      <c r="I5111" t="s">
        <v>60</v>
      </c>
      <c r="J5111" t="s">
        <v>61</v>
      </c>
      <c r="L5111" t="s">
        <v>89</v>
      </c>
    </row>
    <row r="5112" spans="1:13">
      <c r="A5112">
        <v>46068</v>
      </c>
      <c r="B5112" t="s">
        <v>4354</v>
      </c>
      <c r="F5112">
        <v>1</v>
      </c>
      <c r="G5112" t="s">
        <v>79</v>
      </c>
      <c r="H5112" t="s">
        <v>21</v>
      </c>
      <c r="L5112" t="s">
        <v>89</v>
      </c>
      <c r="M5112" t="s">
        <v>327</v>
      </c>
    </row>
    <row r="5113" spans="1:13">
      <c r="A5113">
        <v>46068</v>
      </c>
      <c r="B5113" t="s">
        <v>63</v>
      </c>
      <c r="E5113">
        <v>1500</v>
      </c>
      <c r="F5113">
        <v>1</v>
      </c>
      <c r="G5113" t="s">
        <v>65</v>
      </c>
      <c r="H5113" t="s">
        <v>66</v>
      </c>
      <c r="I5113" t="s">
        <v>60</v>
      </c>
      <c r="J5113" t="s">
        <v>61</v>
      </c>
      <c r="L5113" t="s">
        <v>62</v>
      </c>
      <c r="M5113" t="s">
        <v>3280</v>
      </c>
    </row>
    <row r="5114" spans="1:13">
      <c r="A5114">
        <v>46069</v>
      </c>
      <c r="B5114" t="s">
        <v>4355</v>
      </c>
      <c r="D5114">
        <v>500</v>
      </c>
      <c r="F5114">
        <v>1</v>
      </c>
      <c r="G5114" t="s">
        <v>22</v>
      </c>
      <c r="H5114" t="s">
        <v>21</v>
      </c>
      <c r="I5114" t="s">
        <v>60</v>
      </c>
      <c r="J5114" t="s">
        <v>61</v>
      </c>
      <c r="L5114" t="s">
        <v>89</v>
      </c>
    </row>
    <row r="5115" spans="1:13">
      <c r="A5115">
        <v>46069</v>
      </c>
      <c r="B5115" t="s">
        <v>4356</v>
      </c>
      <c r="D5115">
        <v>500</v>
      </c>
      <c r="F5115">
        <v>1</v>
      </c>
      <c r="G5115" t="s">
        <v>22</v>
      </c>
      <c r="H5115" t="s">
        <v>21</v>
      </c>
      <c r="I5115" t="s">
        <v>60</v>
      </c>
      <c r="J5115" t="s">
        <v>61</v>
      </c>
      <c r="L5115" t="s">
        <v>89</v>
      </c>
    </row>
    <row r="5116" spans="1:13">
      <c r="A5116">
        <v>46069</v>
      </c>
      <c r="B5116" t="s">
        <v>4357</v>
      </c>
      <c r="F5116">
        <v>1</v>
      </c>
      <c r="G5116" t="s">
        <v>79</v>
      </c>
      <c r="H5116" t="s">
        <v>21</v>
      </c>
      <c r="L5116" t="s">
        <v>89</v>
      </c>
      <c r="M5116" t="s">
        <v>327</v>
      </c>
    </row>
    <row r="5117" spans="1:13">
      <c r="A5117">
        <v>46069</v>
      </c>
      <c r="B5117" t="s">
        <v>4358</v>
      </c>
      <c r="D5117">
        <v>500</v>
      </c>
      <c r="F5117">
        <v>0</v>
      </c>
      <c r="G5117" t="s">
        <v>22</v>
      </c>
      <c r="H5117" t="s">
        <v>21</v>
      </c>
      <c r="I5117" t="s">
        <v>60</v>
      </c>
      <c r="J5117" t="s">
        <v>61</v>
      </c>
      <c r="L5117" t="s">
        <v>89</v>
      </c>
    </row>
    <row r="5118" spans="1:13">
      <c r="A5118">
        <v>46069</v>
      </c>
      <c r="B5118" t="s">
        <v>4359</v>
      </c>
      <c r="F5118">
        <v>1</v>
      </c>
      <c r="G5118" t="s">
        <v>79</v>
      </c>
      <c r="H5118" t="s">
        <v>21</v>
      </c>
      <c r="L5118" t="s">
        <v>89</v>
      </c>
      <c r="M5118" t="s">
        <v>327</v>
      </c>
    </row>
    <row r="5119" spans="1:13">
      <c r="A5119">
        <v>46069</v>
      </c>
      <c r="B5119" t="s">
        <v>4360</v>
      </c>
      <c r="D5119">
        <v>500</v>
      </c>
      <c r="F5119">
        <v>1</v>
      </c>
      <c r="G5119" t="s">
        <v>22</v>
      </c>
      <c r="H5119" t="s">
        <v>21</v>
      </c>
      <c r="I5119" t="s">
        <v>60</v>
      </c>
      <c r="J5119" t="s">
        <v>61</v>
      </c>
      <c r="L5119" t="s">
        <v>89</v>
      </c>
    </row>
    <row r="5120" spans="1:13">
      <c r="A5120">
        <v>46069</v>
      </c>
      <c r="B5120" t="s">
        <v>63</v>
      </c>
      <c r="D5120">
        <v>15500</v>
      </c>
      <c r="F5120">
        <v>2</v>
      </c>
      <c r="G5120" t="s">
        <v>70</v>
      </c>
      <c r="I5120" t="s">
        <v>71</v>
      </c>
      <c r="J5120" t="s">
        <v>72</v>
      </c>
      <c r="K5120" t="s">
        <v>4361</v>
      </c>
      <c r="L5120" t="s">
        <v>62</v>
      </c>
      <c r="M5120" t="s">
        <v>90</v>
      </c>
    </row>
    <row r="5121" spans="1:13">
      <c r="A5121">
        <v>46069</v>
      </c>
      <c r="B5121" t="s">
        <v>4362</v>
      </c>
      <c r="D5121">
        <v>500</v>
      </c>
      <c r="F5121">
        <v>1</v>
      </c>
      <c r="G5121" t="s">
        <v>22</v>
      </c>
      <c r="H5121" t="s">
        <v>21</v>
      </c>
      <c r="I5121" t="s">
        <v>60</v>
      </c>
      <c r="J5121" t="s">
        <v>61</v>
      </c>
      <c r="L5121" t="s">
        <v>82</v>
      </c>
    </row>
    <row r="5122" spans="1:13">
      <c r="A5122">
        <v>46069</v>
      </c>
      <c r="B5122" t="s">
        <v>4363</v>
      </c>
      <c r="D5122">
        <v>500</v>
      </c>
      <c r="F5122">
        <v>1</v>
      </c>
      <c r="G5122" t="s">
        <v>22</v>
      </c>
      <c r="H5122" t="s">
        <v>21</v>
      </c>
      <c r="I5122" t="s">
        <v>60</v>
      </c>
      <c r="J5122" t="s">
        <v>61</v>
      </c>
      <c r="L5122" t="s">
        <v>89</v>
      </c>
    </row>
    <row r="5123" spans="1:13">
      <c r="A5123">
        <v>46069</v>
      </c>
      <c r="B5123" t="s">
        <v>4364</v>
      </c>
      <c r="D5123">
        <v>500</v>
      </c>
      <c r="F5123">
        <v>1</v>
      </c>
      <c r="G5123" t="s">
        <v>22</v>
      </c>
      <c r="H5123" t="s">
        <v>21</v>
      </c>
      <c r="I5123" t="s">
        <v>60</v>
      </c>
      <c r="J5123" t="s">
        <v>61</v>
      </c>
      <c r="L5123" t="s">
        <v>89</v>
      </c>
    </row>
    <row r="5124" spans="1:13">
      <c r="A5124">
        <v>46069</v>
      </c>
      <c r="B5124" t="s">
        <v>4364</v>
      </c>
      <c r="F5124">
        <v>1</v>
      </c>
      <c r="G5124" t="s">
        <v>64</v>
      </c>
      <c r="L5124" t="s">
        <v>89</v>
      </c>
      <c r="M5124" t="s">
        <v>4365</v>
      </c>
    </row>
    <row r="5125" spans="1:13">
      <c r="A5125">
        <v>46069</v>
      </c>
      <c r="B5125" t="s">
        <v>4366</v>
      </c>
      <c r="D5125">
        <v>500</v>
      </c>
      <c r="F5125">
        <v>1</v>
      </c>
      <c r="G5125" t="s">
        <v>22</v>
      </c>
      <c r="H5125" t="s">
        <v>21</v>
      </c>
      <c r="I5125" t="s">
        <v>60</v>
      </c>
      <c r="J5125" t="s">
        <v>61</v>
      </c>
      <c r="L5125" t="s">
        <v>82</v>
      </c>
    </row>
    <row r="5126" spans="1:13">
      <c r="A5126">
        <v>46069</v>
      </c>
      <c r="B5126" t="s">
        <v>63</v>
      </c>
      <c r="D5126">
        <v>10500</v>
      </c>
      <c r="F5126">
        <v>1</v>
      </c>
      <c r="G5126" t="s">
        <v>70</v>
      </c>
      <c r="I5126" t="s">
        <v>71</v>
      </c>
      <c r="J5126" t="s">
        <v>72</v>
      </c>
      <c r="K5126" t="s">
        <v>4367</v>
      </c>
      <c r="L5126" t="s">
        <v>62</v>
      </c>
      <c r="M5126" t="s">
        <v>90</v>
      </c>
    </row>
    <row r="5127" spans="1:13">
      <c r="A5127">
        <v>46069</v>
      </c>
      <c r="B5127" t="s">
        <v>63</v>
      </c>
      <c r="D5127">
        <v>12000</v>
      </c>
      <c r="F5127">
        <v>2</v>
      </c>
      <c r="G5127" t="s">
        <v>70</v>
      </c>
      <c r="I5127" t="s">
        <v>71</v>
      </c>
      <c r="J5127" t="s">
        <v>72</v>
      </c>
      <c r="K5127" t="s">
        <v>4368</v>
      </c>
      <c r="L5127" t="s">
        <v>62</v>
      </c>
      <c r="M5127" t="s">
        <v>4369</v>
      </c>
    </row>
    <row r="5128" spans="1:13">
      <c r="A5128">
        <v>46069</v>
      </c>
      <c r="B5128" t="s">
        <v>63</v>
      </c>
      <c r="D5128">
        <v>12000</v>
      </c>
      <c r="G5128" t="s">
        <v>70</v>
      </c>
      <c r="I5128" t="s">
        <v>60</v>
      </c>
      <c r="J5128" t="s">
        <v>61</v>
      </c>
      <c r="L5128" t="s">
        <v>62</v>
      </c>
    </row>
    <row r="5129" spans="1:13">
      <c r="A5129">
        <v>46069</v>
      </c>
      <c r="B5129" t="s">
        <v>4370</v>
      </c>
      <c r="D5129">
        <v>500</v>
      </c>
      <c r="F5129">
        <v>1</v>
      </c>
      <c r="G5129" t="s">
        <v>22</v>
      </c>
      <c r="H5129" t="s">
        <v>21</v>
      </c>
      <c r="I5129" t="s">
        <v>60</v>
      </c>
      <c r="J5129" t="s">
        <v>61</v>
      </c>
      <c r="L5129" t="s">
        <v>82</v>
      </c>
    </row>
    <row r="5130" spans="1:13">
      <c r="A5130">
        <v>46069</v>
      </c>
      <c r="B5130" t="s">
        <v>4370</v>
      </c>
      <c r="F5130">
        <v>1</v>
      </c>
      <c r="G5130" t="s">
        <v>64</v>
      </c>
      <c r="L5130" t="s">
        <v>82</v>
      </c>
      <c r="M5130" t="s">
        <v>96</v>
      </c>
    </row>
    <row r="5131" spans="1:13">
      <c r="A5131">
        <v>46069</v>
      </c>
      <c r="B5131" t="s">
        <v>4371</v>
      </c>
      <c r="D5131">
        <v>500</v>
      </c>
      <c r="F5131">
        <v>0</v>
      </c>
      <c r="G5131" t="s">
        <v>22</v>
      </c>
      <c r="H5131" t="s">
        <v>21</v>
      </c>
      <c r="I5131" t="s">
        <v>60</v>
      </c>
      <c r="J5131" t="s">
        <v>61</v>
      </c>
      <c r="L5131" t="s">
        <v>89</v>
      </c>
    </row>
    <row r="5132" spans="1:13">
      <c r="A5132">
        <v>46069</v>
      </c>
      <c r="B5132" t="s">
        <v>63</v>
      </c>
      <c r="D5132">
        <v>10500</v>
      </c>
      <c r="F5132">
        <v>2</v>
      </c>
      <c r="G5132" t="s">
        <v>70</v>
      </c>
      <c r="I5132" t="s">
        <v>71</v>
      </c>
      <c r="J5132" t="s">
        <v>72</v>
      </c>
      <c r="K5132" t="s">
        <v>4372</v>
      </c>
      <c r="L5132" t="s">
        <v>62</v>
      </c>
      <c r="M5132" t="s">
        <v>90</v>
      </c>
    </row>
    <row r="5133" spans="1:13">
      <c r="A5133">
        <v>46069</v>
      </c>
      <c r="B5133" t="s">
        <v>4373</v>
      </c>
      <c r="F5133">
        <v>1</v>
      </c>
      <c r="G5133" t="s">
        <v>79</v>
      </c>
      <c r="H5133" t="s">
        <v>21</v>
      </c>
      <c r="L5133" t="s">
        <v>82</v>
      </c>
      <c r="M5133" t="s">
        <v>327</v>
      </c>
    </row>
    <row r="5134" spans="1:13">
      <c r="A5134">
        <v>46069</v>
      </c>
      <c r="B5134" t="s">
        <v>4374</v>
      </c>
      <c r="F5134">
        <v>1</v>
      </c>
      <c r="G5134" t="s">
        <v>107</v>
      </c>
      <c r="H5134" t="s">
        <v>21</v>
      </c>
      <c r="L5134" t="s">
        <v>82</v>
      </c>
      <c r="M5134" t="s">
        <v>4375</v>
      </c>
    </row>
    <row r="5135" spans="1:13">
      <c r="A5135">
        <v>46069</v>
      </c>
      <c r="B5135" t="s">
        <v>63</v>
      </c>
      <c r="E5135">
        <v>5000</v>
      </c>
      <c r="F5135">
        <v>1</v>
      </c>
      <c r="G5135" t="s">
        <v>65</v>
      </c>
      <c r="H5135" t="s">
        <v>66</v>
      </c>
      <c r="I5135" t="s">
        <v>60</v>
      </c>
      <c r="J5135" t="s">
        <v>61</v>
      </c>
      <c r="L5135" t="s">
        <v>62</v>
      </c>
      <c r="M5135" t="s">
        <v>3280</v>
      </c>
    </row>
    <row r="5136" spans="1:13">
      <c r="A5136">
        <v>46069</v>
      </c>
      <c r="B5136" t="s">
        <v>76</v>
      </c>
      <c r="D5136">
        <v>10700</v>
      </c>
      <c r="G5136" t="s">
        <v>77</v>
      </c>
      <c r="I5136" t="s">
        <v>60</v>
      </c>
      <c r="J5136" t="s">
        <v>61</v>
      </c>
      <c r="L5136" t="s">
        <v>62</v>
      </c>
    </row>
    <row r="5137" spans="1:13">
      <c r="A5137">
        <v>46069</v>
      </c>
      <c r="B5137" t="s">
        <v>3988</v>
      </c>
      <c r="C5137" t="s">
        <v>4376</v>
      </c>
      <c r="F5137">
        <v>18</v>
      </c>
      <c r="G5137" t="s">
        <v>22</v>
      </c>
      <c r="H5137" t="s">
        <v>21</v>
      </c>
      <c r="L5137" t="s">
        <v>95</v>
      </c>
    </row>
    <row r="5138" spans="1:13">
      <c r="A5138">
        <v>46070</v>
      </c>
      <c r="B5138" t="s">
        <v>4377</v>
      </c>
      <c r="F5138">
        <v>1</v>
      </c>
      <c r="G5138" t="s">
        <v>64</v>
      </c>
      <c r="L5138" t="s">
        <v>82</v>
      </c>
      <c r="M5138" t="s">
        <v>3993</v>
      </c>
    </row>
    <row r="5139" spans="1:13">
      <c r="A5139">
        <v>46070</v>
      </c>
      <c r="B5139" t="s">
        <v>4378</v>
      </c>
      <c r="D5139">
        <v>500</v>
      </c>
      <c r="F5139">
        <v>1</v>
      </c>
      <c r="G5139" t="s">
        <v>22</v>
      </c>
      <c r="H5139" t="s">
        <v>21</v>
      </c>
      <c r="I5139" t="s">
        <v>60</v>
      </c>
      <c r="J5139" t="s">
        <v>61</v>
      </c>
      <c r="L5139" t="s">
        <v>82</v>
      </c>
    </row>
    <row r="5140" spans="1:13">
      <c r="A5140">
        <v>46070</v>
      </c>
      <c r="B5140" t="s">
        <v>4379</v>
      </c>
      <c r="D5140">
        <v>500</v>
      </c>
      <c r="F5140">
        <v>1</v>
      </c>
      <c r="G5140" t="s">
        <v>22</v>
      </c>
      <c r="H5140" t="s">
        <v>21</v>
      </c>
      <c r="I5140" t="s">
        <v>60</v>
      </c>
      <c r="J5140" t="s">
        <v>61</v>
      </c>
      <c r="L5140" t="s">
        <v>82</v>
      </c>
    </row>
    <row r="5141" spans="1:13">
      <c r="A5141">
        <v>46070</v>
      </c>
      <c r="B5141" t="s">
        <v>4380</v>
      </c>
      <c r="F5141">
        <v>1</v>
      </c>
      <c r="G5141" t="s">
        <v>64</v>
      </c>
      <c r="L5141" t="s">
        <v>86</v>
      </c>
      <c r="M5141" t="s">
        <v>96</v>
      </c>
    </row>
    <row r="5142" spans="1:13">
      <c r="A5142">
        <v>46070</v>
      </c>
      <c r="B5142" t="s">
        <v>63</v>
      </c>
      <c r="D5142">
        <v>16000</v>
      </c>
      <c r="G5142" t="s">
        <v>70</v>
      </c>
      <c r="I5142" t="s">
        <v>60</v>
      </c>
      <c r="J5142" t="s">
        <v>61</v>
      </c>
      <c r="L5142" t="s">
        <v>62</v>
      </c>
    </row>
    <row r="5143" spans="1:13">
      <c r="A5143">
        <v>46070</v>
      </c>
      <c r="B5143" t="s">
        <v>4381</v>
      </c>
      <c r="F5143">
        <v>1</v>
      </c>
      <c r="G5143" t="s">
        <v>99</v>
      </c>
      <c r="H5143" t="s">
        <v>21</v>
      </c>
      <c r="L5143" t="s">
        <v>86</v>
      </c>
      <c r="M5143" t="s">
        <v>4375</v>
      </c>
    </row>
    <row r="5144" spans="1:13">
      <c r="A5144">
        <v>46070</v>
      </c>
      <c r="B5144" t="s">
        <v>4382</v>
      </c>
      <c r="D5144">
        <v>500</v>
      </c>
      <c r="F5144">
        <v>1</v>
      </c>
      <c r="G5144" t="s">
        <v>22</v>
      </c>
      <c r="H5144" t="s">
        <v>21</v>
      </c>
      <c r="I5144" t="s">
        <v>60</v>
      </c>
      <c r="J5144" t="s">
        <v>61</v>
      </c>
      <c r="L5144" t="s">
        <v>86</v>
      </c>
    </row>
    <row r="5145" spans="1:13">
      <c r="A5145">
        <v>46070</v>
      </c>
      <c r="B5145" t="s">
        <v>4383</v>
      </c>
      <c r="D5145">
        <v>500</v>
      </c>
      <c r="F5145">
        <v>0</v>
      </c>
      <c r="G5145" t="s">
        <v>22</v>
      </c>
      <c r="H5145" t="s">
        <v>21</v>
      </c>
      <c r="I5145" t="s">
        <v>60</v>
      </c>
      <c r="J5145" t="s">
        <v>61</v>
      </c>
      <c r="L5145" t="s">
        <v>86</v>
      </c>
      <c r="M5145" t="s">
        <v>548</v>
      </c>
    </row>
    <row r="5146" spans="1:13">
      <c r="A5146">
        <v>46070</v>
      </c>
      <c r="B5146" t="s">
        <v>63</v>
      </c>
      <c r="D5146">
        <v>8000</v>
      </c>
      <c r="F5146">
        <v>1</v>
      </c>
      <c r="G5146" t="s">
        <v>70</v>
      </c>
      <c r="I5146" t="s">
        <v>71</v>
      </c>
      <c r="J5146" t="s">
        <v>72</v>
      </c>
      <c r="K5146" t="s">
        <v>4384</v>
      </c>
      <c r="L5146" t="s">
        <v>62</v>
      </c>
      <c r="M5146" t="s">
        <v>90</v>
      </c>
    </row>
    <row r="5147" spans="1:13">
      <c r="A5147">
        <v>46070</v>
      </c>
      <c r="B5147" t="s">
        <v>4385</v>
      </c>
      <c r="D5147">
        <v>500</v>
      </c>
      <c r="F5147">
        <v>1</v>
      </c>
      <c r="G5147" t="s">
        <v>22</v>
      </c>
      <c r="H5147" t="s">
        <v>21</v>
      </c>
      <c r="I5147" t="s">
        <v>60</v>
      </c>
      <c r="J5147" t="s">
        <v>61</v>
      </c>
      <c r="L5147" t="s">
        <v>86</v>
      </c>
    </row>
    <row r="5148" spans="1:13">
      <c r="A5148">
        <v>46070</v>
      </c>
      <c r="B5148" t="s">
        <v>4386</v>
      </c>
      <c r="F5148">
        <v>1</v>
      </c>
      <c r="G5148" t="s">
        <v>64</v>
      </c>
      <c r="L5148" t="s">
        <v>86</v>
      </c>
      <c r="M5148" t="s">
        <v>96</v>
      </c>
    </row>
    <row r="5149" spans="1:13">
      <c r="A5149">
        <v>46070</v>
      </c>
      <c r="B5149" t="s">
        <v>63</v>
      </c>
      <c r="E5149">
        <v>2500</v>
      </c>
      <c r="F5149">
        <v>1</v>
      </c>
      <c r="G5149" t="s">
        <v>65</v>
      </c>
      <c r="H5149" t="s">
        <v>66</v>
      </c>
      <c r="I5149" t="s">
        <v>60</v>
      </c>
      <c r="J5149" t="s">
        <v>61</v>
      </c>
      <c r="L5149" t="s">
        <v>62</v>
      </c>
      <c r="M5149" t="s">
        <v>3280</v>
      </c>
    </row>
    <row r="5150" spans="1:13">
      <c r="A5150">
        <v>46070</v>
      </c>
      <c r="B5150" t="s">
        <v>4387</v>
      </c>
      <c r="F5150">
        <v>1</v>
      </c>
      <c r="G5150" t="s">
        <v>0</v>
      </c>
      <c r="L5150" t="s">
        <v>86</v>
      </c>
    </row>
    <row r="5151" spans="1:13">
      <c r="A5151">
        <v>46071</v>
      </c>
      <c r="B5151" t="s">
        <v>81</v>
      </c>
      <c r="D5151">
        <v>38000</v>
      </c>
      <c r="F5151">
        <v>1</v>
      </c>
      <c r="G5151" t="s">
        <v>74</v>
      </c>
      <c r="H5151" t="s">
        <v>75</v>
      </c>
      <c r="I5151" t="s">
        <v>60</v>
      </c>
      <c r="J5151" t="s">
        <v>61</v>
      </c>
      <c r="L5151" t="s">
        <v>88</v>
      </c>
    </row>
    <row r="5152" spans="1:13">
      <c r="A5152">
        <v>46071</v>
      </c>
      <c r="B5152" t="s">
        <v>4388</v>
      </c>
      <c r="D5152">
        <v>500</v>
      </c>
      <c r="F5152">
        <v>1</v>
      </c>
      <c r="G5152" t="s">
        <v>22</v>
      </c>
      <c r="H5152" t="s">
        <v>21</v>
      </c>
      <c r="I5152" t="s">
        <v>60</v>
      </c>
      <c r="J5152" t="s">
        <v>61</v>
      </c>
      <c r="L5152" t="s">
        <v>82</v>
      </c>
    </row>
    <row r="5153" spans="1:13">
      <c r="A5153">
        <v>46071</v>
      </c>
      <c r="B5153" t="s">
        <v>4389</v>
      </c>
      <c r="F5153">
        <v>1</v>
      </c>
      <c r="G5153" t="s">
        <v>79</v>
      </c>
      <c r="H5153" t="s">
        <v>21</v>
      </c>
      <c r="L5153" t="s">
        <v>82</v>
      </c>
      <c r="M5153" t="s">
        <v>327</v>
      </c>
    </row>
    <row r="5154" spans="1:13">
      <c r="A5154">
        <v>46071</v>
      </c>
      <c r="B5154" t="s">
        <v>76</v>
      </c>
      <c r="D5154">
        <v>21000</v>
      </c>
      <c r="G5154" t="s">
        <v>77</v>
      </c>
      <c r="I5154" t="s">
        <v>60</v>
      </c>
      <c r="J5154" t="s">
        <v>61</v>
      </c>
      <c r="L5154" t="s">
        <v>62</v>
      </c>
    </row>
    <row r="5155" spans="1:13">
      <c r="A5155">
        <v>46071</v>
      </c>
      <c r="B5155" t="s">
        <v>4390</v>
      </c>
      <c r="F5155">
        <v>1</v>
      </c>
      <c r="G5155" t="s">
        <v>64</v>
      </c>
      <c r="L5155" t="s">
        <v>82</v>
      </c>
      <c r="M5155" t="s">
        <v>4391</v>
      </c>
    </row>
    <row r="5156" spans="1:13">
      <c r="A5156">
        <v>46071</v>
      </c>
      <c r="B5156" t="s">
        <v>63</v>
      </c>
      <c r="D5156">
        <v>19500</v>
      </c>
      <c r="F5156">
        <v>2</v>
      </c>
      <c r="G5156" t="s">
        <v>70</v>
      </c>
      <c r="I5156" t="s">
        <v>71</v>
      </c>
      <c r="J5156" t="s">
        <v>72</v>
      </c>
      <c r="K5156" t="s">
        <v>4392</v>
      </c>
      <c r="L5156" t="s">
        <v>62</v>
      </c>
      <c r="M5156" t="s">
        <v>4393</v>
      </c>
    </row>
    <row r="5157" spans="1:13">
      <c r="A5157">
        <v>46071</v>
      </c>
      <c r="B5157" t="s">
        <v>4394</v>
      </c>
      <c r="F5157">
        <v>1</v>
      </c>
      <c r="G5157" t="s">
        <v>64</v>
      </c>
      <c r="L5157" t="s">
        <v>89</v>
      </c>
      <c r="M5157" t="s">
        <v>4395</v>
      </c>
    </row>
    <row r="5158" spans="1:13">
      <c r="A5158">
        <v>46071</v>
      </c>
      <c r="B5158" t="s">
        <v>63</v>
      </c>
      <c r="D5158">
        <v>20500</v>
      </c>
      <c r="F5158">
        <v>2</v>
      </c>
      <c r="G5158" t="s">
        <v>70</v>
      </c>
      <c r="I5158" t="s">
        <v>71</v>
      </c>
      <c r="J5158" t="s">
        <v>72</v>
      </c>
      <c r="K5158" t="s">
        <v>4396</v>
      </c>
      <c r="L5158" t="s">
        <v>62</v>
      </c>
      <c r="M5158" t="s">
        <v>90</v>
      </c>
    </row>
    <row r="5159" spans="1:13">
      <c r="A5159">
        <v>46071</v>
      </c>
      <c r="B5159" t="s">
        <v>63</v>
      </c>
      <c r="D5159">
        <v>12000</v>
      </c>
      <c r="F5159">
        <v>2</v>
      </c>
      <c r="G5159" t="s">
        <v>70</v>
      </c>
      <c r="I5159" t="s">
        <v>71</v>
      </c>
      <c r="J5159" t="s">
        <v>72</v>
      </c>
      <c r="K5159" t="s">
        <v>4397</v>
      </c>
      <c r="L5159" t="s">
        <v>62</v>
      </c>
      <c r="M5159" t="s">
        <v>272</v>
      </c>
    </row>
    <row r="5160" spans="1:13">
      <c r="A5160">
        <v>46071</v>
      </c>
      <c r="B5160" t="s">
        <v>4398</v>
      </c>
      <c r="D5160">
        <v>500</v>
      </c>
      <c r="F5160">
        <v>1</v>
      </c>
      <c r="G5160" t="s">
        <v>22</v>
      </c>
      <c r="H5160" t="s">
        <v>21</v>
      </c>
      <c r="I5160" t="s">
        <v>60</v>
      </c>
      <c r="J5160" t="s">
        <v>61</v>
      </c>
      <c r="L5160" t="s">
        <v>89</v>
      </c>
    </row>
    <row r="5161" spans="1:13">
      <c r="A5161">
        <v>46071</v>
      </c>
      <c r="B5161" t="s">
        <v>4399</v>
      </c>
      <c r="F5161">
        <v>1</v>
      </c>
      <c r="G5161" t="s">
        <v>64</v>
      </c>
      <c r="L5161" t="s">
        <v>89</v>
      </c>
      <c r="M5161" t="s">
        <v>4400</v>
      </c>
    </row>
    <row r="5162" spans="1:13">
      <c r="A5162">
        <v>46071</v>
      </c>
      <c r="B5162" t="s">
        <v>4401</v>
      </c>
      <c r="D5162">
        <v>500</v>
      </c>
      <c r="F5162">
        <v>1</v>
      </c>
      <c r="G5162" t="s">
        <v>22</v>
      </c>
      <c r="H5162" t="s">
        <v>21</v>
      </c>
      <c r="I5162" t="s">
        <v>60</v>
      </c>
      <c r="J5162" t="s">
        <v>61</v>
      </c>
      <c r="L5162" t="s">
        <v>89</v>
      </c>
    </row>
    <row r="5163" spans="1:13">
      <c r="A5163">
        <v>46071</v>
      </c>
      <c r="B5163" t="s">
        <v>4402</v>
      </c>
      <c r="D5163">
        <v>500</v>
      </c>
      <c r="F5163">
        <v>1</v>
      </c>
      <c r="G5163" t="s">
        <v>22</v>
      </c>
      <c r="H5163" t="s">
        <v>21</v>
      </c>
      <c r="I5163" t="s">
        <v>60</v>
      </c>
      <c r="J5163" t="s">
        <v>61</v>
      </c>
      <c r="L5163" t="s">
        <v>89</v>
      </c>
    </row>
    <row r="5164" spans="1:13">
      <c r="A5164">
        <v>46071</v>
      </c>
      <c r="B5164" t="s">
        <v>63</v>
      </c>
      <c r="E5164">
        <v>2000</v>
      </c>
      <c r="F5164">
        <v>1</v>
      </c>
      <c r="G5164" t="s">
        <v>65</v>
      </c>
      <c r="H5164" t="s">
        <v>66</v>
      </c>
      <c r="I5164" t="s">
        <v>60</v>
      </c>
      <c r="J5164" t="s">
        <v>61</v>
      </c>
      <c r="L5164" t="s">
        <v>62</v>
      </c>
      <c r="M5164" t="s">
        <v>3280</v>
      </c>
    </row>
    <row r="5165" spans="1:13">
      <c r="A5165">
        <v>46072</v>
      </c>
      <c r="B5165" t="s">
        <v>63</v>
      </c>
      <c r="D5165">
        <v>24000</v>
      </c>
      <c r="G5165" t="s">
        <v>70</v>
      </c>
      <c r="I5165" t="s">
        <v>60</v>
      </c>
      <c r="J5165" t="s">
        <v>61</v>
      </c>
      <c r="L5165" t="s">
        <v>62</v>
      </c>
    </row>
    <row r="5166" spans="1:13">
      <c r="A5166">
        <v>46072</v>
      </c>
      <c r="B5166" t="s">
        <v>4403</v>
      </c>
      <c r="D5166">
        <v>500</v>
      </c>
      <c r="F5166">
        <v>1</v>
      </c>
      <c r="G5166" t="s">
        <v>22</v>
      </c>
      <c r="H5166" t="s">
        <v>21</v>
      </c>
      <c r="I5166" t="s">
        <v>60</v>
      </c>
      <c r="J5166" t="s">
        <v>61</v>
      </c>
      <c r="L5166" t="s">
        <v>89</v>
      </c>
    </row>
    <row r="5167" spans="1:13">
      <c r="A5167">
        <v>46072</v>
      </c>
      <c r="B5167" t="s">
        <v>4403</v>
      </c>
      <c r="F5167">
        <v>1</v>
      </c>
      <c r="G5167" t="s">
        <v>64</v>
      </c>
      <c r="L5167" t="s">
        <v>89</v>
      </c>
      <c r="M5167" t="s">
        <v>4404</v>
      </c>
    </row>
    <row r="5168" spans="1:13">
      <c r="A5168">
        <v>46072</v>
      </c>
      <c r="B5168" t="s">
        <v>4405</v>
      </c>
      <c r="D5168">
        <v>500</v>
      </c>
      <c r="F5168">
        <v>1</v>
      </c>
      <c r="G5168" t="s">
        <v>22</v>
      </c>
      <c r="H5168" t="s">
        <v>21</v>
      </c>
      <c r="I5168" t="s">
        <v>60</v>
      </c>
      <c r="J5168" t="s">
        <v>61</v>
      </c>
      <c r="L5168" t="s">
        <v>89</v>
      </c>
    </row>
    <row r="5169" spans="1:13">
      <c r="A5169">
        <v>46072</v>
      </c>
      <c r="B5169" t="s">
        <v>81</v>
      </c>
      <c r="D5169">
        <v>22000</v>
      </c>
      <c r="F5169">
        <v>1</v>
      </c>
      <c r="G5169" t="s">
        <v>74</v>
      </c>
      <c r="H5169" t="s">
        <v>75</v>
      </c>
      <c r="I5169" t="s">
        <v>60</v>
      </c>
      <c r="J5169" t="s">
        <v>61</v>
      </c>
      <c r="L5169" t="s">
        <v>88</v>
      </c>
    </row>
    <row r="5170" spans="1:13">
      <c r="A5170">
        <v>46072</v>
      </c>
      <c r="B5170" t="s">
        <v>4406</v>
      </c>
      <c r="D5170">
        <v>500</v>
      </c>
      <c r="F5170">
        <v>1</v>
      </c>
      <c r="G5170" t="s">
        <v>22</v>
      </c>
      <c r="H5170" t="s">
        <v>21</v>
      </c>
      <c r="I5170" t="s">
        <v>60</v>
      </c>
      <c r="J5170" t="s">
        <v>61</v>
      </c>
      <c r="L5170" t="s">
        <v>86</v>
      </c>
    </row>
    <row r="5171" spans="1:13">
      <c r="A5171">
        <v>46072</v>
      </c>
      <c r="B5171" t="s">
        <v>4407</v>
      </c>
      <c r="F5171">
        <v>1</v>
      </c>
      <c r="G5171" t="s">
        <v>64</v>
      </c>
      <c r="L5171" t="s">
        <v>86</v>
      </c>
      <c r="M5171" t="s">
        <v>96</v>
      </c>
    </row>
    <row r="5172" spans="1:13">
      <c r="A5172">
        <v>46072</v>
      </c>
      <c r="B5172" t="s">
        <v>63</v>
      </c>
      <c r="D5172">
        <v>9500</v>
      </c>
      <c r="F5172">
        <v>1</v>
      </c>
      <c r="G5172" t="s">
        <v>70</v>
      </c>
      <c r="I5172" t="s">
        <v>71</v>
      </c>
      <c r="J5172" t="s">
        <v>72</v>
      </c>
      <c r="K5172" t="s">
        <v>4408</v>
      </c>
      <c r="L5172" t="s">
        <v>62</v>
      </c>
      <c r="M5172" t="s">
        <v>90</v>
      </c>
    </row>
    <row r="5173" spans="1:13">
      <c r="A5173">
        <v>46072</v>
      </c>
      <c r="B5173" t="s">
        <v>4409</v>
      </c>
      <c r="F5173">
        <v>1</v>
      </c>
      <c r="G5173" t="s">
        <v>107</v>
      </c>
      <c r="H5173" t="s">
        <v>21</v>
      </c>
      <c r="L5173" t="s">
        <v>86</v>
      </c>
      <c r="M5173" t="s">
        <v>4410</v>
      </c>
    </row>
    <row r="5174" spans="1:13">
      <c r="A5174">
        <v>46072</v>
      </c>
      <c r="B5174" t="s">
        <v>4411</v>
      </c>
      <c r="F5174">
        <v>1</v>
      </c>
      <c r="G5174" t="s">
        <v>107</v>
      </c>
      <c r="H5174" t="s">
        <v>21</v>
      </c>
      <c r="L5174" t="s">
        <v>86</v>
      </c>
      <c r="M5174" t="s">
        <v>4410</v>
      </c>
    </row>
    <row r="5175" spans="1:13">
      <c r="A5175">
        <v>46072</v>
      </c>
      <c r="B5175" t="s">
        <v>4010</v>
      </c>
      <c r="D5175">
        <v>500</v>
      </c>
      <c r="F5175">
        <v>1</v>
      </c>
      <c r="G5175" t="s">
        <v>22</v>
      </c>
      <c r="H5175" t="s">
        <v>21</v>
      </c>
      <c r="I5175" t="s">
        <v>60</v>
      </c>
      <c r="J5175" t="s">
        <v>61</v>
      </c>
      <c r="L5175" t="s">
        <v>86</v>
      </c>
    </row>
    <row r="5176" spans="1:13">
      <c r="A5176">
        <v>46072</v>
      </c>
      <c r="B5176" t="s">
        <v>63</v>
      </c>
      <c r="D5176">
        <v>8000</v>
      </c>
      <c r="F5176">
        <v>1</v>
      </c>
      <c r="G5176" t="s">
        <v>70</v>
      </c>
      <c r="I5176" t="s">
        <v>71</v>
      </c>
      <c r="J5176" t="s">
        <v>72</v>
      </c>
      <c r="K5176" t="s">
        <v>4412</v>
      </c>
      <c r="L5176" t="s">
        <v>62</v>
      </c>
      <c r="M5176" t="s">
        <v>90</v>
      </c>
    </row>
    <row r="5177" spans="1:13">
      <c r="A5177">
        <v>46072</v>
      </c>
      <c r="B5177" t="s">
        <v>63</v>
      </c>
      <c r="D5177">
        <v>100</v>
      </c>
      <c r="F5177">
        <v>1</v>
      </c>
      <c r="G5177" t="s">
        <v>22</v>
      </c>
      <c r="H5177" t="s">
        <v>93</v>
      </c>
      <c r="I5177" t="s">
        <v>60</v>
      </c>
      <c r="J5177" t="s">
        <v>61</v>
      </c>
      <c r="L5177" t="s">
        <v>62</v>
      </c>
    </row>
    <row r="5178" spans="1:13">
      <c r="A5178">
        <v>46072</v>
      </c>
      <c r="B5178" t="s">
        <v>76</v>
      </c>
      <c r="D5178">
        <v>4000</v>
      </c>
      <c r="G5178" t="s">
        <v>77</v>
      </c>
      <c r="I5178" t="s">
        <v>60</v>
      </c>
      <c r="J5178" t="s">
        <v>61</v>
      </c>
      <c r="L5178" t="s">
        <v>62</v>
      </c>
    </row>
    <row r="5179" spans="1:13">
      <c r="A5179">
        <v>46072</v>
      </c>
      <c r="B5179" t="s">
        <v>63</v>
      </c>
      <c r="E5179">
        <v>2000</v>
      </c>
      <c r="F5179">
        <v>1</v>
      </c>
      <c r="G5179" t="s">
        <v>65</v>
      </c>
      <c r="H5179" t="s">
        <v>66</v>
      </c>
      <c r="I5179" t="s">
        <v>60</v>
      </c>
      <c r="J5179" t="s">
        <v>61</v>
      </c>
      <c r="L5179" t="s">
        <v>62</v>
      </c>
      <c r="M5179" t="s">
        <v>3280</v>
      </c>
    </row>
    <row r="5180" spans="1:13">
      <c r="A5180">
        <v>46072</v>
      </c>
      <c r="B5180" t="s">
        <v>63</v>
      </c>
      <c r="E5180">
        <v>100</v>
      </c>
      <c r="F5180">
        <v>1</v>
      </c>
      <c r="G5180" t="s">
        <v>65</v>
      </c>
      <c r="H5180" t="s">
        <v>66</v>
      </c>
      <c r="I5180" t="s">
        <v>60</v>
      </c>
      <c r="J5180" t="s">
        <v>61</v>
      </c>
      <c r="L5180" t="s">
        <v>62</v>
      </c>
      <c r="M5180" t="s">
        <v>392</v>
      </c>
    </row>
    <row r="5181" spans="1:13">
      <c r="A5181">
        <v>46073</v>
      </c>
      <c r="B5181" t="s">
        <v>81</v>
      </c>
      <c r="D5181">
        <v>53000</v>
      </c>
      <c r="F5181">
        <v>1</v>
      </c>
      <c r="G5181" t="s">
        <v>74</v>
      </c>
      <c r="H5181" t="s">
        <v>75</v>
      </c>
      <c r="I5181" t="s">
        <v>60</v>
      </c>
      <c r="J5181" t="s">
        <v>61</v>
      </c>
      <c r="L5181" t="s">
        <v>88</v>
      </c>
    </row>
    <row r="5182" spans="1:13">
      <c r="A5182">
        <v>46073</v>
      </c>
      <c r="B5182" t="s">
        <v>84</v>
      </c>
      <c r="D5182">
        <v>-20800</v>
      </c>
      <c r="G5182" t="s">
        <v>77</v>
      </c>
      <c r="I5182" t="s">
        <v>60</v>
      </c>
      <c r="J5182" t="s">
        <v>61</v>
      </c>
      <c r="L5182" t="s">
        <v>62</v>
      </c>
    </row>
    <row r="5183" spans="1:13">
      <c r="A5183">
        <v>46073</v>
      </c>
      <c r="B5183" t="s">
        <v>84</v>
      </c>
      <c r="E5183">
        <v>-1100</v>
      </c>
      <c r="F5183">
        <v>1</v>
      </c>
      <c r="G5183" t="s">
        <v>65</v>
      </c>
      <c r="H5183" t="s">
        <v>85</v>
      </c>
      <c r="I5183" t="s">
        <v>60</v>
      </c>
      <c r="J5183" t="s">
        <v>61</v>
      </c>
      <c r="L5183" t="s">
        <v>62</v>
      </c>
    </row>
    <row r="5184" spans="1:13">
      <c r="A5184">
        <v>46073</v>
      </c>
      <c r="B5184" t="s">
        <v>4413</v>
      </c>
      <c r="D5184">
        <v>500</v>
      </c>
      <c r="F5184">
        <v>1</v>
      </c>
      <c r="G5184" t="s">
        <v>22</v>
      </c>
      <c r="H5184" t="s">
        <v>21</v>
      </c>
      <c r="I5184" t="s">
        <v>60</v>
      </c>
      <c r="J5184" t="s">
        <v>61</v>
      </c>
      <c r="L5184" t="s">
        <v>82</v>
      </c>
    </row>
    <row r="5185" spans="1:13">
      <c r="A5185">
        <v>46073</v>
      </c>
      <c r="B5185" t="s">
        <v>4414</v>
      </c>
      <c r="D5185">
        <v>500</v>
      </c>
      <c r="F5185">
        <v>1</v>
      </c>
      <c r="G5185" t="s">
        <v>22</v>
      </c>
      <c r="H5185" t="s">
        <v>21</v>
      </c>
      <c r="I5185" t="s">
        <v>60</v>
      </c>
      <c r="J5185" t="s">
        <v>61</v>
      </c>
      <c r="L5185" t="s">
        <v>89</v>
      </c>
    </row>
    <row r="5186" spans="1:13">
      <c r="A5186">
        <v>46073</v>
      </c>
      <c r="B5186" t="s">
        <v>63</v>
      </c>
      <c r="D5186">
        <v>28500</v>
      </c>
      <c r="G5186" t="s">
        <v>70</v>
      </c>
      <c r="I5186" t="s">
        <v>60</v>
      </c>
      <c r="J5186" t="s">
        <v>61</v>
      </c>
      <c r="L5186" t="s">
        <v>62</v>
      </c>
    </row>
    <row r="5187" spans="1:13">
      <c r="A5187">
        <v>46073</v>
      </c>
      <c r="B5187" t="s">
        <v>4415</v>
      </c>
      <c r="F5187">
        <v>1</v>
      </c>
      <c r="G5187" t="s">
        <v>64</v>
      </c>
      <c r="L5187" t="s">
        <v>82</v>
      </c>
      <c r="M5187" t="s">
        <v>96</v>
      </c>
    </row>
    <row r="5188" spans="1:13">
      <c r="A5188">
        <v>46073</v>
      </c>
      <c r="B5188" t="s">
        <v>4416</v>
      </c>
      <c r="D5188">
        <v>500</v>
      </c>
      <c r="F5188">
        <v>0</v>
      </c>
      <c r="G5188" t="s">
        <v>22</v>
      </c>
      <c r="H5188" t="s">
        <v>21</v>
      </c>
      <c r="I5188" t="s">
        <v>60</v>
      </c>
      <c r="J5188" t="s">
        <v>61</v>
      </c>
      <c r="L5188" t="s">
        <v>82</v>
      </c>
      <c r="M5188" t="s">
        <v>548</v>
      </c>
    </row>
    <row r="5189" spans="1:13">
      <c r="A5189">
        <v>46073</v>
      </c>
      <c r="B5189" t="s">
        <v>4417</v>
      </c>
      <c r="D5189">
        <v>500</v>
      </c>
      <c r="F5189">
        <v>0</v>
      </c>
      <c r="G5189" t="s">
        <v>22</v>
      </c>
      <c r="H5189" t="s">
        <v>21</v>
      </c>
      <c r="I5189" t="s">
        <v>60</v>
      </c>
      <c r="J5189" t="s">
        <v>61</v>
      </c>
      <c r="L5189" t="s">
        <v>82</v>
      </c>
      <c r="M5189" t="s">
        <v>548</v>
      </c>
    </row>
    <row r="5190" spans="1:13">
      <c r="A5190">
        <v>46073</v>
      </c>
      <c r="B5190" t="s">
        <v>4418</v>
      </c>
      <c r="D5190">
        <v>500</v>
      </c>
      <c r="F5190">
        <v>1</v>
      </c>
      <c r="G5190" t="s">
        <v>22</v>
      </c>
      <c r="H5190" t="s">
        <v>21</v>
      </c>
      <c r="I5190" t="s">
        <v>60</v>
      </c>
      <c r="J5190" t="s">
        <v>61</v>
      </c>
      <c r="L5190" t="s">
        <v>82</v>
      </c>
    </row>
    <row r="5191" spans="1:13">
      <c r="A5191">
        <v>46073</v>
      </c>
      <c r="B5191" t="s">
        <v>4419</v>
      </c>
      <c r="D5191">
        <v>500</v>
      </c>
      <c r="F5191">
        <v>1</v>
      </c>
      <c r="G5191" t="s">
        <v>22</v>
      </c>
      <c r="H5191" t="s">
        <v>21</v>
      </c>
      <c r="I5191" t="s">
        <v>60</v>
      </c>
      <c r="J5191" t="s">
        <v>61</v>
      </c>
      <c r="L5191" t="s">
        <v>82</v>
      </c>
    </row>
    <row r="5192" spans="1:13">
      <c r="A5192">
        <v>46073</v>
      </c>
      <c r="B5192" t="s">
        <v>4420</v>
      </c>
      <c r="F5192">
        <v>1</v>
      </c>
      <c r="G5192" t="s">
        <v>107</v>
      </c>
      <c r="H5192" t="s">
        <v>21</v>
      </c>
      <c r="L5192" t="s">
        <v>82</v>
      </c>
      <c r="M5192" t="s">
        <v>4421</v>
      </c>
    </row>
    <row r="5193" spans="1:13">
      <c r="A5193">
        <v>46073</v>
      </c>
      <c r="B5193" t="s">
        <v>4422</v>
      </c>
      <c r="D5193">
        <v>500</v>
      </c>
      <c r="F5193">
        <v>1</v>
      </c>
      <c r="G5193" t="s">
        <v>22</v>
      </c>
      <c r="H5193" t="s">
        <v>21</v>
      </c>
      <c r="I5193" t="s">
        <v>60</v>
      </c>
      <c r="J5193" t="s">
        <v>61</v>
      </c>
      <c r="L5193" t="s">
        <v>82</v>
      </c>
    </row>
    <row r="5194" spans="1:13">
      <c r="A5194">
        <v>46073</v>
      </c>
      <c r="B5194" t="s">
        <v>63</v>
      </c>
      <c r="E5194">
        <v>3500</v>
      </c>
      <c r="F5194">
        <v>1</v>
      </c>
      <c r="G5194" t="s">
        <v>65</v>
      </c>
      <c r="H5194" t="s">
        <v>66</v>
      </c>
      <c r="I5194" t="s">
        <v>60</v>
      </c>
      <c r="J5194" t="s">
        <v>61</v>
      </c>
      <c r="L5194" t="s">
        <v>62</v>
      </c>
      <c r="M5194" t="s">
        <v>3280</v>
      </c>
    </row>
    <row r="5195" spans="1:13">
      <c r="A5195">
        <v>46074</v>
      </c>
      <c r="B5195" t="s">
        <v>84</v>
      </c>
      <c r="D5195">
        <v>-31200</v>
      </c>
      <c r="G5195" t="s">
        <v>77</v>
      </c>
      <c r="I5195" t="s">
        <v>60</v>
      </c>
      <c r="J5195" t="s">
        <v>61</v>
      </c>
      <c r="L5195" t="s">
        <v>62</v>
      </c>
    </row>
    <row r="5196" spans="1:13">
      <c r="A5196">
        <v>46074</v>
      </c>
      <c r="B5196" t="s">
        <v>84</v>
      </c>
      <c r="E5196">
        <v>-1650</v>
      </c>
      <c r="F5196">
        <v>1</v>
      </c>
      <c r="G5196" t="s">
        <v>65</v>
      </c>
      <c r="H5196" t="s">
        <v>85</v>
      </c>
      <c r="I5196" t="s">
        <v>60</v>
      </c>
      <c r="J5196" t="s">
        <v>61</v>
      </c>
      <c r="L5196" t="s">
        <v>62</v>
      </c>
    </row>
    <row r="5197" spans="1:13">
      <c r="A5197">
        <v>46074</v>
      </c>
      <c r="B5197" t="s">
        <v>4423</v>
      </c>
      <c r="F5197">
        <v>1</v>
      </c>
      <c r="G5197" t="s">
        <v>107</v>
      </c>
      <c r="H5197" t="s">
        <v>21</v>
      </c>
      <c r="L5197" t="s">
        <v>82</v>
      </c>
      <c r="M5197" t="s">
        <v>4421</v>
      </c>
    </row>
    <row r="5198" spans="1:13">
      <c r="A5198">
        <v>46074</v>
      </c>
      <c r="B5198" t="s">
        <v>4424</v>
      </c>
      <c r="D5198">
        <v>500</v>
      </c>
      <c r="F5198">
        <v>1</v>
      </c>
      <c r="G5198" t="s">
        <v>22</v>
      </c>
      <c r="H5198" t="s">
        <v>21</v>
      </c>
      <c r="I5198" t="s">
        <v>60</v>
      </c>
      <c r="J5198" t="s">
        <v>61</v>
      </c>
      <c r="L5198" t="s">
        <v>82</v>
      </c>
    </row>
    <row r="5199" spans="1:13">
      <c r="A5199">
        <v>46074</v>
      </c>
      <c r="B5199" t="s">
        <v>196</v>
      </c>
      <c r="E5199">
        <v>8000</v>
      </c>
      <c r="F5199">
        <v>1</v>
      </c>
      <c r="G5199" t="s">
        <v>65</v>
      </c>
      <c r="H5199" t="s">
        <v>560</v>
      </c>
      <c r="I5199" t="s">
        <v>60</v>
      </c>
      <c r="J5199" t="s">
        <v>61</v>
      </c>
      <c r="L5199" t="s">
        <v>62</v>
      </c>
    </row>
    <row r="5200" spans="1:13">
      <c r="A5200">
        <v>46074</v>
      </c>
      <c r="B5200" t="s">
        <v>4425</v>
      </c>
      <c r="D5200">
        <v>500</v>
      </c>
      <c r="F5200">
        <v>0</v>
      </c>
      <c r="G5200" t="s">
        <v>22</v>
      </c>
      <c r="H5200" t="s">
        <v>21</v>
      </c>
      <c r="I5200" t="s">
        <v>60</v>
      </c>
      <c r="J5200" t="s">
        <v>61</v>
      </c>
      <c r="L5200" t="s">
        <v>86</v>
      </c>
      <c r="M5200" t="s">
        <v>548</v>
      </c>
    </row>
    <row r="5201" spans="1:13">
      <c r="A5201">
        <v>46074</v>
      </c>
      <c r="B5201" t="s">
        <v>4426</v>
      </c>
      <c r="D5201">
        <v>500</v>
      </c>
      <c r="F5201">
        <v>1</v>
      </c>
      <c r="G5201" t="s">
        <v>22</v>
      </c>
      <c r="H5201" t="s">
        <v>21</v>
      </c>
      <c r="I5201" t="s">
        <v>60</v>
      </c>
      <c r="J5201" t="s">
        <v>61</v>
      </c>
      <c r="L5201" t="s">
        <v>82</v>
      </c>
    </row>
    <row r="5202" spans="1:13">
      <c r="A5202">
        <v>46074</v>
      </c>
      <c r="B5202" t="s">
        <v>4427</v>
      </c>
      <c r="F5202">
        <v>1</v>
      </c>
      <c r="G5202" t="s">
        <v>79</v>
      </c>
      <c r="H5202" t="s">
        <v>21</v>
      </c>
      <c r="L5202" t="s">
        <v>86</v>
      </c>
      <c r="M5202" t="s">
        <v>327</v>
      </c>
    </row>
    <row r="5203" spans="1:13">
      <c r="A5203">
        <v>46074</v>
      </c>
      <c r="B5203" t="s">
        <v>3668</v>
      </c>
      <c r="D5203">
        <v>500</v>
      </c>
      <c r="F5203">
        <v>0</v>
      </c>
      <c r="G5203" t="s">
        <v>22</v>
      </c>
      <c r="H5203" t="s">
        <v>21</v>
      </c>
      <c r="I5203" t="s">
        <v>60</v>
      </c>
      <c r="J5203" t="s">
        <v>61</v>
      </c>
      <c r="L5203" t="s">
        <v>86</v>
      </c>
      <c r="M5203" t="s">
        <v>548</v>
      </c>
    </row>
    <row r="5204" spans="1:13">
      <c r="A5204">
        <v>46074</v>
      </c>
      <c r="B5204" t="s">
        <v>4428</v>
      </c>
      <c r="D5204">
        <v>500</v>
      </c>
      <c r="F5204">
        <v>1</v>
      </c>
      <c r="G5204" t="s">
        <v>22</v>
      </c>
      <c r="H5204" t="s">
        <v>21</v>
      </c>
      <c r="I5204" t="s">
        <v>60</v>
      </c>
      <c r="J5204" t="s">
        <v>61</v>
      </c>
      <c r="L5204" t="s">
        <v>82</v>
      </c>
      <c r="M5204" t="s">
        <v>548</v>
      </c>
    </row>
    <row r="5205" spans="1:13">
      <c r="A5205">
        <v>46074</v>
      </c>
      <c r="B5205" t="s">
        <v>4429</v>
      </c>
      <c r="D5205">
        <v>500</v>
      </c>
      <c r="F5205">
        <v>1</v>
      </c>
      <c r="G5205" t="s">
        <v>22</v>
      </c>
      <c r="H5205" t="s">
        <v>21</v>
      </c>
      <c r="I5205" t="s">
        <v>60</v>
      </c>
      <c r="J5205" t="s">
        <v>61</v>
      </c>
      <c r="L5205" t="s">
        <v>82</v>
      </c>
      <c r="M5205" t="s">
        <v>548</v>
      </c>
    </row>
    <row r="5206" spans="1:13">
      <c r="A5206">
        <v>46074</v>
      </c>
      <c r="B5206" t="s">
        <v>4430</v>
      </c>
      <c r="F5206">
        <v>1</v>
      </c>
      <c r="G5206" t="s">
        <v>79</v>
      </c>
      <c r="H5206" t="s">
        <v>21</v>
      </c>
      <c r="L5206" t="s">
        <v>82</v>
      </c>
      <c r="M5206" t="s">
        <v>327</v>
      </c>
    </row>
    <row r="5207" spans="1:13">
      <c r="A5207">
        <v>46074</v>
      </c>
      <c r="B5207" t="s">
        <v>4430</v>
      </c>
      <c r="F5207">
        <v>1</v>
      </c>
      <c r="G5207" t="s">
        <v>64</v>
      </c>
      <c r="L5207" t="s">
        <v>82</v>
      </c>
      <c r="M5207" t="s">
        <v>4431</v>
      </c>
    </row>
    <row r="5208" spans="1:13">
      <c r="A5208">
        <v>46074</v>
      </c>
      <c r="B5208" t="s">
        <v>4432</v>
      </c>
      <c r="F5208">
        <v>1</v>
      </c>
      <c r="G5208" t="s">
        <v>79</v>
      </c>
      <c r="H5208" t="s">
        <v>21</v>
      </c>
      <c r="L5208" t="s">
        <v>82</v>
      </c>
      <c r="M5208" t="s">
        <v>327</v>
      </c>
    </row>
    <row r="5209" spans="1:13">
      <c r="A5209">
        <v>46074</v>
      </c>
      <c r="B5209" t="s">
        <v>4432</v>
      </c>
      <c r="F5209">
        <v>1</v>
      </c>
      <c r="G5209" t="s">
        <v>64</v>
      </c>
      <c r="L5209" t="s">
        <v>82</v>
      </c>
      <c r="M5209" t="s">
        <v>4433</v>
      </c>
    </row>
    <row r="5210" spans="1:13">
      <c r="A5210">
        <v>46074</v>
      </c>
      <c r="B5210" t="s">
        <v>63</v>
      </c>
      <c r="D5210">
        <v>44500</v>
      </c>
      <c r="G5210" t="s">
        <v>70</v>
      </c>
      <c r="I5210" t="s">
        <v>60</v>
      </c>
      <c r="J5210" t="s">
        <v>61</v>
      </c>
      <c r="L5210" t="s">
        <v>62</v>
      </c>
    </row>
    <row r="5211" spans="1:13">
      <c r="A5211">
        <v>46074</v>
      </c>
      <c r="B5211" t="s">
        <v>76</v>
      </c>
      <c r="D5211">
        <v>3000</v>
      </c>
      <c r="F5211">
        <v>1</v>
      </c>
      <c r="G5211" t="s">
        <v>77</v>
      </c>
      <c r="I5211" t="s">
        <v>60</v>
      </c>
      <c r="J5211" t="s">
        <v>61</v>
      </c>
      <c r="L5211" t="s">
        <v>62</v>
      </c>
    </row>
    <row r="5212" spans="1:13">
      <c r="A5212">
        <v>46074</v>
      </c>
      <c r="B5212" t="s">
        <v>4434</v>
      </c>
      <c r="F5212">
        <v>1</v>
      </c>
      <c r="G5212" t="s">
        <v>64</v>
      </c>
      <c r="L5212" t="s">
        <v>86</v>
      </c>
      <c r="M5212" t="s">
        <v>96</v>
      </c>
    </row>
    <row r="5213" spans="1:13">
      <c r="A5213">
        <v>46074</v>
      </c>
      <c r="B5213" t="s">
        <v>4435</v>
      </c>
      <c r="D5213">
        <v>500</v>
      </c>
      <c r="F5213">
        <v>1</v>
      </c>
      <c r="G5213" t="s">
        <v>22</v>
      </c>
      <c r="H5213" t="s">
        <v>21</v>
      </c>
      <c r="I5213" t="s">
        <v>60</v>
      </c>
      <c r="J5213" t="s">
        <v>61</v>
      </c>
      <c r="L5213" t="s">
        <v>86</v>
      </c>
    </row>
    <row r="5214" spans="1:13">
      <c r="A5214">
        <v>46074</v>
      </c>
      <c r="B5214" t="s">
        <v>63</v>
      </c>
      <c r="E5214">
        <v>3500</v>
      </c>
      <c r="F5214">
        <v>1</v>
      </c>
      <c r="G5214" t="s">
        <v>65</v>
      </c>
      <c r="H5214" t="s">
        <v>66</v>
      </c>
      <c r="I5214" t="s">
        <v>60</v>
      </c>
      <c r="J5214" t="s">
        <v>61</v>
      </c>
      <c r="L5214" t="s">
        <v>62</v>
      </c>
      <c r="M5214" t="s">
        <v>3280</v>
      </c>
    </row>
    <row r="5215" spans="1:13">
      <c r="A5215">
        <v>46075</v>
      </c>
      <c r="B5215" t="s">
        <v>4436</v>
      </c>
      <c r="D5215">
        <v>500</v>
      </c>
      <c r="F5215">
        <v>1</v>
      </c>
      <c r="G5215" t="s">
        <v>22</v>
      </c>
      <c r="H5215" t="s">
        <v>21</v>
      </c>
      <c r="I5215" t="s">
        <v>60</v>
      </c>
      <c r="J5215" t="s">
        <v>61</v>
      </c>
      <c r="L5215" t="s">
        <v>86</v>
      </c>
      <c r="M5215" t="s">
        <v>548</v>
      </c>
    </row>
    <row r="5216" spans="1:13">
      <c r="A5216">
        <v>46075</v>
      </c>
      <c r="B5216" t="s">
        <v>4437</v>
      </c>
      <c r="D5216">
        <v>500</v>
      </c>
      <c r="F5216">
        <v>0</v>
      </c>
      <c r="G5216" t="s">
        <v>22</v>
      </c>
      <c r="H5216" t="s">
        <v>21</v>
      </c>
      <c r="I5216" t="s">
        <v>60</v>
      </c>
      <c r="J5216" t="s">
        <v>61</v>
      </c>
      <c r="L5216" t="s">
        <v>86</v>
      </c>
      <c r="M5216" t="s">
        <v>548</v>
      </c>
    </row>
    <row r="5217" spans="1:13">
      <c r="A5217">
        <v>46075</v>
      </c>
      <c r="B5217" t="s">
        <v>4438</v>
      </c>
      <c r="D5217">
        <v>500</v>
      </c>
      <c r="F5217">
        <v>1</v>
      </c>
      <c r="G5217" t="s">
        <v>22</v>
      </c>
      <c r="H5217" t="s">
        <v>21</v>
      </c>
      <c r="I5217" t="s">
        <v>60</v>
      </c>
      <c r="J5217" t="s">
        <v>61</v>
      </c>
      <c r="L5217" t="s">
        <v>89</v>
      </c>
    </row>
    <row r="5218" spans="1:13">
      <c r="A5218">
        <v>46075</v>
      </c>
      <c r="B5218" t="s">
        <v>4439</v>
      </c>
      <c r="D5218">
        <v>165000</v>
      </c>
      <c r="F5218">
        <v>1</v>
      </c>
      <c r="G5218" t="s">
        <v>64</v>
      </c>
      <c r="I5218" t="s">
        <v>60</v>
      </c>
      <c r="J5218" t="s">
        <v>61</v>
      </c>
      <c r="L5218" t="s">
        <v>86</v>
      </c>
    </row>
    <row r="5219" spans="1:13">
      <c r="A5219">
        <v>46075</v>
      </c>
      <c r="B5219" t="s">
        <v>4438</v>
      </c>
      <c r="F5219">
        <v>1</v>
      </c>
      <c r="G5219" t="s">
        <v>64</v>
      </c>
      <c r="L5219" t="s">
        <v>89</v>
      </c>
      <c r="M5219" t="s">
        <v>4440</v>
      </c>
    </row>
    <row r="5220" spans="1:13">
      <c r="A5220">
        <v>46075</v>
      </c>
      <c r="B5220" t="s">
        <v>63</v>
      </c>
      <c r="D5220">
        <v>26500</v>
      </c>
      <c r="G5220" t="s">
        <v>70</v>
      </c>
      <c r="I5220" t="s">
        <v>60</v>
      </c>
      <c r="J5220" t="s">
        <v>61</v>
      </c>
      <c r="L5220" t="s">
        <v>62</v>
      </c>
    </row>
    <row r="5221" spans="1:13">
      <c r="A5221">
        <v>46075</v>
      </c>
      <c r="B5221" t="s">
        <v>63</v>
      </c>
      <c r="D5221">
        <v>8000</v>
      </c>
      <c r="F5221">
        <v>1</v>
      </c>
      <c r="G5221" t="s">
        <v>70</v>
      </c>
      <c r="I5221" t="s">
        <v>71</v>
      </c>
      <c r="J5221" t="s">
        <v>72</v>
      </c>
      <c r="K5221" t="s">
        <v>4441</v>
      </c>
      <c r="L5221" t="s">
        <v>62</v>
      </c>
      <c r="M5221" t="s">
        <v>272</v>
      </c>
    </row>
    <row r="5222" spans="1:13">
      <c r="A5222">
        <v>46075</v>
      </c>
      <c r="B5222" t="s">
        <v>76</v>
      </c>
      <c r="D5222">
        <v>6000</v>
      </c>
      <c r="G5222" t="s">
        <v>77</v>
      </c>
      <c r="I5222" t="s">
        <v>60</v>
      </c>
      <c r="J5222" t="s">
        <v>61</v>
      </c>
      <c r="L5222" t="s">
        <v>62</v>
      </c>
    </row>
    <row r="5223" spans="1:13">
      <c r="A5223">
        <v>46075</v>
      </c>
      <c r="B5223" t="s">
        <v>4442</v>
      </c>
      <c r="F5223">
        <v>1</v>
      </c>
      <c r="G5223" t="s">
        <v>64</v>
      </c>
      <c r="L5223" t="s">
        <v>89</v>
      </c>
      <c r="M5223" t="s">
        <v>4440</v>
      </c>
    </row>
    <row r="5224" spans="1:13">
      <c r="A5224">
        <v>46075</v>
      </c>
      <c r="B5224" t="s">
        <v>4443</v>
      </c>
      <c r="D5224">
        <v>500</v>
      </c>
      <c r="F5224">
        <v>1</v>
      </c>
      <c r="G5224" t="s">
        <v>22</v>
      </c>
      <c r="H5224" t="s">
        <v>21</v>
      </c>
      <c r="I5224" t="s">
        <v>60</v>
      </c>
      <c r="J5224" t="s">
        <v>61</v>
      </c>
      <c r="L5224" t="s">
        <v>89</v>
      </c>
    </row>
    <row r="5225" spans="1:13">
      <c r="A5225">
        <v>46075</v>
      </c>
      <c r="B5225" t="s">
        <v>4444</v>
      </c>
      <c r="F5225">
        <v>1</v>
      </c>
      <c r="G5225" t="s">
        <v>79</v>
      </c>
      <c r="H5225" t="s">
        <v>21</v>
      </c>
      <c r="L5225" t="s">
        <v>89</v>
      </c>
      <c r="M5225" t="s">
        <v>327</v>
      </c>
    </row>
    <row r="5226" spans="1:13">
      <c r="A5226">
        <v>46075</v>
      </c>
      <c r="B5226" t="s">
        <v>4445</v>
      </c>
      <c r="F5226">
        <v>1</v>
      </c>
      <c r="G5226" t="s">
        <v>64</v>
      </c>
      <c r="L5226" t="s">
        <v>89</v>
      </c>
      <c r="M5226" t="s">
        <v>4446</v>
      </c>
    </row>
    <row r="5227" spans="1:13">
      <c r="A5227">
        <v>46075</v>
      </c>
      <c r="B5227" t="s">
        <v>4447</v>
      </c>
      <c r="D5227">
        <v>500</v>
      </c>
      <c r="F5227">
        <v>1</v>
      </c>
      <c r="G5227" t="s">
        <v>22</v>
      </c>
      <c r="H5227" t="s">
        <v>21</v>
      </c>
      <c r="I5227" t="s">
        <v>60</v>
      </c>
      <c r="J5227" t="s">
        <v>61</v>
      </c>
      <c r="L5227" t="s">
        <v>89</v>
      </c>
    </row>
    <row r="5228" spans="1:13">
      <c r="A5228">
        <v>46075</v>
      </c>
      <c r="B5228" t="s">
        <v>4448</v>
      </c>
      <c r="D5228">
        <v>500</v>
      </c>
      <c r="F5228">
        <v>1</v>
      </c>
      <c r="G5228" t="s">
        <v>22</v>
      </c>
      <c r="H5228" t="s">
        <v>21</v>
      </c>
      <c r="I5228" t="s">
        <v>60</v>
      </c>
      <c r="J5228" t="s">
        <v>61</v>
      </c>
      <c r="L5228" t="s">
        <v>89</v>
      </c>
    </row>
    <row r="5229" spans="1:13">
      <c r="A5229">
        <v>46075</v>
      </c>
      <c r="B5229" t="s">
        <v>4449</v>
      </c>
      <c r="D5229">
        <v>500</v>
      </c>
      <c r="F5229">
        <v>1</v>
      </c>
      <c r="G5229" t="s">
        <v>22</v>
      </c>
      <c r="H5229" t="s">
        <v>21</v>
      </c>
      <c r="I5229" t="s">
        <v>60</v>
      </c>
      <c r="J5229" t="s">
        <v>61</v>
      </c>
      <c r="L5229" t="s">
        <v>89</v>
      </c>
    </row>
    <row r="5230" spans="1:13">
      <c r="A5230">
        <v>46075</v>
      </c>
      <c r="B5230" t="s">
        <v>4450</v>
      </c>
      <c r="F5230">
        <v>1</v>
      </c>
      <c r="G5230" t="s">
        <v>79</v>
      </c>
      <c r="H5230" t="s">
        <v>21</v>
      </c>
      <c r="L5230" t="s">
        <v>89</v>
      </c>
      <c r="M5230" t="s">
        <v>327</v>
      </c>
    </row>
    <row r="5231" spans="1:13">
      <c r="A5231">
        <v>46075</v>
      </c>
      <c r="B5231" t="s">
        <v>63</v>
      </c>
      <c r="E5231">
        <v>3500</v>
      </c>
      <c r="F5231">
        <v>1</v>
      </c>
      <c r="G5231" t="s">
        <v>65</v>
      </c>
      <c r="H5231" t="s">
        <v>66</v>
      </c>
      <c r="I5231" t="s">
        <v>60</v>
      </c>
      <c r="J5231" t="s">
        <v>61</v>
      </c>
      <c r="L5231" t="s">
        <v>62</v>
      </c>
      <c r="M5231" t="s">
        <v>3280</v>
      </c>
    </row>
    <row r="5232" spans="1:13">
      <c r="A5232">
        <v>46076</v>
      </c>
      <c r="B5232" t="s">
        <v>432</v>
      </c>
      <c r="C5232" t="s">
        <v>4451</v>
      </c>
      <c r="E5232">
        <v>38000</v>
      </c>
      <c r="F5232">
        <v>1</v>
      </c>
      <c r="G5232" t="s">
        <v>65</v>
      </c>
      <c r="H5232" t="s">
        <v>66</v>
      </c>
      <c r="I5232" t="s">
        <v>60</v>
      </c>
      <c r="J5232" t="s">
        <v>61</v>
      </c>
      <c r="L5232" t="s">
        <v>62</v>
      </c>
      <c r="M5232" t="s">
        <v>3116</v>
      </c>
    </row>
    <row r="5233" spans="1:13">
      <c r="A5233">
        <v>46076</v>
      </c>
      <c r="B5233" t="s">
        <v>432</v>
      </c>
      <c r="C5233" t="s">
        <v>4452</v>
      </c>
      <c r="E5233">
        <v>38000</v>
      </c>
      <c r="F5233">
        <v>1</v>
      </c>
      <c r="G5233" t="s">
        <v>65</v>
      </c>
      <c r="H5233" t="s">
        <v>66</v>
      </c>
      <c r="I5233" t="s">
        <v>60</v>
      </c>
      <c r="J5233" t="s">
        <v>61</v>
      </c>
      <c r="L5233" t="s">
        <v>768</v>
      </c>
      <c r="M5233" t="s">
        <v>661</v>
      </c>
    </row>
    <row r="5234" spans="1:13">
      <c r="A5234">
        <v>46076</v>
      </c>
      <c r="B5234" t="s">
        <v>63</v>
      </c>
      <c r="D5234">
        <v>10000</v>
      </c>
      <c r="F5234">
        <v>1</v>
      </c>
      <c r="G5234" t="s">
        <v>70</v>
      </c>
      <c r="I5234" t="s">
        <v>71</v>
      </c>
      <c r="J5234" t="s">
        <v>72</v>
      </c>
      <c r="K5234" t="s">
        <v>4453</v>
      </c>
      <c r="L5234" t="s">
        <v>62</v>
      </c>
      <c r="M5234" t="s">
        <v>90</v>
      </c>
    </row>
    <row r="5235" spans="1:13">
      <c r="A5235">
        <v>46076</v>
      </c>
      <c r="B5235" t="s">
        <v>4454</v>
      </c>
      <c r="D5235">
        <v>500</v>
      </c>
      <c r="F5235">
        <v>1</v>
      </c>
      <c r="G5235" t="s">
        <v>22</v>
      </c>
      <c r="H5235" t="s">
        <v>21</v>
      </c>
      <c r="I5235" t="s">
        <v>60</v>
      </c>
      <c r="J5235" t="s">
        <v>61</v>
      </c>
      <c r="L5235" t="s">
        <v>82</v>
      </c>
    </row>
    <row r="5236" spans="1:13">
      <c r="A5236">
        <v>46076</v>
      </c>
      <c r="B5236" t="s">
        <v>4455</v>
      </c>
      <c r="F5236">
        <v>1</v>
      </c>
      <c r="G5236" t="s">
        <v>603</v>
      </c>
      <c r="H5236" t="s">
        <v>21</v>
      </c>
      <c r="L5236" t="s">
        <v>89</v>
      </c>
      <c r="M5236" t="s">
        <v>4421</v>
      </c>
    </row>
    <row r="5237" spans="1:13">
      <c r="A5237">
        <v>46076</v>
      </c>
      <c r="B5237" t="s">
        <v>4020</v>
      </c>
      <c r="F5237">
        <v>1</v>
      </c>
      <c r="G5237" t="s">
        <v>64</v>
      </c>
      <c r="L5237" t="s">
        <v>82</v>
      </c>
      <c r="M5237" t="s">
        <v>4456</v>
      </c>
    </row>
    <row r="5238" spans="1:13">
      <c r="A5238">
        <v>46076</v>
      </c>
      <c r="B5238" t="s">
        <v>63</v>
      </c>
      <c r="D5238">
        <v>100</v>
      </c>
      <c r="F5238">
        <v>1</v>
      </c>
      <c r="G5238" t="s">
        <v>22</v>
      </c>
      <c r="H5238" t="s">
        <v>93</v>
      </c>
      <c r="I5238" t="s">
        <v>60</v>
      </c>
      <c r="J5238" t="s">
        <v>61</v>
      </c>
      <c r="L5238" t="s">
        <v>62</v>
      </c>
    </row>
    <row r="5239" spans="1:13">
      <c r="A5239">
        <v>46076</v>
      </c>
      <c r="B5239" t="s">
        <v>76</v>
      </c>
      <c r="D5239">
        <v>2000</v>
      </c>
      <c r="G5239" t="s">
        <v>77</v>
      </c>
      <c r="I5239" t="s">
        <v>60</v>
      </c>
      <c r="J5239" t="s">
        <v>61</v>
      </c>
      <c r="L5239" t="s">
        <v>62</v>
      </c>
    </row>
    <row r="5240" spans="1:13">
      <c r="A5240">
        <v>46076</v>
      </c>
      <c r="B5240" t="s">
        <v>4457</v>
      </c>
      <c r="F5240">
        <v>1</v>
      </c>
      <c r="G5240" t="s">
        <v>79</v>
      </c>
      <c r="H5240" t="s">
        <v>21</v>
      </c>
      <c r="L5240" t="s">
        <v>89</v>
      </c>
      <c r="M5240" t="s">
        <v>327</v>
      </c>
    </row>
    <row r="5241" spans="1:13">
      <c r="A5241">
        <v>46076</v>
      </c>
      <c r="B5241" t="s">
        <v>4458</v>
      </c>
      <c r="F5241">
        <v>1</v>
      </c>
      <c r="G5241" t="s">
        <v>64</v>
      </c>
      <c r="L5241" t="s">
        <v>89</v>
      </c>
      <c r="M5241" t="s">
        <v>96</v>
      </c>
    </row>
    <row r="5242" spans="1:13">
      <c r="A5242">
        <v>46076</v>
      </c>
      <c r="B5242" t="s">
        <v>63</v>
      </c>
      <c r="E5242">
        <v>500</v>
      </c>
      <c r="F5242">
        <v>1</v>
      </c>
      <c r="G5242" t="s">
        <v>65</v>
      </c>
      <c r="H5242" t="s">
        <v>66</v>
      </c>
      <c r="I5242" t="s">
        <v>60</v>
      </c>
      <c r="J5242" t="s">
        <v>61</v>
      </c>
      <c r="L5242" t="s">
        <v>62</v>
      </c>
      <c r="M5242" t="s">
        <v>3280</v>
      </c>
    </row>
    <row r="5243" spans="1:13">
      <c r="A5243">
        <v>46076</v>
      </c>
      <c r="B5243" t="s">
        <v>63</v>
      </c>
      <c r="E5243">
        <v>100</v>
      </c>
      <c r="F5243">
        <v>1</v>
      </c>
      <c r="G5243" t="s">
        <v>65</v>
      </c>
      <c r="H5243" t="s">
        <v>66</v>
      </c>
      <c r="I5243" t="s">
        <v>60</v>
      </c>
      <c r="J5243" t="s">
        <v>61</v>
      </c>
      <c r="L5243" t="s">
        <v>62</v>
      </c>
      <c r="M5243" t="s">
        <v>392</v>
      </c>
    </row>
    <row r="5244" spans="1:13">
      <c r="A5244">
        <v>46076</v>
      </c>
      <c r="B5244" t="s">
        <v>3988</v>
      </c>
      <c r="C5244" t="s">
        <v>4459</v>
      </c>
      <c r="F5244">
        <v>26</v>
      </c>
      <c r="G5244" t="s">
        <v>22</v>
      </c>
      <c r="H5244" t="s">
        <v>21</v>
      </c>
      <c r="L5244" t="s">
        <v>95</v>
      </c>
    </row>
    <row r="5245" spans="1:13">
      <c r="A5245">
        <v>46077</v>
      </c>
      <c r="B5245" t="s">
        <v>81</v>
      </c>
      <c r="D5245">
        <v>60000</v>
      </c>
      <c r="F5245">
        <v>1</v>
      </c>
      <c r="G5245" t="s">
        <v>74</v>
      </c>
      <c r="H5245" t="s">
        <v>75</v>
      </c>
      <c r="I5245" t="s">
        <v>60</v>
      </c>
      <c r="J5245" t="s">
        <v>61</v>
      </c>
      <c r="L5245" t="s">
        <v>88</v>
      </c>
    </row>
    <row r="5246" spans="1:13">
      <c r="A5246">
        <v>46077</v>
      </c>
      <c r="B5246" t="s">
        <v>4460</v>
      </c>
      <c r="D5246">
        <v>500</v>
      </c>
      <c r="F5246">
        <v>0</v>
      </c>
      <c r="G5246" t="s">
        <v>22</v>
      </c>
      <c r="H5246" t="s">
        <v>21</v>
      </c>
      <c r="I5246" t="s">
        <v>60</v>
      </c>
      <c r="J5246" t="s">
        <v>61</v>
      </c>
      <c r="L5246" t="s">
        <v>89</v>
      </c>
      <c r="M5246" t="s">
        <v>548</v>
      </c>
    </row>
    <row r="5247" spans="1:13">
      <c r="A5247">
        <v>46077</v>
      </c>
      <c r="B5247" t="s">
        <v>4398</v>
      </c>
      <c r="D5247">
        <v>500</v>
      </c>
      <c r="F5247">
        <v>0</v>
      </c>
      <c r="G5247" t="s">
        <v>22</v>
      </c>
      <c r="H5247" t="s">
        <v>21</v>
      </c>
      <c r="I5247" t="s">
        <v>60</v>
      </c>
      <c r="J5247" t="s">
        <v>61</v>
      </c>
      <c r="L5247" t="s">
        <v>89</v>
      </c>
      <c r="M5247" t="s">
        <v>548</v>
      </c>
    </row>
    <row r="5248" spans="1:13">
      <c r="A5248">
        <v>46077</v>
      </c>
      <c r="B5248" t="s">
        <v>4461</v>
      </c>
      <c r="D5248">
        <v>500</v>
      </c>
      <c r="F5248">
        <v>1</v>
      </c>
      <c r="G5248" t="s">
        <v>22</v>
      </c>
      <c r="H5248" t="s">
        <v>21</v>
      </c>
      <c r="I5248" t="s">
        <v>60</v>
      </c>
      <c r="J5248" t="s">
        <v>61</v>
      </c>
      <c r="L5248" t="s">
        <v>89</v>
      </c>
    </row>
    <row r="5249" spans="1:13">
      <c r="A5249">
        <v>46077</v>
      </c>
      <c r="B5249" t="s">
        <v>63</v>
      </c>
      <c r="D5249">
        <v>43000</v>
      </c>
      <c r="G5249" t="s">
        <v>70</v>
      </c>
      <c r="I5249" t="s">
        <v>60</v>
      </c>
      <c r="J5249" t="s">
        <v>61</v>
      </c>
      <c r="L5249" t="s">
        <v>62</v>
      </c>
    </row>
    <row r="5250" spans="1:13">
      <c r="A5250">
        <v>46077</v>
      </c>
      <c r="B5250" t="s">
        <v>4462</v>
      </c>
      <c r="D5250">
        <v>500</v>
      </c>
      <c r="F5250">
        <v>1</v>
      </c>
      <c r="G5250" t="s">
        <v>22</v>
      </c>
      <c r="H5250" t="s">
        <v>21</v>
      </c>
      <c r="I5250" t="s">
        <v>60</v>
      </c>
      <c r="J5250" t="s">
        <v>61</v>
      </c>
      <c r="L5250" t="s">
        <v>89</v>
      </c>
    </row>
    <row r="5251" spans="1:13">
      <c r="A5251">
        <v>46077</v>
      </c>
      <c r="B5251" t="s">
        <v>4463</v>
      </c>
      <c r="F5251">
        <v>1</v>
      </c>
      <c r="G5251" t="s">
        <v>319</v>
      </c>
      <c r="H5251" t="s">
        <v>21</v>
      </c>
      <c r="L5251" t="s">
        <v>82</v>
      </c>
      <c r="M5251" t="s">
        <v>4464</v>
      </c>
    </row>
    <row r="5252" spans="1:13">
      <c r="A5252">
        <v>46077</v>
      </c>
      <c r="B5252" t="s">
        <v>4417</v>
      </c>
      <c r="D5252">
        <v>500</v>
      </c>
      <c r="F5252">
        <v>0</v>
      </c>
      <c r="G5252" t="s">
        <v>22</v>
      </c>
      <c r="H5252" t="s">
        <v>21</v>
      </c>
      <c r="I5252" t="s">
        <v>60</v>
      </c>
      <c r="J5252" t="s">
        <v>61</v>
      </c>
      <c r="L5252" t="s">
        <v>82</v>
      </c>
      <c r="M5252" t="s">
        <v>548</v>
      </c>
    </row>
    <row r="5253" spans="1:13">
      <c r="A5253">
        <v>46077</v>
      </c>
      <c r="B5253" t="s">
        <v>76</v>
      </c>
      <c r="D5253">
        <v>9000</v>
      </c>
      <c r="G5253" t="s">
        <v>77</v>
      </c>
      <c r="I5253" t="s">
        <v>60</v>
      </c>
      <c r="J5253" t="s">
        <v>61</v>
      </c>
      <c r="L5253" t="s">
        <v>62</v>
      </c>
    </row>
    <row r="5254" spans="1:13">
      <c r="A5254">
        <v>46077</v>
      </c>
      <c r="B5254" t="s">
        <v>63</v>
      </c>
      <c r="E5254">
        <v>2500</v>
      </c>
      <c r="F5254">
        <v>1</v>
      </c>
      <c r="G5254" t="s">
        <v>65</v>
      </c>
      <c r="H5254" t="s">
        <v>66</v>
      </c>
      <c r="I5254" t="s">
        <v>60</v>
      </c>
      <c r="J5254" t="s">
        <v>61</v>
      </c>
      <c r="L5254" t="s">
        <v>62</v>
      </c>
      <c r="M5254" t="s">
        <v>3280</v>
      </c>
    </row>
    <row r="5255" spans="1:13">
      <c r="A5255">
        <v>46078</v>
      </c>
      <c r="B5255" t="s">
        <v>81</v>
      </c>
      <c r="D5255">
        <v>40000</v>
      </c>
      <c r="F5255">
        <v>1</v>
      </c>
      <c r="G5255" t="s">
        <v>74</v>
      </c>
      <c r="H5255" t="s">
        <v>75</v>
      </c>
      <c r="I5255" t="s">
        <v>60</v>
      </c>
      <c r="J5255" t="s">
        <v>61</v>
      </c>
      <c r="L5255" t="s">
        <v>88</v>
      </c>
    </row>
    <row r="5256" spans="1:13">
      <c r="A5256">
        <v>46078</v>
      </c>
      <c r="B5256" t="s">
        <v>290</v>
      </c>
      <c r="E5256">
        <v>54781.85</v>
      </c>
      <c r="F5256">
        <v>1</v>
      </c>
      <c r="G5256" t="s">
        <v>65</v>
      </c>
      <c r="H5256" t="s">
        <v>66</v>
      </c>
      <c r="I5256" t="s">
        <v>60</v>
      </c>
      <c r="J5256" t="s">
        <v>61</v>
      </c>
      <c r="L5256" t="s">
        <v>62</v>
      </c>
    </row>
    <row r="5257" spans="1:13">
      <c r="A5257">
        <v>46078</v>
      </c>
      <c r="B5257" t="s">
        <v>4465</v>
      </c>
      <c r="F5257">
        <v>1</v>
      </c>
      <c r="G5257" t="s">
        <v>79</v>
      </c>
      <c r="H5257" t="s">
        <v>21</v>
      </c>
      <c r="L5257" t="s">
        <v>86</v>
      </c>
      <c r="M5257" t="s">
        <v>327</v>
      </c>
    </row>
    <row r="5258" spans="1:13">
      <c r="A5258">
        <v>46078</v>
      </c>
      <c r="B5258" t="s">
        <v>4465</v>
      </c>
      <c r="F5258">
        <v>1</v>
      </c>
      <c r="G5258" t="s">
        <v>64</v>
      </c>
      <c r="L5258" t="s">
        <v>86</v>
      </c>
      <c r="M5258" t="s">
        <v>96</v>
      </c>
    </row>
    <row r="5259" spans="1:13">
      <c r="A5259">
        <v>46078</v>
      </c>
      <c r="B5259" t="s">
        <v>63</v>
      </c>
      <c r="D5259">
        <v>27500</v>
      </c>
      <c r="G5259" t="s">
        <v>70</v>
      </c>
      <c r="I5259" t="s">
        <v>60</v>
      </c>
      <c r="J5259" t="s">
        <v>61</v>
      </c>
      <c r="L5259" t="s">
        <v>62</v>
      </c>
    </row>
    <row r="5260" spans="1:13">
      <c r="A5260">
        <v>46078</v>
      </c>
      <c r="B5260" t="s">
        <v>4466</v>
      </c>
      <c r="F5260">
        <v>1</v>
      </c>
      <c r="G5260" t="s">
        <v>107</v>
      </c>
      <c r="H5260" t="s">
        <v>21</v>
      </c>
      <c r="L5260" t="s">
        <v>86</v>
      </c>
      <c r="M5260" t="s">
        <v>4464</v>
      </c>
    </row>
    <row r="5261" spans="1:13">
      <c r="A5261">
        <v>46078</v>
      </c>
      <c r="B5261" t="s">
        <v>4467</v>
      </c>
      <c r="D5261">
        <v>500</v>
      </c>
      <c r="F5261">
        <v>0</v>
      </c>
      <c r="G5261" t="s">
        <v>22</v>
      </c>
      <c r="H5261" t="s">
        <v>21</v>
      </c>
      <c r="I5261" t="s">
        <v>60</v>
      </c>
      <c r="J5261" t="s">
        <v>61</v>
      </c>
      <c r="L5261" t="s">
        <v>82</v>
      </c>
      <c r="M5261" t="s">
        <v>4468</v>
      </c>
    </row>
    <row r="5262" spans="1:13">
      <c r="A5262">
        <v>46078</v>
      </c>
      <c r="B5262" t="s">
        <v>4469</v>
      </c>
      <c r="D5262">
        <v>500</v>
      </c>
      <c r="F5262">
        <v>0</v>
      </c>
      <c r="G5262" t="s">
        <v>22</v>
      </c>
      <c r="H5262" t="s">
        <v>21</v>
      </c>
      <c r="I5262" t="s">
        <v>60</v>
      </c>
      <c r="J5262" t="s">
        <v>61</v>
      </c>
      <c r="L5262" t="s">
        <v>82</v>
      </c>
      <c r="M5262" t="s">
        <v>4470</v>
      </c>
    </row>
    <row r="5263" spans="1:13">
      <c r="A5263">
        <v>46078</v>
      </c>
      <c r="B5263" t="s">
        <v>4471</v>
      </c>
      <c r="D5263">
        <v>500</v>
      </c>
      <c r="F5263">
        <v>0</v>
      </c>
      <c r="G5263" t="s">
        <v>22</v>
      </c>
      <c r="H5263" t="s">
        <v>21</v>
      </c>
      <c r="I5263" t="s">
        <v>60</v>
      </c>
      <c r="J5263" t="s">
        <v>61</v>
      </c>
      <c r="L5263" t="s">
        <v>82</v>
      </c>
      <c r="M5263" t="s">
        <v>4472</v>
      </c>
    </row>
    <row r="5264" spans="1:13">
      <c r="A5264">
        <v>46078</v>
      </c>
      <c r="B5264" t="s">
        <v>4473</v>
      </c>
      <c r="D5264">
        <v>500</v>
      </c>
      <c r="F5264">
        <v>0</v>
      </c>
      <c r="G5264" t="s">
        <v>22</v>
      </c>
      <c r="H5264" t="s">
        <v>21</v>
      </c>
      <c r="I5264" t="s">
        <v>60</v>
      </c>
      <c r="J5264" t="s">
        <v>61</v>
      </c>
      <c r="L5264" t="s">
        <v>82</v>
      </c>
      <c r="M5264" t="s">
        <v>4474</v>
      </c>
    </row>
    <row r="5265" spans="1:13">
      <c r="A5265">
        <v>46078</v>
      </c>
      <c r="B5265" t="s">
        <v>4475</v>
      </c>
      <c r="D5265">
        <v>500</v>
      </c>
      <c r="F5265">
        <v>0</v>
      </c>
      <c r="G5265" t="s">
        <v>22</v>
      </c>
      <c r="H5265" t="s">
        <v>21</v>
      </c>
      <c r="I5265" t="s">
        <v>60</v>
      </c>
      <c r="J5265" t="s">
        <v>61</v>
      </c>
      <c r="L5265" t="s">
        <v>82</v>
      </c>
      <c r="M5265" t="s">
        <v>4476</v>
      </c>
    </row>
    <row r="5266" spans="1:13">
      <c r="A5266">
        <v>46078</v>
      </c>
      <c r="B5266" t="s">
        <v>4477</v>
      </c>
      <c r="D5266">
        <v>500</v>
      </c>
      <c r="F5266">
        <v>1</v>
      </c>
      <c r="G5266" t="s">
        <v>22</v>
      </c>
      <c r="H5266" t="s">
        <v>21</v>
      </c>
      <c r="I5266" t="s">
        <v>60</v>
      </c>
      <c r="J5266" t="s">
        <v>61</v>
      </c>
      <c r="L5266" t="s">
        <v>82</v>
      </c>
    </row>
    <row r="5267" spans="1:13">
      <c r="A5267">
        <v>46078</v>
      </c>
      <c r="B5267" t="s">
        <v>4478</v>
      </c>
      <c r="D5267">
        <v>500</v>
      </c>
      <c r="F5267">
        <v>1</v>
      </c>
      <c r="G5267" t="s">
        <v>22</v>
      </c>
      <c r="H5267" t="s">
        <v>21</v>
      </c>
      <c r="I5267" t="s">
        <v>60</v>
      </c>
      <c r="J5267" t="s">
        <v>61</v>
      </c>
      <c r="L5267" t="s">
        <v>82</v>
      </c>
    </row>
    <row r="5268" spans="1:13">
      <c r="A5268">
        <v>46078</v>
      </c>
      <c r="B5268" t="s">
        <v>4479</v>
      </c>
      <c r="D5268">
        <v>500</v>
      </c>
      <c r="F5268">
        <v>1</v>
      </c>
      <c r="G5268" t="s">
        <v>22</v>
      </c>
      <c r="H5268" t="s">
        <v>21</v>
      </c>
      <c r="I5268" t="s">
        <v>60</v>
      </c>
      <c r="J5268" t="s">
        <v>61</v>
      </c>
      <c r="L5268" t="s">
        <v>82</v>
      </c>
    </row>
    <row r="5269" spans="1:13">
      <c r="A5269">
        <v>46078</v>
      </c>
      <c r="B5269" t="s">
        <v>4480</v>
      </c>
      <c r="D5269">
        <v>500</v>
      </c>
      <c r="F5269">
        <v>1</v>
      </c>
      <c r="G5269" t="s">
        <v>22</v>
      </c>
      <c r="H5269" t="s">
        <v>21</v>
      </c>
      <c r="I5269" t="s">
        <v>60</v>
      </c>
      <c r="J5269" t="s">
        <v>61</v>
      </c>
      <c r="L5269" t="s">
        <v>82</v>
      </c>
    </row>
    <row r="5270" spans="1:13">
      <c r="A5270">
        <v>46078</v>
      </c>
      <c r="B5270" t="s">
        <v>4481</v>
      </c>
      <c r="D5270">
        <v>500</v>
      </c>
      <c r="F5270">
        <v>1</v>
      </c>
      <c r="G5270" t="s">
        <v>22</v>
      </c>
      <c r="H5270" t="s">
        <v>21</v>
      </c>
      <c r="I5270" t="s">
        <v>60</v>
      </c>
      <c r="J5270" t="s">
        <v>61</v>
      </c>
      <c r="L5270" t="s">
        <v>82</v>
      </c>
    </row>
    <row r="5271" spans="1:13">
      <c r="A5271">
        <v>46078</v>
      </c>
      <c r="B5271" t="s">
        <v>4482</v>
      </c>
      <c r="D5271">
        <v>500</v>
      </c>
      <c r="F5271">
        <v>1</v>
      </c>
      <c r="G5271" t="s">
        <v>22</v>
      </c>
      <c r="H5271" t="s">
        <v>21</v>
      </c>
      <c r="I5271" t="s">
        <v>60</v>
      </c>
      <c r="J5271" t="s">
        <v>61</v>
      </c>
      <c r="L5271" t="s">
        <v>82</v>
      </c>
    </row>
    <row r="5272" spans="1:13">
      <c r="A5272">
        <v>46078</v>
      </c>
      <c r="B5272" t="s">
        <v>4483</v>
      </c>
      <c r="F5272">
        <v>1</v>
      </c>
      <c r="G5272" t="s">
        <v>64</v>
      </c>
      <c r="L5272" t="s">
        <v>82</v>
      </c>
      <c r="M5272" t="s">
        <v>4484</v>
      </c>
    </row>
    <row r="5273" spans="1:13">
      <c r="A5273">
        <v>46078</v>
      </c>
      <c r="B5273" t="s">
        <v>4485</v>
      </c>
      <c r="F5273">
        <v>1</v>
      </c>
      <c r="G5273" t="s">
        <v>79</v>
      </c>
      <c r="H5273" t="s">
        <v>21</v>
      </c>
      <c r="L5273" t="s">
        <v>82</v>
      </c>
      <c r="M5273" t="s">
        <v>327</v>
      </c>
    </row>
    <row r="5274" spans="1:13">
      <c r="A5274">
        <v>46078</v>
      </c>
      <c r="B5274" t="s">
        <v>63</v>
      </c>
      <c r="D5274">
        <v>38000</v>
      </c>
      <c r="F5274">
        <v>2</v>
      </c>
      <c r="G5274" t="s">
        <v>70</v>
      </c>
      <c r="I5274" t="s">
        <v>71</v>
      </c>
      <c r="J5274" t="s">
        <v>72</v>
      </c>
      <c r="K5274" t="s">
        <v>4486</v>
      </c>
      <c r="L5274" t="s">
        <v>62</v>
      </c>
      <c r="M5274" t="s">
        <v>90</v>
      </c>
    </row>
    <row r="5275" spans="1:13">
      <c r="A5275">
        <v>46078</v>
      </c>
      <c r="B5275" t="s">
        <v>63</v>
      </c>
      <c r="E5275">
        <v>5500</v>
      </c>
      <c r="F5275">
        <v>1</v>
      </c>
      <c r="G5275" t="s">
        <v>65</v>
      </c>
      <c r="H5275" t="s">
        <v>66</v>
      </c>
      <c r="I5275" t="s">
        <v>60</v>
      </c>
      <c r="J5275" t="s">
        <v>61</v>
      </c>
      <c r="L5275" t="s">
        <v>62</v>
      </c>
      <c r="M5275" t="s">
        <v>3280</v>
      </c>
    </row>
    <row r="5276" spans="1:13">
      <c r="A5276">
        <v>46078</v>
      </c>
      <c r="B5276" t="s">
        <v>4487</v>
      </c>
      <c r="F5276">
        <v>1</v>
      </c>
      <c r="G5276" t="s">
        <v>0</v>
      </c>
      <c r="L5276" t="s">
        <v>82</v>
      </c>
    </row>
    <row r="5277" spans="1:13">
      <c r="A5277">
        <v>46079</v>
      </c>
      <c r="B5277" t="s">
        <v>81</v>
      </c>
      <c r="D5277">
        <v>60000</v>
      </c>
      <c r="F5277">
        <v>1</v>
      </c>
      <c r="G5277" t="s">
        <v>74</v>
      </c>
      <c r="H5277" t="s">
        <v>75</v>
      </c>
      <c r="I5277" t="s">
        <v>60</v>
      </c>
      <c r="J5277" t="s">
        <v>61</v>
      </c>
      <c r="L5277" t="s">
        <v>88</v>
      </c>
    </row>
    <row r="5278" spans="1:13">
      <c r="A5278">
        <v>46079</v>
      </c>
      <c r="B5278" t="s">
        <v>4488</v>
      </c>
      <c r="D5278">
        <v>500</v>
      </c>
      <c r="F5278">
        <v>1</v>
      </c>
      <c r="G5278" t="s">
        <v>22</v>
      </c>
      <c r="H5278" t="s">
        <v>21</v>
      </c>
      <c r="I5278" t="s">
        <v>60</v>
      </c>
      <c r="J5278" t="s">
        <v>61</v>
      </c>
      <c r="L5278" t="s">
        <v>89</v>
      </c>
    </row>
    <row r="5279" spans="1:13">
      <c r="A5279">
        <v>46079</v>
      </c>
      <c r="B5279" t="s">
        <v>4489</v>
      </c>
      <c r="D5279">
        <v>500</v>
      </c>
      <c r="F5279">
        <v>1</v>
      </c>
      <c r="G5279" t="s">
        <v>22</v>
      </c>
      <c r="H5279" t="s">
        <v>21</v>
      </c>
      <c r="I5279" t="s">
        <v>60</v>
      </c>
      <c r="J5279" t="s">
        <v>61</v>
      </c>
      <c r="L5279" t="s">
        <v>89</v>
      </c>
    </row>
    <row r="5280" spans="1:13">
      <c r="A5280">
        <v>46079</v>
      </c>
      <c r="B5280" t="s">
        <v>4490</v>
      </c>
      <c r="F5280">
        <v>1</v>
      </c>
      <c r="G5280" t="s">
        <v>98</v>
      </c>
      <c r="H5280" t="s">
        <v>21</v>
      </c>
      <c r="L5280" t="s">
        <v>89</v>
      </c>
      <c r="M5280" t="s">
        <v>327</v>
      </c>
    </row>
    <row r="5281" spans="1:13">
      <c r="A5281">
        <v>46079</v>
      </c>
      <c r="B5281" t="s">
        <v>4490</v>
      </c>
      <c r="D5281">
        <v>500</v>
      </c>
      <c r="F5281">
        <v>0</v>
      </c>
      <c r="G5281" t="s">
        <v>22</v>
      </c>
      <c r="H5281" t="s">
        <v>21</v>
      </c>
      <c r="I5281" t="s">
        <v>60</v>
      </c>
      <c r="J5281" t="s">
        <v>61</v>
      </c>
      <c r="L5281" t="s">
        <v>89</v>
      </c>
      <c r="M5281" t="s">
        <v>83</v>
      </c>
    </row>
    <row r="5282" spans="1:13">
      <c r="A5282">
        <v>46079</v>
      </c>
      <c r="B5282" t="s">
        <v>4491</v>
      </c>
      <c r="D5282">
        <v>500</v>
      </c>
      <c r="F5282">
        <v>1</v>
      </c>
      <c r="G5282" t="s">
        <v>22</v>
      </c>
      <c r="H5282" t="s">
        <v>21</v>
      </c>
      <c r="I5282" t="s">
        <v>60</v>
      </c>
      <c r="J5282" t="s">
        <v>61</v>
      </c>
      <c r="L5282" t="s">
        <v>86</v>
      </c>
    </row>
    <row r="5283" spans="1:13">
      <c r="A5283">
        <v>46079</v>
      </c>
      <c r="B5283" t="s">
        <v>4492</v>
      </c>
      <c r="F5283">
        <v>1</v>
      </c>
      <c r="G5283" t="s">
        <v>603</v>
      </c>
      <c r="H5283" t="s">
        <v>21</v>
      </c>
      <c r="L5283" t="s">
        <v>86</v>
      </c>
      <c r="M5283" t="s">
        <v>4493</v>
      </c>
    </row>
    <row r="5284" spans="1:13">
      <c r="A5284">
        <v>46079</v>
      </c>
      <c r="B5284" t="s">
        <v>4494</v>
      </c>
      <c r="D5284">
        <v>500</v>
      </c>
      <c r="F5284">
        <v>1</v>
      </c>
      <c r="G5284" t="s">
        <v>22</v>
      </c>
      <c r="H5284" t="s">
        <v>21</v>
      </c>
      <c r="I5284" t="s">
        <v>60</v>
      </c>
      <c r="J5284" t="s">
        <v>61</v>
      </c>
      <c r="L5284" t="s">
        <v>86</v>
      </c>
    </row>
    <row r="5285" spans="1:13">
      <c r="A5285">
        <v>46079</v>
      </c>
      <c r="B5285" t="s">
        <v>4495</v>
      </c>
      <c r="D5285">
        <v>500</v>
      </c>
      <c r="F5285">
        <v>1</v>
      </c>
      <c r="G5285" t="s">
        <v>22</v>
      </c>
      <c r="H5285" t="s">
        <v>21</v>
      </c>
      <c r="I5285" t="s">
        <v>60</v>
      </c>
      <c r="J5285" t="s">
        <v>61</v>
      </c>
      <c r="L5285" t="s">
        <v>86</v>
      </c>
    </row>
    <row r="5286" spans="1:13">
      <c r="A5286">
        <v>46079</v>
      </c>
      <c r="B5286" t="s">
        <v>4496</v>
      </c>
      <c r="D5286">
        <v>500</v>
      </c>
      <c r="F5286">
        <v>1</v>
      </c>
      <c r="G5286" t="s">
        <v>22</v>
      </c>
      <c r="H5286" t="s">
        <v>21</v>
      </c>
      <c r="I5286" t="s">
        <v>60</v>
      </c>
      <c r="J5286" t="s">
        <v>61</v>
      </c>
      <c r="L5286" t="s">
        <v>86</v>
      </c>
    </row>
    <row r="5287" spans="1:13">
      <c r="A5287">
        <v>46079</v>
      </c>
      <c r="B5287" t="s">
        <v>4497</v>
      </c>
      <c r="D5287">
        <v>500</v>
      </c>
      <c r="F5287">
        <v>1</v>
      </c>
      <c r="G5287" t="s">
        <v>22</v>
      </c>
      <c r="H5287" t="s">
        <v>21</v>
      </c>
      <c r="I5287" t="s">
        <v>60</v>
      </c>
      <c r="J5287" t="s">
        <v>61</v>
      </c>
      <c r="L5287" t="s">
        <v>86</v>
      </c>
    </row>
    <row r="5288" spans="1:13">
      <c r="A5288">
        <v>46079</v>
      </c>
      <c r="B5288" t="s">
        <v>63</v>
      </c>
      <c r="D5288">
        <v>5500</v>
      </c>
      <c r="F5288">
        <v>1</v>
      </c>
      <c r="G5288" t="s">
        <v>70</v>
      </c>
      <c r="I5288" t="s">
        <v>71</v>
      </c>
      <c r="J5288" t="s">
        <v>72</v>
      </c>
      <c r="K5288" t="s">
        <v>4498</v>
      </c>
      <c r="L5288" t="s">
        <v>62</v>
      </c>
      <c r="M5288" t="s">
        <v>90</v>
      </c>
    </row>
    <row r="5289" spans="1:13">
      <c r="A5289">
        <v>46079</v>
      </c>
      <c r="B5289" t="s">
        <v>63</v>
      </c>
      <c r="D5289">
        <v>7000</v>
      </c>
      <c r="G5289" t="s">
        <v>70</v>
      </c>
      <c r="I5289" t="s">
        <v>60</v>
      </c>
      <c r="J5289" t="s">
        <v>61</v>
      </c>
      <c r="L5289" t="s">
        <v>62</v>
      </c>
    </row>
    <row r="5290" spans="1:13">
      <c r="A5290">
        <v>46079</v>
      </c>
      <c r="B5290" t="s">
        <v>63</v>
      </c>
      <c r="E5290">
        <v>4000</v>
      </c>
      <c r="F5290">
        <v>1</v>
      </c>
      <c r="G5290" t="s">
        <v>65</v>
      </c>
      <c r="H5290" t="s">
        <v>66</v>
      </c>
      <c r="I5290" t="s">
        <v>60</v>
      </c>
      <c r="J5290" t="s">
        <v>61</v>
      </c>
      <c r="L5290" t="s">
        <v>62</v>
      </c>
      <c r="M5290" t="s">
        <v>3280</v>
      </c>
    </row>
    <row r="5291" spans="1:13">
      <c r="A5291">
        <v>46079</v>
      </c>
      <c r="B5291" t="s">
        <v>76</v>
      </c>
      <c r="D5291">
        <v>2000</v>
      </c>
      <c r="G5291" t="s">
        <v>77</v>
      </c>
      <c r="I5291" t="s">
        <v>60</v>
      </c>
      <c r="J5291" t="s">
        <v>61</v>
      </c>
      <c r="L5291" t="s">
        <v>62</v>
      </c>
    </row>
    <row r="5292" spans="1:13">
      <c r="A5292">
        <v>46079</v>
      </c>
      <c r="B5292" t="s">
        <v>63</v>
      </c>
      <c r="D5292">
        <v>100</v>
      </c>
      <c r="F5292">
        <v>1</v>
      </c>
      <c r="G5292" t="s">
        <v>22</v>
      </c>
      <c r="H5292" t="s">
        <v>93</v>
      </c>
      <c r="I5292" t="s">
        <v>60</v>
      </c>
      <c r="J5292" t="s">
        <v>61</v>
      </c>
      <c r="L5292" t="s">
        <v>62</v>
      </c>
    </row>
    <row r="5293" spans="1:13">
      <c r="A5293">
        <v>46079</v>
      </c>
      <c r="B5293" t="s">
        <v>63</v>
      </c>
      <c r="E5293">
        <v>100</v>
      </c>
      <c r="F5293">
        <v>1</v>
      </c>
      <c r="G5293" t="s">
        <v>65</v>
      </c>
      <c r="H5293" t="s">
        <v>66</v>
      </c>
      <c r="I5293" t="s">
        <v>60</v>
      </c>
      <c r="J5293" t="s">
        <v>61</v>
      </c>
      <c r="L5293" t="s">
        <v>62</v>
      </c>
      <c r="M5293" t="s">
        <v>392</v>
      </c>
    </row>
    <row r="5294" spans="1:13">
      <c r="A5294">
        <v>46079</v>
      </c>
      <c r="B5294" t="s">
        <v>4499</v>
      </c>
      <c r="F5294">
        <v>1</v>
      </c>
      <c r="G5294" t="s">
        <v>0</v>
      </c>
      <c r="L5294" t="s">
        <v>89</v>
      </c>
    </row>
    <row r="5295" spans="1:13">
      <c r="A5295">
        <v>46080</v>
      </c>
      <c r="B5295" t="s">
        <v>81</v>
      </c>
      <c r="D5295">
        <v>30000</v>
      </c>
      <c r="F5295">
        <v>1</v>
      </c>
      <c r="G5295" t="s">
        <v>74</v>
      </c>
      <c r="H5295" t="s">
        <v>75</v>
      </c>
      <c r="I5295" t="s">
        <v>60</v>
      </c>
      <c r="J5295" t="s">
        <v>61</v>
      </c>
      <c r="L5295" t="s">
        <v>214</v>
      </c>
    </row>
    <row r="5296" spans="1:13">
      <c r="A5296">
        <v>46080</v>
      </c>
      <c r="B5296" t="s">
        <v>248</v>
      </c>
      <c r="E5296">
        <v>212694</v>
      </c>
      <c r="F5296">
        <v>1</v>
      </c>
      <c r="G5296" t="s">
        <v>65</v>
      </c>
      <c r="H5296" t="s">
        <v>348</v>
      </c>
      <c r="I5296" t="s">
        <v>60</v>
      </c>
      <c r="J5296" t="s">
        <v>61</v>
      </c>
      <c r="L5296" t="s">
        <v>62</v>
      </c>
    </row>
    <row r="5297" spans="1:13">
      <c r="A5297">
        <v>46080</v>
      </c>
      <c r="B5297" t="s">
        <v>196</v>
      </c>
      <c r="E5297">
        <v>8000</v>
      </c>
      <c r="F5297">
        <v>1</v>
      </c>
      <c r="G5297" t="s">
        <v>65</v>
      </c>
      <c r="H5297" t="s">
        <v>560</v>
      </c>
      <c r="I5297" t="s">
        <v>60</v>
      </c>
      <c r="J5297" t="s">
        <v>61</v>
      </c>
      <c r="L5297" t="s">
        <v>62</v>
      </c>
    </row>
    <row r="5298" spans="1:13">
      <c r="A5298">
        <v>46080</v>
      </c>
      <c r="B5298" t="s">
        <v>4500</v>
      </c>
      <c r="D5298">
        <v>8000</v>
      </c>
      <c r="F5298">
        <v>1</v>
      </c>
      <c r="G5298" t="s">
        <v>70</v>
      </c>
      <c r="I5298" t="s">
        <v>71</v>
      </c>
      <c r="J5298" t="s">
        <v>535</v>
      </c>
      <c r="K5298" t="s">
        <v>4501</v>
      </c>
      <c r="L5298" t="s">
        <v>62</v>
      </c>
      <c r="M5298" t="s">
        <v>90</v>
      </c>
    </row>
    <row r="5299" spans="1:13">
      <c r="A5299">
        <v>46080</v>
      </c>
      <c r="B5299" t="s">
        <v>4502</v>
      </c>
      <c r="D5299">
        <v>500</v>
      </c>
      <c r="F5299">
        <v>0</v>
      </c>
      <c r="G5299" t="s">
        <v>22</v>
      </c>
      <c r="H5299" t="s">
        <v>21</v>
      </c>
      <c r="I5299" t="s">
        <v>60</v>
      </c>
      <c r="J5299" t="s">
        <v>61</v>
      </c>
      <c r="L5299" t="s">
        <v>86</v>
      </c>
      <c r="M5299" t="s">
        <v>83</v>
      </c>
    </row>
    <row r="5300" spans="1:13">
      <c r="A5300">
        <v>46080</v>
      </c>
      <c r="B5300" t="s">
        <v>4503</v>
      </c>
      <c r="D5300">
        <v>500</v>
      </c>
      <c r="F5300">
        <v>1</v>
      </c>
      <c r="G5300" t="s">
        <v>22</v>
      </c>
      <c r="H5300" t="s">
        <v>21</v>
      </c>
      <c r="I5300" t="s">
        <v>60</v>
      </c>
      <c r="J5300" t="s">
        <v>61</v>
      </c>
      <c r="L5300" t="s">
        <v>89</v>
      </c>
    </row>
    <row r="5301" spans="1:13">
      <c r="A5301">
        <v>46080</v>
      </c>
      <c r="B5301" t="s">
        <v>4504</v>
      </c>
      <c r="D5301">
        <v>500</v>
      </c>
      <c r="F5301">
        <v>1</v>
      </c>
      <c r="G5301" t="s">
        <v>22</v>
      </c>
      <c r="H5301" t="s">
        <v>21</v>
      </c>
      <c r="I5301" t="s">
        <v>60</v>
      </c>
      <c r="J5301" t="s">
        <v>61</v>
      </c>
      <c r="L5301" t="s">
        <v>89</v>
      </c>
    </row>
    <row r="5302" spans="1:13">
      <c r="A5302">
        <v>46080</v>
      </c>
      <c r="B5302" t="s">
        <v>76</v>
      </c>
      <c r="D5302">
        <v>9000</v>
      </c>
      <c r="G5302" t="s">
        <v>77</v>
      </c>
      <c r="I5302" t="s">
        <v>60</v>
      </c>
      <c r="J5302" t="s">
        <v>61</v>
      </c>
      <c r="L5302" t="s">
        <v>62</v>
      </c>
    </row>
    <row r="5303" spans="1:13">
      <c r="A5303">
        <v>46080</v>
      </c>
      <c r="B5303" t="s">
        <v>63</v>
      </c>
      <c r="E5303">
        <v>1500</v>
      </c>
      <c r="F5303">
        <v>1</v>
      </c>
      <c r="G5303" t="s">
        <v>65</v>
      </c>
      <c r="H5303" t="s">
        <v>66</v>
      </c>
      <c r="I5303" t="s">
        <v>60</v>
      </c>
      <c r="J5303" t="s">
        <v>61</v>
      </c>
      <c r="L5303" t="s">
        <v>62</v>
      </c>
      <c r="M5303" t="s">
        <v>3280</v>
      </c>
    </row>
    <row r="5304" spans="1:13">
      <c r="A5304">
        <v>46081</v>
      </c>
      <c r="B5304" t="s">
        <v>4505</v>
      </c>
      <c r="D5304">
        <v>500</v>
      </c>
      <c r="F5304">
        <v>0</v>
      </c>
      <c r="G5304" t="s">
        <v>22</v>
      </c>
      <c r="H5304" t="s">
        <v>21</v>
      </c>
      <c r="I5304" t="s">
        <v>60</v>
      </c>
      <c r="J5304" t="s">
        <v>61</v>
      </c>
      <c r="L5304" t="s">
        <v>82</v>
      </c>
      <c r="M5304" t="s">
        <v>83</v>
      </c>
    </row>
    <row r="5305" spans="1:13">
      <c r="A5305">
        <v>46081</v>
      </c>
      <c r="B5305" t="s">
        <v>4506</v>
      </c>
      <c r="D5305">
        <v>500</v>
      </c>
      <c r="F5305">
        <v>1</v>
      </c>
      <c r="G5305" t="s">
        <v>22</v>
      </c>
      <c r="H5305" t="s">
        <v>21</v>
      </c>
      <c r="I5305" t="s">
        <v>60</v>
      </c>
      <c r="J5305" t="s">
        <v>61</v>
      </c>
      <c r="L5305" t="s">
        <v>82</v>
      </c>
    </row>
    <row r="5306" spans="1:13">
      <c r="A5306">
        <v>46081</v>
      </c>
      <c r="B5306" t="s">
        <v>4507</v>
      </c>
      <c r="F5306">
        <v>1</v>
      </c>
      <c r="G5306" t="s">
        <v>79</v>
      </c>
      <c r="H5306" t="s">
        <v>21</v>
      </c>
      <c r="L5306" t="s">
        <v>82</v>
      </c>
    </row>
    <row r="5307" spans="1:13">
      <c r="A5307">
        <v>46081</v>
      </c>
      <c r="B5307" t="s">
        <v>63</v>
      </c>
      <c r="D5307">
        <v>37000</v>
      </c>
      <c r="G5307" t="s">
        <v>70</v>
      </c>
      <c r="I5307" t="s">
        <v>60</v>
      </c>
      <c r="J5307" t="s">
        <v>61</v>
      </c>
      <c r="L5307" t="s">
        <v>62</v>
      </c>
    </row>
    <row r="5308" spans="1:13">
      <c r="A5308">
        <v>46081</v>
      </c>
      <c r="B5308" t="s">
        <v>4508</v>
      </c>
      <c r="F5308">
        <v>1</v>
      </c>
      <c r="G5308" t="s">
        <v>64</v>
      </c>
      <c r="L5308" t="s">
        <v>82</v>
      </c>
      <c r="M5308" t="s">
        <v>96</v>
      </c>
    </row>
    <row r="5309" spans="1:13">
      <c r="A5309">
        <v>46081</v>
      </c>
      <c r="B5309" t="s">
        <v>4509</v>
      </c>
      <c r="F5309">
        <v>1</v>
      </c>
      <c r="G5309" t="s">
        <v>64</v>
      </c>
      <c r="L5309" t="s">
        <v>86</v>
      </c>
      <c r="M5309" t="s">
        <v>4510</v>
      </c>
    </row>
    <row r="5310" spans="1:13">
      <c r="A5310">
        <v>46081</v>
      </c>
      <c r="B5310" t="s">
        <v>76</v>
      </c>
      <c r="D5310">
        <v>4000</v>
      </c>
      <c r="G5310" t="s">
        <v>77</v>
      </c>
      <c r="I5310" t="s">
        <v>60</v>
      </c>
      <c r="J5310" t="s">
        <v>61</v>
      </c>
      <c r="L5310" t="s">
        <v>62</v>
      </c>
    </row>
    <row r="5311" spans="1:13">
      <c r="A5311">
        <v>46081</v>
      </c>
      <c r="B5311" t="s">
        <v>63</v>
      </c>
      <c r="D5311">
        <v>200</v>
      </c>
      <c r="F5311">
        <v>1</v>
      </c>
      <c r="G5311" t="s">
        <v>22</v>
      </c>
      <c r="H5311" t="s">
        <v>93</v>
      </c>
      <c r="I5311" t="s">
        <v>60</v>
      </c>
      <c r="J5311" t="s">
        <v>61</v>
      </c>
      <c r="L5311" t="s">
        <v>62</v>
      </c>
    </row>
    <row r="5312" spans="1:13">
      <c r="A5312">
        <v>46081</v>
      </c>
      <c r="B5312" t="s">
        <v>63</v>
      </c>
      <c r="D5312">
        <v>6000</v>
      </c>
      <c r="F5312">
        <v>1</v>
      </c>
      <c r="G5312" t="s">
        <v>70</v>
      </c>
      <c r="I5312" t="s">
        <v>71</v>
      </c>
      <c r="J5312" t="s">
        <v>72</v>
      </c>
      <c r="K5312" t="s">
        <v>4511</v>
      </c>
      <c r="L5312" t="s">
        <v>62</v>
      </c>
      <c r="M5312" t="s">
        <v>90</v>
      </c>
    </row>
    <row r="5313" spans="1:13">
      <c r="A5313">
        <v>46081</v>
      </c>
      <c r="B5313" t="s">
        <v>4512</v>
      </c>
      <c r="D5313">
        <v>500</v>
      </c>
      <c r="F5313">
        <v>0</v>
      </c>
      <c r="G5313" t="s">
        <v>22</v>
      </c>
      <c r="H5313" t="s">
        <v>21</v>
      </c>
      <c r="I5313" t="s">
        <v>60</v>
      </c>
      <c r="J5313" t="s">
        <v>61</v>
      </c>
      <c r="L5313" t="s">
        <v>86</v>
      </c>
      <c r="M5313" t="s">
        <v>83</v>
      </c>
    </row>
    <row r="5314" spans="1:13">
      <c r="A5314">
        <v>46081</v>
      </c>
      <c r="B5314" t="s">
        <v>63</v>
      </c>
      <c r="E5314">
        <v>200</v>
      </c>
      <c r="F5314">
        <v>1</v>
      </c>
      <c r="G5314" t="s">
        <v>65</v>
      </c>
      <c r="H5314" t="s">
        <v>66</v>
      </c>
      <c r="I5314" t="s">
        <v>60</v>
      </c>
      <c r="J5314" t="s">
        <v>61</v>
      </c>
      <c r="L5314" t="s">
        <v>62</v>
      </c>
      <c r="M5314" t="s">
        <v>392</v>
      </c>
    </row>
    <row r="5315" spans="1:13">
      <c r="A5315">
        <v>46081</v>
      </c>
      <c r="B5315" t="s">
        <v>63</v>
      </c>
      <c r="E5315">
        <v>1500</v>
      </c>
      <c r="F5315">
        <v>1</v>
      </c>
      <c r="G5315" t="s">
        <v>65</v>
      </c>
      <c r="H5315" t="s">
        <v>66</v>
      </c>
      <c r="I5315" t="s">
        <v>60</v>
      </c>
      <c r="J5315" t="s">
        <v>61</v>
      </c>
      <c r="L5315" t="s">
        <v>62</v>
      </c>
      <c r="M5315" t="s">
        <v>3280</v>
      </c>
    </row>
    <row r="5316" spans="1:13">
      <c r="A5316">
        <v>46082</v>
      </c>
      <c r="B5316" t="s">
        <v>4513</v>
      </c>
      <c r="D5316">
        <v>500</v>
      </c>
      <c r="F5316">
        <v>0</v>
      </c>
      <c r="G5316" t="s">
        <v>22</v>
      </c>
      <c r="H5316" t="s">
        <v>21</v>
      </c>
      <c r="I5316" t="s">
        <v>60</v>
      </c>
      <c r="J5316" t="s">
        <v>61</v>
      </c>
      <c r="L5316" t="s">
        <v>89</v>
      </c>
      <c r="M5316" t="s">
        <v>83</v>
      </c>
    </row>
    <row r="5317" spans="1:13">
      <c r="A5317">
        <v>46082</v>
      </c>
      <c r="B5317" t="s">
        <v>4514</v>
      </c>
      <c r="D5317">
        <v>500</v>
      </c>
      <c r="F5317">
        <v>0</v>
      </c>
      <c r="G5317" t="s">
        <v>22</v>
      </c>
      <c r="H5317" t="s">
        <v>21</v>
      </c>
      <c r="I5317" t="s">
        <v>60</v>
      </c>
      <c r="J5317" t="s">
        <v>61</v>
      </c>
      <c r="L5317" t="s">
        <v>89</v>
      </c>
      <c r="M5317" t="s">
        <v>83</v>
      </c>
    </row>
    <row r="5318" spans="1:13">
      <c r="A5318">
        <v>46082</v>
      </c>
      <c r="B5318" t="s">
        <v>4417</v>
      </c>
      <c r="D5318">
        <v>500</v>
      </c>
      <c r="F5318">
        <v>0</v>
      </c>
      <c r="G5318" t="s">
        <v>22</v>
      </c>
      <c r="H5318" t="s">
        <v>21</v>
      </c>
      <c r="I5318" t="s">
        <v>60</v>
      </c>
      <c r="J5318" t="s">
        <v>61</v>
      </c>
      <c r="L5318" t="s">
        <v>89</v>
      </c>
      <c r="M5318" t="s">
        <v>83</v>
      </c>
    </row>
    <row r="5319" spans="1:13">
      <c r="A5319">
        <v>46082</v>
      </c>
      <c r="B5319" t="s">
        <v>4515</v>
      </c>
      <c r="D5319">
        <v>500</v>
      </c>
      <c r="F5319">
        <v>1</v>
      </c>
      <c r="G5319" t="s">
        <v>22</v>
      </c>
      <c r="H5319" t="s">
        <v>21</v>
      </c>
      <c r="I5319" t="s">
        <v>60</v>
      </c>
      <c r="J5319" t="s">
        <v>61</v>
      </c>
      <c r="L5319" t="s">
        <v>82</v>
      </c>
    </row>
    <row r="5320" spans="1:13">
      <c r="A5320">
        <v>46082</v>
      </c>
      <c r="B5320" t="s">
        <v>4516</v>
      </c>
      <c r="F5320">
        <v>1</v>
      </c>
      <c r="G5320" t="s">
        <v>564</v>
      </c>
      <c r="H5320" t="s">
        <v>21</v>
      </c>
      <c r="L5320" t="s">
        <v>82</v>
      </c>
      <c r="M5320" t="s">
        <v>327</v>
      </c>
    </row>
    <row r="5321" spans="1:13">
      <c r="A5321">
        <v>46082</v>
      </c>
      <c r="B5321" t="s">
        <v>63</v>
      </c>
      <c r="D5321">
        <v>12500</v>
      </c>
      <c r="F5321">
        <v>1</v>
      </c>
      <c r="G5321" t="s">
        <v>70</v>
      </c>
      <c r="I5321" t="s">
        <v>71</v>
      </c>
      <c r="J5321" t="s">
        <v>72</v>
      </c>
      <c r="K5321" t="s">
        <v>4517</v>
      </c>
      <c r="L5321" t="s">
        <v>62</v>
      </c>
      <c r="M5321" t="s">
        <v>90</v>
      </c>
    </row>
    <row r="5322" spans="1:13">
      <c r="A5322">
        <v>46082</v>
      </c>
      <c r="B5322" t="s">
        <v>63</v>
      </c>
      <c r="D5322">
        <v>15000</v>
      </c>
      <c r="G5322" t="s">
        <v>70</v>
      </c>
      <c r="I5322" t="s">
        <v>60</v>
      </c>
      <c r="J5322" t="s">
        <v>61</v>
      </c>
      <c r="L5322" t="s">
        <v>62</v>
      </c>
    </row>
    <row r="5323" spans="1:13">
      <c r="A5323">
        <v>46082</v>
      </c>
      <c r="B5323" t="s">
        <v>4518</v>
      </c>
      <c r="F5323">
        <v>1</v>
      </c>
      <c r="G5323" t="s">
        <v>64</v>
      </c>
      <c r="L5323" t="s">
        <v>82</v>
      </c>
      <c r="M5323" t="s">
        <v>96</v>
      </c>
    </row>
    <row r="5324" spans="1:13">
      <c r="A5324">
        <v>46082</v>
      </c>
      <c r="B5324" t="s">
        <v>4519</v>
      </c>
      <c r="D5324">
        <v>500</v>
      </c>
      <c r="F5324">
        <v>1</v>
      </c>
      <c r="G5324" t="s">
        <v>22</v>
      </c>
      <c r="H5324" t="s">
        <v>21</v>
      </c>
      <c r="I5324" t="s">
        <v>60</v>
      </c>
      <c r="J5324" t="s">
        <v>61</v>
      </c>
      <c r="L5324" t="s">
        <v>82</v>
      </c>
    </row>
    <row r="5325" spans="1:13">
      <c r="A5325">
        <v>46082</v>
      </c>
      <c r="B5325" t="s">
        <v>4520</v>
      </c>
      <c r="D5325">
        <v>500</v>
      </c>
      <c r="F5325">
        <v>0</v>
      </c>
      <c r="G5325" t="s">
        <v>22</v>
      </c>
      <c r="H5325" t="s">
        <v>21</v>
      </c>
      <c r="I5325" t="s">
        <v>60</v>
      </c>
      <c r="J5325" t="s">
        <v>61</v>
      </c>
      <c r="L5325" t="s">
        <v>82</v>
      </c>
      <c r="M5325" t="s">
        <v>83</v>
      </c>
    </row>
    <row r="5326" spans="1:13">
      <c r="A5326">
        <v>46082</v>
      </c>
      <c r="B5326" t="s">
        <v>4521</v>
      </c>
      <c r="D5326">
        <v>500</v>
      </c>
      <c r="F5326">
        <v>1</v>
      </c>
      <c r="G5326" t="s">
        <v>22</v>
      </c>
      <c r="H5326" t="s">
        <v>21</v>
      </c>
      <c r="I5326" t="s">
        <v>60</v>
      </c>
      <c r="J5326" t="s">
        <v>61</v>
      </c>
      <c r="L5326" t="s">
        <v>82</v>
      </c>
    </row>
    <row r="5327" spans="1:13">
      <c r="A5327">
        <v>46082</v>
      </c>
      <c r="B5327" t="s">
        <v>63</v>
      </c>
      <c r="D5327">
        <v>100</v>
      </c>
      <c r="F5327">
        <v>1</v>
      </c>
      <c r="G5327" t="s">
        <v>22</v>
      </c>
      <c r="H5327" t="s">
        <v>93</v>
      </c>
      <c r="I5327" t="s">
        <v>60</v>
      </c>
      <c r="J5327" t="s">
        <v>61</v>
      </c>
      <c r="L5327" t="s">
        <v>62</v>
      </c>
    </row>
    <row r="5328" spans="1:13">
      <c r="A5328">
        <v>46082</v>
      </c>
      <c r="B5328" t="s">
        <v>63</v>
      </c>
      <c r="E5328">
        <v>3500</v>
      </c>
      <c r="F5328">
        <v>1</v>
      </c>
      <c r="G5328" t="s">
        <v>65</v>
      </c>
      <c r="H5328" t="s">
        <v>66</v>
      </c>
      <c r="I5328" t="s">
        <v>60</v>
      </c>
      <c r="J5328" t="s">
        <v>61</v>
      </c>
      <c r="L5328" t="s">
        <v>62</v>
      </c>
      <c r="M5328" t="s">
        <v>3280</v>
      </c>
    </row>
    <row r="5329" spans="1:13">
      <c r="A5329">
        <v>46082</v>
      </c>
      <c r="B5329" t="s">
        <v>63</v>
      </c>
      <c r="E5329">
        <v>100</v>
      </c>
      <c r="F5329">
        <v>1</v>
      </c>
      <c r="G5329" t="s">
        <v>65</v>
      </c>
      <c r="H5329" t="s">
        <v>66</v>
      </c>
      <c r="I5329" t="s">
        <v>60</v>
      </c>
      <c r="J5329" t="s">
        <v>61</v>
      </c>
      <c r="L5329" t="s">
        <v>62</v>
      </c>
      <c r="M5329" t="s">
        <v>4522</v>
      </c>
    </row>
    <row r="5330" spans="1:13">
      <c r="A5330">
        <v>46083</v>
      </c>
      <c r="B5330" t="s">
        <v>81</v>
      </c>
      <c r="D5330">
        <v>30000</v>
      </c>
      <c r="F5330">
        <v>1</v>
      </c>
      <c r="G5330" t="s">
        <v>74</v>
      </c>
      <c r="H5330" t="s">
        <v>75</v>
      </c>
      <c r="I5330" t="s">
        <v>60</v>
      </c>
      <c r="J5330" t="s">
        <v>61</v>
      </c>
      <c r="L5330" t="s">
        <v>88</v>
      </c>
    </row>
    <row r="5331" spans="1:13">
      <c r="A5331">
        <v>46083</v>
      </c>
      <c r="B5331" t="s">
        <v>4523</v>
      </c>
      <c r="F5331">
        <v>1</v>
      </c>
      <c r="G5331" t="s">
        <v>64</v>
      </c>
      <c r="L5331" t="s">
        <v>82</v>
      </c>
      <c r="M5331" t="s">
        <v>96</v>
      </c>
    </row>
    <row r="5332" spans="1:13">
      <c r="A5332">
        <v>46083</v>
      </c>
      <c r="B5332" t="s">
        <v>4524</v>
      </c>
      <c r="D5332">
        <v>500</v>
      </c>
      <c r="F5332">
        <v>1</v>
      </c>
      <c r="G5332" t="s">
        <v>22</v>
      </c>
      <c r="H5332" t="s">
        <v>21</v>
      </c>
      <c r="I5332" t="s">
        <v>60</v>
      </c>
      <c r="J5332" t="s">
        <v>61</v>
      </c>
      <c r="L5332" t="s">
        <v>89</v>
      </c>
    </row>
    <row r="5333" spans="1:13">
      <c r="A5333">
        <v>46083</v>
      </c>
      <c r="B5333" t="s">
        <v>4525</v>
      </c>
      <c r="D5333">
        <v>500</v>
      </c>
      <c r="F5333">
        <v>1</v>
      </c>
      <c r="G5333" t="s">
        <v>22</v>
      </c>
      <c r="H5333" t="s">
        <v>21</v>
      </c>
      <c r="I5333" t="s">
        <v>60</v>
      </c>
      <c r="J5333" t="s">
        <v>61</v>
      </c>
      <c r="L5333" t="s">
        <v>82</v>
      </c>
    </row>
    <row r="5334" spans="1:13">
      <c r="A5334">
        <v>46083</v>
      </c>
      <c r="B5334" t="s">
        <v>4526</v>
      </c>
      <c r="F5334">
        <v>1</v>
      </c>
      <c r="G5334" t="s">
        <v>79</v>
      </c>
      <c r="H5334" t="s">
        <v>21</v>
      </c>
      <c r="L5334" t="s">
        <v>89</v>
      </c>
      <c r="M5334" t="s">
        <v>327</v>
      </c>
    </row>
    <row r="5335" spans="1:13">
      <c r="A5335">
        <v>46083</v>
      </c>
      <c r="B5335" t="s">
        <v>4527</v>
      </c>
      <c r="F5335">
        <v>1</v>
      </c>
      <c r="G5335" t="s">
        <v>79</v>
      </c>
      <c r="H5335" t="s">
        <v>21</v>
      </c>
      <c r="L5335" t="s">
        <v>89</v>
      </c>
      <c r="M5335" t="s">
        <v>327</v>
      </c>
    </row>
    <row r="5336" spans="1:13">
      <c r="A5336">
        <v>46083</v>
      </c>
      <c r="B5336" t="s">
        <v>4528</v>
      </c>
      <c r="D5336">
        <v>500</v>
      </c>
      <c r="F5336">
        <v>0</v>
      </c>
      <c r="G5336" t="s">
        <v>22</v>
      </c>
      <c r="H5336" t="s">
        <v>21</v>
      </c>
      <c r="I5336" t="s">
        <v>60</v>
      </c>
      <c r="J5336" t="s">
        <v>61</v>
      </c>
      <c r="L5336" t="s">
        <v>89</v>
      </c>
    </row>
    <row r="5337" spans="1:13">
      <c r="A5337">
        <v>46083</v>
      </c>
      <c r="B5337" t="s">
        <v>2318</v>
      </c>
      <c r="D5337">
        <v>500</v>
      </c>
      <c r="F5337">
        <v>0</v>
      </c>
      <c r="G5337" t="s">
        <v>22</v>
      </c>
      <c r="H5337" t="s">
        <v>21</v>
      </c>
      <c r="I5337" t="s">
        <v>60</v>
      </c>
      <c r="J5337" t="s">
        <v>61</v>
      </c>
      <c r="L5337" t="s">
        <v>89</v>
      </c>
    </row>
    <row r="5338" spans="1:13">
      <c r="A5338">
        <v>46083</v>
      </c>
      <c r="B5338" t="s">
        <v>4529</v>
      </c>
      <c r="D5338">
        <v>500</v>
      </c>
      <c r="F5338">
        <v>1</v>
      </c>
      <c r="G5338" t="s">
        <v>22</v>
      </c>
      <c r="H5338" t="s">
        <v>21</v>
      </c>
      <c r="I5338" t="s">
        <v>60</v>
      </c>
      <c r="J5338" t="s">
        <v>61</v>
      </c>
      <c r="L5338" t="s">
        <v>89</v>
      </c>
    </row>
    <row r="5339" spans="1:13">
      <c r="A5339">
        <v>46083</v>
      </c>
      <c r="B5339" t="s">
        <v>76</v>
      </c>
      <c r="D5339">
        <v>10700</v>
      </c>
      <c r="G5339" t="s">
        <v>77</v>
      </c>
      <c r="I5339" t="s">
        <v>60</v>
      </c>
      <c r="J5339" t="s">
        <v>61</v>
      </c>
      <c r="L5339" t="s">
        <v>62</v>
      </c>
    </row>
    <row r="5340" spans="1:13">
      <c r="A5340">
        <v>46083</v>
      </c>
      <c r="B5340" t="s">
        <v>63</v>
      </c>
      <c r="D5340">
        <v>29500</v>
      </c>
      <c r="G5340" t="s">
        <v>70</v>
      </c>
      <c r="I5340" t="s">
        <v>60</v>
      </c>
      <c r="J5340" t="s">
        <v>61</v>
      </c>
      <c r="L5340" t="s">
        <v>62</v>
      </c>
    </row>
    <row r="5341" spans="1:13">
      <c r="A5341">
        <v>46083</v>
      </c>
      <c r="B5341" t="s">
        <v>80</v>
      </c>
      <c r="E5341">
        <v>29127</v>
      </c>
      <c r="F5341">
        <v>1</v>
      </c>
      <c r="G5341" t="s">
        <v>74</v>
      </c>
      <c r="H5341" t="s">
        <v>75</v>
      </c>
      <c r="I5341" t="s">
        <v>60</v>
      </c>
      <c r="J5341" t="s">
        <v>61</v>
      </c>
      <c r="K5341" t="s">
        <v>4530</v>
      </c>
      <c r="L5341" t="s">
        <v>4275</v>
      </c>
    </row>
    <row r="5342" spans="1:13">
      <c r="A5342">
        <v>46083</v>
      </c>
      <c r="B5342" t="s">
        <v>80</v>
      </c>
      <c r="E5342">
        <v>373</v>
      </c>
      <c r="F5342">
        <v>1</v>
      </c>
      <c r="G5342" t="s">
        <v>65</v>
      </c>
      <c r="H5342" t="s">
        <v>66</v>
      </c>
      <c r="I5342" t="s">
        <v>60</v>
      </c>
      <c r="J5342" t="s">
        <v>61</v>
      </c>
      <c r="L5342" t="s">
        <v>4275</v>
      </c>
    </row>
    <row r="5343" spans="1:13">
      <c r="A5343">
        <v>46083</v>
      </c>
      <c r="B5343" t="s">
        <v>63</v>
      </c>
      <c r="E5343">
        <v>3000</v>
      </c>
      <c r="F5343">
        <v>1</v>
      </c>
      <c r="G5343" t="s">
        <v>65</v>
      </c>
      <c r="H5343" t="s">
        <v>66</v>
      </c>
      <c r="I5343" t="s">
        <v>60</v>
      </c>
      <c r="J5343" t="s">
        <v>61</v>
      </c>
      <c r="L5343" t="s">
        <v>62</v>
      </c>
      <c r="M5343" t="s">
        <v>3280</v>
      </c>
    </row>
    <row r="5344" spans="1:13">
      <c r="A5344">
        <v>46083</v>
      </c>
      <c r="B5344" t="s">
        <v>3988</v>
      </c>
      <c r="C5344" t="s">
        <v>4531</v>
      </c>
      <c r="F5344">
        <v>56</v>
      </c>
      <c r="G5344" t="s">
        <v>22</v>
      </c>
      <c r="H5344" t="s">
        <v>21</v>
      </c>
      <c r="L5344" t="s">
        <v>95</v>
      </c>
    </row>
    <row r="5345" spans="1:13">
      <c r="A5345">
        <v>46084</v>
      </c>
      <c r="B5345" t="s">
        <v>4527</v>
      </c>
      <c r="D5345">
        <v>500</v>
      </c>
      <c r="F5345">
        <v>0</v>
      </c>
      <c r="G5345" t="s">
        <v>22</v>
      </c>
      <c r="H5345" t="s">
        <v>21</v>
      </c>
      <c r="I5345" t="s">
        <v>60</v>
      </c>
      <c r="J5345" t="s">
        <v>61</v>
      </c>
      <c r="L5345" t="s">
        <v>89</v>
      </c>
    </row>
    <row r="5346" spans="1:13">
      <c r="A5346">
        <v>46084</v>
      </c>
      <c r="B5346" t="s">
        <v>81</v>
      </c>
      <c r="D5346">
        <v>63000</v>
      </c>
      <c r="F5346">
        <v>1</v>
      </c>
      <c r="G5346" t="s">
        <v>74</v>
      </c>
      <c r="H5346" t="s">
        <v>75</v>
      </c>
      <c r="I5346" t="s">
        <v>60</v>
      </c>
      <c r="J5346" t="s">
        <v>61</v>
      </c>
      <c r="L5346" t="s">
        <v>88</v>
      </c>
    </row>
    <row r="5347" spans="1:13">
      <c r="A5347">
        <v>46084</v>
      </c>
      <c r="B5347" t="s">
        <v>4532</v>
      </c>
      <c r="D5347">
        <v>247499</v>
      </c>
      <c r="F5347">
        <v>1</v>
      </c>
      <c r="G5347" t="s">
        <v>64</v>
      </c>
      <c r="I5347" t="s">
        <v>60</v>
      </c>
      <c r="J5347" t="s">
        <v>61</v>
      </c>
      <c r="L5347" t="s">
        <v>89</v>
      </c>
      <c r="M5347" t="s">
        <v>4533</v>
      </c>
    </row>
    <row r="5348" spans="1:13">
      <c r="A5348">
        <v>46084</v>
      </c>
      <c r="B5348" t="s">
        <v>4534</v>
      </c>
      <c r="F5348">
        <v>1</v>
      </c>
      <c r="G5348" t="s">
        <v>64</v>
      </c>
      <c r="L5348" t="s">
        <v>89</v>
      </c>
      <c r="M5348" t="s">
        <v>4535</v>
      </c>
    </row>
    <row r="5349" spans="1:13">
      <c r="A5349">
        <v>46084</v>
      </c>
      <c r="B5349" t="s">
        <v>4536</v>
      </c>
      <c r="F5349">
        <v>1</v>
      </c>
      <c r="G5349" t="s">
        <v>107</v>
      </c>
      <c r="H5349" t="s">
        <v>21</v>
      </c>
      <c r="L5349" t="s">
        <v>89</v>
      </c>
      <c r="M5349" t="s">
        <v>4537</v>
      </c>
    </row>
    <row r="5350" spans="1:13">
      <c r="A5350">
        <v>46084</v>
      </c>
      <c r="B5350" t="s">
        <v>4538</v>
      </c>
      <c r="F5350">
        <v>1</v>
      </c>
      <c r="G5350" t="s">
        <v>107</v>
      </c>
      <c r="H5350" t="s">
        <v>21</v>
      </c>
      <c r="L5350" t="s">
        <v>89</v>
      </c>
      <c r="M5350" t="s">
        <v>4537</v>
      </c>
    </row>
    <row r="5351" spans="1:13">
      <c r="A5351">
        <v>46084</v>
      </c>
      <c r="B5351" t="s">
        <v>4492</v>
      </c>
      <c r="D5351">
        <v>500</v>
      </c>
      <c r="F5351">
        <v>0</v>
      </c>
      <c r="G5351" t="s">
        <v>22</v>
      </c>
      <c r="H5351" t="s">
        <v>21</v>
      </c>
      <c r="I5351" t="s">
        <v>60</v>
      </c>
      <c r="J5351" t="s">
        <v>61</v>
      </c>
      <c r="L5351" t="s">
        <v>89</v>
      </c>
      <c r="M5351" t="s">
        <v>83</v>
      </c>
    </row>
    <row r="5352" spans="1:13">
      <c r="A5352">
        <v>46084</v>
      </c>
      <c r="B5352" t="s">
        <v>4539</v>
      </c>
      <c r="D5352">
        <v>500</v>
      </c>
      <c r="F5352">
        <v>1</v>
      </c>
      <c r="G5352" t="s">
        <v>22</v>
      </c>
      <c r="H5352" t="s">
        <v>21</v>
      </c>
      <c r="I5352" t="s">
        <v>60</v>
      </c>
      <c r="J5352" t="s">
        <v>61</v>
      </c>
      <c r="L5352" t="s">
        <v>82</v>
      </c>
    </row>
    <row r="5353" spans="1:13">
      <c r="A5353">
        <v>46084</v>
      </c>
      <c r="B5353" t="s">
        <v>4540</v>
      </c>
      <c r="F5353">
        <v>1</v>
      </c>
      <c r="G5353" t="s">
        <v>64</v>
      </c>
      <c r="L5353" t="s">
        <v>82</v>
      </c>
      <c r="M5353" t="s">
        <v>96</v>
      </c>
    </row>
    <row r="5354" spans="1:13">
      <c r="A5354">
        <v>46084</v>
      </c>
      <c r="B5354" t="s">
        <v>4541</v>
      </c>
      <c r="D5354">
        <v>500</v>
      </c>
      <c r="F5354">
        <v>1</v>
      </c>
      <c r="G5354" t="s">
        <v>22</v>
      </c>
      <c r="H5354" t="s">
        <v>21</v>
      </c>
      <c r="I5354" t="s">
        <v>60</v>
      </c>
      <c r="J5354" t="s">
        <v>61</v>
      </c>
      <c r="L5354" t="s">
        <v>82</v>
      </c>
    </row>
    <row r="5355" spans="1:13">
      <c r="A5355">
        <v>46084</v>
      </c>
      <c r="B5355" t="s">
        <v>63</v>
      </c>
      <c r="D5355">
        <v>200</v>
      </c>
      <c r="F5355">
        <v>1</v>
      </c>
      <c r="G5355" t="s">
        <v>22</v>
      </c>
      <c r="H5355" t="s">
        <v>93</v>
      </c>
      <c r="I5355" t="s">
        <v>60</v>
      </c>
      <c r="J5355" t="s">
        <v>61</v>
      </c>
      <c r="L5355" t="s">
        <v>62</v>
      </c>
    </row>
    <row r="5356" spans="1:13">
      <c r="A5356">
        <v>46084</v>
      </c>
      <c r="B5356" t="s">
        <v>76</v>
      </c>
      <c r="D5356">
        <v>18700</v>
      </c>
      <c r="G5356" t="s">
        <v>77</v>
      </c>
      <c r="I5356" t="s">
        <v>60</v>
      </c>
      <c r="J5356" t="s">
        <v>61</v>
      </c>
      <c r="L5356" t="s">
        <v>62</v>
      </c>
    </row>
    <row r="5357" spans="1:13">
      <c r="A5357">
        <v>46084</v>
      </c>
      <c r="B5357" t="s">
        <v>4542</v>
      </c>
      <c r="D5357">
        <v>500</v>
      </c>
      <c r="F5357">
        <v>1</v>
      </c>
      <c r="G5357" t="s">
        <v>22</v>
      </c>
      <c r="H5357" t="s">
        <v>21</v>
      </c>
      <c r="I5357" t="s">
        <v>60</v>
      </c>
      <c r="J5357" t="s">
        <v>61</v>
      </c>
      <c r="L5357" t="s">
        <v>89</v>
      </c>
    </row>
    <row r="5358" spans="1:13">
      <c r="A5358">
        <v>46084</v>
      </c>
      <c r="B5358" t="s">
        <v>4543</v>
      </c>
      <c r="F5358">
        <v>1</v>
      </c>
      <c r="G5358" t="s">
        <v>22</v>
      </c>
      <c r="H5358" t="s">
        <v>21</v>
      </c>
      <c r="L5358" t="s">
        <v>101</v>
      </c>
      <c r="M5358" t="s">
        <v>4544</v>
      </c>
    </row>
    <row r="5359" spans="1:13">
      <c r="A5359">
        <v>46084</v>
      </c>
      <c r="B5359" t="s">
        <v>63</v>
      </c>
      <c r="E5359">
        <v>2000</v>
      </c>
      <c r="F5359">
        <v>1</v>
      </c>
      <c r="G5359" t="s">
        <v>65</v>
      </c>
      <c r="H5359" t="s">
        <v>66</v>
      </c>
      <c r="I5359" t="s">
        <v>60</v>
      </c>
      <c r="J5359" t="s">
        <v>61</v>
      </c>
      <c r="L5359" t="s">
        <v>62</v>
      </c>
      <c r="M5359" t="s">
        <v>3280</v>
      </c>
    </row>
    <row r="5360" spans="1:13">
      <c r="A5360">
        <v>46084</v>
      </c>
      <c r="B5360" t="s">
        <v>63</v>
      </c>
      <c r="E5360">
        <v>200</v>
      </c>
      <c r="F5360">
        <v>1</v>
      </c>
      <c r="G5360" t="s">
        <v>65</v>
      </c>
      <c r="H5360" t="s">
        <v>66</v>
      </c>
      <c r="I5360" t="s">
        <v>60</v>
      </c>
      <c r="J5360" t="s">
        <v>61</v>
      </c>
      <c r="L5360" t="s">
        <v>62</v>
      </c>
      <c r="M5360" t="s">
        <v>4522</v>
      </c>
    </row>
    <row r="5361" spans="1:13">
      <c r="A5361">
        <v>46085</v>
      </c>
      <c r="B5361" t="s">
        <v>4545</v>
      </c>
      <c r="F5361">
        <v>1</v>
      </c>
      <c r="G5361" t="s">
        <v>79</v>
      </c>
      <c r="H5361" t="s">
        <v>21</v>
      </c>
      <c r="L5361" t="s">
        <v>82</v>
      </c>
      <c r="M5361" t="s">
        <v>327</v>
      </c>
    </row>
    <row r="5362" spans="1:13">
      <c r="A5362">
        <v>46085</v>
      </c>
      <c r="B5362" t="s">
        <v>4546</v>
      </c>
      <c r="F5362">
        <v>1</v>
      </c>
      <c r="G5362" t="s">
        <v>99</v>
      </c>
      <c r="H5362" t="s">
        <v>21</v>
      </c>
      <c r="L5362" t="s">
        <v>82</v>
      </c>
      <c r="M5362" t="s">
        <v>4547</v>
      </c>
    </row>
    <row r="5363" spans="1:13">
      <c r="A5363">
        <v>46085</v>
      </c>
      <c r="B5363" t="s">
        <v>4074</v>
      </c>
      <c r="D5363">
        <v>500</v>
      </c>
      <c r="F5363">
        <v>0</v>
      </c>
      <c r="G5363" t="s">
        <v>22</v>
      </c>
      <c r="H5363" t="s">
        <v>21</v>
      </c>
      <c r="I5363" t="s">
        <v>60</v>
      </c>
      <c r="J5363" t="s">
        <v>61</v>
      </c>
      <c r="L5363" t="s">
        <v>82</v>
      </c>
      <c r="M5363" t="s">
        <v>83</v>
      </c>
    </row>
    <row r="5364" spans="1:13">
      <c r="A5364">
        <v>46085</v>
      </c>
      <c r="B5364" t="s">
        <v>84</v>
      </c>
      <c r="D5364">
        <v>-104000</v>
      </c>
      <c r="G5364" t="s">
        <v>77</v>
      </c>
      <c r="I5364" t="s">
        <v>60</v>
      </c>
      <c r="J5364" t="s">
        <v>61</v>
      </c>
      <c r="L5364" t="s">
        <v>62</v>
      </c>
    </row>
    <row r="5365" spans="1:13">
      <c r="A5365">
        <v>46085</v>
      </c>
      <c r="B5365" t="s">
        <v>84</v>
      </c>
      <c r="E5365">
        <v>-5500</v>
      </c>
      <c r="F5365">
        <v>1</v>
      </c>
      <c r="G5365" t="s">
        <v>65</v>
      </c>
      <c r="H5365" t="s">
        <v>85</v>
      </c>
      <c r="I5365" t="s">
        <v>60</v>
      </c>
      <c r="J5365" t="s">
        <v>61</v>
      </c>
      <c r="L5365" t="s">
        <v>62</v>
      </c>
    </row>
    <row r="5366" spans="1:13">
      <c r="A5366">
        <v>46085</v>
      </c>
      <c r="B5366" t="s">
        <v>76</v>
      </c>
      <c r="D5366">
        <v>66000</v>
      </c>
      <c r="G5366" t="s">
        <v>77</v>
      </c>
      <c r="I5366" t="s">
        <v>60</v>
      </c>
      <c r="J5366" t="s">
        <v>61</v>
      </c>
      <c r="L5366" t="s">
        <v>62</v>
      </c>
    </row>
    <row r="5367" spans="1:13">
      <c r="A5367">
        <v>46085</v>
      </c>
      <c r="B5367" t="s">
        <v>63</v>
      </c>
      <c r="D5367">
        <v>300</v>
      </c>
      <c r="F5367">
        <v>3</v>
      </c>
      <c r="G5367" t="s">
        <v>22</v>
      </c>
      <c r="H5367" t="s">
        <v>93</v>
      </c>
      <c r="I5367" t="s">
        <v>60</v>
      </c>
      <c r="J5367" t="s">
        <v>61</v>
      </c>
      <c r="L5367" t="s">
        <v>62</v>
      </c>
    </row>
    <row r="5368" spans="1:13">
      <c r="A5368">
        <v>46085</v>
      </c>
      <c r="B5368" t="s">
        <v>63</v>
      </c>
      <c r="D5368">
        <v>101500</v>
      </c>
      <c r="G5368" t="s">
        <v>70</v>
      </c>
      <c r="I5368" t="s">
        <v>60</v>
      </c>
      <c r="J5368" t="s">
        <v>61</v>
      </c>
      <c r="L5368" t="s">
        <v>62</v>
      </c>
    </row>
    <row r="5369" spans="1:13">
      <c r="A5369">
        <v>46085</v>
      </c>
      <c r="B5369" t="s">
        <v>4212</v>
      </c>
      <c r="D5369">
        <v>500</v>
      </c>
      <c r="F5369">
        <v>1</v>
      </c>
      <c r="G5369" t="s">
        <v>22</v>
      </c>
      <c r="H5369" t="s">
        <v>21</v>
      </c>
      <c r="I5369" t="s">
        <v>60</v>
      </c>
      <c r="J5369" t="s">
        <v>61</v>
      </c>
      <c r="L5369" t="s">
        <v>82</v>
      </c>
    </row>
    <row r="5370" spans="1:13">
      <c r="A5370">
        <v>46085</v>
      </c>
      <c r="B5370" t="s">
        <v>4548</v>
      </c>
      <c r="D5370">
        <v>500</v>
      </c>
      <c r="F5370">
        <v>0</v>
      </c>
      <c r="G5370" t="s">
        <v>22</v>
      </c>
      <c r="H5370" t="s">
        <v>21</v>
      </c>
      <c r="I5370" t="s">
        <v>60</v>
      </c>
      <c r="J5370" t="s">
        <v>61</v>
      </c>
      <c r="L5370" t="s">
        <v>82</v>
      </c>
      <c r="M5370" t="s">
        <v>83</v>
      </c>
    </row>
    <row r="5371" spans="1:13">
      <c r="A5371">
        <v>46085</v>
      </c>
      <c r="B5371" t="s">
        <v>63</v>
      </c>
      <c r="E5371">
        <v>1500</v>
      </c>
      <c r="F5371">
        <v>1</v>
      </c>
      <c r="G5371" t="s">
        <v>65</v>
      </c>
      <c r="H5371" t="s">
        <v>66</v>
      </c>
      <c r="I5371" t="s">
        <v>60</v>
      </c>
      <c r="J5371" t="s">
        <v>61</v>
      </c>
      <c r="L5371" t="s">
        <v>62</v>
      </c>
      <c r="M5371" t="s">
        <v>3280</v>
      </c>
    </row>
    <row r="5372" spans="1:13">
      <c r="A5372">
        <v>46085</v>
      </c>
      <c r="B5372" t="s">
        <v>63</v>
      </c>
      <c r="E5372">
        <v>300</v>
      </c>
      <c r="F5372">
        <v>1</v>
      </c>
      <c r="G5372" t="s">
        <v>65</v>
      </c>
      <c r="H5372" t="s">
        <v>66</v>
      </c>
      <c r="I5372" t="s">
        <v>60</v>
      </c>
      <c r="J5372" t="s">
        <v>61</v>
      </c>
      <c r="L5372" t="s">
        <v>62</v>
      </c>
      <c r="M5372" t="s">
        <v>4522</v>
      </c>
    </row>
    <row r="5373" spans="1:13">
      <c r="A5373">
        <v>46086</v>
      </c>
      <c r="B5373" t="s">
        <v>81</v>
      </c>
      <c r="D5373">
        <v>50000</v>
      </c>
      <c r="F5373">
        <v>1</v>
      </c>
      <c r="G5373" t="s">
        <v>74</v>
      </c>
      <c r="H5373" t="s">
        <v>75</v>
      </c>
      <c r="I5373" t="s">
        <v>60</v>
      </c>
      <c r="J5373" t="s">
        <v>61</v>
      </c>
      <c r="L5373" t="s">
        <v>88</v>
      </c>
    </row>
    <row r="5374" spans="1:13">
      <c r="A5374">
        <v>46086</v>
      </c>
      <c r="B5374" t="s">
        <v>63</v>
      </c>
      <c r="D5374">
        <v>87500</v>
      </c>
      <c r="G5374" t="s">
        <v>70</v>
      </c>
      <c r="I5374" t="s">
        <v>60</v>
      </c>
      <c r="J5374" t="s">
        <v>61</v>
      </c>
      <c r="L5374" t="s">
        <v>62</v>
      </c>
    </row>
    <row r="5375" spans="1:13">
      <c r="A5375">
        <v>46086</v>
      </c>
      <c r="B5375" t="s">
        <v>4549</v>
      </c>
      <c r="F5375">
        <v>1</v>
      </c>
      <c r="G5375" t="s">
        <v>64</v>
      </c>
      <c r="L5375" t="s">
        <v>89</v>
      </c>
      <c r="M5375" t="s">
        <v>96</v>
      </c>
    </row>
    <row r="5376" spans="1:13">
      <c r="A5376">
        <v>46086</v>
      </c>
      <c r="B5376" t="s">
        <v>4550</v>
      </c>
      <c r="D5376">
        <v>500</v>
      </c>
      <c r="F5376">
        <v>1</v>
      </c>
      <c r="G5376" t="s">
        <v>22</v>
      </c>
      <c r="H5376" t="s">
        <v>21</v>
      </c>
      <c r="I5376" t="s">
        <v>60</v>
      </c>
      <c r="J5376" t="s">
        <v>61</v>
      </c>
      <c r="L5376" t="s">
        <v>89</v>
      </c>
    </row>
    <row r="5377" spans="1:13">
      <c r="A5377">
        <v>46086</v>
      </c>
      <c r="B5377" t="s">
        <v>4551</v>
      </c>
      <c r="F5377">
        <v>1</v>
      </c>
      <c r="G5377" t="s">
        <v>79</v>
      </c>
      <c r="H5377" t="s">
        <v>21</v>
      </c>
      <c r="L5377" t="s">
        <v>89</v>
      </c>
      <c r="M5377" t="s">
        <v>327</v>
      </c>
    </row>
    <row r="5378" spans="1:13">
      <c r="A5378">
        <v>46086</v>
      </c>
      <c r="B5378" t="s">
        <v>4552</v>
      </c>
      <c r="F5378">
        <v>1</v>
      </c>
      <c r="G5378" t="s">
        <v>79</v>
      </c>
      <c r="H5378" t="s">
        <v>21</v>
      </c>
      <c r="L5378" t="s">
        <v>89</v>
      </c>
      <c r="M5378" t="s">
        <v>327</v>
      </c>
    </row>
    <row r="5379" spans="1:13">
      <c r="A5379">
        <v>46086</v>
      </c>
      <c r="B5379" t="s">
        <v>4553</v>
      </c>
      <c r="F5379">
        <v>1</v>
      </c>
      <c r="G5379" t="s">
        <v>319</v>
      </c>
      <c r="H5379" t="s">
        <v>21</v>
      </c>
      <c r="L5379" t="s">
        <v>89</v>
      </c>
      <c r="M5379" t="s">
        <v>4554</v>
      </c>
    </row>
    <row r="5380" spans="1:13">
      <c r="A5380">
        <v>46086</v>
      </c>
      <c r="B5380" t="s">
        <v>76</v>
      </c>
      <c r="D5380">
        <v>9600</v>
      </c>
      <c r="G5380" t="s">
        <v>77</v>
      </c>
      <c r="I5380" t="s">
        <v>60</v>
      </c>
      <c r="J5380" t="s">
        <v>61</v>
      </c>
      <c r="L5380" t="s">
        <v>62</v>
      </c>
    </row>
    <row r="5381" spans="1:13">
      <c r="A5381">
        <v>46086</v>
      </c>
      <c r="B5381" t="s">
        <v>63</v>
      </c>
      <c r="E5381">
        <v>500</v>
      </c>
      <c r="F5381">
        <v>1</v>
      </c>
      <c r="G5381" t="s">
        <v>65</v>
      </c>
      <c r="H5381" t="s">
        <v>66</v>
      </c>
      <c r="I5381" t="s">
        <v>60</v>
      </c>
      <c r="J5381" t="s">
        <v>61</v>
      </c>
      <c r="L5381" t="s">
        <v>62</v>
      </c>
      <c r="M5381" t="s">
        <v>3280</v>
      </c>
    </row>
    <row r="5382" spans="1:13">
      <c r="A5382">
        <v>46087</v>
      </c>
      <c r="B5382" t="s">
        <v>81</v>
      </c>
      <c r="D5382">
        <v>22000</v>
      </c>
      <c r="F5382">
        <v>1</v>
      </c>
      <c r="G5382" t="s">
        <v>74</v>
      </c>
      <c r="H5382" t="s">
        <v>75</v>
      </c>
      <c r="I5382" t="s">
        <v>60</v>
      </c>
      <c r="J5382" t="s">
        <v>61</v>
      </c>
      <c r="L5382" t="s">
        <v>88</v>
      </c>
    </row>
    <row r="5383" spans="1:13">
      <c r="A5383">
        <v>46087</v>
      </c>
      <c r="B5383" t="s">
        <v>4555</v>
      </c>
      <c r="E5383">
        <v>868710</v>
      </c>
      <c r="F5383">
        <v>1</v>
      </c>
      <c r="G5383" t="s">
        <v>74</v>
      </c>
      <c r="H5383" t="s">
        <v>75</v>
      </c>
      <c r="I5383" t="s">
        <v>60</v>
      </c>
      <c r="J5383" t="s">
        <v>61</v>
      </c>
      <c r="L5383" t="s">
        <v>104</v>
      </c>
    </row>
    <row r="5384" spans="1:13">
      <c r="A5384">
        <v>46087</v>
      </c>
      <c r="B5384" t="s">
        <v>4556</v>
      </c>
      <c r="D5384">
        <v>500</v>
      </c>
      <c r="F5384">
        <v>0</v>
      </c>
      <c r="G5384" t="s">
        <v>22</v>
      </c>
      <c r="H5384" t="s">
        <v>21</v>
      </c>
      <c r="I5384" t="s">
        <v>60</v>
      </c>
      <c r="J5384" t="s">
        <v>61</v>
      </c>
      <c r="L5384" t="s">
        <v>89</v>
      </c>
      <c r="M5384" t="s">
        <v>83</v>
      </c>
    </row>
    <row r="5385" spans="1:13">
      <c r="A5385">
        <v>46087</v>
      </c>
      <c r="B5385" t="s">
        <v>4557</v>
      </c>
      <c r="F5385">
        <v>1</v>
      </c>
      <c r="G5385" t="s">
        <v>79</v>
      </c>
      <c r="H5385" t="s">
        <v>21</v>
      </c>
      <c r="L5385" t="s">
        <v>89</v>
      </c>
      <c r="M5385" t="s">
        <v>327</v>
      </c>
    </row>
    <row r="5386" spans="1:13">
      <c r="A5386">
        <v>46087</v>
      </c>
      <c r="B5386" t="s">
        <v>4558</v>
      </c>
      <c r="F5386">
        <v>1</v>
      </c>
      <c r="G5386" t="s">
        <v>64</v>
      </c>
      <c r="L5386" t="s">
        <v>89</v>
      </c>
      <c r="M5386" t="s">
        <v>4395</v>
      </c>
    </row>
    <row r="5387" spans="1:13">
      <c r="A5387">
        <v>46087</v>
      </c>
      <c r="B5387" t="s">
        <v>63</v>
      </c>
      <c r="D5387">
        <v>39500</v>
      </c>
      <c r="G5387" t="s">
        <v>70</v>
      </c>
      <c r="I5387" t="s">
        <v>60</v>
      </c>
      <c r="J5387" t="s">
        <v>61</v>
      </c>
      <c r="L5387" t="s">
        <v>62</v>
      </c>
    </row>
    <row r="5388" spans="1:13">
      <c r="A5388">
        <v>46087</v>
      </c>
      <c r="B5388" t="s">
        <v>63</v>
      </c>
      <c r="D5388">
        <v>12000</v>
      </c>
      <c r="F5388">
        <v>1</v>
      </c>
      <c r="G5388" t="s">
        <v>70</v>
      </c>
      <c r="I5388" t="s">
        <v>71</v>
      </c>
      <c r="J5388" t="s">
        <v>72</v>
      </c>
      <c r="K5388" t="s">
        <v>4559</v>
      </c>
      <c r="L5388" t="s">
        <v>62</v>
      </c>
      <c r="M5388" t="s">
        <v>90</v>
      </c>
    </row>
    <row r="5389" spans="1:13">
      <c r="A5389">
        <v>46087</v>
      </c>
      <c r="B5389" t="s">
        <v>2122</v>
      </c>
      <c r="D5389">
        <v>6000</v>
      </c>
      <c r="G5389" t="s">
        <v>77</v>
      </c>
      <c r="I5389" t="s">
        <v>60</v>
      </c>
      <c r="J5389" t="s">
        <v>61</v>
      </c>
      <c r="L5389" t="s">
        <v>62</v>
      </c>
    </row>
    <row r="5390" spans="1:13">
      <c r="A5390">
        <v>46087</v>
      </c>
      <c r="B5390" t="s">
        <v>4560</v>
      </c>
      <c r="D5390">
        <v>500</v>
      </c>
      <c r="F5390">
        <v>1</v>
      </c>
      <c r="G5390" t="s">
        <v>22</v>
      </c>
      <c r="H5390" t="s">
        <v>21</v>
      </c>
      <c r="I5390" t="s">
        <v>60</v>
      </c>
      <c r="J5390" t="s">
        <v>61</v>
      </c>
      <c r="L5390" t="s">
        <v>82</v>
      </c>
    </row>
    <row r="5391" spans="1:13">
      <c r="A5391">
        <v>46087</v>
      </c>
      <c r="B5391" t="s">
        <v>4561</v>
      </c>
      <c r="D5391">
        <v>500</v>
      </c>
      <c r="F5391">
        <v>1</v>
      </c>
      <c r="G5391" t="s">
        <v>22</v>
      </c>
      <c r="H5391" t="s">
        <v>21</v>
      </c>
      <c r="I5391" t="s">
        <v>60</v>
      </c>
      <c r="J5391" t="s">
        <v>61</v>
      </c>
      <c r="L5391" t="s">
        <v>82</v>
      </c>
    </row>
    <row r="5392" spans="1:13">
      <c r="A5392">
        <v>46087</v>
      </c>
      <c r="B5392" t="s">
        <v>4562</v>
      </c>
      <c r="F5392">
        <v>1</v>
      </c>
      <c r="G5392" t="s">
        <v>64</v>
      </c>
      <c r="L5392" t="s">
        <v>82</v>
      </c>
      <c r="M5392" t="s">
        <v>4535</v>
      </c>
    </row>
    <row r="5393" spans="1:13">
      <c r="A5393">
        <v>46087</v>
      </c>
      <c r="B5393" t="s">
        <v>4563</v>
      </c>
      <c r="D5393">
        <v>500</v>
      </c>
      <c r="F5393">
        <v>1</v>
      </c>
      <c r="G5393" t="s">
        <v>22</v>
      </c>
      <c r="H5393" t="s">
        <v>21</v>
      </c>
      <c r="I5393" t="s">
        <v>60</v>
      </c>
      <c r="J5393" t="s">
        <v>61</v>
      </c>
      <c r="L5393" t="s">
        <v>82</v>
      </c>
      <c r="M5393" t="s">
        <v>4564</v>
      </c>
    </row>
    <row r="5394" spans="1:13">
      <c r="A5394">
        <v>46087</v>
      </c>
      <c r="B5394" t="s">
        <v>4565</v>
      </c>
      <c r="D5394">
        <v>500</v>
      </c>
      <c r="F5394">
        <v>0</v>
      </c>
      <c r="G5394" t="s">
        <v>22</v>
      </c>
      <c r="H5394" t="s">
        <v>21</v>
      </c>
      <c r="I5394" t="s">
        <v>60</v>
      </c>
      <c r="J5394" t="s">
        <v>61</v>
      </c>
      <c r="L5394" t="s">
        <v>82</v>
      </c>
      <c r="M5394" t="s">
        <v>83</v>
      </c>
    </row>
    <row r="5395" spans="1:13">
      <c r="A5395">
        <v>46087</v>
      </c>
      <c r="B5395" t="s">
        <v>4566</v>
      </c>
      <c r="F5395">
        <v>1</v>
      </c>
      <c r="G5395" t="s">
        <v>64</v>
      </c>
      <c r="L5395" t="s">
        <v>82</v>
      </c>
      <c r="M5395" t="s">
        <v>4567</v>
      </c>
    </row>
    <row r="5396" spans="1:13">
      <c r="A5396">
        <v>46087</v>
      </c>
      <c r="B5396" t="s">
        <v>4568</v>
      </c>
      <c r="F5396">
        <v>1</v>
      </c>
      <c r="G5396" t="s">
        <v>79</v>
      </c>
      <c r="H5396" t="s">
        <v>21</v>
      </c>
      <c r="L5396" t="s">
        <v>82</v>
      </c>
      <c r="M5396" t="s">
        <v>327</v>
      </c>
    </row>
    <row r="5397" spans="1:13">
      <c r="A5397">
        <v>46087</v>
      </c>
      <c r="B5397" t="s">
        <v>4569</v>
      </c>
      <c r="F5397">
        <v>1</v>
      </c>
      <c r="G5397" t="s">
        <v>79</v>
      </c>
      <c r="H5397" t="s">
        <v>21</v>
      </c>
      <c r="L5397" t="s">
        <v>82</v>
      </c>
      <c r="M5397" t="s">
        <v>327</v>
      </c>
    </row>
    <row r="5398" spans="1:13">
      <c r="A5398">
        <v>46087</v>
      </c>
      <c r="B5398" t="s">
        <v>290</v>
      </c>
      <c r="C5398" t="s">
        <v>4570</v>
      </c>
      <c r="E5398">
        <v>10086.1</v>
      </c>
      <c r="F5398">
        <v>1</v>
      </c>
      <c r="G5398" t="s">
        <v>65</v>
      </c>
      <c r="H5398" t="s">
        <v>292</v>
      </c>
      <c r="I5398" t="s">
        <v>60</v>
      </c>
      <c r="J5398" t="s">
        <v>61</v>
      </c>
      <c r="L5398" t="s">
        <v>62</v>
      </c>
      <c r="M5398" t="s">
        <v>896</v>
      </c>
    </row>
    <row r="5399" spans="1:13">
      <c r="A5399">
        <v>46087</v>
      </c>
      <c r="B5399" t="s">
        <v>63</v>
      </c>
      <c r="E5399">
        <v>2500</v>
      </c>
      <c r="F5399">
        <v>1</v>
      </c>
      <c r="G5399" t="s">
        <v>65</v>
      </c>
      <c r="H5399" t="s">
        <v>66</v>
      </c>
      <c r="I5399" t="s">
        <v>60</v>
      </c>
      <c r="J5399" t="s">
        <v>61</v>
      </c>
      <c r="L5399" t="s">
        <v>62</v>
      </c>
      <c r="M5399" t="s">
        <v>3280</v>
      </c>
    </row>
    <row r="5400" spans="1:13">
      <c r="A5400">
        <v>46088</v>
      </c>
      <c r="B5400" t="s">
        <v>4571</v>
      </c>
      <c r="D5400">
        <v>500</v>
      </c>
      <c r="F5400">
        <v>1</v>
      </c>
      <c r="G5400" t="s">
        <v>22</v>
      </c>
      <c r="H5400" t="s">
        <v>21</v>
      </c>
      <c r="I5400" t="s">
        <v>60</v>
      </c>
      <c r="J5400" t="s">
        <v>61</v>
      </c>
      <c r="L5400" t="s">
        <v>89</v>
      </c>
    </row>
    <row r="5401" spans="1:13">
      <c r="A5401">
        <v>46088</v>
      </c>
      <c r="B5401" t="s">
        <v>4572</v>
      </c>
      <c r="F5401">
        <v>1</v>
      </c>
      <c r="G5401" t="s">
        <v>64</v>
      </c>
      <c r="L5401" t="s">
        <v>89</v>
      </c>
      <c r="M5401" t="s">
        <v>3509</v>
      </c>
    </row>
    <row r="5402" spans="1:13">
      <c r="A5402">
        <v>46088</v>
      </c>
      <c r="B5402" t="s">
        <v>4573</v>
      </c>
      <c r="F5402">
        <v>1</v>
      </c>
      <c r="G5402" t="s">
        <v>64</v>
      </c>
      <c r="L5402" t="s">
        <v>89</v>
      </c>
      <c r="M5402" t="s">
        <v>3509</v>
      </c>
    </row>
    <row r="5403" spans="1:13">
      <c r="A5403">
        <v>46088</v>
      </c>
      <c r="B5403" t="s">
        <v>4574</v>
      </c>
      <c r="D5403">
        <v>500</v>
      </c>
      <c r="F5403">
        <v>1</v>
      </c>
      <c r="G5403" t="s">
        <v>22</v>
      </c>
      <c r="H5403" t="s">
        <v>21</v>
      </c>
      <c r="I5403" t="s">
        <v>60</v>
      </c>
      <c r="J5403" t="s">
        <v>61</v>
      </c>
      <c r="L5403" t="s">
        <v>89</v>
      </c>
    </row>
    <row r="5404" spans="1:13">
      <c r="A5404">
        <v>46088</v>
      </c>
      <c r="B5404" t="s">
        <v>4575</v>
      </c>
      <c r="D5404">
        <v>-83200</v>
      </c>
      <c r="G5404" t="s">
        <v>77</v>
      </c>
      <c r="I5404" t="s">
        <v>60</v>
      </c>
      <c r="J5404" t="s">
        <v>61</v>
      </c>
      <c r="L5404" t="s">
        <v>62</v>
      </c>
    </row>
    <row r="5405" spans="1:13">
      <c r="A5405">
        <v>46088</v>
      </c>
      <c r="B5405" t="s">
        <v>624</v>
      </c>
      <c r="E5405">
        <v>-4400</v>
      </c>
      <c r="F5405">
        <v>1</v>
      </c>
      <c r="G5405" t="s">
        <v>65</v>
      </c>
      <c r="H5405" t="s">
        <v>85</v>
      </c>
      <c r="I5405" t="s">
        <v>60</v>
      </c>
      <c r="J5405" t="s">
        <v>61</v>
      </c>
      <c r="L5405" t="s">
        <v>62</v>
      </c>
    </row>
    <row r="5406" spans="1:13">
      <c r="A5406">
        <v>46088</v>
      </c>
      <c r="B5406" t="s">
        <v>63</v>
      </c>
      <c r="D5406">
        <v>10500</v>
      </c>
      <c r="F5406">
        <v>1</v>
      </c>
      <c r="G5406" t="s">
        <v>70</v>
      </c>
      <c r="I5406" t="s">
        <v>71</v>
      </c>
      <c r="J5406" t="s">
        <v>535</v>
      </c>
      <c r="K5406" t="s">
        <v>4576</v>
      </c>
      <c r="L5406" t="s">
        <v>62</v>
      </c>
      <c r="M5406" t="s">
        <v>1532</v>
      </c>
    </row>
    <row r="5407" spans="1:13">
      <c r="A5407">
        <v>46088</v>
      </c>
      <c r="B5407" t="s">
        <v>63</v>
      </c>
      <c r="D5407">
        <v>18500</v>
      </c>
      <c r="G5407" t="s">
        <v>70</v>
      </c>
      <c r="I5407" t="s">
        <v>60</v>
      </c>
      <c r="J5407" t="s">
        <v>61</v>
      </c>
      <c r="L5407" t="s">
        <v>62</v>
      </c>
    </row>
    <row r="5408" spans="1:13">
      <c r="A5408">
        <v>46088</v>
      </c>
      <c r="B5408" t="s">
        <v>4577</v>
      </c>
      <c r="F5408">
        <v>1</v>
      </c>
      <c r="G5408" t="s">
        <v>603</v>
      </c>
      <c r="H5408" t="s">
        <v>21</v>
      </c>
      <c r="L5408" t="s">
        <v>86</v>
      </c>
      <c r="M5408" t="s">
        <v>4578</v>
      </c>
    </row>
    <row r="5409" spans="1:13">
      <c r="A5409">
        <v>46088</v>
      </c>
      <c r="B5409" t="s">
        <v>63</v>
      </c>
      <c r="E5409">
        <v>1000</v>
      </c>
      <c r="F5409">
        <v>1</v>
      </c>
      <c r="G5409" t="s">
        <v>65</v>
      </c>
      <c r="H5409" t="s">
        <v>66</v>
      </c>
      <c r="I5409" t="s">
        <v>60</v>
      </c>
      <c r="J5409" t="s">
        <v>61</v>
      </c>
      <c r="L5409" t="s">
        <v>62</v>
      </c>
      <c r="M5409" t="s">
        <v>3280</v>
      </c>
    </row>
    <row r="5410" spans="1:13">
      <c r="A5410">
        <v>46089</v>
      </c>
      <c r="B5410" t="s">
        <v>4579</v>
      </c>
      <c r="D5410">
        <v>500</v>
      </c>
      <c r="F5410">
        <v>0</v>
      </c>
      <c r="G5410" t="s">
        <v>22</v>
      </c>
      <c r="H5410" t="s">
        <v>21</v>
      </c>
      <c r="I5410" t="s">
        <v>60</v>
      </c>
      <c r="J5410" t="s">
        <v>61</v>
      </c>
      <c r="L5410" t="s">
        <v>82</v>
      </c>
      <c r="M5410" t="s">
        <v>83</v>
      </c>
    </row>
    <row r="5411" spans="1:13">
      <c r="A5411">
        <v>46089</v>
      </c>
      <c r="B5411" t="s">
        <v>4580</v>
      </c>
      <c r="F5411">
        <v>1</v>
      </c>
      <c r="G5411" t="s">
        <v>64</v>
      </c>
      <c r="L5411" t="s">
        <v>82</v>
      </c>
      <c r="M5411" t="s">
        <v>96</v>
      </c>
    </row>
    <row r="5412" spans="1:13">
      <c r="A5412">
        <v>46089</v>
      </c>
      <c r="B5412" t="s">
        <v>4581</v>
      </c>
      <c r="F5412">
        <v>1</v>
      </c>
      <c r="G5412" t="s">
        <v>79</v>
      </c>
      <c r="H5412" t="s">
        <v>21</v>
      </c>
      <c r="L5412" t="s">
        <v>82</v>
      </c>
      <c r="M5412" t="s">
        <v>327</v>
      </c>
    </row>
    <row r="5413" spans="1:13">
      <c r="A5413">
        <v>46089</v>
      </c>
      <c r="B5413" t="s">
        <v>4582</v>
      </c>
      <c r="D5413">
        <v>500</v>
      </c>
      <c r="F5413">
        <v>0</v>
      </c>
      <c r="G5413" t="s">
        <v>22</v>
      </c>
      <c r="H5413" t="s">
        <v>21</v>
      </c>
      <c r="I5413" t="s">
        <v>60</v>
      </c>
      <c r="J5413" t="s">
        <v>61</v>
      </c>
      <c r="L5413" t="s">
        <v>82</v>
      </c>
      <c r="M5413" t="s">
        <v>83</v>
      </c>
    </row>
    <row r="5414" spans="1:13">
      <c r="A5414">
        <v>46089</v>
      </c>
      <c r="B5414" t="s">
        <v>4583</v>
      </c>
      <c r="D5414">
        <v>500</v>
      </c>
      <c r="F5414">
        <v>0</v>
      </c>
      <c r="G5414" t="s">
        <v>22</v>
      </c>
      <c r="H5414" t="s">
        <v>21</v>
      </c>
      <c r="I5414" t="s">
        <v>60</v>
      </c>
      <c r="J5414" t="s">
        <v>61</v>
      </c>
      <c r="L5414" t="s">
        <v>82</v>
      </c>
      <c r="M5414" t="s">
        <v>83</v>
      </c>
    </row>
    <row r="5415" spans="1:13">
      <c r="A5415">
        <v>46089</v>
      </c>
      <c r="B5415" t="s">
        <v>4584</v>
      </c>
      <c r="F5415">
        <v>1</v>
      </c>
      <c r="G5415" t="s">
        <v>107</v>
      </c>
      <c r="H5415" t="s">
        <v>21</v>
      </c>
      <c r="L5415" t="s">
        <v>86</v>
      </c>
      <c r="M5415" t="s">
        <v>4578</v>
      </c>
    </row>
    <row r="5416" spans="1:13">
      <c r="A5416">
        <v>46089</v>
      </c>
      <c r="B5416" t="s">
        <v>63</v>
      </c>
      <c r="D5416">
        <v>110000</v>
      </c>
      <c r="G5416" t="s">
        <v>70</v>
      </c>
      <c r="I5416" t="s">
        <v>60</v>
      </c>
      <c r="J5416" t="s">
        <v>61</v>
      </c>
      <c r="L5416" t="s">
        <v>62</v>
      </c>
    </row>
    <row r="5417" spans="1:13">
      <c r="A5417">
        <v>46089</v>
      </c>
      <c r="B5417" t="s">
        <v>1871</v>
      </c>
      <c r="D5417">
        <v>500</v>
      </c>
      <c r="F5417">
        <v>0</v>
      </c>
      <c r="G5417" t="s">
        <v>22</v>
      </c>
      <c r="H5417" t="s">
        <v>21</v>
      </c>
      <c r="I5417" t="s">
        <v>60</v>
      </c>
      <c r="J5417" t="s">
        <v>61</v>
      </c>
      <c r="L5417" t="s">
        <v>82</v>
      </c>
    </row>
    <row r="5418" spans="1:13">
      <c r="A5418">
        <v>46089</v>
      </c>
      <c r="B5418" t="s">
        <v>4585</v>
      </c>
      <c r="D5418">
        <v>500</v>
      </c>
      <c r="F5418">
        <v>1</v>
      </c>
      <c r="G5418" t="s">
        <v>22</v>
      </c>
      <c r="H5418" t="s">
        <v>21</v>
      </c>
      <c r="I5418" t="s">
        <v>60</v>
      </c>
      <c r="J5418" t="s">
        <v>61</v>
      </c>
      <c r="L5418" t="s">
        <v>86</v>
      </c>
    </row>
    <row r="5419" spans="1:13">
      <c r="A5419">
        <v>46089</v>
      </c>
      <c r="B5419" t="s">
        <v>4586</v>
      </c>
      <c r="F5419">
        <v>1</v>
      </c>
      <c r="G5419" t="s">
        <v>64</v>
      </c>
      <c r="L5419" t="s">
        <v>86</v>
      </c>
      <c r="M5419" t="s">
        <v>4587</v>
      </c>
    </row>
    <row r="5420" spans="1:13">
      <c r="A5420">
        <v>46089</v>
      </c>
      <c r="B5420" t="s">
        <v>4588</v>
      </c>
      <c r="D5420">
        <v>500</v>
      </c>
      <c r="F5420">
        <v>0</v>
      </c>
      <c r="G5420" t="s">
        <v>22</v>
      </c>
      <c r="H5420" t="s">
        <v>21</v>
      </c>
      <c r="I5420" t="s">
        <v>60</v>
      </c>
      <c r="J5420" t="s">
        <v>61</v>
      </c>
      <c r="L5420" t="s">
        <v>86</v>
      </c>
      <c r="M5420" t="s">
        <v>83</v>
      </c>
    </row>
    <row r="5421" spans="1:13">
      <c r="A5421">
        <v>46089</v>
      </c>
      <c r="B5421" t="s">
        <v>4274</v>
      </c>
      <c r="D5421">
        <v>500</v>
      </c>
      <c r="F5421">
        <v>1</v>
      </c>
      <c r="G5421" t="s">
        <v>22</v>
      </c>
      <c r="H5421" t="s">
        <v>21</v>
      </c>
      <c r="I5421" t="s">
        <v>60</v>
      </c>
      <c r="J5421" t="s">
        <v>61</v>
      </c>
      <c r="L5421" t="s">
        <v>86</v>
      </c>
    </row>
    <row r="5422" spans="1:13">
      <c r="A5422">
        <v>46089</v>
      </c>
      <c r="B5422" t="s">
        <v>4589</v>
      </c>
      <c r="D5422">
        <v>500</v>
      </c>
      <c r="F5422">
        <v>1</v>
      </c>
      <c r="G5422" t="s">
        <v>22</v>
      </c>
      <c r="H5422" t="s">
        <v>21</v>
      </c>
      <c r="I5422" t="s">
        <v>60</v>
      </c>
      <c r="J5422" t="s">
        <v>61</v>
      </c>
      <c r="L5422" t="s">
        <v>86</v>
      </c>
    </row>
    <row r="5423" spans="1:13">
      <c r="A5423">
        <v>46089</v>
      </c>
      <c r="B5423" t="s">
        <v>4590</v>
      </c>
      <c r="F5423">
        <v>1</v>
      </c>
      <c r="G5423" t="s">
        <v>79</v>
      </c>
      <c r="H5423" t="s">
        <v>21</v>
      </c>
      <c r="L5423" t="s">
        <v>86</v>
      </c>
      <c r="M5423" t="s">
        <v>327</v>
      </c>
    </row>
    <row r="5424" spans="1:13">
      <c r="A5424">
        <v>46089</v>
      </c>
      <c r="B5424" t="s">
        <v>4590</v>
      </c>
      <c r="F5424">
        <v>1</v>
      </c>
      <c r="G5424" t="s">
        <v>64</v>
      </c>
      <c r="L5424" t="s">
        <v>86</v>
      </c>
      <c r="M5424" t="s">
        <v>103</v>
      </c>
    </row>
    <row r="5425" spans="1:13">
      <c r="A5425">
        <v>46089</v>
      </c>
      <c r="B5425" t="s">
        <v>4591</v>
      </c>
      <c r="D5425">
        <v>500</v>
      </c>
      <c r="F5425">
        <v>1</v>
      </c>
      <c r="G5425" t="s">
        <v>22</v>
      </c>
      <c r="H5425" t="s">
        <v>21</v>
      </c>
      <c r="I5425" t="s">
        <v>60</v>
      </c>
      <c r="J5425" t="s">
        <v>61</v>
      </c>
      <c r="L5425" t="s">
        <v>86</v>
      </c>
    </row>
    <row r="5426" spans="1:13">
      <c r="A5426">
        <v>46089</v>
      </c>
      <c r="B5426" t="s">
        <v>4592</v>
      </c>
      <c r="D5426">
        <v>500</v>
      </c>
      <c r="F5426">
        <v>1</v>
      </c>
      <c r="G5426" t="s">
        <v>22</v>
      </c>
      <c r="H5426" t="s">
        <v>21</v>
      </c>
      <c r="I5426" t="s">
        <v>60</v>
      </c>
      <c r="J5426" t="s">
        <v>61</v>
      </c>
      <c r="L5426" t="s">
        <v>86</v>
      </c>
    </row>
    <row r="5427" spans="1:13">
      <c r="A5427">
        <v>46089</v>
      </c>
      <c r="B5427" t="s">
        <v>162</v>
      </c>
      <c r="F5427">
        <v>1</v>
      </c>
      <c r="G5427" t="s">
        <v>79</v>
      </c>
      <c r="H5427" t="s">
        <v>21</v>
      </c>
      <c r="L5427" t="s">
        <v>86</v>
      </c>
      <c r="M5427" t="s">
        <v>327</v>
      </c>
    </row>
    <row r="5428" spans="1:13">
      <c r="A5428">
        <v>46089</v>
      </c>
      <c r="B5428" t="s">
        <v>162</v>
      </c>
      <c r="D5428">
        <v>500</v>
      </c>
      <c r="F5428">
        <v>0</v>
      </c>
      <c r="G5428" t="s">
        <v>22</v>
      </c>
      <c r="H5428" t="s">
        <v>21</v>
      </c>
      <c r="I5428" t="s">
        <v>60</v>
      </c>
      <c r="J5428" t="s">
        <v>61</v>
      </c>
      <c r="L5428" t="s">
        <v>86</v>
      </c>
      <c r="M5428" t="s">
        <v>83</v>
      </c>
    </row>
    <row r="5429" spans="1:13">
      <c r="A5429">
        <v>46089</v>
      </c>
      <c r="B5429" t="s">
        <v>63</v>
      </c>
      <c r="E5429">
        <v>5500</v>
      </c>
      <c r="F5429">
        <v>1</v>
      </c>
      <c r="G5429" t="s">
        <v>65</v>
      </c>
      <c r="H5429" t="s">
        <v>66</v>
      </c>
      <c r="I5429" t="s">
        <v>60</v>
      </c>
      <c r="J5429" t="s">
        <v>61</v>
      </c>
      <c r="L5429" t="s">
        <v>62</v>
      </c>
      <c r="M5429" t="s">
        <v>3280</v>
      </c>
    </row>
    <row r="5430" spans="1:13">
      <c r="A5430">
        <v>46090</v>
      </c>
      <c r="B5430" t="s">
        <v>81</v>
      </c>
      <c r="D5430">
        <v>62000</v>
      </c>
      <c r="F5430">
        <v>1</v>
      </c>
      <c r="G5430" t="s">
        <v>74</v>
      </c>
      <c r="H5430" t="s">
        <v>75</v>
      </c>
      <c r="I5430" t="s">
        <v>60</v>
      </c>
      <c r="J5430" t="s">
        <v>61</v>
      </c>
      <c r="L5430" t="s">
        <v>88</v>
      </c>
    </row>
    <row r="5431" spans="1:13">
      <c r="A5431">
        <v>46090</v>
      </c>
      <c r="B5431" t="s">
        <v>84</v>
      </c>
      <c r="D5431">
        <v>-1040</v>
      </c>
      <c r="G5431" t="s">
        <v>77</v>
      </c>
      <c r="I5431" t="s">
        <v>60</v>
      </c>
      <c r="J5431" t="s">
        <v>61</v>
      </c>
      <c r="L5431" t="s">
        <v>62</v>
      </c>
    </row>
    <row r="5432" spans="1:13">
      <c r="A5432">
        <v>46090</v>
      </c>
      <c r="B5432" t="s">
        <v>84</v>
      </c>
      <c r="E5432">
        <v>-55</v>
      </c>
      <c r="F5432">
        <v>1</v>
      </c>
      <c r="G5432" t="s">
        <v>65</v>
      </c>
      <c r="H5432" t="s">
        <v>85</v>
      </c>
      <c r="I5432" t="s">
        <v>60</v>
      </c>
      <c r="J5432" t="s">
        <v>61</v>
      </c>
      <c r="L5432" t="s">
        <v>62</v>
      </c>
    </row>
    <row r="5433" spans="1:13">
      <c r="A5433">
        <v>46090</v>
      </c>
      <c r="B5433" t="s">
        <v>4334</v>
      </c>
      <c r="F5433">
        <v>-20</v>
      </c>
      <c r="G5433" t="s">
        <v>22</v>
      </c>
      <c r="H5433" t="s">
        <v>93</v>
      </c>
      <c r="L5433" t="s">
        <v>101</v>
      </c>
    </row>
    <row r="5434" spans="1:13">
      <c r="A5434">
        <v>46090</v>
      </c>
      <c r="B5434" t="s">
        <v>4593</v>
      </c>
      <c r="F5434">
        <v>1</v>
      </c>
      <c r="G5434" t="s">
        <v>99</v>
      </c>
      <c r="H5434" t="s">
        <v>21</v>
      </c>
      <c r="L5434" t="s">
        <v>86</v>
      </c>
      <c r="M5434" t="s">
        <v>4578</v>
      </c>
    </row>
    <row r="5435" spans="1:13">
      <c r="A5435">
        <v>46090</v>
      </c>
      <c r="B5435" t="s">
        <v>4594</v>
      </c>
      <c r="F5435">
        <v>1</v>
      </c>
      <c r="G5435" t="s">
        <v>79</v>
      </c>
      <c r="H5435" t="s">
        <v>21</v>
      </c>
      <c r="L5435" t="s">
        <v>86</v>
      </c>
      <c r="M5435" t="s">
        <v>327</v>
      </c>
    </row>
    <row r="5436" spans="1:13">
      <c r="A5436">
        <v>46090</v>
      </c>
      <c r="B5436" t="s">
        <v>4595</v>
      </c>
      <c r="F5436">
        <v>1</v>
      </c>
      <c r="G5436" t="s">
        <v>79</v>
      </c>
      <c r="H5436" t="s">
        <v>21</v>
      </c>
      <c r="L5436" t="s">
        <v>86</v>
      </c>
      <c r="M5436" t="s">
        <v>327</v>
      </c>
    </row>
    <row r="5437" spans="1:13">
      <c r="A5437">
        <v>46090</v>
      </c>
      <c r="B5437" t="s">
        <v>4596</v>
      </c>
      <c r="F5437">
        <v>1</v>
      </c>
      <c r="G5437" t="s">
        <v>79</v>
      </c>
      <c r="H5437" t="s">
        <v>21</v>
      </c>
      <c r="L5437" t="s">
        <v>86</v>
      </c>
      <c r="M5437" t="s">
        <v>327</v>
      </c>
    </row>
    <row r="5438" spans="1:13">
      <c r="A5438">
        <v>46090</v>
      </c>
      <c r="B5438" t="s">
        <v>63</v>
      </c>
      <c r="D5438">
        <v>8000</v>
      </c>
      <c r="F5438">
        <v>1</v>
      </c>
      <c r="G5438" t="s">
        <v>70</v>
      </c>
      <c r="I5438" t="s">
        <v>71</v>
      </c>
      <c r="J5438" t="s">
        <v>72</v>
      </c>
      <c r="K5438" t="s">
        <v>4597</v>
      </c>
      <c r="L5438" t="s">
        <v>62</v>
      </c>
      <c r="M5438" t="s">
        <v>90</v>
      </c>
    </row>
    <row r="5439" spans="1:13">
      <c r="A5439">
        <v>46090</v>
      </c>
      <c r="B5439" t="s">
        <v>4598</v>
      </c>
      <c r="D5439">
        <v>500</v>
      </c>
      <c r="F5439">
        <v>1</v>
      </c>
      <c r="G5439" t="s">
        <v>22</v>
      </c>
      <c r="H5439" t="s">
        <v>21</v>
      </c>
      <c r="I5439" t="s">
        <v>60</v>
      </c>
      <c r="J5439" t="s">
        <v>61</v>
      </c>
      <c r="L5439" t="s">
        <v>86</v>
      </c>
    </row>
    <row r="5440" spans="1:13">
      <c r="A5440">
        <v>46090</v>
      </c>
      <c r="B5440" t="s">
        <v>4599</v>
      </c>
      <c r="D5440">
        <v>500</v>
      </c>
      <c r="F5440">
        <v>1</v>
      </c>
      <c r="G5440" t="s">
        <v>22</v>
      </c>
      <c r="H5440" t="s">
        <v>21</v>
      </c>
      <c r="I5440" t="s">
        <v>60</v>
      </c>
      <c r="J5440" t="s">
        <v>61</v>
      </c>
      <c r="L5440" t="s">
        <v>86</v>
      </c>
    </row>
    <row r="5441" spans="1:13">
      <c r="A5441">
        <v>46090</v>
      </c>
      <c r="B5441" t="s">
        <v>4600</v>
      </c>
      <c r="D5441">
        <v>500</v>
      </c>
      <c r="F5441">
        <v>0</v>
      </c>
      <c r="G5441" t="s">
        <v>22</v>
      </c>
      <c r="H5441" t="s">
        <v>21</v>
      </c>
      <c r="I5441" t="s">
        <v>60</v>
      </c>
      <c r="J5441" t="s">
        <v>61</v>
      </c>
      <c r="L5441" t="s">
        <v>82</v>
      </c>
      <c r="M5441" t="s">
        <v>83</v>
      </c>
    </row>
    <row r="5442" spans="1:13">
      <c r="A5442">
        <v>46090</v>
      </c>
      <c r="B5442" t="s">
        <v>4601</v>
      </c>
      <c r="D5442">
        <v>500</v>
      </c>
      <c r="F5442">
        <v>1</v>
      </c>
      <c r="G5442" t="s">
        <v>22</v>
      </c>
      <c r="H5442" t="s">
        <v>21</v>
      </c>
      <c r="I5442" t="s">
        <v>60</v>
      </c>
      <c r="J5442" t="s">
        <v>61</v>
      </c>
      <c r="L5442" t="s">
        <v>82</v>
      </c>
    </row>
    <row r="5443" spans="1:13">
      <c r="A5443">
        <v>46090</v>
      </c>
      <c r="B5443" t="s">
        <v>4602</v>
      </c>
      <c r="D5443">
        <v>500</v>
      </c>
      <c r="F5443">
        <v>1</v>
      </c>
      <c r="G5443" t="s">
        <v>22</v>
      </c>
      <c r="H5443" t="s">
        <v>21</v>
      </c>
      <c r="I5443" t="s">
        <v>60</v>
      </c>
      <c r="J5443" t="s">
        <v>61</v>
      </c>
      <c r="L5443" t="s">
        <v>82</v>
      </c>
    </row>
    <row r="5444" spans="1:13">
      <c r="A5444">
        <v>46090</v>
      </c>
      <c r="B5444" t="s">
        <v>4603</v>
      </c>
      <c r="D5444">
        <v>500</v>
      </c>
      <c r="F5444">
        <v>1</v>
      </c>
      <c r="G5444" t="s">
        <v>22</v>
      </c>
      <c r="H5444" t="s">
        <v>21</v>
      </c>
      <c r="I5444" t="s">
        <v>60</v>
      </c>
      <c r="J5444" t="s">
        <v>61</v>
      </c>
      <c r="L5444" t="s">
        <v>82</v>
      </c>
    </row>
    <row r="5445" spans="1:13">
      <c r="A5445">
        <v>46090</v>
      </c>
      <c r="B5445" t="s">
        <v>4604</v>
      </c>
      <c r="D5445">
        <v>500</v>
      </c>
      <c r="F5445">
        <v>1</v>
      </c>
      <c r="G5445" t="s">
        <v>22</v>
      </c>
      <c r="H5445" t="s">
        <v>21</v>
      </c>
      <c r="I5445" t="s">
        <v>60</v>
      </c>
      <c r="J5445" t="s">
        <v>61</v>
      </c>
      <c r="L5445" t="s">
        <v>82</v>
      </c>
    </row>
    <row r="5446" spans="1:13">
      <c r="A5446">
        <v>46090</v>
      </c>
      <c r="B5446" t="s">
        <v>4605</v>
      </c>
      <c r="F5446">
        <v>1</v>
      </c>
      <c r="G5446" t="s">
        <v>64</v>
      </c>
      <c r="L5446" t="s">
        <v>86</v>
      </c>
      <c r="M5446" t="s">
        <v>96</v>
      </c>
    </row>
    <row r="5447" spans="1:13">
      <c r="A5447">
        <v>46090</v>
      </c>
      <c r="B5447" t="s">
        <v>4606</v>
      </c>
      <c r="D5447">
        <v>500</v>
      </c>
      <c r="F5447">
        <v>1</v>
      </c>
      <c r="G5447" t="s">
        <v>22</v>
      </c>
      <c r="H5447" t="s">
        <v>21</v>
      </c>
      <c r="I5447" t="s">
        <v>60</v>
      </c>
      <c r="J5447" t="s">
        <v>61</v>
      </c>
      <c r="L5447" t="s">
        <v>82</v>
      </c>
    </row>
    <row r="5448" spans="1:13">
      <c r="A5448">
        <v>46090</v>
      </c>
      <c r="B5448" t="s">
        <v>4607</v>
      </c>
      <c r="D5448">
        <v>500</v>
      </c>
      <c r="F5448">
        <v>0</v>
      </c>
      <c r="G5448" t="s">
        <v>22</v>
      </c>
      <c r="H5448" t="s">
        <v>21</v>
      </c>
      <c r="I5448" t="s">
        <v>60</v>
      </c>
      <c r="J5448" t="s">
        <v>61</v>
      </c>
      <c r="L5448" t="s">
        <v>82</v>
      </c>
      <c r="M5448" t="s">
        <v>83</v>
      </c>
    </row>
    <row r="5449" spans="1:13">
      <c r="A5449">
        <v>46090</v>
      </c>
      <c r="B5449" t="s">
        <v>76</v>
      </c>
      <c r="D5449">
        <v>2000</v>
      </c>
      <c r="G5449" t="s">
        <v>77</v>
      </c>
      <c r="I5449" t="s">
        <v>60</v>
      </c>
      <c r="J5449" t="s">
        <v>61</v>
      </c>
      <c r="L5449" t="s">
        <v>62</v>
      </c>
    </row>
    <row r="5450" spans="1:13">
      <c r="A5450">
        <v>46090</v>
      </c>
      <c r="B5450" t="s">
        <v>63</v>
      </c>
      <c r="D5450">
        <v>100</v>
      </c>
      <c r="F5450">
        <v>1</v>
      </c>
      <c r="G5450" t="s">
        <v>22</v>
      </c>
      <c r="H5450" t="s">
        <v>93</v>
      </c>
      <c r="I5450" t="s">
        <v>60</v>
      </c>
      <c r="J5450" t="s">
        <v>61</v>
      </c>
      <c r="L5450" t="s">
        <v>62</v>
      </c>
    </row>
    <row r="5451" spans="1:13">
      <c r="A5451">
        <v>46090</v>
      </c>
      <c r="B5451" t="s">
        <v>63</v>
      </c>
      <c r="E5451">
        <v>4500</v>
      </c>
      <c r="F5451">
        <v>1</v>
      </c>
      <c r="G5451" t="s">
        <v>65</v>
      </c>
      <c r="H5451" t="s">
        <v>66</v>
      </c>
      <c r="I5451" t="s">
        <v>60</v>
      </c>
      <c r="J5451" t="s">
        <v>61</v>
      </c>
      <c r="L5451" t="s">
        <v>62</v>
      </c>
      <c r="M5451" t="s">
        <v>3280</v>
      </c>
    </row>
    <row r="5452" spans="1:13">
      <c r="A5452">
        <v>46090</v>
      </c>
      <c r="B5452" t="s">
        <v>63</v>
      </c>
      <c r="E5452">
        <v>100</v>
      </c>
      <c r="F5452">
        <v>1</v>
      </c>
      <c r="G5452" t="s">
        <v>65</v>
      </c>
      <c r="H5452" t="s">
        <v>66</v>
      </c>
      <c r="I5452" t="s">
        <v>60</v>
      </c>
      <c r="J5452" t="s">
        <v>61</v>
      </c>
      <c r="L5452" t="s">
        <v>62</v>
      </c>
      <c r="M5452" t="s">
        <v>4522</v>
      </c>
    </row>
    <row r="5453" spans="1:13">
      <c r="A5453">
        <v>46090</v>
      </c>
      <c r="B5453" t="s">
        <v>3988</v>
      </c>
      <c r="C5453" t="s">
        <v>4608</v>
      </c>
      <c r="F5453">
        <v>38</v>
      </c>
      <c r="G5453" t="s">
        <v>22</v>
      </c>
      <c r="H5453" t="s">
        <v>21</v>
      </c>
      <c r="L5453" t="s">
        <v>95</v>
      </c>
    </row>
    <row r="5454" spans="1:13">
      <c r="A5454">
        <v>46091</v>
      </c>
      <c r="B5454" t="s">
        <v>81</v>
      </c>
      <c r="D5454">
        <v>62000</v>
      </c>
      <c r="F5454">
        <v>1</v>
      </c>
      <c r="G5454" t="s">
        <v>74</v>
      </c>
      <c r="H5454" t="s">
        <v>75</v>
      </c>
      <c r="I5454" t="s">
        <v>60</v>
      </c>
      <c r="J5454" t="s">
        <v>61</v>
      </c>
      <c r="L5454" t="s">
        <v>88</v>
      </c>
    </row>
    <row r="5455" spans="1:13">
      <c r="A5455">
        <v>46091</v>
      </c>
      <c r="B5455" t="s">
        <v>4609</v>
      </c>
      <c r="D5455">
        <v>500</v>
      </c>
      <c r="F5455">
        <v>1</v>
      </c>
      <c r="G5455" t="s">
        <v>22</v>
      </c>
      <c r="H5455" t="s">
        <v>21</v>
      </c>
      <c r="I5455" t="s">
        <v>60</v>
      </c>
      <c r="J5455" t="s">
        <v>61</v>
      </c>
      <c r="L5455" t="s">
        <v>82</v>
      </c>
    </row>
    <row r="5456" spans="1:13">
      <c r="A5456">
        <v>46091</v>
      </c>
      <c r="B5456" t="s">
        <v>4610</v>
      </c>
      <c r="F5456">
        <v>1</v>
      </c>
      <c r="G5456" t="s">
        <v>79</v>
      </c>
      <c r="H5456" t="s">
        <v>21</v>
      </c>
      <c r="L5456" t="s">
        <v>82</v>
      </c>
      <c r="M5456" t="s">
        <v>327</v>
      </c>
    </row>
    <row r="5457" spans="1:13">
      <c r="A5457">
        <v>46091</v>
      </c>
      <c r="B5457" t="s">
        <v>4610</v>
      </c>
      <c r="D5457">
        <v>500</v>
      </c>
      <c r="F5457">
        <v>0</v>
      </c>
      <c r="G5457" t="s">
        <v>22</v>
      </c>
      <c r="H5457" t="s">
        <v>21</v>
      </c>
      <c r="I5457" t="s">
        <v>60</v>
      </c>
      <c r="J5457" t="s">
        <v>61</v>
      </c>
      <c r="L5457" t="s">
        <v>82</v>
      </c>
      <c r="M5457" t="s">
        <v>83</v>
      </c>
    </row>
    <row r="5458" spans="1:13">
      <c r="A5458">
        <v>46091</v>
      </c>
      <c r="B5458" t="s">
        <v>4611</v>
      </c>
      <c r="D5458">
        <v>500</v>
      </c>
      <c r="F5458">
        <v>1</v>
      </c>
      <c r="G5458" t="s">
        <v>22</v>
      </c>
      <c r="H5458" t="s">
        <v>21</v>
      </c>
      <c r="I5458" t="s">
        <v>60</v>
      </c>
      <c r="J5458" t="s">
        <v>61</v>
      </c>
      <c r="L5458" t="s">
        <v>82</v>
      </c>
    </row>
    <row r="5459" spans="1:13">
      <c r="A5459">
        <v>46091</v>
      </c>
      <c r="B5459" t="s">
        <v>4612</v>
      </c>
      <c r="D5459">
        <v>500</v>
      </c>
      <c r="F5459">
        <v>1</v>
      </c>
      <c r="G5459" t="s">
        <v>22</v>
      </c>
      <c r="H5459" t="s">
        <v>21</v>
      </c>
      <c r="I5459" t="s">
        <v>60</v>
      </c>
      <c r="J5459" t="s">
        <v>61</v>
      </c>
      <c r="L5459" t="s">
        <v>82</v>
      </c>
    </row>
    <row r="5460" spans="1:13">
      <c r="A5460">
        <v>46091</v>
      </c>
      <c r="B5460" t="s">
        <v>4613</v>
      </c>
      <c r="D5460">
        <v>500</v>
      </c>
      <c r="F5460">
        <v>0</v>
      </c>
      <c r="G5460" t="s">
        <v>22</v>
      </c>
      <c r="H5460" t="s">
        <v>21</v>
      </c>
      <c r="I5460" t="s">
        <v>60</v>
      </c>
      <c r="J5460" t="s">
        <v>61</v>
      </c>
      <c r="L5460" t="s">
        <v>82</v>
      </c>
      <c r="M5460" t="s">
        <v>4614</v>
      </c>
    </row>
    <row r="5461" spans="1:13">
      <c r="A5461">
        <v>46091</v>
      </c>
      <c r="B5461" t="s">
        <v>4615</v>
      </c>
      <c r="D5461">
        <v>500</v>
      </c>
      <c r="F5461">
        <v>1</v>
      </c>
      <c r="G5461" t="s">
        <v>22</v>
      </c>
      <c r="H5461" t="s">
        <v>21</v>
      </c>
      <c r="I5461" t="s">
        <v>60</v>
      </c>
      <c r="J5461" t="s">
        <v>61</v>
      </c>
      <c r="L5461" t="s">
        <v>82</v>
      </c>
    </row>
    <row r="5462" spans="1:13">
      <c r="A5462">
        <v>46091</v>
      </c>
      <c r="B5462" t="s">
        <v>76</v>
      </c>
      <c r="D5462">
        <v>9400</v>
      </c>
      <c r="G5462" t="s">
        <v>77</v>
      </c>
      <c r="I5462" t="s">
        <v>60</v>
      </c>
      <c r="J5462" t="s">
        <v>61</v>
      </c>
      <c r="L5462" t="s">
        <v>62</v>
      </c>
    </row>
    <row r="5463" spans="1:13">
      <c r="A5463">
        <v>46091</v>
      </c>
      <c r="B5463" t="s">
        <v>63</v>
      </c>
      <c r="D5463">
        <v>100</v>
      </c>
      <c r="F5463">
        <v>1</v>
      </c>
      <c r="G5463" t="s">
        <v>22</v>
      </c>
      <c r="H5463" t="s">
        <v>93</v>
      </c>
      <c r="I5463" t="s">
        <v>60</v>
      </c>
      <c r="J5463" t="s">
        <v>61</v>
      </c>
      <c r="L5463" t="s">
        <v>62</v>
      </c>
    </row>
    <row r="5464" spans="1:13">
      <c r="A5464">
        <v>46091</v>
      </c>
      <c r="B5464" t="s">
        <v>63</v>
      </c>
      <c r="E5464">
        <v>3000</v>
      </c>
      <c r="F5464">
        <v>1</v>
      </c>
      <c r="G5464" t="s">
        <v>65</v>
      </c>
      <c r="H5464" t="s">
        <v>66</v>
      </c>
      <c r="I5464" t="s">
        <v>60</v>
      </c>
      <c r="J5464" t="s">
        <v>61</v>
      </c>
      <c r="L5464" t="s">
        <v>62</v>
      </c>
      <c r="M5464" t="s">
        <v>3280</v>
      </c>
    </row>
    <row r="5465" spans="1:13">
      <c r="A5465">
        <v>46091</v>
      </c>
      <c r="B5465" t="s">
        <v>63</v>
      </c>
      <c r="E5465">
        <v>100</v>
      </c>
      <c r="F5465">
        <v>1</v>
      </c>
      <c r="G5465" t="s">
        <v>65</v>
      </c>
      <c r="H5465" t="s">
        <v>66</v>
      </c>
      <c r="I5465" t="s">
        <v>60</v>
      </c>
      <c r="J5465" t="s">
        <v>61</v>
      </c>
      <c r="L5465" t="s">
        <v>62</v>
      </c>
      <c r="M5465" t="s">
        <v>4522</v>
      </c>
    </row>
    <row r="5466" spans="1:13">
      <c r="A5466">
        <v>46092</v>
      </c>
      <c r="B5466" t="s">
        <v>4616</v>
      </c>
      <c r="D5466">
        <v>500</v>
      </c>
      <c r="F5466">
        <v>1</v>
      </c>
      <c r="G5466" t="s">
        <v>22</v>
      </c>
      <c r="H5466" t="s">
        <v>21</v>
      </c>
      <c r="I5466" t="s">
        <v>60</v>
      </c>
      <c r="J5466" t="s">
        <v>61</v>
      </c>
      <c r="L5466" t="s">
        <v>82</v>
      </c>
    </row>
    <row r="5467" spans="1:13">
      <c r="A5467">
        <v>46092</v>
      </c>
      <c r="B5467" t="s">
        <v>2844</v>
      </c>
      <c r="D5467">
        <v>500</v>
      </c>
      <c r="F5467">
        <v>1</v>
      </c>
      <c r="G5467" t="s">
        <v>22</v>
      </c>
      <c r="H5467" t="s">
        <v>21</v>
      </c>
      <c r="I5467" t="s">
        <v>60</v>
      </c>
      <c r="J5467" t="s">
        <v>61</v>
      </c>
      <c r="L5467" t="s">
        <v>82</v>
      </c>
    </row>
    <row r="5468" spans="1:13">
      <c r="A5468">
        <v>46092</v>
      </c>
      <c r="B5468" t="s">
        <v>4617</v>
      </c>
      <c r="D5468">
        <v>500</v>
      </c>
      <c r="F5468">
        <v>1</v>
      </c>
      <c r="G5468" t="s">
        <v>22</v>
      </c>
      <c r="H5468" t="s">
        <v>21</v>
      </c>
      <c r="I5468" t="s">
        <v>60</v>
      </c>
      <c r="J5468" t="s">
        <v>61</v>
      </c>
      <c r="L5468" t="s">
        <v>82</v>
      </c>
    </row>
    <row r="5469" spans="1:13">
      <c r="A5469">
        <v>46092</v>
      </c>
      <c r="B5469" t="s">
        <v>4618</v>
      </c>
      <c r="F5469">
        <v>1</v>
      </c>
      <c r="G5469" t="s">
        <v>64</v>
      </c>
      <c r="L5469" t="s">
        <v>82</v>
      </c>
      <c r="M5469" t="s">
        <v>96</v>
      </c>
    </row>
    <row r="5470" spans="1:13">
      <c r="A5470">
        <v>46092</v>
      </c>
      <c r="B5470" t="s">
        <v>63</v>
      </c>
      <c r="D5470">
        <v>200</v>
      </c>
      <c r="F5470">
        <v>2</v>
      </c>
      <c r="G5470" t="s">
        <v>22</v>
      </c>
      <c r="H5470" t="s">
        <v>93</v>
      </c>
      <c r="I5470" t="s">
        <v>60</v>
      </c>
      <c r="J5470" t="s">
        <v>61</v>
      </c>
      <c r="L5470" t="s">
        <v>62</v>
      </c>
    </row>
    <row r="5471" spans="1:13">
      <c r="A5471">
        <v>46092</v>
      </c>
      <c r="B5471" t="s">
        <v>76</v>
      </c>
      <c r="D5471">
        <v>9600</v>
      </c>
      <c r="G5471" t="s">
        <v>77</v>
      </c>
      <c r="I5471" t="s">
        <v>60</v>
      </c>
      <c r="J5471" t="s">
        <v>61</v>
      </c>
      <c r="L5471" t="s">
        <v>62</v>
      </c>
    </row>
    <row r="5472" spans="1:13">
      <c r="A5472">
        <v>46092</v>
      </c>
      <c r="B5472" t="s">
        <v>4619</v>
      </c>
      <c r="D5472">
        <v>500</v>
      </c>
      <c r="F5472">
        <v>0</v>
      </c>
      <c r="G5472" t="s">
        <v>22</v>
      </c>
      <c r="H5472" t="s">
        <v>21</v>
      </c>
      <c r="I5472" t="s">
        <v>60</v>
      </c>
      <c r="J5472" t="s">
        <v>61</v>
      </c>
      <c r="L5472" t="s">
        <v>82</v>
      </c>
      <c r="M5472" t="s">
        <v>83</v>
      </c>
    </row>
    <row r="5473" spans="1:13">
      <c r="A5473">
        <v>46092</v>
      </c>
      <c r="B5473" t="s">
        <v>63</v>
      </c>
      <c r="D5473">
        <v>17000</v>
      </c>
      <c r="G5473" t="s">
        <v>70</v>
      </c>
      <c r="I5473" t="s">
        <v>60</v>
      </c>
      <c r="J5473" t="s">
        <v>61</v>
      </c>
      <c r="L5473" t="s">
        <v>62</v>
      </c>
    </row>
    <row r="5474" spans="1:13">
      <c r="A5474">
        <v>46092</v>
      </c>
      <c r="B5474" t="s">
        <v>63</v>
      </c>
      <c r="E5474">
        <v>2000</v>
      </c>
      <c r="F5474">
        <v>1</v>
      </c>
      <c r="G5474" t="s">
        <v>65</v>
      </c>
      <c r="H5474" t="s">
        <v>66</v>
      </c>
      <c r="I5474" t="s">
        <v>60</v>
      </c>
      <c r="J5474" t="s">
        <v>61</v>
      </c>
      <c r="L5474" t="s">
        <v>62</v>
      </c>
      <c r="M5474" t="s">
        <v>3280</v>
      </c>
    </row>
    <row r="5475" spans="1:13">
      <c r="A5475">
        <v>46092</v>
      </c>
      <c r="B5475" t="s">
        <v>63</v>
      </c>
      <c r="E5475">
        <v>200</v>
      </c>
      <c r="F5475">
        <v>1</v>
      </c>
      <c r="G5475" t="s">
        <v>65</v>
      </c>
      <c r="H5475" t="s">
        <v>66</v>
      </c>
      <c r="I5475" t="s">
        <v>60</v>
      </c>
      <c r="J5475" t="s">
        <v>61</v>
      </c>
      <c r="L5475" t="s">
        <v>62</v>
      </c>
      <c r="M5475" t="s">
        <v>4522</v>
      </c>
    </row>
    <row r="5476" spans="1:13">
      <c r="A5476">
        <v>46093</v>
      </c>
      <c r="B5476" t="s">
        <v>4620</v>
      </c>
      <c r="D5476">
        <v>500</v>
      </c>
      <c r="F5476">
        <v>1</v>
      </c>
      <c r="G5476" t="s">
        <v>22</v>
      </c>
      <c r="H5476" t="s">
        <v>21</v>
      </c>
      <c r="I5476" t="s">
        <v>60</v>
      </c>
      <c r="J5476" t="s">
        <v>61</v>
      </c>
      <c r="L5476" t="s">
        <v>86</v>
      </c>
    </row>
    <row r="5477" spans="1:13">
      <c r="A5477">
        <v>46093</v>
      </c>
      <c r="B5477" t="s">
        <v>76</v>
      </c>
      <c r="D5477">
        <v>21920</v>
      </c>
      <c r="G5477" t="s">
        <v>77</v>
      </c>
      <c r="I5477" t="s">
        <v>60</v>
      </c>
      <c r="J5477" t="s">
        <v>61</v>
      </c>
      <c r="L5477" t="s">
        <v>62</v>
      </c>
    </row>
    <row r="5478" spans="1:13">
      <c r="A5478">
        <v>46093</v>
      </c>
      <c r="B5478" t="s">
        <v>4621</v>
      </c>
      <c r="D5478">
        <v>500</v>
      </c>
      <c r="F5478">
        <v>0</v>
      </c>
      <c r="G5478" t="s">
        <v>22</v>
      </c>
      <c r="H5478" t="s">
        <v>21</v>
      </c>
      <c r="I5478" t="s">
        <v>60</v>
      </c>
      <c r="J5478" t="s">
        <v>61</v>
      </c>
      <c r="L5478" t="s">
        <v>86</v>
      </c>
      <c r="M5478" t="s">
        <v>83</v>
      </c>
    </row>
    <row r="5479" spans="1:13">
      <c r="A5479">
        <v>46093</v>
      </c>
      <c r="B5479" t="s">
        <v>63</v>
      </c>
      <c r="D5479">
        <v>7500</v>
      </c>
      <c r="G5479" t="s">
        <v>70</v>
      </c>
      <c r="I5479" t="s">
        <v>60</v>
      </c>
      <c r="J5479" t="s">
        <v>61</v>
      </c>
      <c r="L5479" t="s">
        <v>62</v>
      </c>
    </row>
    <row r="5480" spans="1:13">
      <c r="A5480">
        <v>46093</v>
      </c>
      <c r="B5480" t="s">
        <v>4622</v>
      </c>
      <c r="D5480">
        <v>500</v>
      </c>
      <c r="F5480">
        <v>1</v>
      </c>
      <c r="G5480" t="s">
        <v>22</v>
      </c>
      <c r="H5480" t="s">
        <v>21</v>
      </c>
      <c r="I5480" t="s">
        <v>60</v>
      </c>
      <c r="J5480" t="s">
        <v>61</v>
      </c>
      <c r="L5480" t="s">
        <v>86</v>
      </c>
    </row>
    <row r="5481" spans="1:13">
      <c r="A5481">
        <v>46093</v>
      </c>
      <c r="B5481" t="s">
        <v>4622</v>
      </c>
      <c r="F5481">
        <v>1</v>
      </c>
      <c r="G5481" t="s">
        <v>64</v>
      </c>
      <c r="L5481" t="s">
        <v>86</v>
      </c>
      <c r="M5481" t="s">
        <v>96</v>
      </c>
    </row>
    <row r="5482" spans="1:13">
      <c r="A5482">
        <v>46093</v>
      </c>
      <c r="B5482" t="s">
        <v>63</v>
      </c>
      <c r="D5482">
        <v>300</v>
      </c>
      <c r="F5482">
        <v>3</v>
      </c>
      <c r="G5482" t="s">
        <v>22</v>
      </c>
      <c r="H5482" t="s">
        <v>93</v>
      </c>
      <c r="I5482" t="s">
        <v>60</v>
      </c>
      <c r="J5482" t="s">
        <v>61</v>
      </c>
      <c r="L5482" t="s">
        <v>62</v>
      </c>
    </row>
    <row r="5483" spans="1:13">
      <c r="A5483">
        <v>46093</v>
      </c>
      <c r="B5483" t="s">
        <v>63</v>
      </c>
      <c r="E5483">
        <v>300</v>
      </c>
      <c r="F5483">
        <v>1</v>
      </c>
      <c r="G5483" t="s">
        <v>65</v>
      </c>
      <c r="H5483" t="s">
        <v>66</v>
      </c>
      <c r="I5483" t="s">
        <v>60</v>
      </c>
      <c r="J5483" t="s">
        <v>61</v>
      </c>
      <c r="L5483" t="s">
        <v>62</v>
      </c>
      <c r="M5483" t="s">
        <v>4522</v>
      </c>
    </row>
    <row r="5484" spans="1:13">
      <c r="A5484">
        <v>46093</v>
      </c>
      <c r="B5484" t="s">
        <v>63</v>
      </c>
      <c r="E5484">
        <v>1500</v>
      </c>
      <c r="F5484">
        <v>1</v>
      </c>
      <c r="G5484" t="s">
        <v>65</v>
      </c>
      <c r="H5484" t="s">
        <v>66</v>
      </c>
      <c r="I5484" t="s">
        <v>60</v>
      </c>
      <c r="J5484" t="s">
        <v>61</v>
      </c>
      <c r="L5484" t="s">
        <v>62</v>
      </c>
      <c r="M5484" t="s">
        <v>3280</v>
      </c>
    </row>
    <row r="5485" spans="1:13">
      <c r="A5485">
        <v>46094</v>
      </c>
      <c r="B5485" t="s">
        <v>4623</v>
      </c>
      <c r="D5485">
        <v>500</v>
      </c>
      <c r="F5485">
        <v>0</v>
      </c>
      <c r="G5485" t="s">
        <v>22</v>
      </c>
      <c r="H5485" t="s">
        <v>21</v>
      </c>
      <c r="I5485" t="s">
        <v>60</v>
      </c>
      <c r="J5485" t="s">
        <v>61</v>
      </c>
      <c r="L5485" t="s">
        <v>86</v>
      </c>
      <c r="M5485" t="s">
        <v>83</v>
      </c>
    </row>
    <row r="5486" spans="1:13">
      <c r="A5486">
        <v>46094</v>
      </c>
      <c r="B5486" t="s">
        <v>4624</v>
      </c>
      <c r="F5486">
        <v>1</v>
      </c>
      <c r="G5486" t="s">
        <v>64</v>
      </c>
      <c r="L5486" t="s">
        <v>86</v>
      </c>
      <c r="M5486" t="s">
        <v>96</v>
      </c>
    </row>
    <row r="5487" spans="1:13">
      <c r="A5487">
        <v>46094</v>
      </c>
      <c r="B5487" t="s">
        <v>2122</v>
      </c>
      <c r="D5487">
        <v>2000</v>
      </c>
      <c r="G5487" t="s">
        <v>77</v>
      </c>
      <c r="I5487" t="s">
        <v>60</v>
      </c>
      <c r="J5487" t="s">
        <v>61</v>
      </c>
      <c r="L5487" t="s">
        <v>62</v>
      </c>
    </row>
    <row r="5488" spans="1:13">
      <c r="A5488">
        <v>46094</v>
      </c>
      <c r="B5488" t="s">
        <v>63</v>
      </c>
      <c r="D5488">
        <v>100</v>
      </c>
      <c r="F5488">
        <v>3</v>
      </c>
      <c r="G5488" t="s">
        <v>22</v>
      </c>
      <c r="H5488" t="s">
        <v>93</v>
      </c>
      <c r="I5488" t="s">
        <v>60</v>
      </c>
      <c r="J5488" t="s">
        <v>61</v>
      </c>
      <c r="L5488" t="s">
        <v>62</v>
      </c>
    </row>
    <row r="5489" spans="1:13">
      <c r="A5489">
        <v>46094</v>
      </c>
      <c r="B5489" t="s">
        <v>63</v>
      </c>
      <c r="D5489">
        <v>10000</v>
      </c>
      <c r="F5489">
        <v>2</v>
      </c>
      <c r="G5489" t="s">
        <v>70</v>
      </c>
      <c r="I5489" t="s">
        <v>71</v>
      </c>
      <c r="J5489" t="s">
        <v>535</v>
      </c>
      <c r="K5489" t="s">
        <v>4625</v>
      </c>
      <c r="L5489" t="s">
        <v>62</v>
      </c>
      <c r="M5489" t="s">
        <v>975</v>
      </c>
    </row>
    <row r="5490" spans="1:13">
      <c r="A5490">
        <v>46094</v>
      </c>
      <c r="B5490" t="s">
        <v>4626</v>
      </c>
      <c r="D5490">
        <v>500</v>
      </c>
      <c r="F5490">
        <v>1</v>
      </c>
      <c r="G5490" t="s">
        <v>22</v>
      </c>
      <c r="H5490" t="s">
        <v>21</v>
      </c>
      <c r="I5490" t="s">
        <v>60</v>
      </c>
      <c r="J5490" t="s">
        <v>61</v>
      </c>
      <c r="L5490" t="s">
        <v>86</v>
      </c>
    </row>
    <row r="5491" spans="1:13">
      <c r="A5491">
        <v>46094</v>
      </c>
      <c r="B5491" t="s">
        <v>4627</v>
      </c>
      <c r="F5491">
        <v>1</v>
      </c>
      <c r="G5491" t="s">
        <v>79</v>
      </c>
      <c r="H5491" t="s">
        <v>21</v>
      </c>
      <c r="L5491" t="s">
        <v>86</v>
      </c>
      <c r="M5491" t="s">
        <v>327</v>
      </c>
    </row>
    <row r="5492" spans="1:13">
      <c r="A5492">
        <v>46094</v>
      </c>
      <c r="B5492" t="s">
        <v>4628</v>
      </c>
      <c r="F5492">
        <v>1</v>
      </c>
      <c r="G5492" t="s">
        <v>79</v>
      </c>
      <c r="H5492" t="s">
        <v>21</v>
      </c>
      <c r="L5492" t="s">
        <v>82</v>
      </c>
      <c r="M5492" t="s">
        <v>327</v>
      </c>
    </row>
    <row r="5493" spans="1:13">
      <c r="A5493">
        <v>46094</v>
      </c>
      <c r="B5493" t="s">
        <v>4629</v>
      </c>
      <c r="F5493">
        <v>1</v>
      </c>
      <c r="G5493" t="s">
        <v>64</v>
      </c>
      <c r="L5493" t="s">
        <v>82</v>
      </c>
      <c r="M5493" t="s">
        <v>96</v>
      </c>
    </row>
    <row r="5494" spans="1:13">
      <c r="A5494">
        <v>46094</v>
      </c>
      <c r="B5494" t="s">
        <v>4630</v>
      </c>
      <c r="D5494">
        <v>500</v>
      </c>
      <c r="F5494">
        <v>1</v>
      </c>
      <c r="G5494" t="s">
        <v>22</v>
      </c>
      <c r="H5494" t="s">
        <v>21</v>
      </c>
      <c r="I5494" t="s">
        <v>60</v>
      </c>
      <c r="J5494" t="s">
        <v>61</v>
      </c>
      <c r="L5494" t="s">
        <v>82</v>
      </c>
    </row>
    <row r="5495" spans="1:13">
      <c r="A5495">
        <v>46094</v>
      </c>
      <c r="B5495" t="s">
        <v>4631</v>
      </c>
      <c r="D5495">
        <v>500</v>
      </c>
      <c r="F5495">
        <v>1</v>
      </c>
      <c r="G5495" t="s">
        <v>22</v>
      </c>
      <c r="H5495" t="s">
        <v>21</v>
      </c>
      <c r="I5495" t="s">
        <v>60</v>
      </c>
      <c r="J5495" t="s">
        <v>61</v>
      </c>
      <c r="L5495" t="s">
        <v>82</v>
      </c>
    </row>
    <row r="5496" spans="1:13">
      <c r="A5496">
        <v>46094</v>
      </c>
      <c r="B5496" t="s">
        <v>4632</v>
      </c>
      <c r="F5496">
        <v>1</v>
      </c>
      <c r="G5496" t="s">
        <v>99</v>
      </c>
      <c r="H5496" t="s">
        <v>21</v>
      </c>
      <c r="L5496" t="s">
        <v>82</v>
      </c>
      <c r="M5496" t="s">
        <v>4633</v>
      </c>
    </row>
    <row r="5497" spans="1:13">
      <c r="A5497">
        <v>46094</v>
      </c>
      <c r="B5497" t="s">
        <v>4634</v>
      </c>
      <c r="F5497">
        <v>1</v>
      </c>
      <c r="G5497" t="s">
        <v>79</v>
      </c>
      <c r="H5497" t="s">
        <v>21</v>
      </c>
      <c r="L5497" t="s">
        <v>82</v>
      </c>
      <c r="M5497" t="s">
        <v>327</v>
      </c>
    </row>
    <row r="5498" spans="1:13">
      <c r="A5498">
        <v>46094</v>
      </c>
      <c r="B5498" t="s">
        <v>4634</v>
      </c>
      <c r="F5498">
        <v>1</v>
      </c>
      <c r="G5498" t="s">
        <v>64</v>
      </c>
      <c r="L5498" t="s">
        <v>82</v>
      </c>
      <c r="M5498" t="s">
        <v>96</v>
      </c>
    </row>
    <row r="5499" spans="1:13">
      <c r="A5499">
        <v>46094</v>
      </c>
      <c r="B5499" t="s">
        <v>63</v>
      </c>
      <c r="E5499">
        <v>2000</v>
      </c>
      <c r="F5499">
        <v>1</v>
      </c>
      <c r="G5499" t="s">
        <v>65</v>
      </c>
      <c r="H5499" t="s">
        <v>66</v>
      </c>
      <c r="I5499" t="s">
        <v>60</v>
      </c>
      <c r="J5499" t="s">
        <v>61</v>
      </c>
      <c r="L5499" t="s">
        <v>62</v>
      </c>
      <c r="M5499" t="s">
        <v>3280</v>
      </c>
    </row>
    <row r="5500" spans="1:13">
      <c r="A5500">
        <v>46094</v>
      </c>
      <c r="B5500" t="s">
        <v>63</v>
      </c>
      <c r="E5500">
        <v>100</v>
      </c>
      <c r="F5500">
        <v>1</v>
      </c>
      <c r="G5500" t="s">
        <v>65</v>
      </c>
      <c r="H5500" t="s">
        <v>66</v>
      </c>
      <c r="I5500" t="s">
        <v>60</v>
      </c>
      <c r="J5500" t="s">
        <v>61</v>
      </c>
      <c r="L5500" t="s">
        <v>62</v>
      </c>
      <c r="M5500" t="s">
        <v>4522</v>
      </c>
    </row>
    <row r="5501" spans="1:13">
      <c r="A5501">
        <v>46095</v>
      </c>
      <c r="B5501" t="s">
        <v>4635</v>
      </c>
      <c r="D5501">
        <v>500</v>
      </c>
      <c r="F5501">
        <v>1</v>
      </c>
      <c r="G5501" t="s">
        <v>22</v>
      </c>
      <c r="H5501" t="s">
        <v>21</v>
      </c>
      <c r="I5501" t="s">
        <v>60</v>
      </c>
      <c r="J5501" t="s">
        <v>61</v>
      </c>
      <c r="L5501" t="s">
        <v>82</v>
      </c>
    </row>
    <row r="5502" spans="1:13">
      <c r="A5502">
        <v>46095</v>
      </c>
      <c r="B5502" t="s">
        <v>4636</v>
      </c>
      <c r="F5502">
        <v>1</v>
      </c>
      <c r="G5502" t="s">
        <v>107</v>
      </c>
      <c r="H5502" t="s">
        <v>21</v>
      </c>
      <c r="L5502" t="s">
        <v>82</v>
      </c>
      <c r="M5502" t="s">
        <v>4633</v>
      </c>
    </row>
    <row r="5503" spans="1:13">
      <c r="A5503">
        <v>46095</v>
      </c>
      <c r="B5503" t="s">
        <v>4637</v>
      </c>
      <c r="F5503">
        <v>1</v>
      </c>
      <c r="G5503" t="s">
        <v>64</v>
      </c>
      <c r="L5503" t="s">
        <v>82</v>
      </c>
      <c r="M5503" t="s">
        <v>96</v>
      </c>
    </row>
    <row r="5504" spans="1:13">
      <c r="A5504">
        <v>46095</v>
      </c>
      <c r="B5504" t="s">
        <v>4638</v>
      </c>
      <c r="F5504">
        <v>1</v>
      </c>
      <c r="G5504" t="s">
        <v>64</v>
      </c>
      <c r="L5504" t="s">
        <v>82</v>
      </c>
      <c r="M5504" t="s">
        <v>96</v>
      </c>
    </row>
    <row r="5505" spans="1:13">
      <c r="A5505">
        <v>46095</v>
      </c>
      <c r="B5505" t="s">
        <v>4639</v>
      </c>
      <c r="D5505">
        <v>500</v>
      </c>
      <c r="F5505">
        <v>1</v>
      </c>
      <c r="G5505" t="s">
        <v>22</v>
      </c>
      <c r="H5505" t="s">
        <v>21</v>
      </c>
      <c r="I5505" t="s">
        <v>60</v>
      </c>
      <c r="J5505" t="s">
        <v>61</v>
      </c>
      <c r="L5505" t="s">
        <v>82</v>
      </c>
    </row>
    <row r="5506" spans="1:13">
      <c r="A5506">
        <v>46095</v>
      </c>
      <c r="B5506" t="s">
        <v>4640</v>
      </c>
      <c r="F5506">
        <v>1</v>
      </c>
      <c r="G5506" t="s">
        <v>107</v>
      </c>
      <c r="H5506" t="s">
        <v>21</v>
      </c>
      <c r="L5506" t="s">
        <v>82</v>
      </c>
      <c r="M5506" t="s">
        <v>4633</v>
      </c>
    </row>
    <row r="5507" spans="1:13">
      <c r="A5507">
        <v>46095</v>
      </c>
      <c r="B5507" t="s">
        <v>63</v>
      </c>
      <c r="D5507">
        <v>32000</v>
      </c>
      <c r="F5507">
        <v>2</v>
      </c>
      <c r="G5507" t="s">
        <v>70</v>
      </c>
      <c r="I5507" t="s">
        <v>71</v>
      </c>
      <c r="J5507" t="s">
        <v>72</v>
      </c>
      <c r="K5507" t="s">
        <v>4641</v>
      </c>
      <c r="L5507" t="s">
        <v>62</v>
      </c>
      <c r="M5507" t="s">
        <v>90</v>
      </c>
    </row>
    <row r="5508" spans="1:13">
      <c r="A5508">
        <v>46095</v>
      </c>
      <c r="B5508" t="s">
        <v>63</v>
      </c>
      <c r="D5508">
        <v>100</v>
      </c>
      <c r="F5508">
        <v>1</v>
      </c>
      <c r="G5508" t="s">
        <v>22</v>
      </c>
      <c r="H5508" t="s">
        <v>93</v>
      </c>
      <c r="I5508" t="s">
        <v>60</v>
      </c>
      <c r="J5508" t="s">
        <v>61</v>
      </c>
      <c r="L5508" t="s">
        <v>62</v>
      </c>
    </row>
    <row r="5509" spans="1:13">
      <c r="A5509">
        <v>46095</v>
      </c>
      <c r="B5509" t="s">
        <v>76</v>
      </c>
      <c r="D5509">
        <v>11170</v>
      </c>
      <c r="G5509" t="s">
        <v>77</v>
      </c>
      <c r="I5509" t="s">
        <v>60</v>
      </c>
      <c r="J5509" t="s">
        <v>61</v>
      </c>
      <c r="L5509" t="s">
        <v>62</v>
      </c>
    </row>
    <row r="5510" spans="1:13">
      <c r="A5510">
        <v>46095</v>
      </c>
      <c r="B5510" t="s">
        <v>4642</v>
      </c>
      <c r="F5510">
        <v>1</v>
      </c>
      <c r="G5510" t="s">
        <v>79</v>
      </c>
      <c r="H5510" t="s">
        <v>21</v>
      </c>
      <c r="L5510" t="s">
        <v>82</v>
      </c>
      <c r="M5510" t="s">
        <v>327</v>
      </c>
    </row>
    <row r="5511" spans="1:13">
      <c r="A5511">
        <v>46095</v>
      </c>
      <c r="B5511" t="s">
        <v>63</v>
      </c>
      <c r="E5511">
        <v>1000</v>
      </c>
      <c r="F5511">
        <v>1</v>
      </c>
      <c r="G5511" t="s">
        <v>65</v>
      </c>
      <c r="H5511" t="s">
        <v>66</v>
      </c>
      <c r="I5511" t="s">
        <v>60</v>
      </c>
      <c r="J5511" t="s">
        <v>61</v>
      </c>
      <c r="L5511" t="s">
        <v>62</v>
      </c>
      <c r="M5511" t="s">
        <v>3280</v>
      </c>
    </row>
    <row r="5512" spans="1:13">
      <c r="A5512">
        <v>46095</v>
      </c>
      <c r="B5512" t="s">
        <v>63</v>
      </c>
      <c r="E5512">
        <v>100</v>
      </c>
      <c r="F5512">
        <v>1</v>
      </c>
      <c r="G5512" t="s">
        <v>65</v>
      </c>
      <c r="H5512" t="s">
        <v>66</v>
      </c>
      <c r="I5512" t="s">
        <v>60</v>
      </c>
      <c r="J5512" t="s">
        <v>61</v>
      </c>
      <c r="L5512" t="s">
        <v>62</v>
      </c>
      <c r="M5512" t="s">
        <v>4522</v>
      </c>
    </row>
    <row r="5513" spans="1:13">
      <c r="A5513">
        <v>46095</v>
      </c>
      <c r="B5513" t="s">
        <v>4643</v>
      </c>
      <c r="F5513">
        <v>1</v>
      </c>
      <c r="G5513" t="s">
        <v>0</v>
      </c>
      <c r="L5513" t="s">
        <v>82</v>
      </c>
    </row>
    <row r="5514" spans="1:13">
      <c r="A5514">
        <v>46096</v>
      </c>
      <c r="B5514" t="s">
        <v>4644</v>
      </c>
      <c r="D5514">
        <v>500</v>
      </c>
      <c r="F5514">
        <v>1</v>
      </c>
      <c r="G5514" t="s">
        <v>22</v>
      </c>
      <c r="H5514" t="s">
        <v>21</v>
      </c>
      <c r="I5514" t="s">
        <v>60</v>
      </c>
      <c r="J5514" t="s">
        <v>61</v>
      </c>
      <c r="L5514" t="s">
        <v>86</v>
      </c>
    </row>
    <row r="5515" spans="1:13">
      <c r="A5515">
        <v>46096</v>
      </c>
      <c r="B5515" t="s">
        <v>4644</v>
      </c>
      <c r="F5515">
        <v>1</v>
      </c>
      <c r="G5515" t="s">
        <v>64</v>
      </c>
      <c r="L5515" t="s">
        <v>86</v>
      </c>
      <c r="M5515" t="s">
        <v>4645</v>
      </c>
    </row>
    <row r="5516" spans="1:13">
      <c r="A5516">
        <v>46096</v>
      </c>
      <c r="B5516" t="s">
        <v>63</v>
      </c>
      <c r="D5516">
        <v>66500</v>
      </c>
      <c r="G5516" t="s">
        <v>70</v>
      </c>
      <c r="I5516" t="s">
        <v>60</v>
      </c>
      <c r="J5516" t="s">
        <v>61</v>
      </c>
      <c r="L5516" t="s">
        <v>62</v>
      </c>
    </row>
    <row r="5517" spans="1:13">
      <c r="A5517">
        <v>46096</v>
      </c>
      <c r="B5517" t="s">
        <v>4646</v>
      </c>
      <c r="D5517">
        <v>500</v>
      </c>
      <c r="F5517">
        <v>1</v>
      </c>
      <c r="G5517" t="s">
        <v>22</v>
      </c>
      <c r="H5517" t="s">
        <v>21</v>
      </c>
      <c r="I5517" t="s">
        <v>60</v>
      </c>
      <c r="J5517" t="s">
        <v>61</v>
      </c>
      <c r="L5517" t="s">
        <v>86</v>
      </c>
    </row>
    <row r="5518" spans="1:13">
      <c r="A5518">
        <v>46096</v>
      </c>
      <c r="B5518" t="s">
        <v>4647</v>
      </c>
      <c r="F5518">
        <v>1</v>
      </c>
      <c r="G5518" t="s">
        <v>64</v>
      </c>
      <c r="L5518" t="s">
        <v>86</v>
      </c>
      <c r="M5518" t="s">
        <v>4645</v>
      </c>
    </row>
    <row r="5519" spans="1:13">
      <c r="A5519">
        <v>46096</v>
      </c>
      <c r="B5519" t="s">
        <v>4648</v>
      </c>
      <c r="D5519">
        <v>500</v>
      </c>
      <c r="F5519">
        <v>1</v>
      </c>
      <c r="G5519" t="s">
        <v>22</v>
      </c>
      <c r="H5519" t="s">
        <v>21</v>
      </c>
      <c r="I5519" t="s">
        <v>60</v>
      </c>
      <c r="J5519" t="s">
        <v>61</v>
      </c>
      <c r="L5519" t="s">
        <v>86</v>
      </c>
    </row>
    <row r="5520" spans="1:13">
      <c r="A5520">
        <v>46096</v>
      </c>
      <c r="B5520" t="s">
        <v>4649</v>
      </c>
      <c r="F5520">
        <v>1</v>
      </c>
      <c r="G5520" t="s">
        <v>64</v>
      </c>
      <c r="L5520" t="s">
        <v>86</v>
      </c>
      <c r="M5520" t="s">
        <v>96</v>
      </c>
    </row>
    <row r="5521" spans="1:13">
      <c r="A5521">
        <v>46096</v>
      </c>
      <c r="B5521" t="s">
        <v>3606</v>
      </c>
      <c r="F5521">
        <v>1</v>
      </c>
      <c r="G5521" t="s">
        <v>64</v>
      </c>
      <c r="L5521" t="s">
        <v>86</v>
      </c>
      <c r="M5521" t="s">
        <v>96</v>
      </c>
    </row>
    <row r="5522" spans="1:13">
      <c r="A5522">
        <v>46096</v>
      </c>
      <c r="B5522" t="s">
        <v>4650</v>
      </c>
      <c r="F5522">
        <v>1</v>
      </c>
      <c r="G5522" t="s">
        <v>64</v>
      </c>
      <c r="L5522" t="s">
        <v>86</v>
      </c>
      <c r="M5522" t="s">
        <v>96</v>
      </c>
    </row>
    <row r="5523" spans="1:13">
      <c r="A5523">
        <v>46096</v>
      </c>
      <c r="B5523" t="s">
        <v>4651</v>
      </c>
      <c r="F5523">
        <v>1</v>
      </c>
      <c r="G5523" t="s">
        <v>64</v>
      </c>
      <c r="L5523" t="s">
        <v>86</v>
      </c>
      <c r="M5523" t="s">
        <v>4652</v>
      </c>
    </row>
    <row r="5524" spans="1:13">
      <c r="A5524">
        <v>46096</v>
      </c>
      <c r="B5524" t="s">
        <v>4596</v>
      </c>
      <c r="D5524">
        <v>500</v>
      </c>
      <c r="F5524">
        <v>1</v>
      </c>
      <c r="G5524" t="s">
        <v>22</v>
      </c>
      <c r="H5524" t="s">
        <v>21</v>
      </c>
      <c r="I5524" t="s">
        <v>60</v>
      </c>
      <c r="J5524" t="s">
        <v>61</v>
      </c>
      <c r="L5524" t="s">
        <v>86</v>
      </c>
    </row>
    <row r="5525" spans="1:13">
      <c r="A5525">
        <v>46096</v>
      </c>
      <c r="B5525" t="s">
        <v>4653</v>
      </c>
      <c r="D5525">
        <v>500</v>
      </c>
      <c r="F5525">
        <v>0</v>
      </c>
      <c r="G5525" t="s">
        <v>22</v>
      </c>
      <c r="H5525" t="s">
        <v>21</v>
      </c>
      <c r="I5525" t="s">
        <v>60</v>
      </c>
      <c r="J5525" t="s">
        <v>61</v>
      </c>
      <c r="L5525" t="s">
        <v>86</v>
      </c>
      <c r="M5525" t="s">
        <v>83</v>
      </c>
    </row>
    <row r="5526" spans="1:13">
      <c r="A5526">
        <v>46096</v>
      </c>
      <c r="B5526" t="s">
        <v>63</v>
      </c>
      <c r="D5526">
        <v>200</v>
      </c>
      <c r="F5526">
        <v>2</v>
      </c>
      <c r="G5526" t="s">
        <v>22</v>
      </c>
      <c r="H5526" t="s">
        <v>93</v>
      </c>
      <c r="I5526" t="s">
        <v>60</v>
      </c>
      <c r="J5526" t="s">
        <v>61</v>
      </c>
      <c r="L5526" t="s">
        <v>62</v>
      </c>
    </row>
    <row r="5527" spans="1:13">
      <c r="A5527">
        <v>46096</v>
      </c>
      <c r="B5527" t="s">
        <v>76</v>
      </c>
      <c r="D5527">
        <v>2000</v>
      </c>
      <c r="G5527" t="s">
        <v>77</v>
      </c>
      <c r="I5527" t="s">
        <v>60</v>
      </c>
      <c r="J5527" t="s">
        <v>61</v>
      </c>
      <c r="L5527" t="s">
        <v>62</v>
      </c>
    </row>
    <row r="5528" spans="1:13">
      <c r="A5528">
        <v>46096</v>
      </c>
      <c r="B5528" t="s">
        <v>63</v>
      </c>
      <c r="E5528">
        <v>2500</v>
      </c>
      <c r="F5528">
        <v>1</v>
      </c>
      <c r="G5528" t="s">
        <v>65</v>
      </c>
      <c r="H5528" t="s">
        <v>66</v>
      </c>
      <c r="I5528" t="s">
        <v>60</v>
      </c>
      <c r="J5528" t="s">
        <v>61</v>
      </c>
      <c r="L5528" t="s">
        <v>62</v>
      </c>
      <c r="M5528" t="s">
        <v>3280</v>
      </c>
    </row>
    <row r="5529" spans="1:13">
      <c r="A5529">
        <v>46096</v>
      </c>
      <c r="B5529" t="s">
        <v>63</v>
      </c>
      <c r="E5529">
        <v>200</v>
      </c>
      <c r="F5529">
        <v>1</v>
      </c>
      <c r="G5529" t="s">
        <v>65</v>
      </c>
      <c r="H5529" t="s">
        <v>66</v>
      </c>
      <c r="I5529" t="s">
        <v>60</v>
      </c>
      <c r="J5529" t="s">
        <v>61</v>
      </c>
      <c r="L5529" t="s">
        <v>62</v>
      </c>
      <c r="M5529" t="s">
        <v>4522</v>
      </c>
    </row>
    <row r="5530" spans="1:13">
      <c r="A5530">
        <v>46097</v>
      </c>
      <c r="B5530" t="s">
        <v>81</v>
      </c>
      <c r="D5530">
        <v>10000</v>
      </c>
      <c r="F5530">
        <v>1</v>
      </c>
      <c r="G5530" t="s">
        <v>74</v>
      </c>
      <c r="H5530" t="s">
        <v>75</v>
      </c>
      <c r="I5530" t="s">
        <v>60</v>
      </c>
      <c r="J5530" t="s">
        <v>61</v>
      </c>
      <c r="L5530" t="s">
        <v>88</v>
      </c>
    </row>
    <row r="5531" spans="1:13">
      <c r="A5531">
        <v>46097</v>
      </c>
      <c r="B5531" t="s">
        <v>4654</v>
      </c>
      <c r="D5531">
        <v>500</v>
      </c>
      <c r="F5531">
        <v>1</v>
      </c>
      <c r="G5531" t="s">
        <v>22</v>
      </c>
      <c r="H5531" t="s">
        <v>21</v>
      </c>
      <c r="I5531" t="s">
        <v>60</v>
      </c>
      <c r="J5531" t="s">
        <v>61</v>
      </c>
      <c r="L5531" t="s">
        <v>82</v>
      </c>
    </row>
    <row r="5532" spans="1:13">
      <c r="A5532">
        <v>46097</v>
      </c>
      <c r="B5532" t="s">
        <v>4655</v>
      </c>
      <c r="D5532">
        <v>500</v>
      </c>
      <c r="F5532">
        <v>1</v>
      </c>
      <c r="G5532" t="s">
        <v>22</v>
      </c>
      <c r="H5532" t="s">
        <v>21</v>
      </c>
      <c r="I5532" t="s">
        <v>60</v>
      </c>
      <c r="J5532" t="s">
        <v>61</v>
      </c>
      <c r="L5532" t="s">
        <v>82</v>
      </c>
    </row>
    <row r="5533" spans="1:13">
      <c r="A5533">
        <v>46097</v>
      </c>
      <c r="B5533" t="s">
        <v>4656</v>
      </c>
      <c r="F5533">
        <v>1</v>
      </c>
      <c r="G5533" t="s">
        <v>64</v>
      </c>
      <c r="L5533" t="s">
        <v>86</v>
      </c>
      <c r="M5533" t="s">
        <v>96</v>
      </c>
    </row>
    <row r="5534" spans="1:13">
      <c r="A5534">
        <v>46097</v>
      </c>
      <c r="B5534" t="s">
        <v>4657</v>
      </c>
      <c r="F5534">
        <v>1</v>
      </c>
      <c r="G5534" t="s">
        <v>79</v>
      </c>
      <c r="H5534" t="s">
        <v>21</v>
      </c>
      <c r="L5534" t="s">
        <v>82</v>
      </c>
      <c r="M5534" t="s">
        <v>327</v>
      </c>
    </row>
    <row r="5535" spans="1:13">
      <c r="A5535">
        <v>46097</v>
      </c>
      <c r="B5535" t="s">
        <v>4658</v>
      </c>
      <c r="F5535">
        <v>1</v>
      </c>
      <c r="G5535" t="s">
        <v>64</v>
      </c>
      <c r="L5535" t="s">
        <v>82</v>
      </c>
      <c r="M5535" t="s">
        <v>96</v>
      </c>
    </row>
    <row r="5536" spans="1:13">
      <c r="A5536">
        <v>46097</v>
      </c>
      <c r="B5536" t="s">
        <v>4659</v>
      </c>
      <c r="D5536">
        <v>500</v>
      </c>
      <c r="F5536">
        <v>1</v>
      </c>
      <c r="G5536" t="s">
        <v>22</v>
      </c>
      <c r="H5536" t="s">
        <v>21</v>
      </c>
      <c r="I5536" t="s">
        <v>60</v>
      </c>
      <c r="J5536" t="s">
        <v>61</v>
      </c>
      <c r="L5536" t="s">
        <v>82</v>
      </c>
    </row>
    <row r="5537" spans="1:13">
      <c r="A5537">
        <v>46097</v>
      </c>
      <c r="B5537" t="s">
        <v>4660</v>
      </c>
      <c r="D5537">
        <v>500</v>
      </c>
      <c r="F5537">
        <v>1</v>
      </c>
      <c r="G5537" t="s">
        <v>22</v>
      </c>
      <c r="H5537" t="s">
        <v>21</v>
      </c>
      <c r="I5537" t="s">
        <v>60</v>
      </c>
      <c r="J5537" t="s">
        <v>61</v>
      </c>
      <c r="L5537" t="s">
        <v>82</v>
      </c>
    </row>
    <row r="5538" spans="1:13">
      <c r="A5538">
        <v>46097</v>
      </c>
      <c r="B5538" t="s">
        <v>4661</v>
      </c>
      <c r="F5538">
        <v>1</v>
      </c>
      <c r="G5538" t="s">
        <v>79</v>
      </c>
      <c r="H5538" t="s">
        <v>21</v>
      </c>
      <c r="L5538" t="s">
        <v>82</v>
      </c>
      <c r="M5538" t="s">
        <v>327</v>
      </c>
    </row>
    <row r="5539" spans="1:13">
      <c r="A5539">
        <v>46097</v>
      </c>
      <c r="B5539" t="s">
        <v>4662</v>
      </c>
      <c r="D5539">
        <v>500</v>
      </c>
      <c r="F5539">
        <v>1</v>
      </c>
      <c r="G5539" t="s">
        <v>22</v>
      </c>
      <c r="H5539" t="s">
        <v>21</v>
      </c>
      <c r="I5539" t="s">
        <v>60</v>
      </c>
      <c r="J5539" t="s">
        <v>61</v>
      </c>
      <c r="L5539" t="s">
        <v>82</v>
      </c>
    </row>
    <row r="5540" spans="1:13">
      <c r="A5540">
        <v>46097</v>
      </c>
      <c r="B5540" t="s">
        <v>63</v>
      </c>
      <c r="D5540">
        <v>38000</v>
      </c>
      <c r="F5540">
        <v>2</v>
      </c>
      <c r="G5540" t="s">
        <v>70</v>
      </c>
      <c r="I5540" t="s">
        <v>71</v>
      </c>
      <c r="J5540" t="s">
        <v>72</v>
      </c>
      <c r="K5540" t="s">
        <v>4663</v>
      </c>
      <c r="L5540" t="s">
        <v>62</v>
      </c>
      <c r="M5540" t="s">
        <v>90</v>
      </c>
    </row>
    <row r="5541" spans="1:13">
      <c r="A5541">
        <v>46097</v>
      </c>
      <c r="B5541" t="s">
        <v>63</v>
      </c>
      <c r="D5541">
        <v>8000</v>
      </c>
      <c r="G5541" t="s">
        <v>70</v>
      </c>
      <c r="I5541" t="s">
        <v>60</v>
      </c>
      <c r="J5541" t="s">
        <v>61</v>
      </c>
      <c r="L5541" t="s">
        <v>62</v>
      </c>
    </row>
    <row r="5542" spans="1:13">
      <c r="A5542">
        <v>46097</v>
      </c>
      <c r="B5542" t="s">
        <v>80</v>
      </c>
      <c r="E5542">
        <v>7899</v>
      </c>
      <c r="F5542">
        <v>1</v>
      </c>
      <c r="G5542" t="s">
        <v>74</v>
      </c>
      <c r="H5542" t="s">
        <v>75</v>
      </c>
      <c r="I5542" t="s">
        <v>60</v>
      </c>
      <c r="J5542" t="s">
        <v>61</v>
      </c>
      <c r="L5542" t="s">
        <v>4275</v>
      </c>
    </row>
    <row r="5543" spans="1:13">
      <c r="A5543">
        <v>46097</v>
      </c>
      <c r="B5543" t="s">
        <v>80</v>
      </c>
      <c r="E5543">
        <v>101</v>
      </c>
      <c r="F5543">
        <v>1</v>
      </c>
      <c r="G5543" t="s">
        <v>65</v>
      </c>
      <c r="H5543" t="s">
        <v>66</v>
      </c>
      <c r="I5543" t="s">
        <v>60</v>
      </c>
      <c r="J5543" t="s">
        <v>61</v>
      </c>
      <c r="L5543" t="s">
        <v>4275</v>
      </c>
    </row>
    <row r="5544" spans="1:13">
      <c r="A5544">
        <v>46097</v>
      </c>
      <c r="B5544" t="s">
        <v>76</v>
      </c>
      <c r="D5544">
        <v>11600</v>
      </c>
      <c r="G5544" t="s">
        <v>77</v>
      </c>
      <c r="I5544" t="s">
        <v>60</v>
      </c>
      <c r="J5544" t="s">
        <v>61</v>
      </c>
      <c r="L5544" t="s">
        <v>62</v>
      </c>
    </row>
    <row r="5545" spans="1:13">
      <c r="A5545">
        <v>46097</v>
      </c>
      <c r="B5545" t="s">
        <v>63</v>
      </c>
      <c r="D5545">
        <v>100</v>
      </c>
      <c r="F5545">
        <v>1</v>
      </c>
      <c r="G5545" t="s">
        <v>22</v>
      </c>
      <c r="H5545" t="s">
        <v>93</v>
      </c>
      <c r="I5545" t="s">
        <v>60</v>
      </c>
      <c r="J5545" t="s">
        <v>61</v>
      </c>
      <c r="L5545" t="s">
        <v>62</v>
      </c>
    </row>
    <row r="5546" spans="1:13">
      <c r="A5546">
        <v>46097</v>
      </c>
      <c r="B5546" t="s">
        <v>63</v>
      </c>
      <c r="E5546">
        <v>2500</v>
      </c>
      <c r="F5546">
        <v>1</v>
      </c>
      <c r="G5546" t="s">
        <v>65</v>
      </c>
      <c r="H5546" t="s">
        <v>66</v>
      </c>
      <c r="I5546" t="s">
        <v>60</v>
      </c>
      <c r="J5546" t="s">
        <v>61</v>
      </c>
      <c r="L5546" t="s">
        <v>62</v>
      </c>
      <c r="M5546" t="s">
        <v>3280</v>
      </c>
    </row>
    <row r="5547" spans="1:13">
      <c r="A5547">
        <v>46097</v>
      </c>
      <c r="B5547" t="s">
        <v>63</v>
      </c>
      <c r="E5547">
        <v>100</v>
      </c>
      <c r="F5547">
        <v>1</v>
      </c>
      <c r="G5547" t="s">
        <v>65</v>
      </c>
      <c r="H5547" t="s">
        <v>66</v>
      </c>
      <c r="I5547" t="s">
        <v>60</v>
      </c>
      <c r="J5547" t="s">
        <v>61</v>
      </c>
      <c r="L5547" t="s">
        <v>62</v>
      </c>
      <c r="M5547" t="s">
        <v>4522</v>
      </c>
    </row>
    <row r="5548" spans="1:13">
      <c r="A5548">
        <v>46097</v>
      </c>
      <c r="B5548" t="s">
        <v>4664</v>
      </c>
      <c r="F5548">
        <v>1</v>
      </c>
      <c r="G5548" t="s">
        <v>0</v>
      </c>
      <c r="L5548" t="s">
        <v>82</v>
      </c>
    </row>
    <row r="5549" spans="1:13">
      <c r="A5549">
        <v>46097</v>
      </c>
      <c r="B5549" t="s">
        <v>3988</v>
      </c>
      <c r="C5549" t="s">
        <v>4665</v>
      </c>
      <c r="F5549">
        <v>35</v>
      </c>
      <c r="G5549" t="s">
        <v>22</v>
      </c>
      <c r="H5549" t="s">
        <v>21</v>
      </c>
      <c r="L5549" t="s">
        <v>95</v>
      </c>
    </row>
    <row r="5550" spans="1:13">
      <c r="A5550">
        <v>46097</v>
      </c>
      <c r="B5550" t="s">
        <v>4666</v>
      </c>
      <c r="F5550">
        <v>1</v>
      </c>
      <c r="G5550" t="s">
        <v>0</v>
      </c>
      <c r="L5550" t="s">
        <v>86</v>
      </c>
    </row>
    <row r="5551" spans="1:13">
      <c r="A5551">
        <v>46098</v>
      </c>
      <c r="B5551" t="s">
        <v>4667</v>
      </c>
      <c r="D5551">
        <v>500</v>
      </c>
      <c r="F5551">
        <v>1</v>
      </c>
      <c r="G5551" t="s">
        <v>22</v>
      </c>
      <c r="H5551" t="s">
        <v>21</v>
      </c>
      <c r="I5551" t="s">
        <v>60</v>
      </c>
      <c r="J5551" t="s">
        <v>61</v>
      </c>
      <c r="L5551" t="s">
        <v>82</v>
      </c>
    </row>
    <row r="5552" spans="1:13">
      <c r="A5552">
        <v>46098</v>
      </c>
      <c r="B5552" t="s">
        <v>4668</v>
      </c>
      <c r="D5552">
        <v>500</v>
      </c>
      <c r="F5552">
        <v>1</v>
      </c>
      <c r="G5552" t="s">
        <v>22</v>
      </c>
      <c r="H5552" t="s">
        <v>21</v>
      </c>
      <c r="I5552" t="s">
        <v>60</v>
      </c>
      <c r="J5552" t="s">
        <v>61</v>
      </c>
      <c r="L5552" t="s">
        <v>82</v>
      </c>
    </row>
    <row r="5553" spans="1:13">
      <c r="A5553">
        <v>46098</v>
      </c>
      <c r="B5553" t="s">
        <v>4669</v>
      </c>
      <c r="D5553">
        <v>500</v>
      </c>
      <c r="F5553">
        <v>0</v>
      </c>
      <c r="G5553" t="s">
        <v>22</v>
      </c>
      <c r="H5553" t="s">
        <v>21</v>
      </c>
      <c r="I5553" t="s">
        <v>60</v>
      </c>
      <c r="J5553" t="s">
        <v>61</v>
      </c>
      <c r="L5553" t="s">
        <v>86</v>
      </c>
    </row>
    <row r="5554" spans="1:13">
      <c r="A5554">
        <v>46098</v>
      </c>
      <c r="B5554" t="s">
        <v>76</v>
      </c>
      <c r="D5554">
        <v>17960</v>
      </c>
      <c r="G5554" t="s">
        <v>77</v>
      </c>
      <c r="I5554" t="s">
        <v>60</v>
      </c>
      <c r="J5554" t="s">
        <v>61</v>
      </c>
      <c r="L5554" t="s">
        <v>62</v>
      </c>
    </row>
    <row r="5555" spans="1:13">
      <c r="A5555">
        <v>46098</v>
      </c>
      <c r="B5555" t="s">
        <v>4670</v>
      </c>
      <c r="D5555">
        <v>500</v>
      </c>
      <c r="F5555">
        <v>0</v>
      </c>
      <c r="G5555" t="s">
        <v>22</v>
      </c>
      <c r="H5555" t="s">
        <v>21</v>
      </c>
      <c r="I5555" t="s">
        <v>60</v>
      </c>
      <c r="J5555" t="s">
        <v>61</v>
      </c>
      <c r="L5555" t="s">
        <v>82</v>
      </c>
      <c r="M5555" t="s">
        <v>83</v>
      </c>
    </row>
    <row r="5556" spans="1:13">
      <c r="A5556">
        <v>46098</v>
      </c>
      <c r="B5556" t="s">
        <v>4671</v>
      </c>
      <c r="F5556">
        <v>1</v>
      </c>
      <c r="G5556" t="s">
        <v>64</v>
      </c>
      <c r="L5556" t="s">
        <v>86</v>
      </c>
      <c r="M5556" t="s">
        <v>96</v>
      </c>
    </row>
    <row r="5557" spans="1:13">
      <c r="A5557">
        <v>46098</v>
      </c>
      <c r="B5557" t="s">
        <v>4672</v>
      </c>
      <c r="D5557">
        <v>500</v>
      </c>
      <c r="F5557">
        <v>1</v>
      </c>
      <c r="G5557" t="s">
        <v>22</v>
      </c>
      <c r="H5557" t="s">
        <v>21</v>
      </c>
      <c r="I5557" t="s">
        <v>60</v>
      </c>
      <c r="J5557" t="s">
        <v>61</v>
      </c>
      <c r="L5557" t="s">
        <v>86</v>
      </c>
    </row>
    <row r="5558" spans="1:13">
      <c r="A5558">
        <v>46098</v>
      </c>
      <c r="B5558" t="s">
        <v>63</v>
      </c>
      <c r="D5558">
        <v>100</v>
      </c>
      <c r="F5558">
        <v>1</v>
      </c>
      <c r="G5558" t="s">
        <v>22</v>
      </c>
      <c r="H5558" t="s">
        <v>93</v>
      </c>
      <c r="I5558" t="s">
        <v>60</v>
      </c>
      <c r="J5558" t="s">
        <v>61</v>
      </c>
      <c r="L5558" t="s">
        <v>62</v>
      </c>
    </row>
    <row r="5559" spans="1:13">
      <c r="A5559">
        <v>46098</v>
      </c>
      <c r="B5559" t="s">
        <v>63</v>
      </c>
      <c r="E5559">
        <v>2500</v>
      </c>
      <c r="F5559">
        <v>1</v>
      </c>
      <c r="G5559" t="s">
        <v>65</v>
      </c>
      <c r="H5559" t="s">
        <v>66</v>
      </c>
      <c r="I5559" t="s">
        <v>60</v>
      </c>
      <c r="J5559" t="s">
        <v>61</v>
      </c>
      <c r="L5559" t="s">
        <v>62</v>
      </c>
      <c r="M5559" t="s">
        <v>3280</v>
      </c>
    </row>
    <row r="5560" spans="1:13">
      <c r="A5560">
        <v>46098</v>
      </c>
      <c r="B5560" t="s">
        <v>63</v>
      </c>
      <c r="E5560">
        <v>100</v>
      </c>
      <c r="F5560">
        <v>1</v>
      </c>
      <c r="G5560" t="s">
        <v>65</v>
      </c>
      <c r="H5560" t="s">
        <v>66</v>
      </c>
      <c r="I5560" t="s">
        <v>60</v>
      </c>
      <c r="J5560" t="s">
        <v>61</v>
      </c>
      <c r="L5560" t="s">
        <v>62</v>
      </c>
      <c r="M5560" t="s">
        <v>4522</v>
      </c>
    </row>
    <row r="5561" spans="1:13">
      <c r="A5561">
        <v>46099</v>
      </c>
      <c r="B5561" t="s">
        <v>84</v>
      </c>
      <c r="D5561">
        <v>-20800</v>
      </c>
      <c r="G5561" t="s">
        <v>77</v>
      </c>
      <c r="I5561" t="s">
        <v>60</v>
      </c>
      <c r="J5561" t="s">
        <v>61</v>
      </c>
      <c r="L5561" t="s">
        <v>62</v>
      </c>
    </row>
    <row r="5562" spans="1:13">
      <c r="A5562">
        <v>46099</v>
      </c>
      <c r="B5562" t="s">
        <v>84</v>
      </c>
      <c r="E5562">
        <v>-1100</v>
      </c>
      <c r="F5562">
        <v>1</v>
      </c>
      <c r="G5562" t="s">
        <v>65</v>
      </c>
      <c r="H5562" t="s">
        <v>85</v>
      </c>
      <c r="I5562" t="s">
        <v>60</v>
      </c>
      <c r="J5562" t="s">
        <v>61</v>
      </c>
      <c r="L5562" t="s">
        <v>62</v>
      </c>
    </row>
    <row r="5563" spans="1:13">
      <c r="A5563">
        <v>46099</v>
      </c>
      <c r="B5563" t="s">
        <v>81</v>
      </c>
      <c r="D5563">
        <v>87000</v>
      </c>
      <c r="F5563">
        <v>1</v>
      </c>
      <c r="G5563" t="s">
        <v>74</v>
      </c>
      <c r="H5563" t="s">
        <v>75</v>
      </c>
      <c r="I5563" t="s">
        <v>60</v>
      </c>
      <c r="J5563" t="s">
        <v>61</v>
      </c>
      <c r="L5563" t="s">
        <v>88</v>
      </c>
    </row>
    <row r="5564" spans="1:13">
      <c r="A5564">
        <v>46099</v>
      </c>
      <c r="B5564" t="s">
        <v>4673</v>
      </c>
      <c r="F5564">
        <v>1</v>
      </c>
      <c r="G5564" t="s">
        <v>64</v>
      </c>
      <c r="L5564" t="s">
        <v>86</v>
      </c>
      <c r="M5564" t="s">
        <v>96</v>
      </c>
    </row>
    <row r="5565" spans="1:13">
      <c r="A5565">
        <v>46099</v>
      </c>
      <c r="B5565" t="s">
        <v>63</v>
      </c>
      <c r="D5565">
        <v>4304</v>
      </c>
      <c r="G5565" t="s">
        <v>70</v>
      </c>
      <c r="I5565" t="s">
        <v>60</v>
      </c>
      <c r="J5565" t="s">
        <v>61</v>
      </c>
      <c r="L5565" t="s">
        <v>62</v>
      </c>
    </row>
    <row r="5566" spans="1:13">
      <c r="A5566">
        <v>46099</v>
      </c>
      <c r="B5566" t="s">
        <v>4674</v>
      </c>
      <c r="D5566">
        <v>500</v>
      </c>
      <c r="F5566">
        <v>1</v>
      </c>
      <c r="G5566" t="s">
        <v>22</v>
      </c>
      <c r="H5566" t="s">
        <v>21</v>
      </c>
      <c r="I5566" t="s">
        <v>60</v>
      </c>
      <c r="J5566" t="s">
        <v>61</v>
      </c>
      <c r="L5566" t="s">
        <v>86</v>
      </c>
    </row>
    <row r="5567" spans="1:13">
      <c r="A5567">
        <v>46099</v>
      </c>
      <c r="B5567" t="s">
        <v>4675</v>
      </c>
      <c r="D5567">
        <v>500</v>
      </c>
      <c r="F5567">
        <v>1</v>
      </c>
      <c r="G5567" t="s">
        <v>22</v>
      </c>
      <c r="H5567" t="s">
        <v>21</v>
      </c>
      <c r="I5567" t="s">
        <v>60</v>
      </c>
      <c r="J5567" t="s">
        <v>61</v>
      </c>
      <c r="L5567" t="s">
        <v>82</v>
      </c>
    </row>
    <row r="5568" spans="1:13">
      <c r="A5568">
        <v>46099</v>
      </c>
      <c r="B5568" t="s">
        <v>4676</v>
      </c>
      <c r="D5568">
        <v>500</v>
      </c>
      <c r="F5568">
        <v>1</v>
      </c>
      <c r="G5568" t="s">
        <v>22</v>
      </c>
      <c r="H5568" t="s">
        <v>21</v>
      </c>
      <c r="I5568" t="s">
        <v>60</v>
      </c>
      <c r="J5568" t="s">
        <v>61</v>
      </c>
      <c r="L5568" t="s">
        <v>82</v>
      </c>
    </row>
    <row r="5569" spans="1:13">
      <c r="A5569">
        <v>46099</v>
      </c>
      <c r="B5569" t="s">
        <v>63</v>
      </c>
      <c r="E5569">
        <v>1500</v>
      </c>
      <c r="F5569">
        <v>1</v>
      </c>
      <c r="G5569" t="s">
        <v>65</v>
      </c>
      <c r="H5569" t="s">
        <v>66</v>
      </c>
      <c r="I5569" t="s">
        <v>60</v>
      </c>
      <c r="J5569" t="s">
        <v>61</v>
      </c>
      <c r="L5569" t="s">
        <v>62</v>
      </c>
      <c r="M5569" t="s">
        <v>3280</v>
      </c>
    </row>
    <row r="5570" spans="1:13">
      <c r="A5570">
        <v>46100</v>
      </c>
      <c r="B5570" t="s">
        <v>63</v>
      </c>
      <c r="D5570">
        <v>200</v>
      </c>
      <c r="F5570">
        <v>2</v>
      </c>
      <c r="G5570" t="s">
        <v>22</v>
      </c>
      <c r="H5570" t="s">
        <v>93</v>
      </c>
      <c r="I5570" t="s">
        <v>60</v>
      </c>
      <c r="J5570" t="s">
        <v>61</v>
      </c>
      <c r="L5570" t="s">
        <v>62</v>
      </c>
    </row>
    <row r="5571" spans="1:13">
      <c r="A5571">
        <v>46100</v>
      </c>
      <c r="B5571" t="s">
        <v>76</v>
      </c>
      <c r="D5571">
        <v>9400</v>
      </c>
      <c r="G5571" t="s">
        <v>77</v>
      </c>
      <c r="I5571" t="s">
        <v>60</v>
      </c>
      <c r="J5571" t="s">
        <v>61</v>
      </c>
      <c r="L5571" t="s">
        <v>62</v>
      </c>
    </row>
    <row r="5572" spans="1:13">
      <c r="A5572">
        <v>46100</v>
      </c>
      <c r="B5572" t="s">
        <v>4677</v>
      </c>
      <c r="D5572">
        <v>500</v>
      </c>
      <c r="F5572">
        <v>0</v>
      </c>
      <c r="G5572" t="s">
        <v>22</v>
      </c>
      <c r="H5572" t="s">
        <v>21</v>
      </c>
      <c r="I5572" t="s">
        <v>60</v>
      </c>
      <c r="J5572" t="s">
        <v>61</v>
      </c>
      <c r="L5572" t="s">
        <v>86</v>
      </c>
      <c r="M5572" t="s">
        <v>83</v>
      </c>
    </row>
    <row r="5573" spans="1:13">
      <c r="A5573">
        <v>46100</v>
      </c>
      <c r="B5573" t="s">
        <v>63</v>
      </c>
      <c r="D5573">
        <v>7031</v>
      </c>
      <c r="G5573" t="s">
        <v>70</v>
      </c>
      <c r="I5573" t="s">
        <v>60</v>
      </c>
      <c r="J5573" t="s">
        <v>61</v>
      </c>
      <c r="L5573" t="s">
        <v>62</v>
      </c>
    </row>
    <row r="5574" spans="1:13">
      <c r="A5574">
        <v>46100</v>
      </c>
      <c r="B5574" t="s">
        <v>4678</v>
      </c>
      <c r="D5574">
        <v>500</v>
      </c>
      <c r="F5574">
        <v>1</v>
      </c>
      <c r="G5574" t="s">
        <v>22</v>
      </c>
      <c r="H5574" t="s">
        <v>21</v>
      </c>
      <c r="I5574" t="s">
        <v>60</v>
      </c>
      <c r="J5574" t="s">
        <v>61</v>
      </c>
      <c r="L5574" t="s">
        <v>86</v>
      </c>
    </row>
    <row r="5575" spans="1:13">
      <c r="A5575">
        <v>46100</v>
      </c>
      <c r="B5575" t="s">
        <v>4679</v>
      </c>
      <c r="D5575">
        <v>500</v>
      </c>
      <c r="F5575">
        <v>1</v>
      </c>
      <c r="G5575" t="s">
        <v>22</v>
      </c>
      <c r="H5575" t="s">
        <v>21</v>
      </c>
      <c r="I5575" t="s">
        <v>60</v>
      </c>
      <c r="J5575" t="s">
        <v>61</v>
      </c>
      <c r="L5575" t="s">
        <v>86</v>
      </c>
    </row>
    <row r="5576" spans="1:13">
      <c r="A5576">
        <v>46100</v>
      </c>
      <c r="B5576" t="s">
        <v>4680</v>
      </c>
      <c r="D5576">
        <v>500</v>
      </c>
      <c r="F5576">
        <v>1</v>
      </c>
      <c r="G5576" t="s">
        <v>22</v>
      </c>
      <c r="H5576" t="s">
        <v>21</v>
      </c>
      <c r="I5576" t="s">
        <v>60</v>
      </c>
      <c r="J5576" t="s">
        <v>61</v>
      </c>
      <c r="L5576" t="s">
        <v>86</v>
      </c>
    </row>
    <row r="5577" spans="1:13">
      <c r="A5577">
        <v>46100</v>
      </c>
      <c r="B5577" t="s">
        <v>4681</v>
      </c>
      <c r="F5577">
        <v>1</v>
      </c>
      <c r="G5577" t="s">
        <v>64</v>
      </c>
      <c r="L5577" t="s">
        <v>86</v>
      </c>
      <c r="M5577" t="s">
        <v>96</v>
      </c>
    </row>
    <row r="5578" spans="1:13">
      <c r="A5578">
        <v>46100</v>
      </c>
      <c r="B5578" t="s">
        <v>4682</v>
      </c>
      <c r="F5578">
        <v>1</v>
      </c>
      <c r="G5578" t="s">
        <v>64</v>
      </c>
      <c r="L5578" t="s">
        <v>86</v>
      </c>
      <c r="M5578" t="s">
        <v>96</v>
      </c>
    </row>
    <row r="5579" spans="1:13">
      <c r="A5579">
        <v>46100</v>
      </c>
      <c r="B5579" t="s">
        <v>1958</v>
      </c>
      <c r="F5579">
        <v>1</v>
      </c>
      <c r="G5579" t="s">
        <v>64</v>
      </c>
      <c r="L5579" t="s">
        <v>82</v>
      </c>
      <c r="M5579" t="s">
        <v>4645</v>
      </c>
    </row>
    <row r="5580" spans="1:13">
      <c r="A5580">
        <v>46100</v>
      </c>
      <c r="B5580" t="s">
        <v>63</v>
      </c>
      <c r="D5580">
        <v>24500</v>
      </c>
      <c r="F5580">
        <v>2</v>
      </c>
      <c r="G5580" t="s">
        <v>70</v>
      </c>
      <c r="I5580" t="s">
        <v>71</v>
      </c>
      <c r="J5580" t="s">
        <v>72</v>
      </c>
      <c r="K5580" t="s">
        <v>4683</v>
      </c>
      <c r="L5580" t="s">
        <v>62</v>
      </c>
      <c r="M5580" t="s">
        <v>4684</v>
      </c>
    </row>
    <row r="5581" spans="1:13">
      <c r="A5581">
        <v>46100</v>
      </c>
      <c r="B5581" t="s">
        <v>4685</v>
      </c>
      <c r="F5581">
        <v>1</v>
      </c>
      <c r="G5581" t="s">
        <v>64</v>
      </c>
      <c r="L5581" t="s">
        <v>86</v>
      </c>
      <c r="M5581" t="s">
        <v>96</v>
      </c>
    </row>
    <row r="5582" spans="1:13">
      <c r="A5582">
        <v>46100</v>
      </c>
      <c r="B5582" t="s">
        <v>4686</v>
      </c>
      <c r="F5582">
        <v>1</v>
      </c>
      <c r="G5582" t="s">
        <v>79</v>
      </c>
      <c r="H5582" t="s">
        <v>21</v>
      </c>
      <c r="L5582" t="s">
        <v>86</v>
      </c>
      <c r="M5582" t="s">
        <v>4687</v>
      </c>
    </row>
    <row r="5583" spans="1:13">
      <c r="A5583">
        <v>46100</v>
      </c>
      <c r="B5583" t="s">
        <v>4686</v>
      </c>
      <c r="D5583">
        <v>500</v>
      </c>
      <c r="F5583">
        <v>0</v>
      </c>
      <c r="G5583" t="s">
        <v>22</v>
      </c>
      <c r="H5583" t="s">
        <v>21</v>
      </c>
      <c r="I5583" t="s">
        <v>60</v>
      </c>
      <c r="J5583" t="s">
        <v>61</v>
      </c>
      <c r="L5583" t="s">
        <v>86</v>
      </c>
      <c r="M5583" t="s">
        <v>83</v>
      </c>
    </row>
    <row r="5584" spans="1:13">
      <c r="A5584">
        <v>46100</v>
      </c>
      <c r="B5584" t="s">
        <v>4688</v>
      </c>
      <c r="D5584">
        <v>500</v>
      </c>
      <c r="F5584">
        <v>1</v>
      </c>
      <c r="G5584" t="s">
        <v>22</v>
      </c>
      <c r="H5584" t="s">
        <v>21</v>
      </c>
      <c r="I5584" t="s">
        <v>60</v>
      </c>
      <c r="J5584" t="s">
        <v>61</v>
      </c>
      <c r="L5584" t="s">
        <v>86</v>
      </c>
    </row>
    <row r="5585" spans="1:13">
      <c r="A5585">
        <v>46100</v>
      </c>
      <c r="B5585" t="s">
        <v>63</v>
      </c>
      <c r="E5585">
        <v>200</v>
      </c>
      <c r="F5585">
        <v>1</v>
      </c>
      <c r="G5585" t="s">
        <v>65</v>
      </c>
      <c r="H5585" t="s">
        <v>66</v>
      </c>
      <c r="I5585" t="s">
        <v>60</v>
      </c>
      <c r="J5585" t="s">
        <v>61</v>
      </c>
      <c r="L5585" t="s">
        <v>62</v>
      </c>
      <c r="M5585" t="s">
        <v>4522</v>
      </c>
    </row>
    <row r="5586" spans="1:13">
      <c r="A5586">
        <v>46100</v>
      </c>
      <c r="B5586" t="s">
        <v>63</v>
      </c>
      <c r="E5586">
        <v>3000</v>
      </c>
      <c r="F5586">
        <v>1</v>
      </c>
      <c r="G5586" t="s">
        <v>65</v>
      </c>
      <c r="H5586" t="s">
        <v>66</v>
      </c>
      <c r="I5586" t="s">
        <v>60</v>
      </c>
      <c r="J5586" t="s">
        <v>61</v>
      </c>
      <c r="L5586" t="s">
        <v>62</v>
      </c>
      <c r="M5586" t="s">
        <v>3280</v>
      </c>
    </row>
    <row r="5587" spans="1:13">
      <c r="A5587">
        <v>46101</v>
      </c>
      <c r="B5587" t="s">
        <v>4689</v>
      </c>
      <c r="D5587">
        <v>500</v>
      </c>
      <c r="F5587">
        <v>0</v>
      </c>
      <c r="G5587" t="s">
        <v>22</v>
      </c>
      <c r="H5587" t="s">
        <v>21</v>
      </c>
      <c r="I5587" t="s">
        <v>60</v>
      </c>
      <c r="J5587" t="s">
        <v>61</v>
      </c>
      <c r="L5587" t="s">
        <v>86</v>
      </c>
      <c r="M5587" t="s">
        <v>83</v>
      </c>
    </row>
    <row r="5588" spans="1:13">
      <c r="A5588">
        <v>46101</v>
      </c>
      <c r="B5588" t="s">
        <v>4690</v>
      </c>
      <c r="D5588">
        <v>500</v>
      </c>
      <c r="F5588">
        <v>1</v>
      </c>
      <c r="G5588" t="s">
        <v>22</v>
      </c>
      <c r="H5588" t="s">
        <v>21</v>
      </c>
      <c r="I5588" t="s">
        <v>60</v>
      </c>
      <c r="J5588" t="s">
        <v>61</v>
      </c>
      <c r="L5588" t="s">
        <v>86</v>
      </c>
    </row>
    <row r="5589" spans="1:13">
      <c r="A5589">
        <v>46101</v>
      </c>
      <c r="B5589" t="s">
        <v>4691</v>
      </c>
      <c r="D5589">
        <v>500</v>
      </c>
      <c r="F5589">
        <v>1</v>
      </c>
      <c r="G5589" t="s">
        <v>22</v>
      </c>
      <c r="H5589" t="s">
        <v>21</v>
      </c>
      <c r="I5589" t="s">
        <v>60</v>
      </c>
      <c r="J5589" t="s">
        <v>61</v>
      </c>
      <c r="L5589" t="s">
        <v>86</v>
      </c>
    </row>
    <row r="5590" spans="1:13">
      <c r="A5590">
        <v>46101</v>
      </c>
      <c r="B5590" t="s">
        <v>4692</v>
      </c>
      <c r="F5590">
        <v>1</v>
      </c>
      <c r="G5590" t="s">
        <v>377</v>
      </c>
      <c r="H5590" t="s">
        <v>21</v>
      </c>
      <c r="L5590" t="s">
        <v>86</v>
      </c>
      <c r="M5590" t="s">
        <v>327</v>
      </c>
    </row>
    <row r="5591" spans="1:13">
      <c r="A5591">
        <v>46101</v>
      </c>
      <c r="B5591" t="s">
        <v>63</v>
      </c>
      <c r="D5591">
        <v>6000</v>
      </c>
      <c r="F5591">
        <v>1</v>
      </c>
      <c r="G5591" t="s">
        <v>70</v>
      </c>
      <c r="I5591" t="s">
        <v>71</v>
      </c>
      <c r="J5591" t="s">
        <v>72</v>
      </c>
      <c r="K5591" t="s">
        <v>4693</v>
      </c>
      <c r="L5591" t="s">
        <v>62</v>
      </c>
      <c r="M5591" t="s">
        <v>870</v>
      </c>
    </row>
    <row r="5592" spans="1:13">
      <c r="A5592">
        <v>46101</v>
      </c>
      <c r="B5592" t="s">
        <v>63</v>
      </c>
      <c r="D5592">
        <v>21500</v>
      </c>
      <c r="G5592" t="s">
        <v>70</v>
      </c>
      <c r="I5592" t="s">
        <v>60</v>
      </c>
      <c r="J5592" t="s">
        <v>61</v>
      </c>
      <c r="L5592" t="s">
        <v>62</v>
      </c>
    </row>
    <row r="5593" spans="1:13">
      <c r="A5593">
        <v>46101</v>
      </c>
      <c r="B5593" t="s">
        <v>4694</v>
      </c>
      <c r="D5593">
        <v>500</v>
      </c>
      <c r="F5593">
        <v>1</v>
      </c>
      <c r="G5593" t="s">
        <v>22</v>
      </c>
      <c r="H5593" t="s">
        <v>21</v>
      </c>
      <c r="I5593" t="s">
        <v>60</v>
      </c>
      <c r="J5593" t="s">
        <v>61</v>
      </c>
      <c r="L5593" t="s">
        <v>82</v>
      </c>
    </row>
    <row r="5594" spans="1:13">
      <c r="A5594">
        <v>46101</v>
      </c>
      <c r="B5594" t="s">
        <v>4695</v>
      </c>
      <c r="F5594">
        <v>1</v>
      </c>
      <c r="G5594" t="s">
        <v>64</v>
      </c>
      <c r="L5594" t="s">
        <v>82</v>
      </c>
      <c r="M5594" t="s">
        <v>96</v>
      </c>
    </row>
    <row r="5595" spans="1:13">
      <c r="A5595">
        <v>46101</v>
      </c>
      <c r="B5595" t="s">
        <v>4696</v>
      </c>
      <c r="F5595">
        <v>1</v>
      </c>
      <c r="G5595" t="s">
        <v>64</v>
      </c>
      <c r="L5595" t="s">
        <v>82</v>
      </c>
      <c r="M5595" t="s">
        <v>96</v>
      </c>
    </row>
    <row r="5596" spans="1:13">
      <c r="A5596">
        <v>46101</v>
      </c>
      <c r="B5596" t="s">
        <v>4697</v>
      </c>
      <c r="D5596">
        <v>500</v>
      </c>
      <c r="F5596">
        <v>1</v>
      </c>
      <c r="G5596" t="s">
        <v>22</v>
      </c>
      <c r="H5596" t="s">
        <v>21</v>
      </c>
      <c r="I5596" t="s">
        <v>60</v>
      </c>
      <c r="J5596" t="s">
        <v>61</v>
      </c>
      <c r="L5596" t="s">
        <v>82</v>
      </c>
    </row>
    <row r="5597" spans="1:13">
      <c r="A5597">
        <v>46101</v>
      </c>
      <c r="B5597" t="s">
        <v>4697</v>
      </c>
      <c r="F5597">
        <v>1</v>
      </c>
      <c r="G5597" t="s">
        <v>64</v>
      </c>
      <c r="L5597" t="s">
        <v>82</v>
      </c>
      <c r="M5597" t="s">
        <v>96</v>
      </c>
    </row>
    <row r="5598" spans="1:13">
      <c r="A5598">
        <v>46101</v>
      </c>
      <c r="B5598" t="s">
        <v>4698</v>
      </c>
      <c r="D5598">
        <v>500</v>
      </c>
      <c r="F5598">
        <v>1</v>
      </c>
      <c r="G5598" t="s">
        <v>22</v>
      </c>
      <c r="H5598" t="s">
        <v>21</v>
      </c>
      <c r="I5598" t="s">
        <v>60</v>
      </c>
      <c r="J5598" t="s">
        <v>61</v>
      </c>
      <c r="L5598" t="s">
        <v>82</v>
      </c>
    </row>
    <row r="5599" spans="1:13">
      <c r="A5599">
        <v>46101</v>
      </c>
      <c r="B5599" t="s">
        <v>1773</v>
      </c>
      <c r="D5599">
        <v>500</v>
      </c>
      <c r="F5599">
        <v>0</v>
      </c>
      <c r="G5599" t="s">
        <v>22</v>
      </c>
      <c r="H5599" t="s">
        <v>21</v>
      </c>
      <c r="I5599" t="s">
        <v>60</v>
      </c>
      <c r="J5599" t="s">
        <v>61</v>
      </c>
      <c r="L5599" t="s">
        <v>82</v>
      </c>
      <c r="M5599" t="s">
        <v>83</v>
      </c>
    </row>
    <row r="5600" spans="1:13">
      <c r="A5600">
        <v>46101</v>
      </c>
      <c r="B5600" t="s">
        <v>63</v>
      </c>
      <c r="E5600">
        <v>3500</v>
      </c>
      <c r="F5600">
        <v>1</v>
      </c>
      <c r="G5600" t="s">
        <v>65</v>
      </c>
      <c r="H5600" t="s">
        <v>66</v>
      </c>
      <c r="I5600" t="s">
        <v>60</v>
      </c>
      <c r="J5600" t="s">
        <v>61</v>
      </c>
      <c r="L5600" t="s">
        <v>62</v>
      </c>
      <c r="M5600" t="s">
        <v>3280</v>
      </c>
    </row>
    <row r="5601" spans="1:13">
      <c r="A5601">
        <v>46102</v>
      </c>
      <c r="B5601" t="s">
        <v>4699</v>
      </c>
      <c r="F5601">
        <v>1</v>
      </c>
      <c r="G5601" t="s">
        <v>79</v>
      </c>
      <c r="H5601" t="s">
        <v>21</v>
      </c>
      <c r="L5601" t="s">
        <v>86</v>
      </c>
      <c r="M5601" t="s">
        <v>327</v>
      </c>
    </row>
    <row r="5602" spans="1:13">
      <c r="A5602">
        <v>46102</v>
      </c>
      <c r="B5602" t="s">
        <v>4700</v>
      </c>
      <c r="D5602">
        <v>500</v>
      </c>
      <c r="F5602">
        <v>0</v>
      </c>
      <c r="G5602" t="s">
        <v>22</v>
      </c>
      <c r="H5602" t="s">
        <v>21</v>
      </c>
      <c r="I5602" t="s">
        <v>60</v>
      </c>
      <c r="J5602" t="s">
        <v>61</v>
      </c>
      <c r="L5602" t="s">
        <v>86</v>
      </c>
      <c r="M5602" t="s">
        <v>83</v>
      </c>
    </row>
    <row r="5603" spans="1:13">
      <c r="A5603">
        <v>46102</v>
      </c>
      <c r="B5603" t="s">
        <v>4701</v>
      </c>
      <c r="D5603">
        <v>500</v>
      </c>
      <c r="F5603">
        <v>1</v>
      </c>
      <c r="G5603" t="s">
        <v>22</v>
      </c>
      <c r="H5603" t="s">
        <v>21</v>
      </c>
      <c r="I5603" t="s">
        <v>60</v>
      </c>
      <c r="J5603" t="s">
        <v>61</v>
      </c>
      <c r="L5603" t="s">
        <v>86</v>
      </c>
    </row>
    <row r="5604" spans="1:13">
      <c r="A5604">
        <v>46102</v>
      </c>
      <c r="B5604" t="s">
        <v>4702</v>
      </c>
      <c r="F5604">
        <v>1</v>
      </c>
      <c r="G5604" t="s">
        <v>64</v>
      </c>
      <c r="L5604" t="s">
        <v>86</v>
      </c>
      <c r="M5604" t="s">
        <v>4703</v>
      </c>
    </row>
    <row r="5605" spans="1:13">
      <c r="A5605">
        <v>46102</v>
      </c>
      <c r="B5605" t="s">
        <v>4702</v>
      </c>
      <c r="D5605">
        <v>500</v>
      </c>
      <c r="F5605">
        <v>1</v>
      </c>
      <c r="G5605" t="s">
        <v>22</v>
      </c>
      <c r="H5605" t="s">
        <v>21</v>
      </c>
      <c r="I5605" t="s">
        <v>60</v>
      </c>
      <c r="J5605" t="s">
        <v>61</v>
      </c>
      <c r="L5605" t="s">
        <v>86</v>
      </c>
    </row>
    <row r="5606" spans="1:13">
      <c r="A5606">
        <v>46102</v>
      </c>
      <c r="B5606" t="s">
        <v>4704</v>
      </c>
      <c r="F5606">
        <v>1</v>
      </c>
      <c r="G5606" t="s">
        <v>377</v>
      </c>
      <c r="H5606" t="s">
        <v>21</v>
      </c>
      <c r="L5606" t="s">
        <v>86</v>
      </c>
      <c r="M5606" t="s">
        <v>327</v>
      </c>
    </row>
    <row r="5607" spans="1:13">
      <c r="A5607">
        <v>46102</v>
      </c>
      <c r="B5607" t="s">
        <v>4705</v>
      </c>
      <c r="F5607">
        <v>1</v>
      </c>
      <c r="G5607" t="s">
        <v>64</v>
      </c>
      <c r="L5607" t="s">
        <v>86</v>
      </c>
      <c r="M5607" t="s">
        <v>96</v>
      </c>
    </row>
    <row r="5608" spans="1:13">
      <c r="A5608">
        <v>46102</v>
      </c>
      <c r="B5608" t="s">
        <v>4705</v>
      </c>
      <c r="D5608">
        <v>500</v>
      </c>
      <c r="F5608">
        <v>1</v>
      </c>
      <c r="G5608" t="s">
        <v>22</v>
      </c>
      <c r="H5608" t="s">
        <v>21</v>
      </c>
      <c r="I5608" t="s">
        <v>60</v>
      </c>
      <c r="J5608" t="s">
        <v>61</v>
      </c>
      <c r="L5608" t="s">
        <v>86</v>
      </c>
    </row>
    <row r="5609" spans="1:13">
      <c r="A5609">
        <v>46102</v>
      </c>
      <c r="B5609" t="s">
        <v>63</v>
      </c>
      <c r="E5609">
        <v>2000</v>
      </c>
      <c r="F5609">
        <v>1</v>
      </c>
      <c r="G5609" t="s">
        <v>65</v>
      </c>
      <c r="H5609" t="s">
        <v>66</v>
      </c>
      <c r="I5609" t="s">
        <v>60</v>
      </c>
      <c r="J5609" t="s">
        <v>61</v>
      </c>
      <c r="L5609" t="s">
        <v>62</v>
      </c>
      <c r="M5609" t="s">
        <v>3280</v>
      </c>
    </row>
    <row r="5610" spans="1:13">
      <c r="A5610">
        <v>46103</v>
      </c>
      <c r="B5610" t="s">
        <v>4706</v>
      </c>
      <c r="F5610">
        <v>1</v>
      </c>
      <c r="G5610" t="s">
        <v>64</v>
      </c>
      <c r="L5610" t="s">
        <v>82</v>
      </c>
      <c r="M5610" t="s">
        <v>4707</v>
      </c>
    </row>
    <row r="5611" spans="1:13">
      <c r="A5611">
        <v>46103</v>
      </c>
      <c r="B5611" t="s">
        <v>4708</v>
      </c>
      <c r="F5611">
        <v>1</v>
      </c>
      <c r="G5611" t="s">
        <v>79</v>
      </c>
      <c r="H5611" t="s">
        <v>21</v>
      </c>
      <c r="L5611" t="s">
        <v>82</v>
      </c>
      <c r="M5611" t="s">
        <v>327</v>
      </c>
    </row>
    <row r="5612" spans="1:13">
      <c r="A5612">
        <v>46103</v>
      </c>
      <c r="B5612" t="s">
        <v>4708</v>
      </c>
      <c r="D5612">
        <v>500</v>
      </c>
      <c r="F5612">
        <v>0</v>
      </c>
      <c r="G5612" t="s">
        <v>22</v>
      </c>
      <c r="H5612" t="s">
        <v>21</v>
      </c>
      <c r="I5612" t="s">
        <v>60</v>
      </c>
      <c r="J5612" t="s">
        <v>61</v>
      </c>
      <c r="L5612" t="s">
        <v>82</v>
      </c>
      <c r="M5612" t="s">
        <v>83</v>
      </c>
    </row>
    <row r="5613" spans="1:13">
      <c r="A5613">
        <v>46103</v>
      </c>
      <c r="B5613" t="s">
        <v>4709</v>
      </c>
      <c r="D5613">
        <v>500</v>
      </c>
      <c r="F5613">
        <v>1</v>
      </c>
      <c r="G5613" t="s">
        <v>22</v>
      </c>
      <c r="H5613" t="s">
        <v>21</v>
      </c>
      <c r="I5613" t="s">
        <v>60</v>
      </c>
      <c r="J5613" t="s">
        <v>61</v>
      </c>
      <c r="L5613" t="s">
        <v>82</v>
      </c>
    </row>
    <row r="5614" spans="1:13">
      <c r="A5614">
        <v>46103</v>
      </c>
      <c r="B5614" t="s">
        <v>4709</v>
      </c>
      <c r="F5614">
        <v>1</v>
      </c>
      <c r="G5614" t="s">
        <v>64</v>
      </c>
      <c r="L5614" t="s">
        <v>82</v>
      </c>
      <c r="M5614" t="s">
        <v>96</v>
      </c>
    </row>
    <row r="5615" spans="1:13">
      <c r="A5615">
        <v>46103</v>
      </c>
      <c r="B5615" t="s">
        <v>4710</v>
      </c>
      <c r="F5615">
        <v>1</v>
      </c>
      <c r="G5615" t="s">
        <v>79</v>
      </c>
      <c r="H5615" t="s">
        <v>21</v>
      </c>
      <c r="L5615" t="s">
        <v>82</v>
      </c>
      <c r="M5615" t="s">
        <v>327</v>
      </c>
    </row>
    <row r="5616" spans="1:13">
      <c r="A5616">
        <v>46103</v>
      </c>
      <c r="B5616" t="s">
        <v>63</v>
      </c>
      <c r="D5616">
        <v>14000</v>
      </c>
      <c r="G5616" t="s">
        <v>70</v>
      </c>
      <c r="I5616" t="s">
        <v>60</v>
      </c>
      <c r="J5616" t="s">
        <v>61</v>
      </c>
      <c r="L5616" t="s">
        <v>62</v>
      </c>
    </row>
    <row r="5617" spans="1:13">
      <c r="A5617">
        <v>46103</v>
      </c>
      <c r="B5617" t="s">
        <v>63</v>
      </c>
      <c r="E5617">
        <v>1000</v>
      </c>
      <c r="F5617">
        <v>1</v>
      </c>
      <c r="G5617" t="s">
        <v>65</v>
      </c>
      <c r="H5617" t="s">
        <v>66</v>
      </c>
      <c r="I5617" t="s">
        <v>60</v>
      </c>
      <c r="J5617" t="s">
        <v>61</v>
      </c>
      <c r="L5617" t="s">
        <v>62</v>
      </c>
      <c r="M5617" t="s">
        <v>3280</v>
      </c>
    </row>
    <row r="5618" spans="1:13">
      <c r="A5618">
        <v>46104</v>
      </c>
      <c r="B5618" t="s">
        <v>285</v>
      </c>
      <c r="D5618">
        <v>500</v>
      </c>
      <c r="F5618">
        <v>1</v>
      </c>
      <c r="G5618" t="s">
        <v>22</v>
      </c>
      <c r="H5618" t="s">
        <v>21</v>
      </c>
      <c r="I5618" t="s">
        <v>60</v>
      </c>
      <c r="J5618" t="s">
        <v>61</v>
      </c>
      <c r="L5618" t="s">
        <v>89</v>
      </c>
    </row>
    <row r="5619" spans="1:13">
      <c r="A5619">
        <v>46104</v>
      </c>
      <c r="B5619" t="s">
        <v>4711</v>
      </c>
      <c r="D5619">
        <v>500</v>
      </c>
      <c r="F5619">
        <v>1</v>
      </c>
      <c r="G5619" t="s">
        <v>22</v>
      </c>
      <c r="H5619" t="s">
        <v>21</v>
      </c>
      <c r="I5619" t="s">
        <v>60</v>
      </c>
      <c r="J5619" t="s">
        <v>61</v>
      </c>
      <c r="L5619" t="s">
        <v>89</v>
      </c>
    </row>
    <row r="5620" spans="1:13">
      <c r="A5620">
        <v>46104</v>
      </c>
      <c r="B5620" t="s">
        <v>4712</v>
      </c>
      <c r="F5620">
        <v>1</v>
      </c>
      <c r="G5620" t="s">
        <v>79</v>
      </c>
      <c r="H5620" t="s">
        <v>21</v>
      </c>
      <c r="L5620" t="s">
        <v>82</v>
      </c>
      <c r="M5620" t="s">
        <v>327</v>
      </c>
    </row>
    <row r="5621" spans="1:13">
      <c r="A5621">
        <v>46104</v>
      </c>
      <c r="B5621" t="s">
        <v>4713</v>
      </c>
      <c r="F5621">
        <v>1</v>
      </c>
      <c r="G5621" t="s">
        <v>79</v>
      </c>
      <c r="H5621" t="s">
        <v>21</v>
      </c>
      <c r="L5621" t="s">
        <v>89</v>
      </c>
      <c r="M5621" t="s">
        <v>327</v>
      </c>
    </row>
    <row r="5622" spans="1:13">
      <c r="A5622">
        <v>46104</v>
      </c>
      <c r="B5622" t="s">
        <v>4713</v>
      </c>
      <c r="D5622">
        <v>500</v>
      </c>
      <c r="F5622">
        <v>1</v>
      </c>
      <c r="G5622" t="s">
        <v>22</v>
      </c>
      <c r="H5622" t="s">
        <v>21</v>
      </c>
      <c r="I5622" t="s">
        <v>60</v>
      </c>
      <c r="J5622" t="s">
        <v>61</v>
      </c>
      <c r="L5622" t="s">
        <v>89</v>
      </c>
    </row>
    <row r="5623" spans="1:13">
      <c r="A5623">
        <v>46104</v>
      </c>
      <c r="B5623" t="s">
        <v>4714</v>
      </c>
      <c r="D5623">
        <v>500</v>
      </c>
      <c r="F5623">
        <v>1</v>
      </c>
      <c r="G5623" t="s">
        <v>22</v>
      </c>
      <c r="H5623" t="s">
        <v>21</v>
      </c>
      <c r="I5623" t="s">
        <v>60</v>
      </c>
      <c r="J5623" t="s">
        <v>61</v>
      </c>
      <c r="L5623" t="s">
        <v>82</v>
      </c>
    </row>
    <row r="5624" spans="1:13">
      <c r="A5624">
        <v>46104</v>
      </c>
      <c r="B5624" t="s">
        <v>4715</v>
      </c>
      <c r="D5624">
        <v>500</v>
      </c>
      <c r="F5624">
        <v>1</v>
      </c>
      <c r="G5624" t="s">
        <v>22</v>
      </c>
      <c r="H5624" t="s">
        <v>21</v>
      </c>
      <c r="I5624" t="s">
        <v>60</v>
      </c>
      <c r="J5624" t="s">
        <v>61</v>
      </c>
      <c r="L5624" t="s">
        <v>82</v>
      </c>
    </row>
    <row r="5625" spans="1:13">
      <c r="A5625">
        <v>46104</v>
      </c>
      <c r="B5625" t="s">
        <v>4716</v>
      </c>
      <c r="F5625">
        <v>1</v>
      </c>
      <c r="G5625" t="s">
        <v>64</v>
      </c>
      <c r="L5625" t="s">
        <v>82</v>
      </c>
      <c r="M5625" t="s">
        <v>96</v>
      </c>
    </row>
    <row r="5626" spans="1:13">
      <c r="A5626">
        <v>46104</v>
      </c>
      <c r="B5626" t="s">
        <v>4717</v>
      </c>
      <c r="D5626">
        <v>500</v>
      </c>
      <c r="F5626">
        <v>1</v>
      </c>
      <c r="G5626" t="s">
        <v>22</v>
      </c>
      <c r="H5626" t="s">
        <v>21</v>
      </c>
      <c r="I5626" t="s">
        <v>60</v>
      </c>
      <c r="J5626" t="s">
        <v>61</v>
      </c>
      <c r="L5626" t="s">
        <v>82</v>
      </c>
    </row>
    <row r="5627" spans="1:13">
      <c r="A5627">
        <v>46104</v>
      </c>
      <c r="B5627" t="s">
        <v>76</v>
      </c>
      <c r="D5627">
        <v>9000</v>
      </c>
      <c r="G5627" t="s">
        <v>77</v>
      </c>
      <c r="I5627" t="s">
        <v>60</v>
      </c>
      <c r="J5627" t="s">
        <v>61</v>
      </c>
      <c r="L5627" t="s">
        <v>62</v>
      </c>
    </row>
    <row r="5628" spans="1:13">
      <c r="A5628">
        <v>46104</v>
      </c>
      <c r="B5628" t="s">
        <v>4718</v>
      </c>
      <c r="F5628">
        <v>1</v>
      </c>
      <c r="G5628" t="s">
        <v>64</v>
      </c>
      <c r="L5628" t="s">
        <v>82</v>
      </c>
      <c r="M5628" t="s">
        <v>96</v>
      </c>
    </row>
    <row r="5629" spans="1:13">
      <c r="A5629">
        <v>46104</v>
      </c>
      <c r="B5629" t="s">
        <v>63</v>
      </c>
      <c r="D5629">
        <v>8000</v>
      </c>
      <c r="G5629" t="s">
        <v>70</v>
      </c>
      <c r="I5629" t="s">
        <v>60</v>
      </c>
      <c r="J5629" t="s">
        <v>61</v>
      </c>
      <c r="L5629" t="s">
        <v>62</v>
      </c>
    </row>
    <row r="5630" spans="1:13">
      <c r="A5630">
        <v>46104</v>
      </c>
      <c r="B5630" t="s">
        <v>63</v>
      </c>
      <c r="E5630">
        <v>3000</v>
      </c>
      <c r="F5630">
        <v>1</v>
      </c>
      <c r="G5630" t="s">
        <v>65</v>
      </c>
      <c r="H5630" t="s">
        <v>66</v>
      </c>
      <c r="I5630" t="s">
        <v>60</v>
      </c>
      <c r="J5630" t="s">
        <v>61</v>
      </c>
      <c r="L5630" t="s">
        <v>62</v>
      </c>
      <c r="M5630" t="s">
        <v>3280</v>
      </c>
    </row>
    <row r="5631" spans="1:13">
      <c r="A5631">
        <v>46104</v>
      </c>
      <c r="B5631" t="s">
        <v>546</v>
      </c>
      <c r="C5631" t="s">
        <v>4719</v>
      </c>
      <c r="F5631">
        <v>-1000</v>
      </c>
      <c r="G5631" t="s">
        <v>22</v>
      </c>
      <c r="H5631" t="s">
        <v>21</v>
      </c>
      <c r="L5631" t="s">
        <v>4720</v>
      </c>
    </row>
    <row r="5632" spans="1:13">
      <c r="A5632">
        <v>46104</v>
      </c>
      <c r="B5632" t="s">
        <v>3988</v>
      </c>
      <c r="C5632" t="s">
        <v>4721</v>
      </c>
      <c r="F5632">
        <v>21</v>
      </c>
      <c r="G5632" t="s">
        <v>22</v>
      </c>
      <c r="H5632" t="s">
        <v>21</v>
      </c>
      <c r="L5632" t="s">
        <v>95</v>
      </c>
    </row>
    <row r="5633" spans="1:13">
      <c r="A5633">
        <v>46105</v>
      </c>
      <c r="B5633" t="s">
        <v>4040</v>
      </c>
      <c r="D5633">
        <v>500</v>
      </c>
      <c r="F5633">
        <v>1</v>
      </c>
      <c r="G5633" t="s">
        <v>22</v>
      </c>
      <c r="H5633" t="s">
        <v>21</v>
      </c>
      <c r="I5633" t="s">
        <v>60</v>
      </c>
      <c r="J5633" t="s">
        <v>61</v>
      </c>
      <c r="L5633" t="s">
        <v>86</v>
      </c>
    </row>
    <row r="5634" spans="1:13">
      <c r="A5634">
        <v>46105</v>
      </c>
      <c r="B5634" t="s">
        <v>4722</v>
      </c>
      <c r="F5634">
        <v>1</v>
      </c>
      <c r="G5634" t="s">
        <v>64</v>
      </c>
      <c r="L5634" t="s">
        <v>86</v>
      </c>
      <c r="M5634" t="s">
        <v>3096</v>
      </c>
    </row>
    <row r="5635" spans="1:13">
      <c r="A5635">
        <v>46105</v>
      </c>
      <c r="B5635" t="s">
        <v>4723</v>
      </c>
      <c r="F5635">
        <v>1</v>
      </c>
      <c r="G5635" t="s">
        <v>750</v>
      </c>
      <c r="H5635" t="s">
        <v>21</v>
      </c>
      <c r="L5635" t="s">
        <v>86</v>
      </c>
      <c r="M5635" t="s">
        <v>327</v>
      </c>
    </row>
    <row r="5636" spans="1:13">
      <c r="A5636">
        <v>46105</v>
      </c>
      <c r="B5636" t="s">
        <v>4724</v>
      </c>
      <c r="F5636">
        <v>1</v>
      </c>
      <c r="G5636" t="s">
        <v>64</v>
      </c>
      <c r="L5636" t="s">
        <v>89</v>
      </c>
      <c r="M5636" t="s">
        <v>4725</v>
      </c>
    </row>
    <row r="5637" spans="1:13">
      <c r="A5637">
        <v>46105</v>
      </c>
      <c r="B5637" t="s">
        <v>4726</v>
      </c>
      <c r="F5637">
        <v>1</v>
      </c>
      <c r="G5637" t="s">
        <v>79</v>
      </c>
      <c r="H5637" t="s">
        <v>21</v>
      </c>
      <c r="L5637" t="s">
        <v>89</v>
      </c>
      <c r="M5637" t="s">
        <v>327</v>
      </c>
    </row>
    <row r="5638" spans="1:13">
      <c r="A5638">
        <v>46105</v>
      </c>
      <c r="B5638" t="s">
        <v>4727</v>
      </c>
      <c r="F5638">
        <v>1</v>
      </c>
      <c r="G5638" t="s">
        <v>79</v>
      </c>
      <c r="H5638" t="s">
        <v>21</v>
      </c>
      <c r="L5638" t="s">
        <v>89</v>
      </c>
      <c r="M5638" t="s">
        <v>327</v>
      </c>
    </row>
    <row r="5639" spans="1:13">
      <c r="A5639">
        <v>46105</v>
      </c>
      <c r="B5639" t="s">
        <v>4728</v>
      </c>
      <c r="F5639">
        <v>1</v>
      </c>
      <c r="G5639" t="s">
        <v>22</v>
      </c>
      <c r="H5639" t="s">
        <v>21</v>
      </c>
      <c r="L5639" t="s">
        <v>101</v>
      </c>
      <c r="M5639" t="s">
        <v>4544</v>
      </c>
    </row>
    <row r="5640" spans="1:13">
      <c r="A5640">
        <v>46105</v>
      </c>
      <c r="B5640" t="s">
        <v>63</v>
      </c>
      <c r="D5640">
        <v>24500</v>
      </c>
      <c r="G5640" t="s">
        <v>70</v>
      </c>
      <c r="I5640" t="s">
        <v>60</v>
      </c>
      <c r="J5640" t="s">
        <v>61</v>
      </c>
      <c r="L5640" t="s">
        <v>62</v>
      </c>
    </row>
    <row r="5641" spans="1:13">
      <c r="A5641">
        <v>46105</v>
      </c>
      <c r="B5641" t="s">
        <v>80</v>
      </c>
      <c r="E5641">
        <v>16291</v>
      </c>
      <c r="F5641">
        <v>1</v>
      </c>
      <c r="G5641" t="s">
        <v>74</v>
      </c>
      <c r="H5641" t="s">
        <v>75</v>
      </c>
      <c r="I5641" t="s">
        <v>60</v>
      </c>
      <c r="J5641" t="s">
        <v>61</v>
      </c>
      <c r="L5641" t="s">
        <v>4275</v>
      </c>
    </row>
    <row r="5642" spans="1:13">
      <c r="A5642">
        <v>46105</v>
      </c>
      <c r="B5642" t="s">
        <v>80</v>
      </c>
      <c r="E5642">
        <v>209</v>
      </c>
      <c r="F5642">
        <v>1</v>
      </c>
      <c r="G5642" t="s">
        <v>65</v>
      </c>
      <c r="H5642" t="s">
        <v>66</v>
      </c>
      <c r="I5642" t="s">
        <v>60</v>
      </c>
      <c r="J5642" t="s">
        <v>61</v>
      </c>
      <c r="L5642" t="s">
        <v>4275</v>
      </c>
    </row>
    <row r="5643" spans="1:13">
      <c r="A5643">
        <v>46105</v>
      </c>
      <c r="B5643" t="s">
        <v>63</v>
      </c>
      <c r="E5643">
        <v>1000</v>
      </c>
      <c r="F5643">
        <v>1</v>
      </c>
      <c r="G5643" t="s">
        <v>65</v>
      </c>
      <c r="H5643" t="s">
        <v>66</v>
      </c>
      <c r="I5643" t="s">
        <v>60</v>
      </c>
      <c r="J5643" t="s">
        <v>61</v>
      </c>
      <c r="L5643" t="s">
        <v>62</v>
      </c>
      <c r="M5643" t="s">
        <v>3280</v>
      </c>
    </row>
    <row r="5644" spans="1:13">
      <c r="A5644">
        <v>46106</v>
      </c>
      <c r="B5644" t="s">
        <v>81</v>
      </c>
      <c r="D5644">
        <v>19000</v>
      </c>
      <c r="F5644">
        <v>1</v>
      </c>
      <c r="G5644" t="s">
        <v>74</v>
      </c>
      <c r="H5644" t="s">
        <v>75</v>
      </c>
      <c r="I5644" t="s">
        <v>60</v>
      </c>
      <c r="J5644" t="s">
        <v>61</v>
      </c>
      <c r="L5644" t="s">
        <v>88</v>
      </c>
    </row>
    <row r="5645" spans="1:13">
      <c r="A5645">
        <v>46106</v>
      </c>
      <c r="B5645" t="s">
        <v>4724</v>
      </c>
      <c r="D5645">
        <v>500</v>
      </c>
      <c r="F5645">
        <v>1</v>
      </c>
      <c r="G5645" t="s">
        <v>22</v>
      </c>
      <c r="H5645" t="s">
        <v>21</v>
      </c>
      <c r="I5645" t="s">
        <v>60</v>
      </c>
      <c r="J5645" t="s">
        <v>61</v>
      </c>
      <c r="L5645" t="s">
        <v>89</v>
      </c>
    </row>
    <row r="5646" spans="1:13">
      <c r="A5646">
        <v>46106</v>
      </c>
      <c r="B5646" t="s">
        <v>63</v>
      </c>
      <c r="D5646">
        <v>93000</v>
      </c>
      <c r="G5646" t="s">
        <v>70</v>
      </c>
      <c r="I5646" t="s">
        <v>60</v>
      </c>
      <c r="J5646" t="s">
        <v>61</v>
      </c>
      <c r="L5646" t="s">
        <v>62</v>
      </c>
    </row>
    <row r="5647" spans="1:13">
      <c r="A5647">
        <v>46106</v>
      </c>
      <c r="B5647" t="s">
        <v>4729</v>
      </c>
      <c r="D5647">
        <v>500</v>
      </c>
      <c r="F5647">
        <v>1</v>
      </c>
      <c r="G5647" t="s">
        <v>22</v>
      </c>
      <c r="H5647" t="s">
        <v>21</v>
      </c>
      <c r="I5647" t="s">
        <v>60</v>
      </c>
      <c r="J5647" t="s">
        <v>61</v>
      </c>
      <c r="L5647" t="s">
        <v>86</v>
      </c>
    </row>
    <row r="5648" spans="1:13">
      <c r="A5648">
        <v>46106</v>
      </c>
      <c r="B5648" t="s">
        <v>4729</v>
      </c>
      <c r="F5648">
        <v>1</v>
      </c>
      <c r="G5648" t="s">
        <v>64</v>
      </c>
      <c r="L5648" t="s">
        <v>86</v>
      </c>
      <c r="M5648" t="s">
        <v>96</v>
      </c>
    </row>
    <row r="5649" spans="1:13">
      <c r="A5649">
        <v>46106</v>
      </c>
      <c r="B5649" t="s">
        <v>4334</v>
      </c>
      <c r="F5649">
        <v>-8</v>
      </c>
      <c r="G5649" t="s">
        <v>22</v>
      </c>
      <c r="H5649" t="s">
        <v>93</v>
      </c>
      <c r="L5649" t="s">
        <v>101</v>
      </c>
    </row>
    <row r="5650" spans="1:13">
      <c r="A5650">
        <v>46106</v>
      </c>
      <c r="B5650" t="s">
        <v>80</v>
      </c>
      <c r="E5650">
        <v>15798</v>
      </c>
      <c r="F5650">
        <v>1</v>
      </c>
      <c r="G5650" t="s">
        <v>74</v>
      </c>
      <c r="H5650" t="s">
        <v>75</v>
      </c>
      <c r="I5650" t="s">
        <v>60</v>
      </c>
      <c r="J5650" t="s">
        <v>61</v>
      </c>
      <c r="L5650" t="s">
        <v>305</v>
      </c>
    </row>
    <row r="5651" spans="1:13">
      <c r="A5651">
        <v>46106</v>
      </c>
      <c r="B5651" t="s">
        <v>80</v>
      </c>
      <c r="E5651">
        <v>202</v>
      </c>
      <c r="F5651">
        <v>1</v>
      </c>
      <c r="G5651" t="s">
        <v>65</v>
      </c>
      <c r="H5651" t="s">
        <v>66</v>
      </c>
      <c r="I5651" t="s">
        <v>60</v>
      </c>
      <c r="J5651" t="s">
        <v>61</v>
      </c>
      <c r="L5651" t="s">
        <v>4275</v>
      </c>
    </row>
    <row r="5652" spans="1:13">
      <c r="A5652">
        <v>46106</v>
      </c>
      <c r="B5652" t="s">
        <v>80</v>
      </c>
      <c r="E5652">
        <v>7899</v>
      </c>
      <c r="F5652">
        <v>1</v>
      </c>
      <c r="G5652" t="s">
        <v>74</v>
      </c>
      <c r="H5652" t="s">
        <v>75</v>
      </c>
      <c r="I5652" t="s">
        <v>60</v>
      </c>
      <c r="J5652" t="s">
        <v>61</v>
      </c>
      <c r="L5652" t="s">
        <v>4275</v>
      </c>
    </row>
    <row r="5653" spans="1:13">
      <c r="A5653">
        <v>46106</v>
      </c>
      <c r="B5653" t="s">
        <v>80</v>
      </c>
      <c r="E5653">
        <v>101</v>
      </c>
      <c r="F5653">
        <v>1</v>
      </c>
      <c r="G5653" t="s">
        <v>65</v>
      </c>
      <c r="H5653" t="s">
        <v>66</v>
      </c>
      <c r="I5653" t="s">
        <v>60</v>
      </c>
      <c r="J5653" t="s">
        <v>61</v>
      </c>
      <c r="L5653" t="s">
        <v>4275</v>
      </c>
    </row>
    <row r="5654" spans="1:13">
      <c r="A5654">
        <v>46106</v>
      </c>
      <c r="B5654" t="s">
        <v>4730</v>
      </c>
      <c r="F5654">
        <v>1</v>
      </c>
      <c r="G5654" t="s">
        <v>79</v>
      </c>
      <c r="H5654" t="s">
        <v>21</v>
      </c>
      <c r="L5654" t="s">
        <v>82</v>
      </c>
      <c r="M5654" t="s">
        <v>327</v>
      </c>
    </row>
    <row r="5655" spans="1:13">
      <c r="A5655">
        <v>46106</v>
      </c>
      <c r="B5655" t="s">
        <v>4731</v>
      </c>
      <c r="D5655">
        <v>500</v>
      </c>
      <c r="F5655">
        <v>1</v>
      </c>
      <c r="G5655" t="s">
        <v>22</v>
      </c>
      <c r="H5655" t="s">
        <v>21</v>
      </c>
      <c r="I5655" t="s">
        <v>60</v>
      </c>
      <c r="J5655" t="s">
        <v>61</v>
      </c>
      <c r="L5655" t="s">
        <v>86</v>
      </c>
    </row>
    <row r="5656" spans="1:13">
      <c r="A5656">
        <v>46106</v>
      </c>
      <c r="B5656" t="s">
        <v>4732</v>
      </c>
      <c r="D5656">
        <v>500</v>
      </c>
      <c r="F5656">
        <v>0</v>
      </c>
      <c r="G5656" t="s">
        <v>22</v>
      </c>
      <c r="H5656" t="s">
        <v>21</v>
      </c>
      <c r="I5656" t="s">
        <v>60</v>
      </c>
      <c r="J5656" t="s">
        <v>61</v>
      </c>
      <c r="L5656" t="s">
        <v>82</v>
      </c>
      <c r="M5656" t="s">
        <v>83</v>
      </c>
    </row>
    <row r="5657" spans="1:13">
      <c r="A5657">
        <v>46106</v>
      </c>
      <c r="B5657" t="s">
        <v>4733</v>
      </c>
      <c r="F5657">
        <v>1</v>
      </c>
      <c r="G5657" t="s">
        <v>99</v>
      </c>
      <c r="H5657" t="s">
        <v>21</v>
      </c>
      <c r="L5657" t="s">
        <v>82</v>
      </c>
      <c r="M5657" t="s">
        <v>4734</v>
      </c>
    </row>
    <row r="5658" spans="1:13">
      <c r="A5658">
        <v>46106</v>
      </c>
      <c r="B5658" t="s">
        <v>4735</v>
      </c>
      <c r="F5658">
        <v>1</v>
      </c>
      <c r="G5658" t="s">
        <v>22</v>
      </c>
      <c r="H5658" t="s">
        <v>21</v>
      </c>
      <c r="L5658" t="s">
        <v>101</v>
      </c>
      <c r="M5658" t="s">
        <v>941</v>
      </c>
    </row>
    <row r="5659" spans="1:13">
      <c r="A5659">
        <v>46106</v>
      </c>
      <c r="B5659" t="s">
        <v>63</v>
      </c>
      <c r="D5659">
        <v>6500</v>
      </c>
      <c r="F5659">
        <v>1</v>
      </c>
      <c r="G5659" t="s">
        <v>70</v>
      </c>
      <c r="I5659" t="s">
        <v>71</v>
      </c>
      <c r="J5659" t="s">
        <v>72</v>
      </c>
      <c r="K5659" t="s">
        <v>4736</v>
      </c>
      <c r="L5659" t="s">
        <v>62</v>
      </c>
      <c r="M5659" t="s">
        <v>90</v>
      </c>
    </row>
    <row r="5660" spans="1:13">
      <c r="A5660">
        <v>46106</v>
      </c>
      <c r="B5660" t="s">
        <v>4714</v>
      </c>
      <c r="F5660">
        <v>1</v>
      </c>
      <c r="G5660" t="s">
        <v>64</v>
      </c>
      <c r="L5660" t="s">
        <v>82</v>
      </c>
      <c r="M5660" t="s">
        <v>96</v>
      </c>
    </row>
    <row r="5661" spans="1:13">
      <c r="A5661">
        <v>46106</v>
      </c>
      <c r="B5661" t="s">
        <v>4737</v>
      </c>
      <c r="F5661">
        <v>1</v>
      </c>
      <c r="G5661" t="s">
        <v>64</v>
      </c>
      <c r="L5661" t="s">
        <v>82</v>
      </c>
      <c r="M5661" t="s">
        <v>96</v>
      </c>
    </row>
    <row r="5662" spans="1:13">
      <c r="A5662">
        <v>46106</v>
      </c>
      <c r="B5662" t="s">
        <v>4738</v>
      </c>
      <c r="D5662">
        <v>500</v>
      </c>
      <c r="F5662">
        <v>1</v>
      </c>
      <c r="G5662" t="s">
        <v>22</v>
      </c>
      <c r="H5662" t="s">
        <v>21</v>
      </c>
      <c r="I5662" t="s">
        <v>60</v>
      </c>
      <c r="J5662" t="s">
        <v>61</v>
      </c>
      <c r="L5662" t="s">
        <v>82</v>
      </c>
    </row>
    <row r="5663" spans="1:13">
      <c r="A5663">
        <v>46106</v>
      </c>
      <c r="B5663" t="s">
        <v>63</v>
      </c>
      <c r="D5663">
        <v>200</v>
      </c>
      <c r="F5663">
        <v>2</v>
      </c>
      <c r="G5663" t="s">
        <v>22</v>
      </c>
      <c r="H5663" t="s">
        <v>93</v>
      </c>
      <c r="I5663" t="s">
        <v>60</v>
      </c>
      <c r="J5663" t="s">
        <v>61</v>
      </c>
      <c r="L5663" t="s">
        <v>62</v>
      </c>
    </row>
    <row r="5664" spans="1:13">
      <c r="A5664">
        <v>46106</v>
      </c>
      <c r="B5664" t="s">
        <v>76</v>
      </c>
      <c r="D5664">
        <v>11170</v>
      </c>
      <c r="G5664" t="s">
        <v>77</v>
      </c>
      <c r="I5664" t="s">
        <v>60</v>
      </c>
      <c r="J5664" t="s">
        <v>61</v>
      </c>
      <c r="L5664" t="s">
        <v>62</v>
      </c>
    </row>
    <row r="5665" spans="1:13">
      <c r="A5665">
        <v>46106</v>
      </c>
      <c r="B5665" t="s">
        <v>63</v>
      </c>
      <c r="E5665">
        <v>2500</v>
      </c>
      <c r="F5665">
        <v>1</v>
      </c>
      <c r="G5665" t="s">
        <v>65</v>
      </c>
      <c r="H5665" t="s">
        <v>66</v>
      </c>
      <c r="I5665" t="s">
        <v>60</v>
      </c>
      <c r="J5665" t="s">
        <v>61</v>
      </c>
      <c r="L5665" t="s">
        <v>62</v>
      </c>
      <c r="M5665" t="s">
        <v>3280</v>
      </c>
    </row>
    <row r="5666" spans="1:13">
      <c r="A5666">
        <v>46106</v>
      </c>
      <c r="B5666" t="s">
        <v>63</v>
      </c>
      <c r="E5666">
        <v>200</v>
      </c>
      <c r="F5666">
        <v>1</v>
      </c>
      <c r="G5666" t="s">
        <v>65</v>
      </c>
      <c r="H5666" t="s">
        <v>66</v>
      </c>
      <c r="I5666" t="s">
        <v>60</v>
      </c>
      <c r="J5666" t="s">
        <v>61</v>
      </c>
      <c r="L5666" t="s">
        <v>62</v>
      </c>
      <c r="M5666" t="s">
        <v>4522</v>
      </c>
    </row>
    <row r="5667" spans="1:13">
      <c r="A5667">
        <v>46106</v>
      </c>
      <c r="B5667" t="s">
        <v>4739</v>
      </c>
      <c r="F5667">
        <v>1</v>
      </c>
      <c r="G5667" t="s">
        <v>0</v>
      </c>
      <c r="L5667" t="s">
        <v>86</v>
      </c>
    </row>
    <row r="5668" spans="1:13">
      <c r="A5668">
        <v>46107</v>
      </c>
      <c r="B5668" t="s">
        <v>81</v>
      </c>
      <c r="D5668">
        <v>2000</v>
      </c>
      <c r="F5668">
        <v>1</v>
      </c>
      <c r="G5668" t="s">
        <v>74</v>
      </c>
      <c r="H5668" t="s">
        <v>75</v>
      </c>
      <c r="I5668" t="s">
        <v>60</v>
      </c>
      <c r="J5668" t="s">
        <v>61</v>
      </c>
      <c r="L5668" t="s">
        <v>88</v>
      </c>
    </row>
    <row r="5669" spans="1:13">
      <c r="A5669">
        <v>46107</v>
      </c>
      <c r="B5669" t="s">
        <v>63</v>
      </c>
      <c r="D5669">
        <v>12500</v>
      </c>
      <c r="F5669">
        <v>1</v>
      </c>
      <c r="G5669" t="s">
        <v>70</v>
      </c>
      <c r="I5669" t="s">
        <v>71</v>
      </c>
      <c r="J5669" t="s">
        <v>72</v>
      </c>
      <c r="K5669" t="s">
        <v>4740</v>
      </c>
      <c r="L5669" t="s">
        <v>62</v>
      </c>
      <c r="M5669" t="s">
        <v>90</v>
      </c>
    </row>
    <row r="5670" spans="1:13">
      <c r="A5670">
        <v>46107</v>
      </c>
      <c r="B5670" t="s">
        <v>63</v>
      </c>
      <c r="D5670">
        <v>8000</v>
      </c>
      <c r="G5670" t="s">
        <v>70</v>
      </c>
      <c r="I5670" t="s">
        <v>60</v>
      </c>
      <c r="J5670" t="s">
        <v>61</v>
      </c>
      <c r="L5670" t="s">
        <v>62</v>
      </c>
    </row>
    <row r="5671" spans="1:13">
      <c r="A5671">
        <v>46107</v>
      </c>
      <c r="B5671" t="s">
        <v>80</v>
      </c>
      <c r="E5671">
        <v>7899</v>
      </c>
      <c r="F5671">
        <v>1</v>
      </c>
      <c r="G5671" t="s">
        <v>74</v>
      </c>
      <c r="H5671" t="s">
        <v>75</v>
      </c>
      <c r="I5671" t="s">
        <v>60</v>
      </c>
      <c r="J5671" t="s">
        <v>61</v>
      </c>
      <c r="L5671" t="s">
        <v>4275</v>
      </c>
    </row>
    <row r="5672" spans="1:13">
      <c r="A5672">
        <v>46107</v>
      </c>
      <c r="B5672" t="s">
        <v>80</v>
      </c>
      <c r="E5672">
        <v>101</v>
      </c>
      <c r="F5672">
        <v>1</v>
      </c>
      <c r="G5672" t="s">
        <v>65</v>
      </c>
      <c r="H5672" t="s">
        <v>66</v>
      </c>
      <c r="I5672" t="s">
        <v>60</v>
      </c>
      <c r="J5672" t="s">
        <v>61</v>
      </c>
      <c r="L5672" t="s">
        <v>4275</v>
      </c>
    </row>
    <row r="5673" spans="1:13">
      <c r="A5673">
        <v>46107</v>
      </c>
      <c r="B5673" t="s">
        <v>4741</v>
      </c>
      <c r="F5673">
        <v>1</v>
      </c>
      <c r="G5673" t="s">
        <v>99</v>
      </c>
      <c r="H5673" t="s">
        <v>21</v>
      </c>
      <c r="L5673" t="s">
        <v>89</v>
      </c>
      <c r="M5673" t="s">
        <v>4734</v>
      </c>
    </row>
    <row r="5674" spans="1:13">
      <c r="A5674">
        <v>46107</v>
      </c>
      <c r="B5674" t="s">
        <v>4742</v>
      </c>
      <c r="D5674">
        <v>500</v>
      </c>
      <c r="F5674">
        <v>1</v>
      </c>
      <c r="G5674" t="s">
        <v>22</v>
      </c>
      <c r="H5674" t="s">
        <v>21</v>
      </c>
      <c r="I5674" t="s">
        <v>60</v>
      </c>
      <c r="J5674" t="s">
        <v>61</v>
      </c>
      <c r="L5674" t="s">
        <v>82</v>
      </c>
    </row>
    <row r="5675" spans="1:13">
      <c r="A5675">
        <v>46107</v>
      </c>
      <c r="B5675" t="s">
        <v>557</v>
      </c>
      <c r="D5675">
        <v>500</v>
      </c>
      <c r="F5675">
        <v>1</v>
      </c>
      <c r="G5675" t="s">
        <v>22</v>
      </c>
      <c r="H5675" t="s">
        <v>21</v>
      </c>
      <c r="I5675" t="s">
        <v>60</v>
      </c>
      <c r="J5675" t="s">
        <v>61</v>
      </c>
      <c r="L5675" t="s">
        <v>82</v>
      </c>
    </row>
    <row r="5676" spans="1:13">
      <c r="A5676">
        <v>46107</v>
      </c>
      <c r="B5676" t="s">
        <v>63</v>
      </c>
      <c r="D5676">
        <v>200</v>
      </c>
      <c r="F5676">
        <v>2</v>
      </c>
      <c r="G5676" t="s">
        <v>22</v>
      </c>
      <c r="H5676" t="s">
        <v>93</v>
      </c>
      <c r="I5676" t="s">
        <v>60</v>
      </c>
      <c r="J5676" t="s">
        <v>61</v>
      </c>
      <c r="L5676" t="s">
        <v>62</v>
      </c>
    </row>
    <row r="5677" spans="1:13">
      <c r="A5677">
        <v>46107</v>
      </c>
      <c r="B5677" t="s">
        <v>76</v>
      </c>
      <c r="D5677">
        <v>11170</v>
      </c>
      <c r="G5677" t="s">
        <v>77</v>
      </c>
      <c r="I5677" t="s">
        <v>60</v>
      </c>
      <c r="J5677" t="s">
        <v>61</v>
      </c>
      <c r="L5677" t="s">
        <v>62</v>
      </c>
    </row>
    <row r="5678" spans="1:13">
      <c r="A5678">
        <v>46107</v>
      </c>
      <c r="B5678" t="s">
        <v>63</v>
      </c>
      <c r="E5678">
        <v>1000</v>
      </c>
      <c r="F5678">
        <v>1</v>
      </c>
      <c r="G5678" t="s">
        <v>65</v>
      </c>
      <c r="H5678" t="s">
        <v>66</v>
      </c>
      <c r="I5678" t="s">
        <v>60</v>
      </c>
      <c r="J5678" t="s">
        <v>61</v>
      </c>
      <c r="L5678" t="s">
        <v>62</v>
      </c>
      <c r="M5678" t="s">
        <v>3280</v>
      </c>
    </row>
    <row r="5679" spans="1:13">
      <c r="A5679">
        <v>46107</v>
      </c>
      <c r="B5679" t="s">
        <v>63</v>
      </c>
      <c r="E5679">
        <v>200</v>
      </c>
      <c r="F5679">
        <v>1</v>
      </c>
      <c r="G5679" t="s">
        <v>65</v>
      </c>
      <c r="H5679" t="s">
        <v>66</v>
      </c>
      <c r="I5679" t="s">
        <v>60</v>
      </c>
      <c r="J5679" t="s">
        <v>61</v>
      </c>
      <c r="L5679" t="s">
        <v>62</v>
      </c>
      <c r="M5679" t="s">
        <v>4522</v>
      </c>
    </row>
    <row r="5680" spans="1:13">
      <c r="A5680">
        <v>46107</v>
      </c>
      <c r="B5680" t="s">
        <v>4743</v>
      </c>
      <c r="F5680">
        <v>1</v>
      </c>
      <c r="G5680" t="s">
        <v>0</v>
      </c>
      <c r="L5680" t="s">
        <v>82</v>
      </c>
    </row>
    <row r="5681" spans="1:13">
      <c r="A5681">
        <v>46108</v>
      </c>
      <c r="B5681" t="s">
        <v>4744</v>
      </c>
      <c r="F5681">
        <v>1</v>
      </c>
      <c r="G5681" t="s">
        <v>79</v>
      </c>
      <c r="H5681" t="s">
        <v>21</v>
      </c>
      <c r="L5681" t="s">
        <v>89</v>
      </c>
      <c r="M5681" t="s">
        <v>327</v>
      </c>
    </row>
    <row r="5682" spans="1:13">
      <c r="A5682">
        <v>46108</v>
      </c>
      <c r="B5682" t="s">
        <v>562</v>
      </c>
      <c r="D5682">
        <v>4000</v>
      </c>
      <c r="G5682" t="s">
        <v>77</v>
      </c>
      <c r="I5682" t="s">
        <v>60</v>
      </c>
      <c r="J5682" t="s">
        <v>61</v>
      </c>
      <c r="L5682" t="s">
        <v>62</v>
      </c>
    </row>
    <row r="5683" spans="1:13">
      <c r="A5683">
        <v>46108</v>
      </c>
      <c r="B5683" t="s">
        <v>4745</v>
      </c>
      <c r="F5683">
        <v>1</v>
      </c>
      <c r="G5683" t="s">
        <v>377</v>
      </c>
      <c r="H5683" t="s">
        <v>21</v>
      </c>
      <c r="L5683" t="s">
        <v>89</v>
      </c>
      <c r="M5683" t="s">
        <v>327</v>
      </c>
    </row>
    <row r="5684" spans="1:13">
      <c r="A5684">
        <v>46108</v>
      </c>
      <c r="B5684" t="s">
        <v>4746</v>
      </c>
      <c r="D5684">
        <v>500</v>
      </c>
      <c r="F5684">
        <v>1</v>
      </c>
      <c r="G5684" t="s">
        <v>22</v>
      </c>
      <c r="H5684" t="s">
        <v>21</v>
      </c>
      <c r="I5684" t="s">
        <v>60</v>
      </c>
      <c r="J5684" t="s">
        <v>61</v>
      </c>
      <c r="L5684" t="s">
        <v>89</v>
      </c>
    </row>
    <row r="5685" spans="1:13">
      <c r="A5685">
        <v>46108</v>
      </c>
      <c r="B5685" t="s">
        <v>3003</v>
      </c>
      <c r="D5685">
        <v>500</v>
      </c>
      <c r="F5685">
        <v>1</v>
      </c>
      <c r="G5685" t="s">
        <v>22</v>
      </c>
      <c r="H5685" t="s">
        <v>21</v>
      </c>
      <c r="I5685" t="s">
        <v>60</v>
      </c>
      <c r="J5685" t="s">
        <v>61</v>
      </c>
      <c r="L5685" t="s">
        <v>82</v>
      </c>
    </row>
    <row r="5686" spans="1:13">
      <c r="A5686">
        <v>46108</v>
      </c>
      <c r="B5686" t="s">
        <v>4747</v>
      </c>
      <c r="D5686">
        <v>500</v>
      </c>
      <c r="F5686">
        <v>1</v>
      </c>
      <c r="G5686" t="s">
        <v>22</v>
      </c>
      <c r="H5686" t="s">
        <v>21</v>
      </c>
      <c r="I5686" t="s">
        <v>60</v>
      </c>
      <c r="J5686" t="s">
        <v>61</v>
      </c>
      <c r="L5686" t="s">
        <v>82</v>
      </c>
    </row>
    <row r="5687" spans="1:13">
      <c r="A5687">
        <v>46108</v>
      </c>
      <c r="B5687" t="s">
        <v>4748</v>
      </c>
      <c r="F5687">
        <v>1</v>
      </c>
      <c r="G5687" t="s">
        <v>64</v>
      </c>
      <c r="L5687" t="s">
        <v>82</v>
      </c>
      <c r="M5687" t="s">
        <v>96</v>
      </c>
    </row>
    <row r="5688" spans="1:13">
      <c r="A5688">
        <v>46108</v>
      </c>
      <c r="B5688" t="s">
        <v>4749</v>
      </c>
      <c r="D5688">
        <v>500</v>
      </c>
      <c r="F5688">
        <v>1</v>
      </c>
      <c r="G5688" t="s">
        <v>22</v>
      </c>
      <c r="H5688" t="s">
        <v>21</v>
      </c>
      <c r="I5688" t="s">
        <v>60</v>
      </c>
      <c r="J5688" t="s">
        <v>61</v>
      </c>
      <c r="L5688" t="s">
        <v>82</v>
      </c>
    </row>
    <row r="5689" spans="1:13">
      <c r="A5689">
        <v>46108</v>
      </c>
      <c r="B5689" t="s">
        <v>63</v>
      </c>
      <c r="D5689">
        <v>34000</v>
      </c>
      <c r="G5689" t="s">
        <v>70</v>
      </c>
      <c r="I5689" t="s">
        <v>60</v>
      </c>
      <c r="J5689" t="s">
        <v>61</v>
      </c>
      <c r="L5689" t="s">
        <v>62</v>
      </c>
    </row>
    <row r="5690" spans="1:13">
      <c r="A5690">
        <v>46108</v>
      </c>
      <c r="B5690" t="s">
        <v>63</v>
      </c>
      <c r="E5690">
        <v>2000</v>
      </c>
      <c r="F5690">
        <v>1</v>
      </c>
      <c r="G5690" t="s">
        <v>65</v>
      </c>
      <c r="H5690" t="s">
        <v>66</v>
      </c>
      <c r="I5690" t="s">
        <v>60</v>
      </c>
      <c r="J5690" t="s">
        <v>61</v>
      </c>
      <c r="L5690" t="s">
        <v>62</v>
      </c>
      <c r="M5690" t="s">
        <v>3280</v>
      </c>
    </row>
    <row r="5691" spans="1:13">
      <c r="A5691">
        <v>46109</v>
      </c>
      <c r="B5691" t="s">
        <v>4750</v>
      </c>
      <c r="D5691">
        <v>500</v>
      </c>
      <c r="F5691">
        <v>0</v>
      </c>
      <c r="G5691" t="s">
        <v>22</v>
      </c>
      <c r="H5691" t="s">
        <v>21</v>
      </c>
      <c r="I5691" t="s">
        <v>60</v>
      </c>
      <c r="J5691" t="s">
        <v>61</v>
      </c>
      <c r="L5691" t="s">
        <v>82</v>
      </c>
      <c r="M5691" t="s">
        <v>83</v>
      </c>
    </row>
    <row r="5692" spans="1:13">
      <c r="A5692">
        <v>46109</v>
      </c>
      <c r="B5692" t="s">
        <v>4751</v>
      </c>
      <c r="D5692">
        <v>500</v>
      </c>
      <c r="F5692">
        <v>0</v>
      </c>
      <c r="G5692" t="s">
        <v>22</v>
      </c>
      <c r="H5692" t="s">
        <v>21</v>
      </c>
      <c r="I5692" t="s">
        <v>60</v>
      </c>
      <c r="J5692" t="s">
        <v>61</v>
      </c>
      <c r="L5692" t="s">
        <v>82</v>
      </c>
      <c r="M5692" t="s">
        <v>83</v>
      </c>
    </row>
    <row r="5693" spans="1:13">
      <c r="A5693">
        <v>46109</v>
      </c>
      <c r="B5693" t="s">
        <v>4752</v>
      </c>
      <c r="F5693">
        <v>1</v>
      </c>
      <c r="G5693" t="s">
        <v>99</v>
      </c>
      <c r="H5693" t="s">
        <v>21</v>
      </c>
      <c r="L5693" t="s">
        <v>82</v>
      </c>
      <c r="M5693" t="s">
        <v>4753</v>
      </c>
    </row>
    <row r="5694" spans="1:13">
      <c r="A5694">
        <v>46109</v>
      </c>
      <c r="B5694" t="s">
        <v>4754</v>
      </c>
      <c r="D5694">
        <v>500</v>
      </c>
      <c r="F5694">
        <v>0</v>
      </c>
      <c r="G5694" t="s">
        <v>22</v>
      </c>
      <c r="H5694" t="s">
        <v>21</v>
      </c>
      <c r="I5694" t="s">
        <v>60</v>
      </c>
      <c r="J5694" t="s">
        <v>61</v>
      </c>
      <c r="L5694" t="s">
        <v>82</v>
      </c>
      <c r="M5694" t="s">
        <v>83</v>
      </c>
    </row>
    <row r="5695" spans="1:13">
      <c r="A5695">
        <v>46109</v>
      </c>
      <c r="B5695" t="s">
        <v>4755</v>
      </c>
      <c r="D5695">
        <v>500</v>
      </c>
      <c r="F5695">
        <v>1</v>
      </c>
      <c r="G5695" t="s">
        <v>22</v>
      </c>
      <c r="H5695" t="s">
        <v>21</v>
      </c>
      <c r="I5695" t="s">
        <v>60</v>
      </c>
      <c r="J5695" t="s">
        <v>61</v>
      </c>
      <c r="L5695" t="s">
        <v>82</v>
      </c>
    </row>
    <row r="5696" spans="1:13">
      <c r="A5696">
        <v>46109</v>
      </c>
      <c r="B5696" t="s">
        <v>81</v>
      </c>
      <c r="D5696">
        <v>88000</v>
      </c>
      <c r="F5696">
        <v>1</v>
      </c>
      <c r="G5696" t="s">
        <v>74</v>
      </c>
      <c r="H5696" t="s">
        <v>75</v>
      </c>
      <c r="I5696" t="s">
        <v>60</v>
      </c>
      <c r="J5696" t="s">
        <v>61</v>
      </c>
      <c r="L5696" t="s">
        <v>88</v>
      </c>
    </row>
    <row r="5697" spans="1:13">
      <c r="A5697">
        <v>46109</v>
      </c>
      <c r="B5697" t="s">
        <v>559</v>
      </c>
      <c r="E5697">
        <v>8000</v>
      </c>
      <c r="F5697">
        <v>1</v>
      </c>
      <c r="G5697" t="s">
        <v>65</v>
      </c>
      <c r="H5697" t="s">
        <v>560</v>
      </c>
      <c r="I5697" t="s">
        <v>60</v>
      </c>
      <c r="J5697" t="s">
        <v>61</v>
      </c>
      <c r="L5697" t="s">
        <v>62</v>
      </c>
    </row>
    <row r="5698" spans="1:13">
      <c r="A5698">
        <v>46109</v>
      </c>
      <c r="B5698" t="s">
        <v>432</v>
      </c>
      <c r="C5698" t="s">
        <v>4756</v>
      </c>
      <c r="E5698">
        <v>40000</v>
      </c>
      <c r="F5698">
        <v>1</v>
      </c>
      <c r="G5698" t="s">
        <v>65</v>
      </c>
      <c r="H5698" t="s">
        <v>66</v>
      </c>
      <c r="I5698" t="s">
        <v>60</v>
      </c>
      <c r="J5698" t="s">
        <v>61</v>
      </c>
      <c r="L5698" t="s">
        <v>62</v>
      </c>
      <c r="M5698" t="s">
        <v>4757</v>
      </c>
    </row>
    <row r="5699" spans="1:13">
      <c r="A5699">
        <v>46109</v>
      </c>
      <c r="B5699" t="s">
        <v>432</v>
      </c>
      <c r="C5699" t="s">
        <v>4758</v>
      </c>
      <c r="E5699">
        <v>40000</v>
      </c>
      <c r="F5699">
        <v>1</v>
      </c>
      <c r="G5699" t="s">
        <v>65</v>
      </c>
      <c r="H5699" t="s">
        <v>66</v>
      </c>
      <c r="I5699" t="s">
        <v>60</v>
      </c>
      <c r="J5699" t="s">
        <v>61</v>
      </c>
      <c r="L5699" t="s">
        <v>768</v>
      </c>
      <c r="M5699" t="s">
        <v>4757</v>
      </c>
    </row>
    <row r="5700" spans="1:13">
      <c r="A5700">
        <v>46109</v>
      </c>
      <c r="B5700" t="s">
        <v>84</v>
      </c>
      <c r="D5700">
        <v>-5200</v>
      </c>
      <c r="G5700" t="s">
        <v>77</v>
      </c>
      <c r="I5700" t="s">
        <v>60</v>
      </c>
      <c r="J5700" t="s">
        <v>61</v>
      </c>
      <c r="L5700" t="s">
        <v>62</v>
      </c>
    </row>
    <row r="5701" spans="1:13">
      <c r="A5701">
        <v>46109</v>
      </c>
      <c r="B5701" t="s">
        <v>84</v>
      </c>
      <c r="E5701">
        <v>-275</v>
      </c>
      <c r="F5701">
        <v>1</v>
      </c>
      <c r="G5701" t="s">
        <v>65</v>
      </c>
      <c r="H5701" t="s">
        <v>85</v>
      </c>
      <c r="I5701" t="s">
        <v>60</v>
      </c>
      <c r="J5701" t="s">
        <v>61</v>
      </c>
      <c r="L5701" t="s">
        <v>62</v>
      </c>
    </row>
    <row r="5702" spans="1:13">
      <c r="A5702">
        <v>46109</v>
      </c>
      <c r="B5702" t="s">
        <v>76</v>
      </c>
      <c r="D5702">
        <v>14170</v>
      </c>
      <c r="G5702" t="s">
        <v>77</v>
      </c>
      <c r="I5702" t="s">
        <v>60</v>
      </c>
      <c r="J5702" t="s">
        <v>61</v>
      </c>
      <c r="L5702" t="s">
        <v>62</v>
      </c>
    </row>
    <row r="5703" spans="1:13">
      <c r="A5703">
        <v>46109</v>
      </c>
      <c r="B5703" t="s">
        <v>63</v>
      </c>
      <c r="D5703">
        <v>200</v>
      </c>
      <c r="F5703">
        <v>2</v>
      </c>
      <c r="G5703" t="s">
        <v>22</v>
      </c>
      <c r="H5703" t="s">
        <v>93</v>
      </c>
      <c r="I5703" t="s">
        <v>60</v>
      </c>
      <c r="J5703" t="s">
        <v>61</v>
      </c>
      <c r="L5703" t="s">
        <v>62</v>
      </c>
    </row>
    <row r="5704" spans="1:13">
      <c r="A5704">
        <v>46109</v>
      </c>
      <c r="B5704" t="s">
        <v>63</v>
      </c>
      <c r="D5704">
        <v>17000</v>
      </c>
      <c r="G5704" t="s">
        <v>70</v>
      </c>
      <c r="I5704" t="s">
        <v>60</v>
      </c>
      <c r="J5704" t="s">
        <v>61</v>
      </c>
      <c r="L5704" t="s">
        <v>62</v>
      </c>
    </row>
    <row r="5705" spans="1:13">
      <c r="A5705">
        <v>46109</v>
      </c>
      <c r="B5705" t="s">
        <v>546</v>
      </c>
      <c r="F5705">
        <v>-18</v>
      </c>
      <c r="G5705" t="s">
        <v>22</v>
      </c>
      <c r="H5705" t="s">
        <v>93</v>
      </c>
      <c r="L5705" t="s">
        <v>101</v>
      </c>
    </row>
    <row r="5706" spans="1:13">
      <c r="A5706">
        <v>46109</v>
      </c>
      <c r="B5706" t="s">
        <v>80</v>
      </c>
      <c r="E5706">
        <v>7405</v>
      </c>
      <c r="F5706">
        <v>1</v>
      </c>
      <c r="G5706" t="s">
        <v>74</v>
      </c>
      <c r="H5706" t="s">
        <v>75</v>
      </c>
      <c r="I5706" t="s">
        <v>60</v>
      </c>
      <c r="J5706" t="s">
        <v>61</v>
      </c>
      <c r="L5706" t="s">
        <v>4275</v>
      </c>
    </row>
    <row r="5707" spans="1:13">
      <c r="A5707">
        <v>46109</v>
      </c>
      <c r="B5707" t="s">
        <v>80</v>
      </c>
      <c r="E5707">
        <v>95</v>
      </c>
      <c r="F5707">
        <v>1</v>
      </c>
      <c r="G5707" t="s">
        <v>65</v>
      </c>
      <c r="H5707" t="s">
        <v>66</v>
      </c>
      <c r="I5707" t="s">
        <v>60</v>
      </c>
      <c r="J5707" t="s">
        <v>61</v>
      </c>
      <c r="L5707" t="s">
        <v>4275</v>
      </c>
    </row>
    <row r="5708" spans="1:13">
      <c r="A5708">
        <v>46109</v>
      </c>
      <c r="B5708" t="s">
        <v>84</v>
      </c>
      <c r="D5708">
        <v>-52000</v>
      </c>
      <c r="G5708" t="s">
        <v>77</v>
      </c>
      <c r="I5708" t="s">
        <v>60</v>
      </c>
      <c r="J5708" t="s">
        <v>61</v>
      </c>
      <c r="L5708" t="s">
        <v>62</v>
      </c>
    </row>
    <row r="5709" spans="1:13">
      <c r="A5709">
        <v>46109</v>
      </c>
      <c r="B5709" t="s">
        <v>84</v>
      </c>
      <c r="E5709">
        <v>-2750</v>
      </c>
      <c r="F5709">
        <v>1</v>
      </c>
      <c r="G5709" t="s">
        <v>65</v>
      </c>
      <c r="H5709" t="s">
        <v>85</v>
      </c>
      <c r="I5709" t="s">
        <v>60</v>
      </c>
      <c r="J5709" t="s">
        <v>61</v>
      </c>
      <c r="L5709" t="s">
        <v>62</v>
      </c>
    </row>
    <row r="5710" spans="1:13">
      <c r="A5710">
        <v>46109</v>
      </c>
      <c r="B5710" t="s">
        <v>4759</v>
      </c>
      <c r="D5710">
        <v>500</v>
      </c>
      <c r="F5710">
        <v>1</v>
      </c>
      <c r="G5710" t="s">
        <v>22</v>
      </c>
      <c r="H5710" t="s">
        <v>21</v>
      </c>
      <c r="I5710" t="s">
        <v>60</v>
      </c>
      <c r="J5710" t="s">
        <v>61</v>
      </c>
      <c r="L5710" t="s">
        <v>82</v>
      </c>
    </row>
    <row r="5711" spans="1:13">
      <c r="A5711">
        <v>46109</v>
      </c>
      <c r="B5711" t="s">
        <v>4760</v>
      </c>
      <c r="F5711">
        <v>1</v>
      </c>
      <c r="G5711" t="s">
        <v>64</v>
      </c>
      <c r="L5711" t="s">
        <v>82</v>
      </c>
      <c r="M5711" t="s">
        <v>96</v>
      </c>
    </row>
    <row r="5712" spans="1:13">
      <c r="A5712">
        <v>46109</v>
      </c>
      <c r="B5712" t="s">
        <v>4761</v>
      </c>
      <c r="D5712">
        <v>500</v>
      </c>
      <c r="F5712">
        <v>0</v>
      </c>
      <c r="G5712" t="s">
        <v>22</v>
      </c>
      <c r="H5712" t="s">
        <v>21</v>
      </c>
      <c r="I5712" t="s">
        <v>60</v>
      </c>
      <c r="J5712" t="s">
        <v>61</v>
      </c>
      <c r="L5712" t="s">
        <v>82</v>
      </c>
      <c r="M5712" t="s">
        <v>83</v>
      </c>
    </row>
    <row r="5713" spans="1:13">
      <c r="A5713">
        <v>46109</v>
      </c>
      <c r="B5713" t="s">
        <v>4762</v>
      </c>
      <c r="F5713">
        <v>1</v>
      </c>
      <c r="G5713" t="s">
        <v>64</v>
      </c>
      <c r="L5713" t="s">
        <v>82</v>
      </c>
      <c r="M5713" t="s">
        <v>96</v>
      </c>
    </row>
    <row r="5714" spans="1:13">
      <c r="A5714">
        <v>46109</v>
      </c>
      <c r="B5714" t="s">
        <v>4763</v>
      </c>
      <c r="F5714">
        <v>1</v>
      </c>
      <c r="G5714" t="s">
        <v>64</v>
      </c>
      <c r="L5714" t="s">
        <v>82</v>
      </c>
      <c r="M5714" t="s">
        <v>103</v>
      </c>
    </row>
    <row r="5715" spans="1:13">
      <c r="A5715">
        <v>46109</v>
      </c>
      <c r="B5715" t="s">
        <v>4764</v>
      </c>
      <c r="D5715">
        <v>500</v>
      </c>
      <c r="F5715">
        <v>1</v>
      </c>
      <c r="G5715" t="s">
        <v>22</v>
      </c>
      <c r="H5715" t="s">
        <v>21</v>
      </c>
      <c r="I5715" t="s">
        <v>60</v>
      </c>
      <c r="J5715" t="s">
        <v>61</v>
      </c>
      <c r="L5715" t="s">
        <v>86</v>
      </c>
    </row>
    <row r="5716" spans="1:13">
      <c r="A5716">
        <v>46109</v>
      </c>
      <c r="B5716" t="s">
        <v>4765</v>
      </c>
      <c r="D5716">
        <v>500</v>
      </c>
      <c r="F5716">
        <v>1</v>
      </c>
      <c r="G5716" t="s">
        <v>22</v>
      </c>
      <c r="H5716" t="s">
        <v>21</v>
      </c>
      <c r="I5716" t="s">
        <v>60</v>
      </c>
      <c r="J5716" t="s">
        <v>61</v>
      </c>
      <c r="L5716" t="s">
        <v>86</v>
      </c>
    </row>
    <row r="5717" spans="1:13">
      <c r="A5717">
        <v>46109</v>
      </c>
      <c r="B5717" t="s">
        <v>63</v>
      </c>
      <c r="E5717">
        <v>4000</v>
      </c>
      <c r="F5717">
        <v>1</v>
      </c>
      <c r="G5717" t="s">
        <v>65</v>
      </c>
      <c r="H5717" t="s">
        <v>66</v>
      </c>
      <c r="I5717" t="s">
        <v>60</v>
      </c>
      <c r="J5717" t="s">
        <v>61</v>
      </c>
      <c r="L5717" t="s">
        <v>62</v>
      </c>
      <c r="M5717" t="s">
        <v>3280</v>
      </c>
    </row>
    <row r="5718" spans="1:13">
      <c r="A5718">
        <v>46109</v>
      </c>
      <c r="B5718" t="s">
        <v>63</v>
      </c>
      <c r="E5718">
        <v>200</v>
      </c>
      <c r="F5718">
        <v>1</v>
      </c>
      <c r="G5718" t="s">
        <v>65</v>
      </c>
      <c r="H5718" t="s">
        <v>66</v>
      </c>
      <c r="I5718" t="s">
        <v>60</v>
      </c>
      <c r="J5718" t="s">
        <v>61</v>
      </c>
      <c r="L5718" t="s">
        <v>62</v>
      </c>
      <c r="M5718" t="s">
        <v>4522</v>
      </c>
    </row>
    <row r="5719" spans="1:13">
      <c r="A5719">
        <v>46109</v>
      </c>
      <c r="B5719" t="s">
        <v>4766</v>
      </c>
      <c r="F5719">
        <v>1</v>
      </c>
      <c r="G5719" t="s">
        <v>0</v>
      </c>
      <c r="L5719" t="s">
        <v>82</v>
      </c>
    </row>
    <row r="5720" spans="1:13">
      <c r="A5720">
        <v>46110</v>
      </c>
      <c r="B5720" t="s">
        <v>63</v>
      </c>
      <c r="D5720">
        <v>24000</v>
      </c>
      <c r="G5720" t="s">
        <v>70</v>
      </c>
      <c r="I5720" t="s">
        <v>60</v>
      </c>
      <c r="J5720" t="s">
        <v>61</v>
      </c>
      <c r="L5720" t="s">
        <v>62</v>
      </c>
    </row>
    <row r="5721" spans="1:13">
      <c r="A5721">
        <v>46110</v>
      </c>
      <c r="B5721" t="s">
        <v>76</v>
      </c>
      <c r="D5721">
        <v>16170</v>
      </c>
      <c r="G5721" t="s">
        <v>77</v>
      </c>
      <c r="I5721" t="s">
        <v>60</v>
      </c>
      <c r="J5721" t="s">
        <v>61</v>
      </c>
      <c r="L5721" t="s">
        <v>62</v>
      </c>
    </row>
    <row r="5722" spans="1:13">
      <c r="A5722">
        <v>46110</v>
      </c>
      <c r="B5722" t="s">
        <v>4767</v>
      </c>
      <c r="D5722">
        <v>500</v>
      </c>
      <c r="F5722">
        <v>1</v>
      </c>
      <c r="G5722" t="s">
        <v>22</v>
      </c>
      <c r="H5722" t="s">
        <v>21</v>
      </c>
      <c r="I5722" t="s">
        <v>60</v>
      </c>
      <c r="J5722" t="s">
        <v>61</v>
      </c>
      <c r="L5722" t="s">
        <v>86</v>
      </c>
    </row>
    <row r="5723" spans="1:13">
      <c r="A5723">
        <v>46110</v>
      </c>
      <c r="B5723" t="s">
        <v>4767</v>
      </c>
      <c r="D5723">
        <v>81500</v>
      </c>
      <c r="F5723">
        <v>1</v>
      </c>
      <c r="G5723" t="s">
        <v>64</v>
      </c>
      <c r="I5723" t="s">
        <v>60</v>
      </c>
      <c r="J5723" t="s">
        <v>61</v>
      </c>
      <c r="L5723" t="s">
        <v>86</v>
      </c>
      <c r="M5723" t="s">
        <v>4768</v>
      </c>
    </row>
    <row r="5724" spans="1:13">
      <c r="A5724">
        <v>46110</v>
      </c>
      <c r="B5724" t="s">
        <v>4769</v>
      </c>
      <c r="D5724">
        <v>500</v>
      </c>
      <c r="F5724">
        <v>1</v>
      </c>
      <c r="G5724" t="s">
        <v>22</v>
      </c>
      <c r="H5724" t="s">
        <v>21</v>
      </c>
      <c r="I5724" t="s">
        <v>60</v>
      </c>
      <c r="J5724" t="s">
        <v>61</v>
      </c>
      <c r="L5724" t="s">
        <v>86</v>
      </c>
    </row>
    <row r="5725" spans="1:13">
      <c r="A5725">
        <v>46110</v>
      </c>
      <c r="B5725" t="s">
        <v>4769</v>
      </c>
      <c r="F5725">
        <v>1</v>
      </c>
      <c r="G5725" t="s">
        <v>64</v>
      </c>
      <c r="L5725" t="s">
        <v>86</v>
      </c>
      <c r="M5725" t="s">
        <v>96</v>
      </c>
    </row>
    <row r="5726" spans="1:13">
      <c r="A5726">
        <v>46110</v>
      </c>
      <c r="B5726" t="s">
        <v>63</v>
      </c>
      <c r="D5726">
        <v>100</v>
      </c>
      <c r="F5726">
        <v>1</v>
      </c>
      <c r="G5726" t="s">
        <v>22</v>
      </c>
      <c r="H5726" t="s">
        <v>93</v>
      </c>
      <c r="I5726" t="s">
        <v>60</v>
      </c>
      <c r="J5726" t="s">
        <v>61</v>
      </c>
      <c r="L5726" t="s">
        <v>62</v>
      </c>
    </row>
    <row r="5727" spans="1:13">
      <c r="A5727">
        <v>46110</v>
      </c>
      <c r="B5727" t="s">
        <v>4770</v>
      </c>
      <c r="D5727">
        <v>500</v>
      </c>
      <c r="F5727">
        <v>1</v>
      </c>
      <c r="G5727" t="s">
        <v>22</v>
      </c>
      <c r="H5727" t="s">
        <v>21</v>
      </c>
      <c r="I5727" t="s">
        <v>60</v>
      </c>
      <c r="J5727" t="s">
        <v>61</v>
      </c>
      <c r="L5727" t="s">
        <v>86</v>
      </c>
    </row>
    <row r="5728" spans="1:13">
      <c r="A5728">
        <v>46110</v>
      </c>
      <c r="B5728" t="s">
        <v>4771</v>
      </c>
      <c r="F5728">
        <v>1</v>
      </c>
      <c r="G5728" t="s">
        <v>64</v>
      </c>
      <c r="L5728" t="s">
        <v>89</v>
      </c>
      <c r="M5728" t="s">
        <v>96</v>
      </c>
    </row>
    <row r="5729" spans="1:13">
      <c r="A5729">
        <v>46110</v>
      </c>
      <c r="B5729" t="s">
        <v>4772</v>
      </c>
      <c r="F5729">
        <v>1</v>
      </c>
      <c r="G5729" t="s">
        <v>79</v>
      </c>
      <c r="H5729" t="s">
        <v>21</v>
      </c>
      <c r="L5729" t="s">
        <v>89</v>
      </c>
      <c r="M5729" t="s">
        <v>327</v>
      </c>
    </row>
    <row r="5730" spans="1:13">
      <c r="A5730">
        <v>46110</v>
      </c>
      <c r="B5730" t="s">
        <v>4773</v>
      </c>
      <c r="F5730">
        <v>1</v>
      </c>
      <c r="G5730" t="s">
        <v>64</v>
      </c>
      <c r="L5730" t="s">
        <v>89</v>
      </c>
      <c r="M5730" t="s">
        <v>96</v>
      </c>
    </row>
    <row r="5731" spans="1:13">
      <c r="A5731">
        <v>46110</v>
      </c>
      <c r="B5731" t="s">
        <v>4774</v>
      </c>
      <c r="D5731">
        <v>500</v>
      </c>
      <c r="F5731">
        <v>1</v>
      </c>
      <c r="G5731" t="s">
        <v>22</v>
      </c>
      <c r="H5731" t="s">
        <v>21</v>
      </c>
      <c r="I5731" t="s">
        <v>60</v>
      </c>
      <c r="J5731" t="s">
        <v>61</v>
      </c>
      <c r="L5731" t="s">
        <v>89</v>
      </c>
    </row>
    <row r="5732" spans="1:13">
      <c r="A5732">
        <v>46110</v>
      </c>
      <c r="B5732" t="s">
        <v>4775</v>
      </c>
      <c r="F5732">
        <v>1</v>
      </c>
      <c r="G5732" t="s">
        <v>64</v>
      </c>
      <c r="L5732" t="s">
        <v>89</v>
      </c>
      <c r="M5732" t="s">
        <v>96</v>
      </c>
    </row>
    <row r="5733" spans="1:13">
      <c r="A5733">
        <v>46110</v>
      </c>
      <c r="B5733" t="s">
        <v>1423</v>
      </c>
      <c r="F5733">
        <v>1</v>
      </c>
      <c r="G5733" t="s">
        <v>22</v>
      </c>
      <c r="H5733" t="s">
        <v>21</v>
      </c>
      <c r="L5733" t="s">
        <v>101</v>
      </c>
      <c r="M5733" t="s">
        <v>4544</v>
      </c>
    </row>
    <row r="5734" spans="1:13">
      <c r="A5734">
        <v>46110</v>
      </c>
      <c r="B5734" t="s">
        <v>63</v>
      </c>
      <c r="E5734">
        <v>2000</v>
      </c>
      <c r="F5734">
        <v>1</v>
      </c>
      <c r="G5734" t="s">
        <v>65</v>
      </c>
      <c r="H5734" t="s">
        <v>66</v>
      </c>
      <c r="I5734" t="s">
        <v>60</v>
      </c>
      <c r="J5734" t="s">
        <v>61</v>
      </c>
      <c r="L5734" t="s">
        <v>62</v>
      </c>
      <c r="M5734" t="s">
        <v>3280</v>
      </c>
    </row>
    <row r="5735" spans="1:13">
      <c r="A5735">
        <v>46110</v>
      </c>
      <c r="B5735" t="s">
        <v>63</v>
      </c>
      <c r="E5735">
        <v>100</v>
      </c>
      <c r="F5735">
        <v>1</v>
      </c>
      <c r="G5735" t="s">
        <v>65</v>
      </c>
      <c r="H5735" t="s">
        <v>66</v>
      </c>
      <c r="I5735" t="s">
        <v>60</v>
      </c>
      <c r="J5735" t="s">
        <v>61</v>
      </c>
      <c r="L5735" t="s">
        <v>62</v>
      </c>
      <c r="M5735" t="s">
        <v>4522</v>
      </c>
    </row>
    <row r="5736" spans="1:13">
      <c r="A5736">
        <v>46111</v>
      </c>
      <c r="B5736" t="s">
        <v>81</v>
      </c>
      <c r="D5736">
        <v>193000</v>
      </c>
      <c r="F5736">
        <v>1</v>
      </c>
      <c r="G5736" t="s">
        <v>74</v>
      </c>
      <c r="H5736" t="s">
        <v>75</v>
      </c>
      <c r="I5736" t="s">
        <v>60</v>
      </c>
      <c r="J5736" t="s">
        <v>61</v>
      </c>
      <c r="L5736" t="s">
        <v>88</v>
      </c>
    </row>
    <row r="5737" spans="1:13">
      <c r="A5737">
        <v>46111</v>
      </c>
      <c r="B5737" t="s">
        <v>143</v>
      </c>
      <c r="D5737">
        <v>500</v>
      </c>
      <c r="F5737">
        <v>1</v>
      </c>
      <c r="G5737" t="s">
        <v>22</v>
      </c>
      <c r="H5737" t="s">
        <v>21</v>
      </c>
      <c r="I5737" t="s">
        <v>60</v>
      </c>
      <c r="J5737" t="s">
        <v>61</v>
      </c>
      <c r="L5737" t="s">
        <v>82</v>
      </c>
    </row>
    <row r="5738" spans="1:13">
      <c r="A5738">
        <v>46111</v>
      </c>
      <c r="B5738" t="s">
        <v>143</v>
      </c>
      <c r="F5738">
        <v>1</v>
      </c>
      <c r="G5738" t="s">
        <v>64</v>
      </c>
      <c r="L5738" t="s">
        <v>89</v>
      </c>
      <c r="M5738" t="s">
        <v>4535</v>
      </c>
    </row>
    <row r="5739" spans="1:13">
      <c r="A5739">
        <v>46111</v>
      </c>
      <c r="B5739" t="s">
        <v>4776</v>
      </c>
      <c r="F5739">
        <v>1</v>
      </c>
      <c r="G5739" t="s">
        <v>22</v>
      </c>
      <c r="H5739" t="s">
        <v>21</v>
      </c>
      <c r="L5739" t="s">
        <v>101</v>
      </c>
      <c r="M5739" t="s">
        <v>4777</v>
      </c>
    </row>
    <row r="5740" spans="1:13">
      <c r="A5740">
        <v>46111</v>
      </c>
      <c r="B5740" t="s">
        <v>76</v>
      </c>
      <c r="D5740">
        <v>10000</v>
      </c>
      <c r="G5740" t="s">
        <v>77</v>
      </c>
      <c r="I5740" t="s">
        <v>60</v>
      </c>
      <c r="J5740" t="s">
        <v>61</v>
      </c>
      <c r="L5740" t="s">
        <v>62</v>
      </c>
    </row>
    <row r="5741" spans="1:13">
      <c r="A5741">
        <v>46111</v>
      </c>
      <c r="B5741" t="s">
        <v>4778</v>
      </c>
      <c r="D5741">
        <v>500</v>
      </c>
      <c r="F5741">
        <v>1</v>
      </c>
      <c r="G5741" t="s">
        <v>22</v>
      </c>
      <c r="H5741" t="s">
        <v>21</v>
      </c>
      <c r="I5741" t="s">
        <v>60</v>
      </c>
      <c r="J5741" t="s">
        <v>61</v>
      </c>
      <c r="L5741" t="s">
        <v>82</v>
      </c>
    </row>
    <row r="5742" spans="1:13">
      <c r="A5742">
        <v>46111</v>
      </c>
      <c r="B5742" t="s">
        <v>63</v>
      </c>
      <c r="D5742">
        <v>100</v>
      </c>
      <c r="F5742">
        <v>1</v>
      </c>
      <c r="G5742" t="s">
        <v>22</v>
      </c>
      <c r="H5742" t="s">
        <v>93</v>
      </c>
      <c r="I5742" t="s">
        <v>60</v>
      </c>
      <c r="J5742" t="s">
        <v>61</v>
      </c>
      <c r="L5742" t="s">
        <v>62</v>
      </c>
    </row>
    <row r="5743" spans="1:13">
      <c r="A5743">
        <v>46111</v>
      </c>
      <c r="B5743" t="s">
        <v>4779</v>
      </c>
      <c r="D5743">
        <v>500</v>
      </c>
      <c r="F5743">
        <v>0</v>
      </c>
      <c r="G5743" t="s">
        <v>22</v>
      </c>
      <c r="H5743" t="s">
        <v>21</v>
      </c>
      <c r="I5743" t="s">
        <v>60</v>
      </c>
      <c r="J5743" t="s">
        <v>61</v>
      </c>
      <c r="L5743" t="s">
        <v>89</v>
      </c>
      <c r="M5743" t="s">
        <v>83</v>
      </c>
    </row>
    <row r="5744" spans="1:13">
      <c r="A5744">
        <v>46111</v>
      </c>
      <c r="B5744" t="s">
        <v>4780</v>
      </c>
      <c r="D5744">
        <v>500</v>
      </c>
      <c r="F5744">
        <v>1</v>
      </c>
      <c r="G5744" t="s">
        <v>22</v>
      </c>
      <c r="H5744" t="s">
        <v>21</v>
      </c>
      <c r="I5744" t="s">
        <v>60</v>
      </c>
      <c r="J5744" t="s">
        <v>61</v>
      </c>
      <c r="L5744" t="s">
        <v>89</v>
      </c>
    </row>
    <row r="5745" spans="1:13">
      <c r="A5745">
        <v>46111</v>
      </c>
      <c r="B5745" t="s">
        <v>63</v>
      </c>
      <c r="D5745">
        <v>8000</v>
      </c>
      <c r="F5745">
        <v>1</v>
      </c>
      <c r="G5745" t="s">
        <v>70</v>
      </c>
      <c r="I5745" t="s">
        <v>71</v>
      </c>
      <c r="J5745" t="s">
        <v>72</v>
      </c>
      <c r="K5745" t="s">
        <v>4781</v>
      </c>
      <c r="L5745" t="s">
        <v>62</v>
      </c>
      <c r="M5745" t="s">
        <v>3437</v>
      </c>
    </row>
    <row r="5746" spans="1:13">
      <c r="A5746">
        <v>46111</v>
      </c>
      <c r="B5746" t="s">
        <v>63</v>
      </c>
      <c r="E5746">
        <v>2000</v>
      </c>
      <c r="F5746">
        <v>1</v>
      </c>
      <c r="G5746" t="s">
        <v>65</v>
      </c>
      <c r="H5746" t="s">
        <v>66</v>
      </c>
      <c r="I5746" t="s">
        <v>60</v>
      </c>
      <c r="J5746" t="s">
        <v>61</v>
      </c>
      <c r="L5746" t="s">
        <v>62</v>
      </c>
      <c r="M5746" t="s">
        <v>3280</v>
      </c>
    </row>
    <row r="5747" spans="1:13">
      <c r="A5747">
        <v>46111</v>
      </c>
      <c r="B5747" t="s">
        <v>63</v>
      </c>
      <c r="E5747">
        <v>100</v>
      </c>
      <c r="F5747">
        <v>1</v>
      </c>
      <c r="G5747" t="s">
        <v>65</v>
      </c>
      <c r="H5747" t="s">
        <v>66</v>
      </c>
      <c r="I5747" t="s">
        <v>60</v>
      </c>
      <c r="J5747" t="s">
        <v>61</v>
      </c>
      <c r="L5747" t="s">
        <v>62</v>
      </c>
      <c r="M5747" t="s">
        <v>4522</v>
      </c>
    </row>
    <row r="5748" spans="1:13">
      <c r="A5748">
        <v>46111</v>
      </c>
      <c r="B5748" t="s">
        <v>4782</v>
      </c>
      <c r="F5748">
        <v>1</v>
      </c>
      <c r="G5748" t="s">
        <v>0</v>
      </c>
      <c r="L5748" t="s">
        <v>82</v>
      </c>
    </row>
    <row r="5749" spans="1:13">
      <c r="A5749">
        <v>46111</v>
      </c>
      <c r="B5749" t="s">
        <v>3988</v>
      </c>
      <c r="C5749" t="s">
        <v>4783</v>
      </c>
      <c r="F5749">
        <v>35</v>
      </c>
      <c r="G5749" t="s">
        <v>22</v>
      </c>
      <c r="H5749" t="s">
        <v>21</v>
      </c>
      <c r="L5749" t="s">
        <v>95</v>
      </c>
    </row>
    <row r="5750" spans="1:13">
      <c r="A5750">
        <v>46112</v>
      </c>
      <c r="B5750" t="s">
        <v>81</v>
      </c>
      <c r="D5750">
        <v>43000</v>
      </c>
      <c r="F5750">
        <v>1</v>
      </c>
      <c r="G5750" t="s">
        <v>74</v>
      </c>
      <c r="H5750" t="s">
        <v>75</v>
      </c>
      <c r="I5750" t="s">
        <v>60</v>
      </c>
      <c r="J5750" t="s">
        <v>61</v>
      </c>
      <c r="L5750" t="s">
        <v>88</v>
      </c>
    </row>
    <row r="5751" spans="1:13">
      <c r="A5751">
        <v>46112</v>
      </c>
      <c r="B5751" t="s">
        <v>290</v>
      </c>
      <c r="C5751" t="s">
        <v>4784</v>
      </c>
      <c r="E5751">
        <v>77297.119999999995</v>
      </c>
      <c r="F5751">
        <v>1</v>
      </c>
      <c r="G5751" t="s">
        <v>65</v>
      </c>
      <c r="H5751" t="s">
        <v>66</v>
      </c>
      <c r="I5751" t="s">
        <v>60</v>
      </c>
      <c r="J5751" t="s">
        <v>61</v>
      </c>
      <c r="L5751" t="s">
        <v>62</v>
      </c>
    </row>
    <row r="5752" spans="1:13">
      <c r="A5752">
        <v>46112</v>
      </c>
      <c r="B5752" t="s">
        <v>1816</v>
      </c>
      <c r="D5752">
        <v>500</v>
      </c>
      <c r="F5752">
        <v>1</v>
      </c>
      <c r="G5752" t="s">
        <v>22</v>
      </c>
      <c r="H5752" t="s">
        <v>21</v>
      </c>
      <c r="I5752" t="s">
        <v>60</v>
      </c>
      <c r="J5752" t="s">
        <v>61</v>
      </c>
      <c r="L5752" t="s">
        <v>82</v>
      </c>
    </row>
    <row r="5753" spans="1:13">
      <c r="A5753">
        <v>46112</v>
      </c>
      <c r="B5753" t="s">
        <v>76</v>
      </c>
      <c r="D5753">
        <v>9600</v>
      </c>
      <c r="G5753" t="s">
        <v>77</v>
      </c>
      <c r="I5753" t="s">
        <v>60</v>
      </c>
      <c r="J5753" t="s">
        <v>61</v>
      </c>
      <c r="L5753" t="s">
        <v>62</v>
      </c>
    </row>
    <row r="5754" spans="1:13">
      <c r="A5754">
        <v>46112</v>
      </c>
      <c r="B5754" t="s">
        <v>4785</v>
      </c>
      <c r="F5754">
        <v>1</v>
      </c>
      <c r="G5754" t="s">
        <v>99</v>
      </c>
      <c r="H5754" t="s">
        <v>21</v>
      </c>
      <c r="L5754" t="s">
        <v>82</v>
      </c>
      <c r="M5754" t="s">
        <v>4786</v>
      </c>
    </row>
    <row r="5755" spans="1:13">
      <c r="A5755">
        <v>46112</v>
      </c>
      <c r="B5755" t="s">
        <v>4787</v>
      </c>
      <c r="F5755">
        <v>1</v>
      </c>
      <c r="G5755" t="s">
        <v>79</v>
      </c>
      <c r="H5755" t="s">
        <v>21</v>
      </c>
      <c r="L5755" t="s">
        <v>82</v>
      </c>
      <c r="M5755" t="s">
        <v>327</v>
      </c>
    </row>
    <row r="5756" spans="1:13">
      <c r="A5756">
        <v>46112</v>
      </c>
      <c r="B5756" t="s">
        <v>4788</v>
      </c>
      <c r="F5756">
        <v>1</v>
      </c>
      <c r="G5756" t="s">
        <v>0</v>
      </c>
      <c r="L5756" t="s">
        <v>86</v>
      </c>
    </row>
    <row r="5757" spans="1:13">
      <c r="A5757">
        <v>46112</v>
      </c>
      <c r="B5757" t="s">
        <v>4789</v>
      </c>
      <c r="F5757">
        <v>1</v>
      </c>
      <c r="G5757" t="s">
        <v>0</v>
      </c>
      <c r="L5757" t="s">
        <v>89</v>
      </c>
    </row>
    <row r="5758" spans="1:13">
      <c r="A5758">
        <v>46112</v>
      </c>
      <c r="B5758" t="s">
        <v>4790</v>
      </c>
      <c r="D5758">
        <v>500</v>
      </c>
      <c r="F5758">
        <v>1</v>
      </c>
      <c r="G5758" t="s">
        <v>22</v>
      </c>
      <c r="H5758" t="s">
        <v>21</v>
      </c>
      <c r="I5758" t="s">
        <v>60</v>
      </c>
      <c r="J5758" t="s">
        <v>61</v>
      </c>
      <c r="L5758" t="s">
        <v>89</v>
      </c>
    </row>
    <row r="5759" spans="1:13">
      <c r="A5759">
        <v>46112</v>
      </c>
      <c r="B5759" t="s">
        <v>63</v>
      </c>
      <c r="E5759">
        <v>2000</v>
      </c>
      <c r="F5759">
        <v>1</v>
      </c>
      <c r="G5759" t="s">
        <v>65</v>
      </c>
      <c r="H5759" t="s">
        <v>66</v>
      </c>
      <c r="I5759" t="s">
        <v>60</v>
      </c>
      <c r="J5759" t="s">
        <v>61</v>
      </c>
      <c r="L5759" t="s">
        <v>62</v>
      </c>
      <c r="M5759" t="s">
        <v>3280</v>
      </c>
    </row>
    <row r="5760" spans="1:13">
      <c r="A5760">
        <v>46113</v>
      </c>
      <c r="B5760" t="s">
        <v>81</v>
      </c>
      <c r="D5760">
        <v>98000</v>
      </c>
      <c r="F5760">
        <v>1</v>
      </c>
      <c r="G5760" t="s">
        <v>74</v>
      </c>
      <c r="H5760" t="s">
        <v>75</v>
      </c>
      <c r="I5760" t="s">
        <v>60</v>
      </c>
      <c r="J5760" t="s">
        <v>61</v>
      </c>
      <c r="L5760" t="s">
        <v>88</v>
      </c>
    </row>
    <row r="5761" spans="1:13">
      <c r="A5761">
        <v>46113</v>
      </c>
      <c r="B5761" t="s">
        <v>248</v>
      </c>
      <c r="E5761">
        <v>250032</v>
      </c>
      <c r="F5761">
        <v>1</v>
      </c>
      <c r="G5761" t="s">
        <v>65</v>
      </c>
      <c r="H5761" t="s">
        <v>348</v>
      </c>
      <c r="I5761" t="s">
        <v>60</v>
      </c>
      <c r="J5761" t="s">
        <v>61</v>
      </c>
      <c r="L5761" t="s">
        <v>62</v>
      </c>
    </row>
    <row r="5762" spans="1:13">
      <c r="A5762">
        <v>46113</v>
      </c>
      <c r="B5762" t="s">
        <v>81</v>
      </c>
      <c r="E5762">
        <v>546726</v>
      </c>
      <c r="F5762">
        <v>1</v>
      </c>
      <c r="G5762" t="s">
        <v>74</v>
      </c>
      <c r="H5762" t="s">
        <v>75</v>
      </c>
      <c r="I5762" t="s">
        <v>60</v>
      </c>
      <c r="J5762" t="s">
        <v>61</v>
      </c>
      <c r="L5762" t="s">
        <v>104</v>
      </c>
      <c r="M5762" t="s">
        <v>4791</v>
      </c>
    </row>
    <row r="5763" spans="1:13">
      <c r="A5763">
        <v>46113</v>
      </c>
      <c r="B5763" t="s">
        <v>4792</v>
      </c>
      <c r="E5763">
        <v>227121</v>
      </c>
      <c r="F5763">
        <v>1</v>
      </c>
      <c r="G5763" t="s">
        <v>74</v>
      </c>
      <c r="H5763" t="s">
        <v>75</v>
      </c>
      <c r="I5763" t="s">
        <v>60</v>
      </c>
      <c r="J5763" t="s">
        <v>61</v>
      </c>
      <c r="L5763" t="s">
        <v>104</v>
      </c>
      <c r="M5763" t="s">
        <v>937</v>
      </c>
    </row>
    <row r="5764" spans="1:13">
      <c r="A5764">
        <v>46113</v>
      </c>
      <c r="B5764" t="s">
        <v>84</v>
      </c>
      <c r="D5764">
        <v>-78000</v>
      </c>
      <c r="G5764" t="s">
        <v>77</v>
      </c>
      <c r="I5764" t="s">
        <v>60</v>
      </c>
      <c r="J5764" t="s">
        <v>61</v>
      </c>
      <c r="L5764" t="s">
        <v>62</v>
      </c>
    </row>
    <row r="5765" spans="1:13">
      <c r="A5765">
        <v>46113</v>
      </c>
      <c r="B5765" t="s">
        <v>84</v>
      </c>
      <c r="E5765">
        <v>-4125</v>
      </c>
      <c r="F5765">
        <v>1</v>
      </c>
      <c r="G5765" t="s">
        <v>65</v>
      </c>
      <c r="H5765" t="s">
        <v>85</v>
      </c>
      <c r="I5765" t="s">
        <v>60</v>
      </c>
      <c r="J5765" t="s">
        <v>61</v>
      </c>
      <c r="L5765" t="s">
        <v>62</v>
      </c>
    </row>
    <row r="5766" spans="1:13">
      <c r="A5766">
        <v>46113</v>
      </c>
      <c r="B5766" t="s">
        <v>4793</v>
      </c>
      <c r="D5766">
        <v>500</v>
      </c>
      <c r="F5766">
        <v>1</v>
      </c>
      <c r="G5766" t="s">
        <v>22</v>
      </c>
      <c r="H5766" t="s">
        <v>21</v>
      </c>
      <c r="I5766" t="s">
        <v>60</v>
      </c>
      <c r="J5766" t="s">
        <v>61</v>
      </c>
      <c r="L5766" t="s">
        <v>86</v>
      </c>
    </row>
    <row r="5767" spans="1:13">
      <c r="A5767">
        <v>46113</v>
      </c>
      <c r="B5767" t="s">
        <v>4794</v>
      </c>
      <c r="D5767">
        <v>500</v>
      </c>
      <c r="F5767">
        <v>1</v>
      </c>
      <c r="G5767" t="s">
        <v>22</v>
      </c>
      <c r="H5767" t="s">
        <v>21</v>
      </c>
      <c r="I5767" t="s">
        <v>60</v>
      </c>
      <c r="J5767" t="s">
        <v>61</v>
      </c>
      <c r="L5767" t="s">
        <v>86</v>
      </c>
    </row>
    <row r="5768" spans="1:13">
      <c r="A5768">
        <v>46113</v>
      </c>
      <c r="B5768" t="s">
        <v>4795</v>
      </c>
      <c r="D5768">
        <v>500</v>
      </c>
      <c r="F5768">
        <v>1</v>
      </c>
      <c r="G5768" t="s">
        <v>22</v>
      </c>
      <c r="H5768" t="s">
        <v>21</v>
      </c>
      <c r="I5768" t="s">
        <v>60</v>
      </c>
      <c r="J5768" t="s">
        <v>61</v>
      </c>
      <c r="L5768" t="s">
        <v>86</v>
      </c>
    </row>
    <row r="5769" spans="1:13">
      <c r="A5769">
        <v>46113</v>
      </c>
      <c r="B5769" t="s">
        <v>4796</v>
      </c>
      <c r="D5769">
        <v>500</v>
      </c>
      <c r="F5769">
        <v>1</v>
      </c>
      <c r="G5769" t="s">
        <v>22</v>
      </c>
      <c r="H5769" t="s">
        <v>21</v>
      </c>
      <c r="I5769" t="s">
        <v>60</v>
      </c>
      <c r="J5769" t="s">
        <v>61</v>
      </c>
      <c r="L5769" t="s">
        <v>86</v>
      </c>
    </row>
    <row r="5770" spans="1:13">
      <c r="A5770">
        <v>46113</v>
      </c>
      <c r="B5770" t="s">
        <v>4797</v>
      </c>
      <c r="D5770">
        <v>500</v>
      </c>
      <c r="F5770">
        <v>1</v>
      </c>
      <c r="G5770" t="s">
        <v>22</v>
      </c>
      <c r="H5770" t="s">
        <v>21</v>
      </c>
      <c r="I5770" t="s">
        <v>60</v>
      </c>
      <c r="J5770" t="s">
        <v>61</v>
      </c>
      <c r="L5770" t="s">
        <v>86</v>
      </c>
    </row>
    <row r="5771" spans="1:13">
      <c r="A5771">
        <v>46113</v>
      </c>
      <c r="B5771" t="s">
        <v>4798</v>
      </c>
      <c r="D5771">
        <v>500</v>
      </c>
      <c r="F5771">
        <v>1</v>
      </c>
      <c r="G5771" t="s">
        <v>22</v>
      </c>
      <c r="H5771" t="s">
        <v>21</v>
      </c>
      <c r="I5771" t="s">
        <v>60</v>
      </c>
      <c r="J5771" t="s">
        <v>61</v>
      </c>
      <c r="L5771" t="s">
        <v>82</v>
      </c>
    </row>
    <row r="5772" spans="1:13">
      <c r="A5772">
        <v>46113</v>
      </c>
      <c r="B5772" t="s">
        <v>4799</v>
      </c>
      <c r="D5772">
        <v>500</v>
      </c>
      <c r="F5772">
        <v>0</v>
      </c>
      <c r="G5772" t="s">
        <v>22</v>
      </c>
      <c r="H5772" t="s">
        <v>21</v>
      </c>
      <c r="I5772" t="s">
        <v>60</v>
      </c>
      <c r="J5772" t="s">
        <v>61</v>
      </c>
      <c r="L5772" t="s">
        <v>82</v>
      </c>
      <c r="M5772" t="s">
        <v>83</v>
      </c>
    </row>
    <row r="5773" spans="1:13">
      <c r="A5773">
        <v>46113</v>
      </c>
      <c r="B5773" t="s">
        <v>2510</v>
      </c>
      <c r="D5773">
        <v>500</v>
      </c>
      <c r="F5773">
        <v>1</v>
      </c>
      <c r="G5773" t="s">
        <v>22</v>
      </c>
      <c r="H5773" t="s">
        <v>21</v>
      </c>
      <c r="I5773" t="s">
        <v>60</v>
      </c>
      <c r="J5773" t="s">
        <v>61</v>
      </c>
      <c r="L5773" t="s">
        <v>82</v>
      </c>
    </row>
    <row r="5774" spans="1:13">
      <c r="A5774">
        <v>46113</v>
      </c>
      <c r="B5774" t="s">
        <v>4259</v>
      </c>
      <c r="D5774">
        <v>500</v>
      </c>
      <c r="F5774">
        <v>1</v>
      </c>
      <c r="G5774" t="s">
        <v>22</v>
      </c>
      <c r="H5774" t="s">
        <v>21</v>
      </c>
      <c r="I5774" t="s">
        <v>60</v>
      </c>
      <c r="J5774" t="s">
        <v>61</v>
      </c>
      <c r="L5774" t="s">
        <v>82</v>
      </c>
    </row>
    <row r="5775" spans="1:13">
      <c r="A5775">
        <v>46113</v>
      </c>
      <c r="B5775" t="s">
        <v>4800</v>
      </c>
      <c r="D5775">
        <v>500</v>
      </c>
      <c r="F5775">
        <v>1</v>
      </c>
      <c r="G5775" t="s">
        <v>22</v>
      </c>
      <c r="H5775" t="s">
        <v>21</v>
      </c>
      <c r="I5775" t="s">
        <v>60</v>
      </c>
      <c r="J5775" t="s">
        <v>61</v>
      </c>
      <c r="L5775" t="s">
        <v>82</v>
      </c>
    </row>
    <row r="5776" spans="1:13">
      <c r="A5776">
        <v>46113</v>
      </c>
      <c r="B5776" t="s">
        <v>4801</v>
      </c>
      <c r="D5776">
        <v>500</v>
      </c>
      <c r="F5776">
        <v>1</v>
      </c>
      <c r="G5776" t="s">
        <v>22</v>
      </c>
      <c r="H5776" t="s">
        <v>21</v>
      </c>
      <c r="I5776" t="s">
        <v>60</v>
      </c>
      <c r="J5776" t="s">
        <v>61</v>
      </c>
      <c r="L5776" t="s">
        <v>82</v>
      </c>
    </row>
    <row r="5777" spans="1:13">
      <c r="A5777">
        <v>46113</v>
      </c>
      <c r="B5777" t="s">
        <v>4802</v>
      </c>
      <c r="F5777">
        <v>1</v>
      </c>
      <c r="G5777" t="s">
        <v>79</v>
      </c>
      <c r="H5777" t="s">
        <v>21</v>
      </c>
      <c r="L5777" t="s">
        <v>82</v>
      </c>
      <c r="M5777" t="s">
        <v>327</v>
      </c>
    </row>
    <row r="5778" spans="1:13">
      <c r="A5778">
        <v>46113</v>
      </c>
      <c r="B5778" t="s">
        <v>4803</v>
      </c>
      <c r="F5778">
        <v>1</v>
      </c>
      <c r="G5778" t="s">
        <v>64</v>
      </c>
      <c r="L5778" t="s">
        <v>82</v>
      </c>
      <c r="M5778" t="s">
        <v>4804</v>
      </c>
    </row>
    <row r="5779" spans="1:13">
      <c r="A5779">
        <v>46113</v>
      </c>
      <c r="B5779" t="s">
        <v>4805</v>
      </c>
      <c r="D5779">
        <v>500</v>
      </c>
      <c r="F5779">
        <v>1</v>
      </c>
      <c r="G5779" t="s">
        <v>22</v>
      </c>
      <c r="H5779" t="s">
        <v>21</v>
      </c>
      <c r="I5779" t="s">
        <v>60</v>
      </c>
      <c r="J5779" t="s">
        <v>61</v>
      </c>
      <c r="L5779" t="s">
        <v>82</v>
      </c>
    </row>
    <row r="5780" spans="1:13">
      <c r="A5780">
        <v>46113</v>
      </c>
      <c r="B5780" t="s">
        <v>4806</v>
      </c>
      <c r="D5780">
        <v>500</v>
      </c>
      <c r="F5780">
        <v>1</v>
      </c>
      <c r="G5780" t="s">
        <v>22</v>
      </c>
      <c r="H5780" t="s">
        <v>21</v>
      </c>
      <c r="I5780" t="s">
        <v>60</v>
      </c>
      <c r="J5780" t="s">
        <v>61</v>
      </c>
      <c r="L5780" t="s">
        <v>82</v>
      </c>
    </row>
    <row r="5781" spans="1:13">
      <c r="A5781">
        <v>46113</v>
      </c>
      <c r="B5781" t="s">
        <v>4807</v>
      </c>
      <c r="D5781">
        <v>500</v>
      </c>
      <c r="F5781">
        <v>1</v>
      </c>
      <c r="G5781" t="s">
        <v>22</v>
      </c>
      <c r="H5781" t="s">
        <v>21</v>
      </c>
      <c r="I5781" t="s">
        <v>60</v>
      </c>
      <c r="J5781" t="s">
        <v>61</v>
      </c>
      <c r="L5781" t="s">
        <v>82</v>
      </c>
    </row>
    <row r="5782" spans="1:13">
      <c r="A5782">
        <v>46113</v>
      </c>
      <c r="B5782" t="s">
        <v>4808</v>
      </c>
      <c r="F5782">
        <v>1</v>
      </c>
      <c r="G5782" t="s">
        <v>64</v>
      </c>
      <c r="L5782" t="s">
        <v>82</v>
      </c>
      <c r="M5782" t="s">
        <v>4804</v>
      </c>
    </row>
    <row r="5783" spans="1:13">
      <c r="A5783">
        <v>46113</v>
      </c>
      <c r="B5783" t="s">
        <v>4809</v>
      </c>
      <c r="D5783">
        <v>500</v>
      </c>
      <c r="F5783">
        <v>1</v>
      </c>
      <c r="G5783" t="s">
        <v>22</v>
      </c>
      <c r="H5783" t="s">
        <v>21</v>
      </c>
      <c r="I5783" t="s">
        <v>60</v>
      </c>
      <c r="J5783" t="s">
        <v>61</v>
      </c>
      <c r="L5783" t="s">
        <v>82</v>
      </c>
    </row>
    <row r="5784" spans="1:13">
      <c r="A5784">
        <v>46113</v>
      </c>
      <c r="B5784" t="s">
        <v>63</v>
      </c>
      <c r="D5784">
        <v>24000</v>
      </c>
      <c r="G5784" t="s">
        <v>70</v>
      </c>
      <c r="I5784" t="s">
        <v>60</v>
      </c>
      <c r="J5784" t="s">
        <v>61</v>
      </c>
      <c r="L5784" t="s">
        <v>62</v>
      </c>
    </row>
    <row r="5785" spans="1:13">
      <c r="A5785">
        <v>46113</v>
      </c>
      <c r="B5785" t="s">
        <v>80</v>
      </c>
      <c r="E5785">
        <v>15798</v>
      </c>
      <c r="F5785">
        <v>1</v>
      </c>
      <c r="G5785" t="s">
        <v>74</v>
      </c>
      <c r="H5785" t="s">
        <v>75</v>
      </c>
      <c r="I5785" t="s">
        <v>60</v>
      </c>
      <c r="J5785" t="s">
        <v>61</v>
      </c>
      <c r="L5785" t="s">
        <v>87</v>
      </c>
    </row>
    <row r="5786" spans="1:13">
      <c r="A5786">
        <v>46113</v>
      </c>
      <c r="B5786" t="s">
        <v>80</v>
      </c>
      <c r="E5786">
        <v>202</v>
      </c>
      <c r="F5786">
        <v>1</v>
      </c>
      <c r="G5786" t="s">
        <v>65</v>
      </c>
      <c r="H5786" t="s">
        <v>66</v>
      </c>
      <c r="I5786" t="s">
        <v>60</v>
      </c>
      <c r="J5786" t="s">
        <v>61</v>
      </c>
      <c r="L5786" t="s">
        <v>87</v>
      </c>
    </row>
    <row r="5787" spans="1:13">
      <c r="A5787">
        <v>46113</v>
      </c>
      <c r="B5787" t="s">
        <v>80</v>
      </c>
      <c r="E5787">
        <v>7899</v>
      </c>
      <c r="F5787">
        <v>1</v>
      </c>
      <c r="G5787" t="s">
        <v>74</v>
      </c>
      <c r="H5787" t="s">
        <v>75</v>
      </c>
      <c r="I5787" t="s">
        <v>60</v>
      </c>
      <c r="J5787" t="s">
        <v>61</v>
      </c>
      <c r="L5787" t="s">
        <v>87</v>
      </c>
    </row>
    <row r="5788" spans="1:13">
      <c r="A5788">
        <v>46113</v>
      </c>
      <c r="B5788" t="s">
        <v>80</v>
      </c>
      <c r="E5788">
        <v>101</v>
      </c>
      <c r="F5788">
        <v>1</v>
      </c>
      <c r="G5788" t="s">
        <v>65</v>
      </c>
      <c r="H5788" t="s">
        <v>66</v>
      </c>
      <c r="I5788" t="s">
        <v>60</v>
      </c>
      <c r="J5788" t="s">
        <v>61</v>
      </c>
      <c r="L5788" t="s">
        <v>87</v>
      </c>
    </row>
    <row r="5789" spans="1:13">
      <c r="A5789">
        <v>46113</v>
      </c>
      <c r="B5789" t="s">
        <v>76</v>
      </c>
      <c r="D5789">
        <v>9000</v>
      </c>
      <c r="G5789" t="s">
        <v>77</v>
      </c>
      <c r="I5789" t="s">
        <v>60</v>
      </c>
      <c r="J5789" t="s">
        <v>61</v>
      </c>
      <c r="L5789" t="s">
        <v>62</v>
      </c>
    </row>
    <row r="5790" spans="1:13">
      <c r="A5790">
        <v>46113</v>
      </c>
      <c r="B5790" t="s">
        <v>63</v>
      </c>
      <c r="E5790">
        <v>7500</v>
      </c>
      <c r="F5790">
        <v>1</v>
      </c>
      <c r="G5790" t="s">
        <v>65</v>
      </c>
      <c r="H5790" t="s">
        <v>66</v>
      </c>
      <c r="I5790" t="s">
        <v>60</v>
      </c>
      <c r="J5790" t="s">
        <v>61</v>
      </c>
      <c r="L5790" t="s">
        <v>62</v>
      </c>
      <c r="M5790" t="s">
        <v>3280</v>
      </c>
    </row>
    <row r="5791" spans="1:13">
      <c r="A5791">
        <v>46113</v>
      </c>
      <c r="B5791" t="s">
        <v>4810</v>
      </c>
      <c r="F5791">
        <v>1</v>
      </c>
      <c r="G5791" t="s">
        <v>0</v>
      </c>
      <c r="L5791" t="s">
        <v>86</v>
      </c>
    </row>
    <row r="5792" spans="1:13">
      <c r="A5792">
        <v>46114</v>
      </c>
      <c r="B5792" t="s">
        <v>4811</v>
      </c>
      <c r="D5792">
        <v>500</v>
      </c>
      <c r="F5792">
        <v>1</v>
      </c>
      <c r="G5792" t="s">
        <v>22</v>
      </c>
      <c r="H5792" t="s">
        <v>21</v>
      </c>
      <c r="I5792" t="s">
        <v>60</v>
      </c>
      <c r="J5792" t="s">
        <v>61</v>
      </c>
      <c r="L5792" t="s">
        <v>86</v>
      </c>
    </row>
    <row r="5793" spans="1:13">
      <c r="A5793">
        <v>46114</v>
      </c>
      <c r="B5793" t="s">
        <v>4812</v>
      </c>
      <c r="F5793">
        <v>1</v>
      </c>
      <c r="G5793" t="s">
        <v>64</v>
      </c>
      <c r="L5793" t="s">
        <v>89</v>
      </c>
      <c r="M5793" t="s">
        <v>4813</v>
      </c>
    </row>
    <row r="5794" spans="1:13">
      <c r="A5794">
        <v>46114</v>
      </c>
      <c r="B5794" t="s">
        <v>4814</v>
      </c>
      <c r="F5794">
        <v>1</v>
      </c>
      <c r="G5794" t="s">
        <v>79</v>
      </c>
      <c r="H5794" t="s">
        <v>21</v>
      </c>
      <c r="L5794" t="s">
        <v>86</v>
      </c>
      <c r="M5794" t="s">
        <v>327</v>
      </c>
    </row>
    <row r="5795" spans="1:13">
      <c r="A5795">
        <v>46114</v>
      </c>
      <c r="B5795" t="s">
        <v>4814</v>
      </c>
      <c r="D5795">
        <v>500</v>
      </c>
      <c r="F5795">
        <v>0</v>
      </c>
      <c r="G5795" t="s">
        <v>22</v>
      </c>
      <c r="H5795" t="s">
        <v>21</v>
      </c>
      <c r="I5795" t="s">
        <v>60</v>
      </c>
      <c r="J5795" t="s">
        <v>61</v>
      </c>
      <c r="L5795" t="s">
        <v>86</v>
      </c>
      <c r="M5795" t="s">
        <v>83</v>
      </c>
    </row>
    <row r="5796" spans="1:13">
      <c r="A5796">
        <v>46114</v>
      </c>
      <c r="B5796" t="s">
        <v>63</v>
      </c>
      <c r="E5796">
        <v>3500</v>
      </c>
      <c r="F5796">
        <v>1</v>
      </c>
      <c r="G5796" t="s">
        <v>65</v>
      </c>
      <c r="H5796" t="s">
        <v>66</v>
      </c>
      <c r="I5796" t="s">
        <v>60</v>
      </c>
      <c r="J5796" t="s">
        <v>61</v>
      </c>
      <c r="L5796" t="s">
        <v>62</v>
      </c>
    </row>
    <row r="5797" spans="1:13">
      <c r="A5797">
        <v>46114</v>
      </c>
      <c r="B5797" t="s">
        <v>63</v>
      </c>
      <c r="D5797">
        <v>8000</v>
      </c>
      <c r="G5797" t="s">
        <v>70</v>
      </c>
      <c r="I5797" t="s">
        <v>60</v>
      </c>
      <c r="J5797" t="s">
        <v>61</v>
      </c>
      <c r="L5797" t="s">
        <v>62</v>
      </c>
    </row>
    <row r="5798" spans="1:13">
      <c r="A5798">
        <v>46114</v>
      </c>
      <c r="B5798" t="s">
        <v>63</v>
      </c>
      <c r="D5798">
        <v>8000</v>
      </c>
      <c r="F5798">
        <v>1</v>
      </c>
      <c r="G5798" t="s">
        <v>70</v>
      </c>
      <c r="I5798" t="s">
        <v>71</v>
      </c>
      <c r="J5798" t="s">
        <v>72</v>
      </c>
      <c r="K5798" t="s">
        <v>4815</v>
      </c>
      <c r="L5798" t="s">
        <v>62</v>
      </c>
      <c r="M5798" t="s">
        <v>90</v>
      </c>
    </row>
    <row r="5799" spans="1:13">
      <c r="A5799">
        <v>46114</v>
      </c>
      <c r="B5799" t="s">
        <v>4816</v>
      </c>
      <c r="D5799">
        <v>500</v>
      </c>
      <c r="F5799">
        <v>0</v>
      </c>
      <c r="G5799" t="s">
        <v>22</v>
      </c>
      <c r="H5799" t="s">
        <v>21</v>
      </c>
      <c r="I5799" t="s">
        <v>60</v>
      </c>
      <c r="J5799" t="s">
        <v>61</v>
      </c>
      <c r="L5799" t="s">
        <v>86</v>
      </c>
      <c r="M5799" t="s">
        <v>83</v>
      </c>
    </row>
    <row r="5800" spans="1:13">
      <c r="A5800">
        <v>46114</v>
      </c>
      <c r="B5800" t="s">
        <v>4817</v>
      </c>
      <c r="D5800">
        <v>500</v>
      </c>
      <c r="F5800">
        <v>1</v>
      </c>
      <c r="G5800" t="s">
        <v>22</v>
      </c>
      <c r="H5800" t="s">
        <v>21</v>
      </c>
      <c r="I5800" t="s">
        <v>60</v>
      </c>
      <c r="J5800" t="s">
        <v>61</v>
      </c>
      <c r="L5800" t="s">
        <v>86</v>
      </c>
    </row>
    <row r="5801" spans="1:13">
      <c r="A5801">
        <v>46114</v>
      </c>
      <c r="B5801" t="s">
        <v>4818</v>
      </c>
      <c r="D5801">
        <v>500</v>
      </c>
      <c r="F5801">
        <v>0</v>
      </c>
      <c r="G5801" t="s">
        <v>22</v>
      </c>
      <c r="H5801" t="s">
        <v>21</v>
      </c>
      <c r="I5801" t="s">
        <v>60</v>
      </c>
      <c r="J5801" t="s">
        <v>61</v>
      </c>
      <c r="L5801" t="s">
        <v>86</v>
      </c>
      <c r="M5801" t="s">
        <v>83</v>
      </c>
    </row>
    <row r="5802" spans="1:13">
      <c r="A5802">
        <v>46114</v>
      </c>
      <c r="B5802" t="s">
        <v>4818</v>
      </c>
      <c r="D5802">
        <v>500</v>
      </c>
      <c r="F5802">
        <v>1</v>
      </c>
      <c r="G5802" t="s">
        <v>22</v>
      </c>
      <c r="H5802" t="s">
        <v>21</v>
      </c>
      <c r="I5802" t="s">
        <v>60</v>
      </c>
      <c r="J5802" t="s">
        <v>61</v>
      </c>
      <c r="L5802" t="s">
        <v>86</v>
      </c>
    </row>
    <row r="5803" spans="1:13">
      <c r="A5803">
        <v>46114</v>
      </c>
      <c r="B5803" t="s">
        <v>4819</v>
      </c>
      <c r="D5803">
        <v>500</v>
      </c>
      <c r="F5803">
        <v>0</v>
      </c>
      <c r="G5803" t="s">
        <v>22</v>
      </c>
      <c r="H5803" t="s">
        <v>21</v>
      </c>
      <c r="I5803" t="s">
        <v>60</v>
      </c>
      <c r="J5803" t="s">
        <v>61</v>
      </c>
      <c r="L5803" t="s">
        <v>86</v>
      </c>
      <c r="M5803" t="s">
        <v>83</v>
      </c>
    </row>
    <row r="5804" spans="1:13">
      <c r="A5804">
        <v>46115</v>
      </c>
      <c r="B5804" t="s">
        <v>4820</v>
      </c>
      <c r="F5804">
        <v>1</v>
      </c>
      <c r="G5804" t="s">
        <v>64</v>
      </c>
      <c r="L5804" t="s">
        <v>89</v>
      </c>
      <c r="M5804" t="s">
        <v>954</v>
      </c>
    </row>
    <row r="5805" spans="1:13">
      <c r="A5805">
        <v>46115</v>
      </c>
      <c r="B5805" t="s">
        <v>294</v>
      </c>
      <c r="D5805">
        <v>500</v>
      </c>
      <c r="F5805">
        <v>1</v>
      </c>
      <c r="G5805" t="s">
        <v>22</v>
      </c>
      <c r="H5805" t="s">
        <v>21</v>
      </c>
      <c r="I5805" t="s">
        <v>60</v>
      </c>
      <c r="J5805" t="s">
        <v>61</v>
      </c>
      <c r="L5805" t="s">
        <v>89</v>
      </c>
    </row>
    <row r="5806" spans="1:13">
      <c r="A5806">
        <v>46115</v>
      </c>
      <c r="B5806" t="s">
        <v>63</v>
      </c>
      <c r="D5806">
        <v>34500</v>
      </c>
      <c r="G5806" t="s">
        <v>70</v>
      </c>
      <c r="I5806" t="s">
        <v>60</v>
      </c>
      <c r="J5806" t="s">
        <v>61</v>
      </c>
      <c r="L5806" t="s">
        <v>62</v>
      </c>
    </row>
    <row r="5807" spans="1:13">
      <c r="A5807">
        <v>46115</v>
      </c>
      <c r="B5807" t="s">
        <v>63</v>
      </c>
      <c r="E5807">
        <v>500</v>
      </c>
      <c r="F5807">
        <v>1</v>
      </c>
      <c r="G5807" t="s">
        <v>65</v>
      </c>
      <c r="H5807" t="s">
        <v>66</v>
      </c>
      <c r="I5807" t="s">
        <v>60</v>
      </c>
      <c r="J5807" t="s">
        <v>61</v>
      </c>
      <c r="L5807" t="s">
        <v>62</v>
      </c>
      <c r="M5807" t="s">
        <v>91</v>
      </c>
    </row>
    <row r="5808" spans="1:13">
      <c r="A5808">
        <v>46115</v>
      </c>
      <c r="B5808" t="s">
        <v>4821</v>
      </c>
      <c r="F5808">
        <v>1</v>
      </c>
      <c r="G5808" t="s">
        <v>0</v>
      </c>
      <c r="L5808" t="s">
        <v>82</v>
      </c>
    </row>
    <row r="5809" spans="1:13">
      <c r="A5809">
        <v>46116</v>
      </c>
      <c r="B5809" t="s">
        <v>81</v>
      </c>
      <c r="D5809">
        <v>107000</v>
      </c>
      <c r="F5809">
        <v>1</v>
      </c>
      <c r="G5809" t="s">
        <v>74</v>
      </c>
      <c r="H5809" t="s">
        <v>75</v>
      </c>
      <c r="I5809" t="s">
        <v>60</v>
      </c>
      <c r="J5809" t="s">
        <v>61</v>
      </c>
      <c r="L5809" t="s">
        <v>88</v>
      </c>
    </row>
    <row r="5810" spans="1:13">
      <c r="A5810">
        <v>46116</v>
      </c>
      <c r="B5810" t="s">
        <v>4822</v>
      </c>
      <c r="D5810">
        <v>500</v>
      </c>
      <c r="F5810">
        <v>1</v>
      </c>
      <c r="G5810" t="s">
        <v>22</v>
      </c>
      <c r="H5810" t="s">
        <v>21</v>
      </c>
      <c r="I5810" t="s">
        <v>60</v>
      </c>
      <c r="J5810" t="s">
        <v>61</v>
      </c>
      <c r="L5810" t="s">
        <v>89</v>
      </c>
    </row>
    <row r="5811" spans="1:13">
      <c r="A5811">
        <v>46116</v>
      </c>
      <c r="B5811" t="s">
        <v>4823</v>
      </c>
      <c r="F5811">
        <v>1</v>
      </c>
      <c r="G5811" t="s">
        <v>79</v>
      </c>
      <c r="H5811" t="s">
        <v>21</v>
      </c>
      <c r="L5811" t="s">
        <v>89</v>
      </c>
      <c r="M5811" t="s">
        <v>327</v>
      </c>
    </row>
    <row r="5812" spans="1:13">
      <c r="A5812">
        <v>46116</v>
      </c>
      <c r="B5812" t="s">
        <v>4824</v>
      </c>
      <c r="D5812">
        <v>500</v>
      </c>
      <c r="F5812">
        <v>1</v>
      </c>
      <c r="G5812" t="s">
        <v>22</v>
      </c>
      <c r="H5812" t="s">
        <v>21</v>
      </c>
      <c r="I5812" t="s">
        <v>60</v>
      </c>
      <c r="J5812" t="s">
        <v>61</v>
      </c>
      <c r="L5812" t="s">
        <v>89</v>
      </c>
    </row>
    <row r="5813" spans="1:13">
      <c r="A5813">
        <v>46116</v>
      </c>
      <c r="B5813" t="s">
        <v>4824</v>
      </c>
      <c r="F5813">
        <v>1</v>
      </c>
      <c r="G5813" t="s">
        <v>64</v>
      </c>
      <c r="L5813" t="s">
        <v>89</v>
      </c>
      <c r="M5813" t="s">
        <v>1035</v>
      </c>
    </row>
    <row r="5814" spans="1:13">
      <c r="A5814">
        <v>46116</v>
      </c>
      <c r="B5814" t="s">
        <v>4825</v>
      </c>
      <c r="D5814">
        <v>500</v>
      </c>
      <c r="F5814">
        <v>1</v>
      </c>
      <c r="G5814" t="s">
        <v>22</v>
      </c>
      <c r="H5814" t="s">
        <v>21</v>
      </c>
      <c r="I5814" t="s">
        <v>60</v>
      </c>
      <c r="J5814" t="s">
        <v>61</v>
      </c>
      <c r="L5814" t="s">
        <v>89</v>
      </c>
    </row>
    <row r="5815" spans="1:13">
      <c r="A5815">
        <v>46116</v>
      </c>
      <c r="B5815" t="s">
        <v>4826</v>
      </c>
      <c r="D5815">
        <v>500</v>
      </c>
      <c r="F5815">
        <v>0</v>
      </c>
      <c r="G5815" t="s">
        <v>22</v>
      </c>
      <c r="H5815" t="s">
        <v>21</v>
      </c>
      <c r="I5815" t="s">
        <v>60</v>
      </c>
      <c r="J5815" t="s">
        <v>61</v>
      </c>
      <c r="L5815" t="s">
        <v>82</v>
      </c>
    </row>
    <row r="5816" spans="1:13">
      <c r="A5816">
        <v>46116</v>
      </c>
      <c r="B5816" t="s">
        <v>4827</v>
      </c>
      <c r="D5816">
        <v>500</v>
      </c>
      <c r="F5816">
        <v>1</v>
      </c>
      <c r="G5816" t="s">
        <v>22</v>
      </c>
      <c r="H5816" t="s">
        <v>21</v>
      </c>
      <c r="I5816" t="s">
        <v>60</v>
      </c>
      <c r="J5816" t="s">
        <v>61</v>
      </c>
      <c r="L5816" t="s">
        <v>82</v>
      </c>
    </row>
    <row r="5817" spans="1:13">
      <c r="A5817">
        <v>46116</v>
      </c>
      <c r="B5817" t="s">
        <v>4828</v>
      </c>
      <c r="F5817">
        <v>1</v>
      </c>
      <c r="G5817" t="s">
        <v>64</v>
      </c>
      <c r="L5817" t="s">
        <v>82</v>
      </c>
      <c r="M5817" t="s">
        <v>954</v>
      </c>
    </row>
    <row r="5818" spans="1:13">
      <c r="A5818">
        <v>46116</v>
      </c>
      <c r="B5818" t="s">
        <v>4829</v>
      </c>
      <c r="F5818">
        <v>1</v>
      </c>
      <c r="G5818" t="s">
        <v>64</v>
      </c>
      <c r="L5818" t="s">
        <v>82</v>
      </c>
      <c r="M5818" t="s">
        <v>4830</v>
      </c>
    </row>
    <row r="5819" spans="1:13">
      <c r="A5819">
        <v>46116</v>
      </c>
      <c r="B5819" t="s">
        <v>4831</v>
      </c>
      <c r="D5819">
        <v>500</v>
      </c>
      <c r="F5819">
        <v>0</v>
      </c>
      <c r="G5819" t="s">
        <v>22</v>
      </c>
      <c r="H5819" t="s">
        <v>21</v>
      </c>
      <c r="I5819" t="s">
        <v>60</v>
      </c>
      <c r="J5819" t="s">
        <v>61</v>
      </c>
      <c r="L5819" t="s">
        <v>82</v>
      </c>
    </row>
    <row r="5820" spans="1:13">
      <c r="A5820">
        <v>46116</v>
      </c>
      <c r="B5820" t="s">
        <v>63</v>
      </c>
      <c r="D5820">
        <v>39000</v>
      </c>
      <c r="G5820" t="s">
        <v>70</v>
      </c>
      <c r="I5820" t="s">
        <v>60</v>
      </c>
      <c r="J5820" t="s">
        <v>61</v>
      </c>
      <c r="L5820" t="s">
        <v>62</v>
      </c>
    </row>
    <row r="5821" spans="1:13">
      <c r="A5821">
        <v>46116</v>
      </c>
      <c r="B5821" t="s">
        <v>80</v>
      </c>
      <c r="E5821">
        <v>15798</v>
      </c>
      <c r="F5821">
        <v>1</v>
      </c>
      <c r="G5821" t="s">
        <v>74</v>
      </c>
      <c r="H5821" t="s">
        <v>75</v>
      </c>
      <c r="I5821" t="s">
        <v>60</v>
      </c>
      <c r="J5821" t="s">
        <v>61</v>
      </c>
      <c r="L5821" t="s">
        <v>87</v>
      </c>
    </row>
    <row r="5822" spans="1:13">
      <c r="A5822">
        <v>46116</v>
      </c>
      <c r="B5822" t="s">
        <v>80</v>
      </c>
      <c r="E5822">
        <v>202</v>
      </c>
      <c r="F5822">
        <v>1</v>
      </c>
      <c r="G5822" t="s">
        <v>65</v>
      </c>
      <c r="H5822" t="s">
        <v>66</v>
      </c>
      <c r="I5822" t="s">
        <v>60</v>
      </c>
      <c r="J5822" t="s">
        <v>61</v>
      </c>
      <c r="L5822" t="s">
        <v>87</v>
      </c>
    </row>
    <row r="5823" spans="1:13">
      <c r="A5823">
        <v>46116</v>
      </c>
      <c r="B5823" t="s">
        <v>80</v>
      </c>
      <c r="E5823">
        <v>7899</v>
      </c>
      <c r="F5823">
        <v>1</v>
      </c>
      <c r="G5823" t="s">
        <v>74</v>
      </c>
      <c r="H5823" t="s">
        <v>75</v>
      </c>
      <c r="I5823" t="s">
        <v>60</v>
      </c>
      <c r="J5823" t="s">
        <v>61</v>
      </c>
      <c r="L5823" t="s">
        <v>87</v>
      </c>
    </row>
    <row r="5824" spans="1:13">
      <c r="A5824">
        <v>46116</v>
      </c>
      <c r="B5824" t="s">
        <v>80</v>
      </c>
      <c r="E5824">
        <v>101</v>
      </c>
      <c r="F5824">
        <v>1</v>
      </c>
      <c r="G5824" t="s">
        <v>65</v>
      </c>
      <c r="H5824" t="s">
        <v>66</v>
      </c>
      <c r="I5824" t="s">
        <v>60</v>
      </c>
      <c r="J5824" t="s">
        <v>61</v>
      </c>
      <c r="L5824" t="s">
        <v>87</v>
      </c>
    </row>
    <row r="5825" spans="1:13">
      <c r="A5825">
        <v>46116</v>
      </c>
      <c r="B5825" t="s">
        <v>63</v>
      </c>
      <c r="E5825">
        <v>3000</v>
      </c>
      <c r="F5825">
        <v>1</v>
      </c>
      <c r="G5825" t="s">
        <v>65</v>
      </c>
      <c r="H5825" t="s">
        <v>66</v>
      </c>
      <c r="I5825" t="s">
        <v>60</v>
      </c>
      <c r="J5825" t="s">
        <v>61</v>
      </c>
      <c r="L5825" t="s">
        <v>62</v>
      </c>
      <c r="M5825" t="s">
        <v>91</v>
      </c>
    </row>
    <row r="5826" spans="1:13">
      <c r="A5826">
        <v>46117</v>
      </c>
      <c r="B5826" t="s">
        <v>2122</v>
      </c>
      <c r="D5826">
        <v>36250</v>
      </c>
      <c r="G5826" t="s">
        <v>77</v>
      </c>
      <c r="I5826" t="s">
        <v>60</v>
      </c>
      <c r="J5826" t="s">
        <v>61</v>
      </c>
      <c r="L5826" t="s">
        <v>62</v>
      </c>
    </row>
    <row r="5827" spans="1:13">
      <c r="A5827">
        <v>46117</v>
      </c>
      <c r="B5827" t="s">
        <v>63</v>
      </c>
      <c r="D5827">
        <v>500</v>
      </c>
      <c r="F5827">
        <v>5</v>
      </c>
      <c r="G5827" t="s">
        <v>22</v>
      </c>
      <c r="H5827" t="s">
        <v>93</v>
      </c>
      <c r="I5827" t="s">
        <v>60</v>
      </c>
      <c r="J5827" t="s">
        <v>61</v>
      </c>
      <c r="L5827" t="s">
        <v>62</v>
      </c>
    </row>
    <row r="5828" spans="1:13">
      <c r="A5828">
        <v>46117</v>
      </c>
      <c r="B5828" t="s">
        <v>4832</v>
      </c>
      <c r="D5828">
        <v>500</v>
      </c>
      <c r="F5828">
        <v>0</v>
      </c>
      <c r="G5828" t="s">
        <v>22</v>
      </c>
      <c r="H5828" t="s">
        <v>21</v>
      </c>
      <c r="I5828" t="s">
        <v>60</v>
      </c>
      <c r="J5828" t="s">
        <v>61</v>
      </c>
      <c r="L5828" t="s">
        <v>82</v>
      </c>
      <c r="M5828" t="s">
        <v>83</v>
      </c>
    </row>
    <row r="5829" spans="1:13">
      <c r="A5829">
        <v>46117</v>
      </c>
      <c r="B5829" t="s">
        <v>4833</v>
      </c>
      <c r="D5829">
        <v>500</v>
      </c>
      <c r="F5829">
        <v>1</v>
      </c>
      <c r="G5829" t="s">
        <v>22</v>
      </c>
      <c r="H5829" t="s">
        <v>21</v>
      </c>
      <c r="I5829" t="s">
        <v>60</v>
      </c>
      <c r="J5829" t="s">
        <v>61</v>
      </c>
      <c r="L5829" t="s">
        <v>82</v>
      </c>
    </row>
    <row r="5830" spans="1:13">
      <c r="A5830">
        <v>46117</v>
      </c>
      <c r="B5830" t="s">
        <v>4834</v>
      </c>
      <c r="D5830">
        <v>500</v>
      </c>
      <c r="F5830">
        <v>1</v>
      </c>
      <c r="G5830" t="s">
        <v>22</v>
      </c>
      <c r="H5830" t="s">
        <v>21</v>
      </c>
      <c r="I5830" t="s">
        <v>60</v>
      </c>
      <c r="J5830" t="s">
        <v>61</v>
      </c>
      <c r="L5830" t="s">
        <v>82</v>
      </c>
    </row>
    <row r="5831" spans="1:13">
      <c r="A5831">
        <v>46117</v>
      </c>
      <c r="B5831" t="s">
        <v>4835</v>
      </c>
      <c r="F5831">
        <v>1</v>
      </c>
      <c r="G5831" t="s">
        <v>64</v>
      </c>
      <c r="L5831" t="s">
        <v>82</v>
      </c>
      <c r="M5831" t="s">
        <v>110</v>
      </c>
    </row>
    <row r="5832" spans="1:13">
      <c r="A5832">
        <v>46117</v>
      </c>
      <c r="B5832" t="s">
        <v>4836</v>
      </c>
      <c r="F5832">
        <v>1</v>
      </c>
      <c r="G5832" t="s">
        <v>64</v>
      </c>
      <c r="L5832" t="s">
        <v>82</v>
      </c>
      <c r="M5832" t="s">
        <v>4587</v>
      </c>
    </row>
    <row r="5833" spans="1:13">
      <c r="A5833">
        <v>46117</v>
      </c>
      <c r="B5833" t="s">
        <v>4837</v>
      </c>
      <c r="F5833">
        <v>1</v>
      </c>
      <c r="G5833" t="s">
        <v>64</v>
      </c>
      <c r="L5833" t="s">
        <v>86</v>
      </c>
      <c r="M5833" t="s">
        <v>4587</v>
      </c>
    </row>
    <row r="5834" spans="1:13">
      <c r="A5834">
        <v>46117</v>
      </c>
      <c r="B5834" t="s">
        <v>4838</v>
      </c>
      <c r="F5834">
        <v>1</v>
      </c>
      <c r="G5834" t="s">
        <v>79</v>
      </c>
      <c r="H5834" t="s">
        <v>21</v>
      </c>
      <c r="L5834" t="s">
        <v>86</v>
      </c>
      <c r="M5834" t="s">
        <v>327</v>
      </c>
    </row>
    <row r="5835" spans="1:13">
      <c r="A5835">
        <v>46117</v>
      </c>
      <c r="B5835" t="s">
        <v>4838</v>
      </c>
      <c r="D5835">
        <v>500</v>
      </c>
      <c r="F5835">
        <v>0</v>
      </c>
      <c r="G5835" t="s">
        <v>22</v>
      </c>
      <c r="H5835" t="s">
        <v>21</v>
      </c>
      <c r="I5835" t="s">
        <v>60</v>
      </c>
      <c r="J5835" t="s">
        <v>61</v>
      </c>
      <c r="L5835" t="s">
        <v>86</v>
      </c>
      <c r="M5835" t="s">
        <v>83</v>
      </c>
    </row>
    <row r="5836" spans="1:13">
      <c r="A5836">
        <v>46117</v>
      </c>
      <c r="B5836" t="s">
        <v>4839</v>
      </c>
      <c r="F5836">
        <v>1</v>
      </c>
      <c r="G5836" t="s">
        <v>64</v>
      </c>
      <c r="L5836" t="s">
        <v>82</v>
      </c>
      <c r="M5836" t="s">
        <v>954</v>
      </c>
    </row>
    <row r="5837" spans="1:13">
      <c r="A5837">
        <v>46117</v>
      </c>
      <c r="B5837" t="s">
        <v>63</v>
      </c>
      <c r="D5837">
        <v>14000</v>
      </c>
      <c r="G5837" t="s">
        <v>70</v>
      </c>
      <c r="I5837" t="s">
        <v>60</v>
      </c>
      <c r="J5837" t="s">
        <v>61</v>
      </c>
      <c r="L5837" t="s">
        <v>62</v>
      </c>
    </row>
    <row r="5838" spans="1:13">
      <c r="A5838">
        <v>46117</v>
      </c>
      <c r="B5838" t="s">
        <v>80</v>
      </c>
      <c r="E5838">
        <v>13823</v>
      </c>
      <c r="F5838">
        <v>1</v>
      </c>
      <c r="G5838" t="s">
        <v>74</v>
      </c>
      <c r="H5838" t="s">
        <v>75</v>
      </c>
      <c r="I5838" t="s">
        <v>60</v>
      </c>
      <c r="J5838" t="s">
        <v>61</v>
      </c>
      <c r="L5838" t="s">
        <v>87</v>
      </c>
    </row>
    <row r="5839" spans="1:13">
      <c r="A5839">
        <v>46117</v>
      </c>
      <c r="B5839" t="s">
        <v>80</v>
      </c>
      <c r="E5839">
        <v>177</v>
      </c>
      <c r="F5839">
        <v>1</v>
      </c>
      <c r="G5839" t="s">
        <v>65</v>
      </c>
      <c r="H5839" t="s">
        <v>66</v>
      </c>
      <c r="I5839" t="s">
        <v>60</v>
      </c>
      <c r="J5839" t="s">
        <v>61</v>
      </c>
      <c r="L5839" t="s">
        <v>87</v>
      </c>
    </row>
    <row r="5840" spans="1:13">
      <c r="A5840">
        <v>46117</v>
      </c>
      <c r="B5840" t="s">
        <v>63</v>
      </c>
      <c r="D5840">
        <v>28500</v>
      </c>
      <c r="F5840">
        <v>2</v>
      </c>
      <c r="G5840" t="s">
        <v>70</v>
      </c>
      <c r="I5840" t="s">
        <v>71</v>
      </c>
      <c r="J5840" t="s">
        <v>1975</v>
      </c>
      <c r="K5840" t="s">
        <v>4840</v>
      </c>
      <c r="L5840" t="s">
        <v>62</v>
      </c>
      <c r="M5840" t="s">
        <v>4841</v>
      </c>
    </row>
    <row r="5841" spans="1:13">
      <c r="A5841">
        <v>46117</v>
      </c>
      <c r="B5841" t="s">
        <v>4842</v>
      </c>
      <c r="D5841">
        <v>500</v>
      </c>
      <c r="F5841">
        <v>0</v>
      </c>
      <c r="G5841" t="s">
        <v>22</v>
      </c>
      <c r="H5841" t="s">
        <v>21</v>
      </c>
      <c r="I5841" t="s">
        <v>60</v>
      </c>
      <c r="J5841" t="s">
        <v>61</v>
      </c>
      <c r="L5841" t="s">
        <v>86</v>
      </c>
    </row>
    <row r="5842" spans="1:13">
      <c r="A5842">
        <v>46117</v>
      </c>
      <c r="B5842" t="s">
        <v>4843</v>
      </c>
      <c r="D5842">
        <v>500</v>
      </c>
      <c r="F5842">
        <v>1</v>
      </c>
      <c r="G5842" t="s">
        <v>22</v>
      </c>
      <c r="H5842" t="s">
        <v>21</v>
      </c>
      <c r="I5842" t="s">
        <v>60</v>
      </c>
      <c r="J5842" t="s">
        <v>61</v>
      </c>
      <c r="L5842" t="s">
        <v>86</v>
      </c>
    </row>
    <row r="5843" spans="1:13">
      <c r="A5843">
        <v>46117</v>
      </c>
      <c r="B5843" t="s">
        <v>2043</v>
      </c>
      <c r="F5843">
        <v>1</v>
      </c>
      <c r="G5843" t="s">
        <v>64</v>
      </c>
      <c r="L5843" t="s">
        <v>86</v>
      </c>
      <c r="M5843" t="s">
        <v>954</v>
      </c>
    </row>
    <row r="5844" spans="1:13">
      <c r="A5844">
        <v>46117</v>
      </c>
      <c r="B5844" t="s">
        <v>2041</v>
      </c>
      <c r="F5844">
        <v>1</v>
      </c>
      <c r="G5844" t="s">
        <v>64</v>
      </c>
      <c r="L5844" t="s">
        <v>86</v>
      </c>
      <c r="M5844" t="s">
        <v>954</v>
      </c>
    </row>
    <row r="5845" spans="1:13">
      <c r="A5845">
        <v>46117</v>
      </c>
      <c r="B5845" t="s">
        <v>63</v>
      </c>
      <c r="E5845">
        <v>3500</v>
      </c>
      <c r="F5845">
        <v>1</v>
      </c>
      <c r="G5845" t="s">
        <v>65</v>
      </c>
      <c r="H5845" t="s">
        <v>66</v>
      </c>
      <c r="I5845" t="s">
        <v>60</v>
      </c>
      <c r="J5845" t="s">
        <v>61</v>
      </c>
      <c r="L5845" t="s">
        <v>62</v>
      </c>
      <c r="M5845" t="s">
        <v>91</v>
      </c>
    </row>
    <row r="5846" spans="1:13">
      <c r="A5846">
        <v>46117</v>
      </c>
      <c r="B5846" t="s">
        <v>63</v>
      </c>
      <c r="E5846">
        <v>500</v>
      </c>
      <c r="F5846">
        <v>1</v>
      </c>
      <c r="G5846" t="s">
        <v>65</v>
      </c>
      <c r="H5846" t="s">
        <v>66</v>
      </c>
      <c r="I5846" t="s">
        <v>60</v>
      </c>
      <c r="J5846" t="s">
        <v>61</v>
      </c>
      <c r="L5846" t="s">
        <v>62</v>
      </c>
      <c r="M5846" t="s">
        <v>94</v>
      </c>
    </row>
    <row r="5847" spans="1:13">
      <c r="A5847">
        <v>46118</v>
      </c>
      <c r="B5847" t="s">
        <v>81</v>
      </c>
      <c r="D5847">
        <v>64000</v>
      </c>
      <c r="F5847">
        <v>1</v>
      </c>
      <c r="G5847" t="s">
        <v>74</v>
      </c>
      <c r="H5847" t="s">
        <v>75</v>
      </c>
      <c r="I5847" t="s">
        <v>60</v>
      </c>
      <c r="J5847" t="s">
        <v>61</v>
      </c>
      <c r="L5847" t="s">
        <v>88</v>
      </c>
    </row>
    <row r="5848" spans="1:13">
      <c r="A5848">
        <v>46118</v>
      </c>
      <c r="B5848" t="s">
        <v>238</v>
      </c>
      <c r="C5848" t="s">
        <v>4844</v>
      </c>
      <c r="F5848">
        <v>11</v>
      </c>
      <c r="G5848" t="s">
        <v>22</v>
      </c>
      <c r="H5848" t="s">
        <v>21</v>
      </c>
      <c r="L5848" t="s">
        <v>95</v>
      </c>
    </row>
    <row r="5849" spans="1:13">
      <c r="A5849">
        <v>46118</v>
      </c>
      <c r="B5849" t="s">
        <v>4845</v>
      </c>
      <c r="D5849">
        <v>500</v>
      </c>
      <c r="F5849">
        <v>0</v>
      </c>
      <c r="G5849" t="s">
        <v>22</v>
      </c>
      <c r="H5849" t="s">
        <v>21</v>
      </c>
      <c r="I5849" t="s">
        <v>60</v>
      </c>
      <c r="J5849" t="s">
        <v>61</v>
      </c>
      <c r="L5849" t="s">
        <v>82</v>
      </c>
    </row>
    <row r="5850" spans="1:13">
      <c r="A5850">
        <v>46118</v>
      </c>
      <c r="B5850" t="s">
        <v>4846</v>
      </c>
      <c r="D5850">
        <v>500</v>
      </c>
      <c r="F5850">
        <v>0</v>
      </c>
      <c r="G5850" t="s">
        <v>22</v>
      </c>
      <c r="H5850" t="s">
        <v>21</v>
      </c>
      <c r="I5850" t="s">
        <v>60</v>
      </c>
      <c r="J5850" t="s">
        <v>61</v>
      </c>
      <c r="L5850" t="s">
        <v>82</v>
      </c>
    </row>
    <row r="5851" spans="1:13">
      <c r="A5851">
        <v>46118</v>
      </c>
      <c r="B5851" t="s">
        <v>4847</v>
      </c>
      <c r="F5851">
        <v>1</v>
      </c>
      <c r="G5851" t="s">
        <v>79</v>
      </c>
      <c r="H5851" t="s">
        <v>21</v>
      </c>
      <c r="L5851" t="s">
        <v>82</v>
      </c>
      <c r="M5851" t="s">
        <v>327</v>
      </c>
    </row>
    <row r="5852" spans="1:13">
      <c r="A5852">
        <v>46118</v>
      </c>
      <c r="B5852" t="s">
        <v>4848</v>
      </c>
      <c r="F5852">
        <v>1</v>
      </c>
      <c r="G5852" t="s">
        <v>79</v>
      </c>
      <c r="H5852" t="s">
        <v>21</v>
      </c>
      <c r="L5852" t="s">
        <v>82</v>
      </c>
      <c r="M5852" t="s">
        <v>327</v>
      </c>
    </row>
    <row r="5853" spans="1:13">
      <c r="A5853">
        <v>46118</v>
      </c>
      <c r="B5853" t="s">
        <v>4848</v>
      </c>
      <c r="F5853">
        <v>1</v>
      </c>
      <c r="G5853" t="s">
        <v>64</v>
      </c>
      <c r="L5853" t="s">
        <v>82</v>
      </c>
      <c r="M5853" t="s">
        <v>4587</v>
      </c>
    </row>
    <row r="5854" spans="1:13">
      <c r="A5854">
        <v>46118</v>
      </c>
      <c r="B5854" t="s">
        <v>63</v>
      </c>
      <c r="D5854">
        <v>42000</v>
      </c>
      <c r="G5854" t="s">
        <v>70</v>
      </c>
      <c r="I5854" t="s">
        <v>60</v>
      </c>
      <c r="J5854" t="s">
        <v>61</v>
      </c>
      <c r="L5854" t="s">
        <v>62</v>
      </c>
    </row>
    <row r="5855" spans="1:13">
      <c r="A5855">
        <v>46118</v>
      </c>
      <c r="B5855" t="s">
        <v>4849</v>
      </c>
      <c r="F5855">
        <v>1</v>
      </c>
      <c r="G5855" t="s">
        <v>64</v>
      </c>
      <c r="L5855" t="s">
        <v>86</v>
      </c>
      <c r="M5855" t="s">
        <v>954</v>
      </c>
    </row>
    <row r="5856" spans="1:13">
      <c r="A5856">
        <v>46118</v>
      </c>
      <c r="B5856" t="s">
        <v>4850</v>
      </c>
      <c r="F5856">
        <v>1</v>
      </c>
      <c r="G5856" t="s">
        <v>64</v>
      </c>
      <c r="L5856" t="s">
        <v>86</v>
      </c>
      <c r="M5856" t="s">
        <v>4851</v>
      </c>
    </row>
    <row r="5857" spans="1:13">
      <c r="A5857">
        <v>46118</v>
      </c>
      <c r="B5857" t="s">
        <v>4852</v>
      </c>
      <c r="F5857">
        <v>1</v>
      </c>
      <c r="G5857" t="s">
        <v>64</v>
      </c>
      <c r="L5857" t="s">
        <v>82</v>
      </c>
      <c r="M5857" t="s">
        <v>954</v>
      </c>
    </row>
    <row r="5858" spans="1:13">
      <c r="A5858">
        <v>46118</v>
      </c>
      <c r="B5858" t="s">
        <v>4853</v>
      </c>
      <c r="F5858">
        <v>1</v>
      </c>
      <c r="G5858" t="s">
        <v>64</v>
      </c>
      <c r="L5858" t="s">
        <v>86</v>
      </c>
      <c r="M5858" t="s">
        <v>110</v>
      </c>
    </row>
    <row r="5859" spans="1:13">
      <c r="A5859">
        <v>46118</v>
      </c>
      <c r="B5859" t="s">
        <v>4814</v>
      </c>
      <c r="D5859">
        <v>500</v>
      </c>
      <c r="F5859">
        <v>0</v>
      </c>
      <c r="G5859" t="s">
        <v>22</v>
      </c>
      <c r="H5859" t="s">
        <v>21</v>
      </c>
      <c r="I5859" t="s">
        <v>60</v>
      </c>
      <c r="J5859" t="s">
        <v>61</v>
      </c>
      <c r="L5859" t="s">
        <v>86</v>
      </c>
      <c r="M5859" t="s">
        <v>83</v>
      </c>
    </row>
    <row r="5860" spans="1:13">
      <c r="A5860">
        <v>46118</v>
      </c>
      <c r="B5860" t="s">
        <v>4854</v>
      </c>
      <c r="F5860">
        <v>1</v>
      </c>
      <c r="G5860" t="s">
        <v>79</v>
      </c>
      <c r="H5860" t="s">
        <v>21</v>
      </c>
      <c r="L5860" t="s">
        <v>86</v>
      </c>
      <c r="M5860" t="s">
        <v>327</v>
      </c>
    </row>
    <row r="5861" spans="1:13">
      <c r="A5861">
        <v>46118</v>
      </c>
      <c r="B5861" t="s">
        <v>63</v>
      </c>
      <c r="E5861">
        <v>1500</v>
      </c>
      <c r="F5861">
        <v>1</v>
      </c>
      <c r="G5861" t="s">
        <v>65</v>
      </c>
      <c r="H5861" t="s">
        <v>66</v>
      </c>
      <c r="I5861" t="s">
        <v>60</v>
      </c>
      <c r="J5861" t="s">
        <v>61</v>
      </c>
      <c r="L5861" t="s">
        <v>62</v>
      </c>
      <c r="M5861" t="s">
        <v>91</v>
      </c>
    </row>
    <row r="5862" spans="1:13">
      <c r="A5862">
        <v>46119</v>
      </c>
      <c r="B5862" t="s">
        <v>4776</v>
      </c>
      <c r="F5862">
        <v>1</v>
      </c>
      <c r="G5862" t="s">
        <v>107</v>
      </c>
      <c r="H5862" t="s">
        <v>21</v>
      </c>
      <c r="L5862" t="s">
        <v>89</v>
      </c>
      <c r="M5862" t="s">
        <v>4855</v>
      </c>
    </row>
    <row r="5863" spans="1:13">
      <c r="A5863">
        <v>46119</v>
      </c>
      <c r="B5863" t="s">
        <v>4856</v>
      </c>
      <c r="D5863">
        <v>500</v>
      </c>
      <c r="F5863">
        <v>0</v>
      </c>
      <c r="G5863" t="s">
        <v>22</v>
      </c>
      <c r="H5863" t="s">
        <v>21</v>
      </c>
      <c r="I5863" t="s">
        <v>60</v>
      </c>
      <c r="J5863" t="s">
        <v>61</v>
      </c>
      <c r="L5863" t="s">
        <v>89</v>
      </c>
      <c r="M5863" t="s">
        <v>548</v>
      </c>
    </row>
    <row r="5864" spans="1:13">
      <c r="A5864">
        <v>46119</v>
      </c>
      <c r="B5864" t="s">
        <v>81</v>
      </c>
      <c r="D5864">
        <v>78000</v>
      </c>
      <c r="F5864">
        <v>1</v>
      </c>
      <c r="G5864" t="s">
        <v>74</v>
      </c>
      <c r="H5864" t="s">
        <v>75</v>
      </c>
      <c r="I5864" t="s">
        <v>60</v>
      </c>
      <c r="J5864" t="s">
        <v>61</v>
      </c>
      <c r="L5864" t="s">
        <v>88</v>
      </c>
    </row>
    <row r="5865" spans="1:13">
      <c r="A5865">
        <v>46119</v>
      </c>
      <c r="B5865" t="s">
        <v>76</v>
      </c>
      <c r="D5865">
        <v>46000</v>
      </c>
      <c r="G5865" t="s">
        <v>77</v>
      </c>
      <c r="I5865" t="s">
        <v>60</v>
      </c>
      <c r="J5865" t="s">
        <v>61</v>
      </c>
      <c r="L5865" t="s">
        <v>62</v>
      </c>
    </row>
    <row r="5866" spans="1:13">
      <c r="A5866">
        <v>46119</v>
      </c>
      <c r="B5866" t="s">
        <v>4857</v>
      </c>
      <c r="D5866">
        <v>500</v>
      </c>
      <c r="F5866">
        <v>1</v>
      </c>
      <c r="G5866" t="s">
        <v>22</v>
      </c>
      <c r="H5866" t="s">
        <v>21</v>
      </c>
      <c r="I5866" t="s">
        <v>60</v>
      </c>
      <c r="J5866" t="s">
        <v>61</v>
      </c>
    </row>
    <row r="5867" spans="1:13">
      <c r="A5867">
        <v>46119</v>
      </c>
      <c r="B5867" t="s">
        <v>4858</v>
      </c>
      <c r="F5867">
        <v>1</v>
      </c>
      <c r="G5867" t="s">
        <v>79</v>
      </c>
      <c r="H5867" t="s">
        <v>21</v>
      </c>
      <c r="L5867" t="s">
        <v>86</v>
      </c>
      <c r="M5867" t="s">
        <v>327</v>
      </c>
    </row>
    <row r="5868" spans="1:13">
      <c r="A5868">
        <v>46119</v>
      </c>
      <c r="B5868" t="s">
        <v>4859</v>
      </c>
      <c r="D5868">
        <v>500</v>
      </c>
      <c r="F5868">
        <v>1</v>
      </c>
      <c r="G5868" t="s">
        <v>22</v>
      </c>
      <c r="H5868" t="s">
        <v>21</v>
      </c>
      <c r="I5868" t="s">
        <v>60</v>
      </c>
      <c r="J5868" t="s">
        <v>61</v>
      </c>
      <c r="L5868" t="s">
        <v>86</v>
      </c>
    </row>
    <row r="5869" spans="1:13">
      <c r="A5869">
        <v>46119</v>
      </c>
      <c r="B5869" t="s">
        <v>63</v>
      </c>
      <c r="E5869">
        <v>1500</v>
      </c>
      <c r="F5869">
        <v>1</v>
      </c>
      <c r="G5869" t="s">
        <v>65</v>
      </c>
      <c r="H5869" t="s">
        <v>66</v>
      </c>
      <c r="I5869" t="s">
        <v>60</v>
      </c>
      <c r="J5869" t="s">
        <v>61</v>
      </c>
      <c r="L5869" t="s">
        <v>62</v>
      </c>
      <c r="M5869" t="s">
        <v>91</v>
      </c>
    </row>
    <row r="5870" spans="1:13">
      <c r="A5870">
        <v>46120</v>
      </c>
      <c r="B5870" t="s">
        <v>81</v>
      </c>
      <c r="D5870">
        <v>194200</v>
      </c>
      <c r="F5870">
        <v>1</v>
      </c>
      <c r="G5870" t="s">
        <v>74</v>
      </c>
      <c r="H5870" t="s">
        <v>75</v>
      </c>
      <c r="I5870" t="s">
        <v>60</v>
      </c>
      <c r="J5870" t="s">
        <v>61</v>
      </c>
      <c r="L5870" t="s">
        <v>88</v>
      </c>
    </row>
    <row r="5871" spans="1:13">
      <c r="A5871">
        <v>46120</v>
      </c>
      <c r="B5871" t="s">
        <v>4860</v>
      </c>
      <c r="D5871">
        <v>500</v>
      </c>
      <c r="F5871">
        <v>1</v>
      </c>
      <c r="G5871" t="s">
        <v>22</v>
      </c>
      <c r="H5871" t="s">
        <v>21</v>
      </c>
      <c r="I5871" t="s">
        <v>60</v>
      </c>
      <c r="J5871" t="s">
        <v>61</v>
      </c>
      <c r="L5871" t="s">
        <v>82</v>
      </c>
    </row>
    <row r="5872" spans="1:13">
      <c r="A5872">
        <v>46120</v>
      </c>
      <c r="B5872" t="s">
        <v>4861</v>
      </c>
      <c r="D5872">
        <v>500</v>
      </c>
      <c r="F5872">
        <v>1</v>
      </c>
      <c r="G5872" t="s">
        <v>22</v>
      </c>
      <c r="H5872" t="s">
        <v>21</v>
      </c>
      <c r="I5872" t="s">
        <v>60</v>
      </c>
      <c r="J5872" t="s">
        <v>61</v>
      </c>
      <c r="L5872" t="s">
        <v>82</v>
      </c>
    </row>
    <row r="5873" spans="1:13">
      <c r="A5873">
        <v>46120</v>
      </c>
      <c r="B5873" t="s">
        <v>4862</v>
      </c>
      <c r="D5873">
        <v>500</v>
      </c>
      <c r="F5873">
        <v>1</v>
      </c>
      <c r="G5873" t="s">
        <v>22</v>
      </c>
      <c r="H5873" t="s">
        <v>21</v>
      </c>
      <c r="I5873" t="s">
        <v>60</v>
      </c>
      <c r="J5873" t="s">
        <v>61</v>
      </c>
      <c r="L5873" t="s">
        <v>82</v>
      </c>
    </row>
    <row r="5874" spans="1:13">
      <c r="A5874">
        <v>46120</v>
      </c>
      <c r="B5874" t="s">
        <v>4863</v>
      </c>
      <c r="D5874">
        <v>500</v>
      </c>
      <c r="F5874">
        <v>1</v>
      </c>
      <c r="G5874" t="s">
        <v>22</v>
      </c>
      <c r="H5874" t="s">
        <v>21</v>
      </c>
      <c r="I5874" t="s">
        <v>60</v>
      </c>
      <c r="J5874" t="s">
        <v>61</v>
      </c>
      <c r="L5874" t="s">
        <v>82</v>
      </c>
    </row>
    <row r="5875" spans="1:13">
      <c r="A5875">
        <v>46120</v>
      </c>
      <c r="B5875" t="s">
        <v>4864</v>
      </c>
      <c r="D5875">
        <v>500</v>
      </c>
      <c r="F5875">
        <v>1</v>
      </c>
      <c r="G5875" t="s">
        <v>22</v>
      </c>
      <c r="H5875" t="s">
        <v>21</v>
      </c>
      <c r="I5875" t="s">
        <v>60</v>
      </c>
      <c r="J5875" t="s">
        <v>61</v>
      </c>
      <c r="L5875" t="s">
        <v>89</v>
      </c>
    </row>
    <row r="5876" spans="1:13">
      <c r="A5876">
        <v>46120</v>
      </c>
      <c r="B5876" t="s">
        <v>4865</v>
      </c>
      <c r="D5876">
        <v>500</v>
      </c>
      <c r="F5876">
        <v>1</v>
      </c>
      <c r="G5876" t="s">
        <v>22</v>
      </c>
      <c r="H5876" t="s">
        <v>21</v>
      </c>
      <c r="I5876" t="s">
        <v>60</v>
      </c>
      <c r="J5876" t="s">
        <v>61</v>
      </c>
      <c r="L5876" t="s">
        <v>89</v>
      </c>
    </row>
    <row r="5877" spans="1:13">
      <c r="A5877">
        <v>46120</v>
      </c>
      <c r="B5877" t="s">
        <v>84</v>
      </c>
      <c r="D5877">
        <v>-72800</v>
      </c>
      <c r="G5877" t="s">
        <v>77</v>
      </c>
      <c r="I5877" t="s">
        <v>60</v>
      </c>
      <c r="J5877" t="s">
        <v>61</v>
      </c>
      <c r="L5877" t="s">
        <v>62</v>
      </c>
    </row>
    <row r="5878" spans="1:13">
      <c r="A5878">
        <v>46120</v>
      </c>
      <c r="B5878" t="s">
        <v>84</v>
      </c>
      <c r="E5878">
        <v>-3850</v>
      </c>
      <c r="F5878">
        <v>1</v>
      </c>
      <c r="G5878" t="s">
        <v>65</v>
      </c>
      <c r="H5878" t="s">
        <v>85</v>
      </c>
      <c r="I5878" t="s">
        <v>60</v>
      </c>
      <c r="J5878" t="s">
        <v>61</v>
      </c>
      <c r="L5878" t="s">
        <v>62</v>
      </c>
    </row>
    <row r="5879" spans="1:13">
      <c r="A5879">
        <v>46120</v>
      </c>
      <c r="B5879" t="s">
        <v>63</v>
      </c>
      <c r="D5879">
        <v>11344</v>
      </c>
      <c r="G5879" t="s">
        <v>70</v>
      </c>
      <c r="I5879" t="s">
        <v>60</v>
      </c>
      <c r="J5879" t="s">
        <v>61</v>
      </c>
      <c r="L5879" t="s">
        <v>62</v>
      </c>
    </row>
    <row r="5880" spans="1:13">
      <c r="A5880">
        <v>46120</v>
      </c>
      <c r="B5880" t="s">
        <v>4866</v>
      </c>
      <c r="D5880">
        <v>500</v>
      </c>
      <c r="F5880">
        <v>1</v>
      </c>
      <c r="G5880" t="s">
        <v>22</v>
      </c>
      <c r="H5880" t="s">
        <v>21</v>
      </c>
      <c r="I5880" t="s">
        <v>60</v>
      </c>
      <c r="J5880" t="s">
        <v>61</v>
      </c>
      <c r="L5880" t="s">
        <v>89</v>
      </c>
    </row>
    <row r="5881" spans="1:13">
      <c r="A5881">
        <v>46120</v>
      </c>
      <c r="B5881" t="s">
        <v>4867</v>
      </c>
      <c r="D5881">
        <v>500</v>
      </c>
      <c r="F5881">
        <v>1</v>
      </c>
      <c r="G5881" t="s">
        <v>22</v>
      </c>
      <c r="H5881" t="s">
        <v>21</v>
      </c>
      <c r="I5881" t="s">
        <v>60</v>
      </c>
      <c r="J5881" t="s">
        <v>61</v>
      </c>
      <c r="L5881" t="s">
        <v>89</v>
      </c>
    </row>
    <row r="5882" spans="1:13">
      <c r="A5882">
        <v>46120</v>
      </c>
      <c r="B5882" t="s">
        <v>63</v>
      </c>
      <c r="E5882">
        <v>4000</v>
      </c>
      <c r="F5882">
        <v>1</v>
      </c>
      <c r="G5882" t="s">
        <v>65</v>
      </c>
      <c r="H5882" t="s">
        <v>66</v>
      </c>
      <c r="I5882" t="s">
        <v>60</v>
      </c>
      <c r="J5882" t="s">
        <v>61</v>
      </c>
      <c r="L5882" t="s">
        <v>62</v>
      </c>
      <c r="M5882" t="s">
        <v>91</v>
      </c>
    </row>
    <row r="5883" spans="1:13">
      <c r="A5883">
        <v>46120</v>
      </c>
      <c r="B5883" t="s">
        <v>4868</v>
      </c>
      <c r="F5883">
        <v>1</v>
      </c>
      <c r="G5883" t="s">
        <v>0</v>
      </c>
      <c r="L5883" t="s">
        <v>89</v>
      </c>
    </row>
    <row r="5884" spans="1:13">
      <c r="A5884">
        <v>46121</v>
      </c>
      <c r="B5884" t="s">
        <v>81</v>
      </c>
      <c r="D5884">
        <v>86000</v>
      </c>
      <c r="F5884">
        <v>1</v>
      </c>
      <c r="G5884" t="s">
        <v>74</v>
      </c>
      <c r="H5884" t="s">
        <v>75</v>
      </c>
      <c r="I5884" t="s">
        <v>60</v>
      </c>
      <c r="J5884" t="s">
        <v>61</v>
      </c>
      <c r="L5884" t="s">
        <v>88</v>
      </c>
    </row>
    <row r="5885" spans="1:13">
      <c r="A5885">
        <v>46121</v>
      </c>
      <c r="B5885" t="s">
        <v>84</v>
      </c>
      <c r="D5885">
        <v>-10400</v>
      </c>
      <c r="G5885" t="s">
        <v>77</v>
      </c>
      <c r="I5885" t="s">
        <v>60</v>
      </c>
      <c r="J5885" t="s">
        <v>61</v>
      </c>
      <c r="L5885" t="s">
        <v>62</v>
      </c>
    </row>
    <row r="5886" spans="1:13">
      <c r="A5886">
        <v>46121</v>
      </c>
      <c r="B5886" t="s">
        <v>84</v>
      </c>
      <c r="E5886">
        <v>-550</v>
      </c>
      <c r="F5886">
        <v>1</v>
      </c>
      <c r="G5886" t="s">
        <v>65</v>
      </c>
      <c r="H5886" t="s">
        <v>85</v>
      </c>
      <c r="I5886" t="s">
        <v>60</v>
      </c>
      <c r="J5886" t="s">
        <v>61</v>
      </c>
      <c r="L5886" t="s">
        <v>62</v>
      </c>
    </row>
    <row r="5887" spans="1:13">
      <c r="A5887">
        <v>46121</v>
      </c>
      <c r="B5887" t="s">
        <v>4869</v>
      </c>
      <c r="D5887">
        <v>500</v>
      </c>
      <c r="F5887">
        <v>0</v>
      </c>
      <c r="G5887" t="s">
        <v>22</v>
      </c>
      <c r="H5887" t="s">
        <v>21</v>
      </c>
      <c r="I5887" t="s">
        <v>60</v>
      </c>
      <c r="J5887" t="s">
        <v>61</v>
      </c>
      <c r="L5887" t="s">
        <v>82</v>
      </c>
      <c r="M5887" t="s">
        <v>83</v>
      </c>
    </row>
    <row r="5888" spans="1:13">
      <c r="A5888">
        <v>46121</v>
      </c>
      <c r="B5888" t="s">
        <v>63</v>
      </c>
      <c r="D5888">
        <v>9000</v>
      </c>
      <c r="G5888" t="s">
        <v>70</v>
      </c>
      <c r="I5888" t="s">
        <v>60</v>
      </c>
      <c r="J5888" t="s">
        <v>61</v>
      </c>
      <c r="L5888" t="s">
        <v>62</v>
      </c>
    </row>
    <row r="5889" spans="1:13">
      <c r="A5889">
        <v>46121</v>
      </c>
      <c r="B5889" t="s">
        <v>80</v>
      </c>
      <c r="E5889">
        <v>8886</v>
      </c>
      <c r="F5889">
        <v>1</v>
      </c>
      <c r="G5889" t="s">
        <v>74</v>
      </c>
      <c r="H5889" t="s">
        <v>75</v>
      </c>
      <c r="I5889" t="s">
        <v>60</v>
      </c>
      <c r="J5889" t="s">
        <v>61</v>
      </c>
      <c r="L5889" t="s">
        <v>87</v>
      </c>
    </row>
    <row r="5890" spans="1:13">
      <c r="A5890">
        <v>46121</v>
      </c>
      <c r="B5890" t="s">
        <v>80</v>
      </c>
      <c r="E5890">
        <v>114</v>
      </c>
      <c r="F5890">
        <v>1</v>
      </c>
      <c r="G5890" t="s">
        <v>65</v>
      </c>
      <c r="H5890" t="s">
        <v>66</v>
      </c>
      <c r="I5890" t="s">
        <v>60</v>
      </c>
      <c r="J5890" t="s">
        <v>61</v>
      </c>
      <c r="L5890" t="s">
        <v>87</v>
      </c>
    </row>
    <row r="5891" spans="1:13">
      <c r="A5891">
        <v>46121</v>
      </c>
      <c r="B5891" t="s">
        <v>63</v>
      </c>
      <c r="E5891">
        <v>500</v>
      </c>
      <c r="F5891">
        <v>1</v>
      </c>
      <c r="G5891" t="s">
        <v>65</v>
      </c>
      <c r="H5891" t="s">
        <v>66</v>
      </c>
      <c r="I5891" t="s">
        <v>60</v>
      </c>
      <c r="J5891" t="s">
        <v>61</v>
      </c>
      <c r="L5891" t="s">
        <v>62</v>
      </c>
      <c r="M5891" t="s">
        <v>91</v>
      </c>
    </row>
    <row r="5892" spans="1:13">
      <c r="A5892">
        <v>46122</v>
      </c>
      <c r="B5892" t="s">
        <v>4870</v>
      </c>
      <c r="F5892">
        <v>1</v>
      </c>
      <c r="G5892" t="s">
        <v>64</v>
      </c>
      <c r="L5892" t="s">
        <v>82</v>
      </c>
      <c r="M5892" t="s">
        <v>96</v>
      </c>
    </row>
    <row r="5893" spans="1:13">
      <c r="A5893">
        <v>46122</v>
      </c>
      <c r="B5893" t="s">
        <v>4871</v>
      </c>
      <c r="D5893">
        <v>500</v>
      </c>
      <c r="F5893">
        <v>1</v>
      </c>
      <c r="G5893" t="s">
        <v>22</v>
      </c>
      <c r="H5893" t="s">
        <v>21</v>
      </c>
      <c r="I5893" t="s">
        <v>60</v>
      </c>
      <c r="J5893" t="s">
        <v>61</v>
      </c>
      <c r="L5893" t="s">
        <v>82</v>
      </c>
    </row>
    <row r="5894" spans="1:13">
      <c r="A5894">
        <v>46122</v>
      </c>
      <c r="B5894" t="s">
        <v>4872</v>
      </c>
      <c r="F5894">
        <v>1</v>
      </c>
      <c r="G5894" t="s">
        <v>64</v>
      </c>
      <c r="L5894" t="s">
        <v>86</v>
      </c>
      <c r="M5894" t="s">
        <v>96</v>
      </c>
    </row>
    <row r="5895" spans="1:13">
      <c r="A5895">
        <v>46122</v>
      </c>
      <c r="B5895" t="s">
        <v>63</v>
      </c>
      <c r="D5895">
        <v>20500</v>
      </c>
      <c r="G5895" t="s">
        <v>70</v>
      </c>
      <c r="I5895" t="s">
        <v>60</v>
      </c>
      <c r="J5895" t="s">
        <v>61</v>
      </c>
      <c r="L5895" t="s">
        <v>62</v>
      </c>
    </row>
    <row r="5896" spans="1:13">
      <c r="A5896">
        <v>46122</v>
      </c>
      <c r="B5896" t="s">
        <v>97</v>
      </c>
      <c r="E5896">
        <v>20241</v>
      </c>
      <c r="F5896">
        <v>1</v>
      </c>
      <c r="G5896" t="s">
        <v>74</v>
      </c>
      <c r="H5896" t="s">
        <v>75</v>
      </c>
      <c r="I5896" t="s">
        <v>60</v>
      </c>
      <c r="J5896" t="s">
        <v>61</v>
      </c>
      <c r="L5896" t="s">
        <v>87</v>
      </c>
    </row>
    <row r="5897" spans="1:13">
      <c r="A5897">
        <v>46122</v>
      </c>
      <c r="B5897" t="s">
        <v>97</v>
      </c>
      <c r="E5897">
        <v>259</v>
      </c>
      <c r="F5897">
        <v>1</v>
      </c>
      <c r="G5897" t="s">
        <v>65</v>
      </c>
      <c r="H5897" t="s">
        <v>66</v>
      </c>
      <c r="I5897" t="s">
        <v>60</v>
      </c>
      <c r="J5897" t="s">
        <v>61</v>
      </c>
      <c r="L5897" t="s">
        <v>87</v>
      </c>
    </row>
    <row r="5898" spans="1:13">
      <c r="A5898">
        <v>46122</v>
      </c>
      <c r="B5898" t="s">
        <v>76</v>
      </c>
      <c r="D5898">
        <v>8000</v>
      </c>
      <c r="G5898" t="s">
        <v>77</v>
      </c>
      <c r="I5898" t="s">
        <v>60</v>
      </c>
      <c r="J5898" t="s">
        <v>61</v>
      </c>
      <c r="L5898" t="s">
        <v>62</v>
      </c>
    </row>
    <row r="5899" spans="1:13">
      <c r="A5899">
        <v>46122</v>
      </c>
      <c r="B5899" t="s">
        <v>63</v>
      </c>
      <c r="D5899">
        <v>400</v>
      </c>
      <c r="F5899">
        <v>4</v>
      </c>
      <c r="G5899" t="s">
        <v>22</v>
      </c>
      <c r="H5899" t="s">
        <v>93</v>
      </c>
      <c r="I5899" t="s">
        <v>60</v>
      </c>
      <c r="J5899" t="s">
        <v>61</v>
      </c>
      <c r="L5899" t="s">
        <v>62</v>
      </c>
    </row>
    <row r="5900" spans="1:13">
      <c r="A5900">
        <v>46122</v>
      </c>
      <c r="B5900" t="s">
        <v>4873</v>
      </c>
      <c r="D5900">
        <v>500</v>
      </c>
      <c r="F5900">
        <v>0</v>
      </c>
      <c r="G5900" t="s">
        <v>22</v>
      </c>
      <c r="H5900" t="s">
        <v>21</v>
      </c>
      <c r="I5900" t="s">
        <v>60</v>
      </c>
      <c r="J5900" t="s">
        <v>61</v>
      </c>
      <c r="L5900" t="s">
        <v>86</v>
      </c>
      <c r="M5900" t="s">
        <v>83</v>
      </c>
    </row>
    <row r="5901" spans="1:13">
      <c r="A5901">
        <v>46122</v>
      </c>
      <c r="B5901" t="s">
        <v>4874</v>
      </c>
      <c r="F5901">
        <v>1</v>
      </c>
      <c r="G5901" t="s">
        <v>79</v>
      </c>
      <c r="H5901" t="s">
        <v>21</v>
      </c>
      <c r="L5901" t="s">
        <v>86</v>
      </c>
      <c r="M5901" t="s">
        <v>327</v>
      </c>
    </row>
    <row r="5902" spans="1:13">
      <c r="A5902">
        <v>46122</v>
      </c>
      <c r="B5902" t="s">
        <v>4874</v>
      </c>
      <c r="F5902">
        <v>1</v>
      </c>
      <c r="G5902" t="s">
        <v>64</v>
      </c>
      <c r="L5902" t="s">
        <v>86</v>
      </c>
      <c r="M5902" t="s">
        <v>4875</v>
      </c>
    </row>
    <row r="5903" spans="1:13">
      <c r="A5903">
        <v>46122</v>
      </c>
      <c r="B5903" t="s">
        <v>63</v>
      </c>
      <c r="E5903">
        <v>1000</v>
      </c>
      <c r="F5903">
        <v>1</v>
      </c>
      <c r="G5903" t="s">
        <v>65</v>
      </c>
      <c r="H5903" t="s">
        <v>66</v>
      </c>
      <c r="I5903" t="s">
        <v>60</v>
      </c>
      <c r="J5903" t="s">
        <v>61</v>
      </c>
      <c r="L5903" t="s">
        <v>62</v>
      </c>
      <c r="M5903" t="s">
        <v>91</v>
      </c>
    </row>
    <row r="5904" spans="1:13">
      <c r="A5904">
        <v>46122</v>
      </c>
      <c r="B5904" t="s">
        <v>63</v>
      </c>
      <c r="E5904">
        <v>400</v>
      </c>
      <c r="F5904">
        <v>1</v>
      </c>
      <c r="G5904" t="s">
        <v>65</v>
      </c>
      <c r="H5904" t="s">
        <v>66</v>
      </c>
      <c r="I5904" t="s">
        <v>60</v>
      </c>
      <c r="J5904" t="s">
        <v>61</v>
      </c>
      <c r="L5904" t="s">
        <v>62</v>
      </c>
      <c r="M5904" t="s">
        <v>94</v>
      </c>
    </row>
    <row r="5905" spans="1:13">
      <c r="A5905">
        <v>46123</v>
      </c>
      <c r="B5905" t="s">
        <v>4876</v>
      </c>
      <c r="D5905">
        <v>500</v>
      </c>
      <c r="F5905">
        <v>1</v>
      </c>
      <c r="G5905" t="s">
        <v>22</v>
      </c>
      <c r="H5905" t="s">
        <v>21</v>
      </c>
      <c r="I5905" t="s">
        <v>60</v>
      </c>
      <c r="J5905" t="s">
        <v>61</v>
      </c>
      <c r="L5905" t="s">
        <v>89</v>
      </c>
    </row>
    <row r="5906" spans="1:13">
      <c r="A5906">
        <v>46123</v>
      </c>
      <c r="B5906" t="s">
        <v>4877</v>
      </c>
      <c r="F5906">
        <v>1</v>
      </c>
      <c r="G5906" t="s">
        <v>564</v>
      </c>
      <c r="H5906" t="s">
        <v>21</v>
      </c>
      <c r="L5906" t="s">
        <v>89</v>
      </c>
      <c r="M5906" t="s">
        <v>327</v>
      </c>
    </row>
    <row r="5907" spans="1:13">
      <c r="A5907">
        <v>46123</v>
      </c>
      <c r="B5907" t="s">
        <v>4877</v>
      </c>
      <c r="D5907">
        <v>500</v>
      </c>
      <c r="F5907">
        <v>0</v>
      </c>
      <c r="G5907" t="s">
        <v>22</v>
      </c>
      <c r="H5907" t="s">
        <v>21</v>
      </c>
      <c r="I5907" t="s">
        <v>60</v>
      </c>
      <c r="J5907" t="s">
        <v>61</v>
      </c>
      <c r="L5907" t="s">
        <v>89</v>
      </c>
    </row>
    <row r="5908" spans="1:13">
      <c r="A5908">
        <v>46123</v>
      </c>
      <c r="B5908" t="s">
        <v>1385</v>
      </c>
      <c r="F5908">
        <v>1</v>
      </c>
      <c r="G5908" t="s">
        <v>107</v>
      </c>
      <c r="H5908" t="s">
        <v>21</v>
      </c>
      <c r="L5908" t="s">
        <v>89</v>
      </c>
      <c r="M5908" t="s">
        <v>4878</v>
      </c>
    </row>
    <row r="5909" spans="1:13">
      <c r="A5909">
        <v>46123</v>
      </c>
      <c r="B5909" t="s">
        <v>4879</v>
      </c>
      <c r="D5909">
        <v>500</v>
      </c>
      <c r="F5909">
        <v>1</v>
      </c>
      <c r="G5909" t="s">
        <v>22</v>
      </c>
      <c r="H5909" t="s">
        <v>21</v>
      </c>
      <c r="I5909" t="s">
        <v>60</v>
      </c>
      <c r="J5909" t="s">
        <v>61</v>
      </c>
      <c r="L5909" t="s">
        <v>89</v>
      </c>
    </row>
    <row r="5910" spans="1:13">
      <c r="A5910">
        <v>46123</v>
      </c>
      <c r="B5910" t="s">
        <v>4880</v>
      </c>
      <c r="D5910">
        <v>500</v>
      </c>
      <c r="F5910">
        <v>1</v>
      </c>
      <c r="G5910" t="s">
        <v>22</v>
      </c>
      <c r="H5910" t="s">
        <v>21</v>
      </c>
      <c r="I5910" t="s">
        <v>60</v>
      </c>
      <c r="J5910" t="s">
        <v>61</v>
      </c>
      <c r="L5910" t="s">
        <v>89</v>
      </c>
    </row>
    <row r="5911" spans="1:13">
      <c r="A5911">
        <v>46123</v>
      </c>
      <c r="B5911" t="s">
        <v>4881</v>
      </c>
      <c r="F5911">
        <v>1</v>
      </c>
      <c r="G5911" t="s">
        <v>98</v>
      </c>
      <c r="H5911" t="s">
        <v>21</v>
      </c>
      <c r="L5911" t="s">
        <v>82</v>
      </c>
      <c r="M5911" t="s">
        <v>327</v>
      </c>
    </row>
    <row r="5912" spans="1:13">
      <c r="A5912">
        <v>46123</v>
      </c>
      <c r="B5912" t="s">
        <v>63</v>
      </c>
      <c r="D5912">
        <v>14500</v>
      </c>
      <c r="G5912" t="s">
        <v>70</v>
      </c>
      <c r="I5912" t="s">
        <v>60</v>
      </c>
      <c r="J5912" t="s">
        <v>61</v>
      </c>
      <c r="L5912" t="s">
        <v>62</v>
      </c>
    </row>
    <row r="5913" spans="1:13">
      <c r="A5913">
        <v>46123</v>
      </c>
      <c r="B5913" t="s">
        <v>80</v>
      </c>
      <c r="E5913">
        <v>6418</v>
      </c>
      <c r="F5913">
        <v>1</v>
      </c>
      <c r="G5913" t="s">
        <v>74</v>
      </c>
      <c r="H5913" t="s">
        <v>75</v>
      </c>
      <c r="I5913" t="s">
        <v>60</v>
      </c>
      <c r="J5913" t="s">
        <v>61</v>
      </c>
      <c r="L5913" t="s">
        <v>87</v>
      </c>
    </row>
    <row r="5914" spans="1:13">
      <c r="A5914">
        <v>46123</v>
      </c>
      <c r="B5914" t="s">
        <v>97</v>
      </c>
      <c r="E5914">
        <v>82</v>
      </c>
      <c r="F5914">
        <v>1</v>
      </c>
      <c r="G5914" t="s">
        <v>65</v>
      </c>
      <c r="H5914" t="s">
        <v>66</v>
      </c>
      <c r="I5914" t="s">
        <v>60</v>
      </c>
      <c r="J5914" t="s">
        <v>61</v>
      </c>
      <c r="L5914" t="s">
        <v>87</v>
      </c>
    </row>
    <row r="5915" spans="1:13">
      <c r="A5915">
        <v>46123</v>
      </c>
      <c r="B5915" t="s">
        <v>4882</v>
      </c>
      <c r="F5915">
        <v>1</v>
      </c>
      <c r="G5915" t="s">
        <v>64</v>
      </c>
      <c r="L5915" t="s">
        <v>82</v>
      </c>
      <c r="M5915" t="s">
        <v>96</v>
      </c>
    </row>
    <row r="5916" spans="1:13">
      <c r="A5916">
        <v>46123</v>
      </c>
      <c r="B5916" t="s">
        <v>4883</v>
      </c>
      <c r="F5916">
        <v>1</v>
      </c>
      <c r="G5916" t="s">
        <v>79</v>
      </c>
      <c r="H5916" t="s">
        <v>21</v>
      </c>
      <c r="L5916" t="s">
        <v>89</v>
      </c>
      <c r="M5916" t="s">
        <v>327</v>
      </c>
    </row>
    <row r="5917" spans="1:13">
      <c r="A5917">
        <v>46123</v>
      </c>
      <c r="B5917" t="s">
        <v>4883</v>
      </c>
      <c r="D5917">
        <v>500</v>
      </c>
      <c r="F5917">
        <v>0</v>
      </c>
      <c r="G5917" t="s">
        <v>22</v>
      </c>
      <c r="H5917" t="s">
        <v>21</v>
      </c>
      <c r="I5917" t="s">
        <v>60</v>
      </c>
      <c r="J5917" t="s">
        <v>61</v>
      </c>
      <c r="L5917" t="s">
        <v>89</v>
      </c>
    </row>
    <row r="5918" spans="1:13">
      <c r="A5918">
        <v>46123</v>
      </c>
      <c r="B5918" t="s">
        <v>4884</v>
      </c>
      <c r="D5918">
        <v>500</v>
      </c>
      <c r="F5918">
        <v>0</v>
      </c>
      <c r="G5918" t="s">
        <v>22</v>
      </c>
      <c r="H5918" t="s">
        <v>21</v>
      </c>
      <c r="I5918" t="s">
        <v>60</v>
      </c>
      <c r="J5918" t="s">
        <v>61</v>
      </c>
      <c r="L5918" t="s">
        <v>89</v>
      </c>
    </row>
    <row r="5919" spans="1:13">
      <c r="A5919">
        <v>46123</v>
      </c>
      <c r="B5919" t="s">
        <v>4885</v>
      </c>
      <c r="D5919">
        <v>500</v>
      </c>
      <c r="F5919">
        <v>0</v>
      </c>
      <c r="G5919" t="s">
        <v>22</v>
      </c>
      <c r="H5919" t="s">
        <v>21</v>
      </c>
      <c r="I5919" t="s">
        <v>60</v>
      </c>
      <c r="J5919" t="s">
        <v>61</v>
      </c>
      <c r="L5919" t="s">
        <v>89</v>
      </c>
    </row>
    <row r="5920" spans="1:13">
      <c r="A5920">
        <v>46123</v>
      </c>
      <c r="B5920" t="s">
        <v>4886</v>
      </c>
      <c r="D5920">
        <v>500</v>
      </c>
      <c r="F5920">
        <v>1</v>
      </c>
      <c r="G5920" t="s">
        <v>22</v>
      </c>
      <c r="H5920" t="s">
        <v>21</v>
      </c>
      <c r="I5920" t="s">
        <v>60</v>
      </c>
      <c r="J5920" t="s">
        <v>61</v>
      </c>
      <c r="L5920" t="s">
        <v>82</v>
      </c>
    </row>
    <row r="5921" spans="1:13">
      <c r="A5921">
        <v>46123</v>
      </c>
      <c r="B5921" t="s">
        <v>4887</v>
      </c>
      <c r="D5921">
        <v>500</v>
      </c>
      <c r="F5921">
        <v>1</v>
      </c>
      <c r="G5921" t="s">
        <v>22</v>
      </c>
      <c r="H5921" t="s">
        <v>21</v>
      </c>
      <c r="I5921" t="s">
        <v>60</v>
      </c>
      <c r="J5921" t="s">
        <v>61</v>
      </c>
      <c r="L5921" t="s">
        <v>89</v>
      </c>
    </row>
    <row r="5922" spans="1:13">
      <c r="A5922">
        <v>46123</v>
      </c>
      <c r="B5922" t="s">
        <v>4877</v>
      </c>
      <c r="D5922">
        <v>500</v>
      </c>
      <c r="F5922">
        <v>0</v>
      </c>
      <c r="G5922" t="s">
        <v>22</v>
      </c>
      <c r="H5922" t="s">
        <v>21</v>
      </c>
      <c r="I5922" t="s">
        <v>60</v>
      </c>
      <c r="J5922" t="s">
        <v>61</v>
      </c>
      <c r="L5922" t="s">
        <v>89</v>
      </c>
    </row>
    <row r="5923" spans="1:13">
      <c r="A5923">
        <v>46123</v>
      </c>
      <c r="B5923" t="s">
        <v>4888</v>
      </c>
      <c r="D5923">
        <v>500</v>
      </c>
      <c r="F5923">
        <v>0</v>
      </c>
      <c r="G5923" t="s">
        <v>22</v>
      </c>
      <c r="H5923" t="s">
        <v>21</v>
      </c>
      <c r="I5923" t="s">
        <v>60</v>
      </c>
      <c r="J5923" t="s">
        <v>61</v>
      </c>
      <c r="L5923" t="s">
        <v>82</v>
      </c>
    </row>
    <row r="5924" spans="1:13">
      <c r="A5924">
        <v>46123</v>
      </c>
      <c r="B5924" t="s">
        <v>4889</v>
      </c>
      <c r="D5924">
        <v>500</v>
      </c>
      <c r="F5924">
        <v>1</v>
      </c>
      <c r="G5924" t="s">
        <v>22</v>
      </c>
      <c r="H5924" t="s">
        <v>21</v>
      </c>
      <c r="I5924" t="s">
        <v>60</v>
      </c>
      <c r="J5924" t="s">
        <v>61</v>
      </c>
      <c r="L5924" t="s">
        <v>82</v>
      </c>
    </row>
    <row r="5925" spans="1:13">
      <c r="A5925">
        <v>46123</v>
      </c>
      <c r="B5925" t="s">
        <v>4600</v>
      </c>
      <c r="D5925">
        <v>500</v>
      </c>
      <c r="F5925">
        <v>0</v>
      </c>
      <c r="G5925" t="s">
        <v>22</v>
      </c>
      <c r="H5925" t="s">
        <v>21</v>
      </c>
      <c r="I5925" t="s">
        <v>60</v>
      </c>
      <c r="J5925" t="s">
        <v>61</v>
      </c>
      <c r="L5925" t="s">
        <v>82</v>
      </c>
    </row>
    <row r="5926" spans="1:13">
      <c r="A5926">
        <v>46123</v>
      </c>
      <c r="B5926" t="s">
        <v>2122</v>
      </c>
      <c r="D5926">
        <v>10700</v>
      </c>
      <c r="G5926" t="s">
        <v>77</v>
      </c>
      <c r="I5926" t="s">
        <v>60</v>
      </c>
      <c r="J5926" t="s">
        <v>61</v>
      </c>
      <c r="L5926" t="s">
        <v>62</v>
      </c>
    </row>
    <row r="5927" spans="1:13">
      <c r="A5927">
        <v>46123</v>
      </c>
      <c r="B5927" t="s">
        <v>63</v>
      </c>
      <c r="E5927">
        <v>6500</v>
      </c>
      <c r="F5927">
        <v>1</v>
      </c>
      <c r="G5927" t="s">
        <v>65</v>
      </c>
      <c r="H5927" t="s">
        <v>66</v>
      </c>
      <c r="I5927" t="s">
        <v>60</v>
      </c>
      <c r="J5927" t="s">
        <v>61</v>
      </c>
      <c r="L5927" t="s">
        <v>62</v>
      </c>
      <c r="M5927" t="s">
        <v>91</v>
      </c>
    </row>
    <row r="5928" spans="1:13">
      <c r="A5928">
        <v>46124</v>
      </c>
      <c r="B5928" t="s">
        <v>4890</v>
      </c>
      <c r="F5928">
        <v>1</v>
      </c>
      <c r="G5928" t="s">
        <v>64</v>
      </c>
      <c r="L5928" t="s">
        <v>86</v>
      </c>
      <c r="M5928" t="s">
        <v>1035</v>
      </c>
    </row>
    <row r="5929" spans="1:13">
      <c r="A5929">
        <v>46124</v>
      </c>
      <c r="B5929" t="s">
        <v>4891</v>
      </c>
      <c r="D5929">
        <v>500</v>
      </c>
      <c r="F5929">
        <v>1</v>
      </c>
      <c r="G5929" t="s">
        <v>22</v>
      </c>
      <c r="H5929" t="s">
        <v>21</v>
      </c>
      <c r="I5929" t="s">
        <v>60</v>
      </c>
      <c r="J5929" t="s">
        <v>61</v>
      </c>
      <c r="L5929" t="s">
        <v>89</v>
      </c>
    </row>
    <row r="5930" spans="1:13">
      <c r="A5930">
        <v>46124</v>
      </c>
      <c r="B5930" t="s">
        <v>4892</v>
      </c>
      <c r="D5930">
        <v>500</v>
      </c>
      <c r="F5930">
        <v>1</v>
      </c>
      <c r="G5930" t="s">
        <v>22</v>
      </c>
      <c r="H5930" t="s">
        <v>21</v>
      </c>
      <c r="I5930" t="s">
        <v>60</v>
      </c>
      <c r="J5930" t="s">
        <v>61</v>
      </c>
      <c r="L5930" t="s">
        <v>89</v>
      </c>
    </row>
    <row r="5931" spans="1:13">
      <c r="A5931">
        <v>46124</v>
      </c>
      <c r="B5931" t="s">
        <v>4893</v>
      </c>
      <c r="F5931">
        <v>1</v>
      </c>
      <c r="G5931" t="s">
        <v>79</v>
      </c>
      <c r="H5931" t="s">
        <v>21</v>
      </c>
      <c r="L5931" t="s">
        <v>89</v>
      </c>
      <c r="M5931" t="s">
        <v>327</v>
      </c>
    </row>
    <row r="5932" spans="1:13">
      <c r="A5932">
        <v>46124</v>
      </c>
      <c r="B5932" t="s">
        <v>4894</v>
      </c>
      <c r="F5932">
        <v>1</v>
      </c>
      <c r="G5932" t="s">
        <v>107</v>
      </c>
      <c r="H5932" t="s">
        <v>21</v>
      </c>
      <c r="L5932" t="s">
        <v>89</v>
      </c>
      <c r="M5932" t="s">
        <v>4878</v>
      </c>
    </row>
    <row r="5933" spans="1:13">
      <c r="A5933">
        <v>46124</v>
      </c>
      <c r="B5933" t="s">
        <v>63</v>
      </c>
      <c r="D5933">
        <v>8000</v>
      </c>
      <c r="G5933" t="s">
        <v>70</v>
      </c>
      <c r="I5933" t="s">
        <v>60</v>
      </c>
      <c r="J5933" t="s">
        <v>61</v>
      </c>
      <c r="L5933" t="s">
        <v>62</v>
      </c>
    </row>
    <row r="5934" spans="1:13">
      <c r="A5934">
        <v>46124</v>
      </c>
      <c r="B5934" t="s">
        <v>63</v>
      </c>
      <c r="E5934">
        <v>1000</v>
      </c>
      <c r="F5934">
        <v>1</v>
      </c>
      <c r="G5934" t="s">
        <v>65</v>
      </c>
      <c r="H5934" t="s">
        <v>66</v>
      </c>
      <c r="I5934" t="s">
        <v>60</v>
      </c>
      <c r="J5934" t="s">
        <v>61</v>
      </c>
      <c r="L5934" t="s">
        <v>62</v>
      </c>
      <c r="M5934" t="s">
        <v>91</v>
      </c>
    </row>
    <row r="5935" spans="1:13">
      <c r="A5935">
        <v>46125</v>
      </c>
      <c r="B5935" t="s">
        <v>238</v>
      </c>
      <c r="C5935" t="s">
        <v>4895</v>
      </c>
      <c r="F5935">
        <v>21</v>
      </c>
      <c r="G5935" t="s">
        <v>22</v>
      </c>
      <c r="H5935" t="s">
        <v>21</v>
      </c>
      <c r="L5935" t="s">
        <v>95</v>
      </c>
    </row>
    <row r="5936" spans="1:13">
      <c r="A5936">
        <v>46125</v>
      </c>
      <c r="B5936" t="s">
        <v>81</v>
      </c>
      <c r="D5936">
        <v>158000</v>
      </c>
      <c r="F5936">
        <v>1</v>
      </c>
      <c r="G5936" t="s">
        <v>74</v>
      </c>
      <c r="H5936" t="s">
        <v>75</v>
      </c>
      <c r="I5936" t="s">
        <v>60</v>
      </c>
      <c r="J5936" t="s">
        <v>61</v>
      </c>
      <c r="L5936" t="s">
        <v>88</v>
      </c>
    </row>
    <row r="5937" spans="1:13">
      <c r="A5937">
        <v>46125</v>
      </c>
      <c r="B5937" t="s">
        <v>4896</v>
      </c>
      <c r="F5937">
        <v>1</v>
      </c>
      <c r="G5937" t="s">
        <v>99</v>
      </c>
      <c r="H5937" t="s">
        <v>21</v>
      </c>
      <c r="L5937" t="s">
        <v>82</v>
      </c>
      <c r="M5937" t="s">
        <v>4897</v>
      </c>
    </row>
    <row r="5938" spans="1:13">
      <c r="A5938">
        <v>46125</v>
      </c>
      <c r="B5938" t="s">
        <v>4898</v>
      </c>
      <c r="F5938">
        <v>1</v>
      </c>
      <c r="G5938" t="s">
        <v>99</v>
      </c>
      <c r="H5938" t="s">
        <v>21</v>
      </c>
      <c r="L5938" t="s">
        <v>82</v>
      </c>
      <c r="M5938" t="s">
        <v>4897</v>
      </c>
    </row>
    <row r="5939" spans="1:13">
      <c r="A5939">
        <v>46125</v>
      </c>
      <c r="B5939" t="s">
        <v>4899</v>
      </c>
      <c r="F5939">
        <v>1</v>
      </c>
      <c r="G5939" t="s">
        <v>99</v>
      </c>
      <c r="H5939" t="s">
        <v>21</v>
      </c>
      <c r="L5939" t="s">
        <v>82</v>
      </c>
      <c r="M5939" t="s">
        <v>4897</v>
      </c>
    </row>
    <row r="5940" spans="1:13">
      <c r="A5940">
        <v>46125</v>
      </c>
      <c r="B5940" t="s">
        <v>4900</v>
      </c>
      <c r="F5940">
        <v>1</v>
      </c>
      <c r="G5940" t="s">
        <v>99</v>
      </c>
      <c r="H5940" t="s">
        <v>21</v>
      </c>
      <c r="L5940" t="s">
        <v>82</v>
      </c>
      <c r="M5940" t="s">
        <v>4897</v>
      </c>
    </row>
    <row r="5941" spans="1:13">
      <c r="A5941">
        <v>46125</v>
      </c>
      <c r="B5941" t="s">
        <v>4901</v>
      </c>
      <c r="D5941">
        <v>500</v>
      </c>
      <c r="F5941">
        <v>0</v>
      </c>
      <c r="G5941" t="s">
        <v>22</v>
      </c>
      <c r="H5941" t="s">
        <v>21</v>
      </c>
      <c r="I5941" t="s">
        <v>60</v>
      </c>
      <c r="J5941" t="s">
        <v>61</v>
      </c>
      <c r="L5941" t="s">
        <v>82</v>
      </c>
    </row>
    <row r="5942" spans="1:13">
      <c r="A5942">
        <v>46125</v>
      </c>
      <c r="B5942" t="s">
        <v>4902</v>
      </c>
      <c r="D5942">
        <v>500</v>
      </c>
      <c r="F5942">
        <v>1</v>
      </c>
      <c r="G5942" t="s">
        <v>22</v>
      </c>
      <c r="H5942" t="s">
        <v>21</v>
      </c>
      <c r="I5942" t="s">
        <v>60</v>
      </c>
      <c r="J5942" t="s">
        <v>61</v>
      </c>
      <c r="L5942" t="s">
        <v>82</v>
      </c>
    </row>
    <row r="5943" spans="1:13">
      <c r="A5943">
        <v>46125</v>
      </c>
      <c r="B5943" t="s">
        <v>4903</v>
      </c>
      <c r="D5943">
        <v>500</v>
      </c>
      <c r="F5943">
        <v>1</v>
      </c>
      <c r="G5943" t="s">
        <v>22</v>
      </c>
      <c r="H5943" t="s">
        <v>21</v>
      </c>
      <c r="I5943" t="s">
        <v>60</v>
      </c>
      <c r="J5943" t="s">
        <v>61</v>
      </c>
      <c r="L5943" t="s">
        <v>89</v>
      </c>
    </row>
    <row r="5944" spans="1:13">
      <c r="A5944">
        <v>46125</v>
      </c>
      <c r="B5944" t="s">
        <v>63</v>
      </c>
      <c r="D5944">
        <v>100</v>
      </c>
      <c r="F5944">
        <v>1</v>
      </c>
      <c r="G5944" t="s">
        <v>22</v>
      </c>
      <c r="H5944" t="s">
        <v>93</v>
      </c>
      <c r="I5944" t="s">
        <v>60</v>
      </c>
      <c r="J5944" t="s">
        <v>61</v>
      </c>
      <c r="L5944" t="s">
        <v>62</v>
      </c>
    </row>
    <row r="5945" spans="1:13">
      <c r="A5945">
        <v>46125</v>
      </c>
      <c r="B5945" t="s">
        <v>4904</v>
      </c>
      <c r="F5945">
        <v>1</v>
      </c>
      <c r="G5945" t="s">
        <v>79</v>
      </c>
      <c r="H5945" t="s">
        <v>21</v>
      </c>
      <c r="L5945" t="s">
        <v>89</v>
      </c>
      <c r="M5945" t="s">
        <v>327</v>
      </c>
    </row>
    <row r="5946" spans="1:13">
      <c r="A5946">
        <v>46125</v>
      </c>
      <c r="B5946" t="s">
        <v>4905</v>
      </c>
      <c r="F5946">
        <v>1</v>
      </c>
      <c r="G5946" t="s">
        <v>79</v>
      </c>
      <c r="H5946" t="s">
        <v>21</v>
      </c>
      <c r="L5946" t="s">
        <v>89</v>
      </c>
      <c r="M5946" t="s">
        <v>327</v>
      </c>
    </row>
    <row r="5947" spans="1:13">
      <c r="A5947">
        <v>46125</v>
      </c>
      <c r="B5947" t="s">
        <v>4906</v>
      </c>
      <c r="F5947">
        <v>1</v>
      </c>
      <c r="G5947" t="s">
        <v>64</v>
      </c>
      <c r="L5947" t="s">
        <v>82</v>
      </c>
      <c r="M5947" t="s">
        <v>96</v>
      </c>
    </row>
    <row r="5948" spans="1:13">
      <c r="A5948">
        <v>46125</v>
      </c>
      <c r="B5948" t="s">
        <v>4907</v>
      </c>
      <c r="D5948">
        <v>500</v>
      </c>
      <c r="F5948">
        <v>1</v>
      </c>
      <c r="G5948" t="s">
        <v>22</v>
      </c>
      <c r="H5948" t="s">
        <v>21</v>
      </c>
      <c r="I5948" t="s">
        <v>60</v>
      </c>
      <c r="J5948" t="s">
        <v>61</v>
      </c>
      <c r="L5948" t="s">
        <v>82</v>
      </c>
    </row>
    <row r="5949" spans="1:13">
      <c r="A5949">
        <v>46125</v>
      </c>
      <c r="B5949" t="s">
        <v>562</v>
      </c>
      <c r="D5949">
        <v>5000</v>
      </c>
      <c r="G5949" t="s">
        <v>77</v>
      </c>
      <c r="I5949" t="s">
        <v>60</v>
      </c>
      <c r="J5949" t="s">
        <v>61</v>
      </c>
      <c r="L5949" t="s">
        <v>62</v>
      </c>
    </row>
    <row r="5950" spans="1:13">
      <c r="A5950">
        <v>46125</v>
      </c>
      <c r="B5950" t="s">
        <v>4908</v>
      </c>
      <c r="D5950">
        <v>500</v>
      </c>
      <c r="F5950">
        <v>1</v>
      </c>
      <c r="G5950" t="s">
        <v>22</v>
      </c>
      <c r="H5950" t="s">
        <v>21</v>
      </c>
      <c r="I5950" t="s">
        <v>60</v>
      </c>
      <c r="J5950" t="s">
        <v>61</v>
      </c>
      <c r="L5950" t="s">
        <v>82</v>
      </c>
    </row>
    <row r="5951" spans="1:13">
      <c r="A5951">
        <v>46125</v>
      </c>
      <c r="B5951" t="s">
        <v>4909</v>
      </c>
      <c r="F5951">
        <v>1</v>
      </c>
      <c r="G5951" t="s">
        <v>79</v>
      </c>
      <c r="H5951" t="s">
        <v>21</v>
      </c>
      <c r="L5951" t="s">
        <v>89</v>
      </c>
      <c r="M5951" t="s">
        <v>327</v>
      </c>
    </row>
    <row r="5952" spans="1:13">
      <c r="A5952">
        <v>46125</v>
      </c>
      <c r="B5952" t="s">
        <v>63</v>
      </c>
      <c r="D5952">
        <v>7500</v>
      </c>
      <c r="G5952" t="s">
        <v>70</v>
      </c>
      <c r="I5952" t="s">
        <v>60</v>
      </c>
      <c r="J5952" t="s">
        <v>61</v>
      </c>
      <c r="L5952" t="s">
        <v>62</v>
      </c>
    </row>
    <row r="5953" spans="1:13">
      <c r="A5953">
        <v>46125</v>
      </c>
      <c r="B5953" t="s">
        <v>63</v>
      </c>
      <c r="E5953">
        <v>2500</v>
      </c>
      <c r="F5953">
        <v>1</v>
      </c>
      <c r="G5953" t="s">
        <v>65</v>
      </c>
      <c r="H5953" t="s">
        <v>66</v>
      </c>
      <c r="I5953" t="s">
        <v>60</v>
      </c>
      <c r="J5953" t="s">
        <v>61</v>
      </c>
      <c r="L5953" t="s">
        <v>62</v>
      </c>
      <c r="M5953" t="s">
        <v>91</v>
      </c>
    </row>
    <row r="5954" spans="1:13">
      <c r="A5954">
        <v>46125</v>
      </c>
      <c r="B5954" t="s">
        <v>63</v>
      </c>
      <c r="E5954">
        <v>100</v>
      </c>
      <c r="F5954">
        <v>1</v>
      </c>
      <c r="G5954" t="s">
        <v>65</v>
      </c>
      <c r="H5954" t="s">
        <v>66</v>
      </c>
      <c r="I5954" t="s">
        <v>60</v>
      </c>
      <c r="J5954" t="s">
        <v>61</v>
      </c>
      <c r="L5954" t="s">
        <v>62</v>
      </c>
      <c r="M5954" t="s">
        <v>94</v>
      </c>
    </row>
    <row r="5955" spans="1:13">
      <c r="A5955">
        <v>46126</v>
      </c>
      <c r="B5955" t="s">
        <v>81</v>
      </c>
      <c r="D5955">
        <v>45000</v>
      </c>
      <c r="F5955">
        <v>1</v>
      </c>
      <c r="G5955" t="s">
        <v>74</v>
      </c>
      <c r="H5955" t="s">
        <v>75</v>
      </c>
      <c r="I5955" t="s">
        <v>60</v>
      </c>
      <c r="J5955" t="s">
        <v>61</v>
      </c>
      <c r="L5955" t="s">
        <v>88</v>
      </c>
    </row>
    <row r="5956" spans="1:13">
      <c r="A5956">
        <v>46126</v>
      </c>
      <c r="B5956" t="s">
        <v>4910</v>
      </c>
      <c r="F5956">
        <v>1</v>
      </c>
      <c r="G5956" t="s">
        <v>99</v>
      </c>
      <c r="H5956" t="s">
        <v>21</v>
      </c>
      <c r="L5956" t="s">
        <v>82</v>
      </c>
      <c r="M5956" t="s">
        <v>4911</v>
      </c>
    </row>
    <row r="5957" spans="1:13">
      <c r="A5957">
        <v>46126</v>
      </c>
      <c r="B5957" t="s">
        <v>4912</v>
      </c>
      <c r="F5957">
        <v>1</v>
      </c>
      <c r="G5957" t="s">
        <v>64</v>
      </c>
      <c r="L5957" t="s">
        <v>82</v>
      </c>
      <c r="M5957" t="s">
        <v>96</v>
      </c>
    </row>
    <row r="5958" spans="1:13">
      <c r="A5958">
        <v>46126</v>
      </c>
      <c r="B5958" t="s">
        <v>105</v>
      </c>
      <c r="E5958">
        <v>889053.72</v>
      </c>
      <c r="F5958">
        <v>1</v>
      </c>
      <c r="G5958" t="s">
        <v>74</v>
      </c>
      <c r="H5958" t="s">
        <v>75</v>
      </c>
      <c r="I5958" t="s">
        <v>60</v>
      </c>
      <c r="J5958" t="s">
        <v>61</v>
      </c>
      <c r="L5958" t="s">
        <v>104</v>
      </c>
    </row>
    <row r="5959" spans="1:13">
      <c r="A5959">
        <v>46126</v>
      </c>
      <c r="B5959" t="s">
        <v>76</v>
      </c>
      <c r="D5959">
        <v>13700</v>
      </c>
      <c r="G5959" t="s">
        <v>77</v>
      </c>
      <c r="I5959" t="s">
        <v>60</v>
      </c>
      <c r="J5959" t="s">
        <v>61</v>
      </c>
      <c r="L5959" t="s">
        <v>62</v>
      </c>
    </row>
    <row r="5960" spans="1:13">
      <c r="A5960">
        <v>46126</v>
      </c>
      <c r="B5960" t="s">
        <v>63</v>
      </c>
      <c r="D5960">
        <v>200</v>
      </c>
      <c r="F5960">
        <v>2</v>
      </c>
      <c r="G5960" t="s">
        <v>22</v>
      </c>
      <c r="H5960" t="s">
        <v>93</v>
      </c>
      <c r="I5960" t="s">
        <v>60</v>
      </c>
      <c r="J5960" t="s">
        <v>61</v>
      </c>
      <c r="L5960" t="s">
        <v>62</v>
      </c>
    </row>
    <row r="5961" spans="1:13">
      <c r="A5961">
        <v>46126</v>
      </c>
      <c r="B5961" t="s">
        <v>4913</v>
      </c>
      <c r="D5961">
        <v>500</v>
      </c>
      <c r="F5961">
        <v>1</v>
      </c>
      <c r="G5961" t="s">
        <v>22</v>
      </c>
      <c r="H5961" t="s">
        <v>21</v>
      </c>
      <c r="I5961" t="s">
        <v>60</v>
      </c>
      <c r="J5961" t="s">
        <v>61</v>
      </c>
      <c r="L5961" t="s">
        <v>89</v>
      </c>
    </row>
    <row r="5962" spans="1:13">
      <c r="A5962">
        <v>46126</v>
      </c>
      <c r="B5962" t="s">
        <v>4914</v>
      </c>
      <c r="D5962">
        <v>500</v>
      </c>
      <c r="F5962">
        <v>1</v>
      </c>
      <c r="G5962" t="s">
        <v>22</v>
      </c>
      <c r="H5962" t="s">
        <v>21</v>
      </c>
      <c r="I5962" t="s">
        <v>60</v>
      </c>
      <c r="J5962" t="s">
        <v>61</v>
      </c>
      <c r="L5962" t="s">
        <v>89</v>
      </c>
    </row>
    <row r="5963" spans="1:13">
      <c r="A5963">
        <v>46126</v>
      </c>
      <c r="B5963" t="s">
        <v>4915</v>
      </c>
      <c r="D5963">
        <v>500</v>
      </c>
      <c r="F5963">
        <v>1</v>
      </c>
      <c r="G5963" t="s">
        <v>22</v>
      </c>
      <c r="H5963" t="s">
        <v>21</v>
      </c>
      <c r="I5963" t="s">
        <v>60</v>
      </c>
      <c r="J5963" t="s">
        <v>61</v>
      </c>
      <c r="L5963" t="s">
        <v>89</v>
      </c>
    </row>
    <row r="5964" spans="1:13">
      <c r="A5964">
        <v>46126</v>
      </c>
      <c r="B5964" t="s">
        <v>4916</v>
      </c>
      <c r="F5964">
        <v>1</v>
      </c>
      <c r="G5964" t="s">
        <v>79</v>
      </c>
      <c r="H5964" t="s">
        <v>21</v>
      </c>
      <c r="L5964" t="s">
        <v>89</v>
      </c>
      <c r="M5964" t="s">
        <v>327</v>
      </c>
    </row>
    <row r="5965" spans="1:13">
      <c r="A5965">
        <v>46126</v>
      </c>
      <c r="B5965" t="s">
        <v>4917</v>
      </c>
      <c r="F5965">
        <v>1</v>
      </c>
      <c r="G5965" t="s">
        <v>99</v>
      </c>
      <c r="H5965" t="s">
        <v>21</v>
      </c>
      <c r="L5965" t="s">
        <v>89</v>
      </c>
      <c r="M5965" t="s">
        <v>4911</v>
      </c>
    </row>
    <row r="5966" spans="1:13">
      <c r="A5966">
        <v>46126</v>
      </c>
      <c r="B5966" t="s">
        <v>63</v>
      </c>
      <c r="E5966">
        <v>1500</v>
      </c>
      <c r="F5966">
        <v>1</v>
      </c>
      <c r="G5966" t="s">
        <v>65</v>
      </c>
      <c r="H5966" t="s">
        <v>66</v>
      </c>
      <c r="I5966" t="s">
        <v>60</v>
      </c>
      <c r="J5966" t="s">
        <v>61</v>
      </c>
      <c r="L5966" t="s">
        <v>62</v>
      </c>
      <c r="M5966" t="s">
        <v>91</v>
      </c>
    </row>
    <row r="5967" spans="1:13">
      <c r="A5967">
        <v>46126</v>
      </c>
      <c r="B5967" t="s">
        <v>63</v>
      </c>
      <c r="E5967">
        <v>200</v>
      </c>
      <c r="F5967">
        <v>1</v>
      </c>
      <c r="G5967" t="s">
        <v>65</v>
      </c>
      <c r="H5967" t="s">
        <v>66</v>
      </c>
      <c r="I5967" t="s">
        <v>60</v>
      </c>
      <c r="J5967" t="s">
        <v>61</v>
      </c>
      <c r="L5967" t="s">
        <v>62</v>
      </c>
      <c r="M5967" t="s">
        <v>94</v>
      </c>
    </row>
    <row r="5968" spans="1:13">
      <c r="A5968">
        <v>46127</v>
      </c>
      <c r="B5968" t="s">
        <v>81</v>
      </c>
      <c r="D5968">
        <v>23000</v>
      </c>
      <c r="F5968">
        <v>1</v>
      </c>
      <c r="G5968" t="s">
        <v>74</v>
      </c>
      <c r="H5968" t="s">
        <v>75</v>
      </c>
      <c r="I5968" t="s">
        <v>60</v>
      </c>
      <c r="J5968" t="s">
        <v>61</v>
      </c>
      <c r="L5968" t="s">
        <v>88</v>
      </c>
    </row>
    <row r="5969" spans="1:13">
      <c r="A5969">
        <v>46127</v>
      </c>
      <c r="B5969" t="s">
        <v>4918</v>
      </c>
      <c r="D5969">
        <v>500</v>
      </c>
      <c r="F5969">
        <v>1</v>
      </c>
      <c r="G5969" t="s">
        <v>22</v>
      </c>
      <c r="H5969" t="s">
        <v>21</v>
      </c>
      <c r="I5969" t="s">
        <v>60</v>
      </c>
      <c r="J5969" t="s">
        <v>61</v>
      </c>
      <c r="L5969" t="s">
        <v>86</v>
      </c>
    </row>
    <row r="5970" spans="1:13">
      <c r="A5970">
        <v>46127</v>
      </c>
      <c r="B5970" t="s">
        <v>63</v>
      </c>
      <c r="D5970">
        <v>300</v>
      </c>
      <c r="F5970">
        <v>1</v>
      </c>
      <c r="G5970" t="s">
        <v>22</v>
      </c>
      <c r="H5970" t="s">
        <v>93</v>
      </c>
      <c r="I5970" t="s">
        <v>60</v>
      </c>
      <c r="J5970" t="s">
        <v>61</v>
      </c>
      <c r="L5970" t="s">
        <v>62</v>
      </c>
    </row>
    <row r="5971" spans="1:13">
      <c r="A5971">
        <v>46127</v>
      </c>
      <c r="B5971" t="s">
        <v>76</v>
      </c>
      <c r="D5971">
        <v>71000</v>
      </c>
      <c r="G5971" t="s">
        <v>77</v>
      </c>
      <c r="I5971" t="s">
        <v>60</v>
      </c>
      <c r="J5971" t="s">
        <v>61</v>
      </c>
      <c r="L5971" t="s">
        <v>62</v>
      </c>
    </row>
    <row r="5972" spans="1:13">
      <c r="A5972">
        <v>46127</v>
      </c>
      <c r="B5972" t="s">
        <v>4919</v>
      </c>
      <c r="F5972">
        <v>1</v>
      </c>
      <c r="G5972" t="s">
        <v>79</v>
      </c>
      <c r="H5972" t="s">
        <v>21</v>
      </c>
      <c r="L5972" t="s">
        <v>86</v>
      </c>
      <c r="M5972" t="s">
        <v>327</v>
      </c>
    </row>
    <row r="5973" spans="1:13">
      <c r="A5973">
        <v>46127</v>
      </c>
      <c r="B5973" t="s">
        <v>4920</v>
      </c>
      <c r="D5973">
        <v>500</v>
      </c>
      <c r="F5973">
        <v>1</v>
      </c>
      <c r="G5973" t="s">
        <v>22</v>
      </c>
      <c r="H5973" t="s">
        <v>21</v>
      </c>
      <c r="I5973" t="s">
        <v>60</v>
      </c>
      <c r="J5973" t="s">
        <v>61</v>
      </c>
      <c r="L5973" t="s">
        <v>82</v>
      </c>
    </row>
    <row r="5974" spans="1:13">
      <c r="A5974">
        <v>46127</v>
      </c>
      <c r="B5974" t="s">
        <v>4920</v>
      </c>
      <c r="F5974">
        <v>1</v>
      </c>
      <c r="G5974" t="s">
        <v>64</v>
      </c>
      <c r="L5974" t="s">
        <v>82</v>
      </c>
      <c r="M5974" t="s">
        <v>96</v>
      </c>
    </row>
    <row r="5975" spans="1:13">
      <c r="A5975">
        <v>46127</v>
      </c>
      <c r="B5975" t="s">
        <v>3553</v>
      </c>
      <c r="D5975">
        <v>500</v>
      </c>
      <c r="F5975">
        <v>0</v>
      </c>
      <c r="G5975" t="s">
        <v>22</v>
      </c>
      <c r="H5975" t="s">
        <v>21</v>
      </c>
      <c r="I5975" t="s">
        <v>60</v>
      </c>
      <c r="J5975" t="s">
        <v>61</v>
      </c>
      <c r="L5975" t="s">
        <v>82</v>
      </c>
    </row>
    <row r="5976" spans="1:13">
      <c r="A5976">
        <v>46127</v>
      </c>
      <c r="B5976" t="s">
        <v>4921</v>
      </c>
      <c r="D5976">
        <v>500</v>
      </c>
      <c r="F5976">
        <v>1</v>
      </c>
      <c r="G5976" t="s">
        <v>22</v>
      </c>
      <c r="H5976" t="s">
        <v>21</v>
      </c>
      <c r="I5976" t="s">
        <v>60</v>
      </c>
      <c r="J5976" t="s">
        <v>61</v>
      </c>
      <c r="L5976" t="s">
        <v>82</v>
      </c>
    </row>
    <row r="5977" spans="1:13">
      <c r="A5977">
        <v>46127</v>
      </c>
      <c r="B5977" t="s">
        <v>84</v>
      </c>
      <c r="D5977">
        <v>-109200</v>
      </c>
      <c r="G5977" t="s">
        <v>77</v>
      </c>
      <c r="I5977" t="s">
        <v>60</v>
      </c>
      <c r="J5977" t="s">
        <v>61</v>
      </c>
      <c r="L5977" t="s">
        <v>62</v>
      </c>
    </row>
    <row r="5978" spans="1:13">
      <c r="A5978">
        <v>46127</v>
      </c>
      <c r="B5978" t="s">
        <v>84</v>
      </c>
      <c r="E5978">
        <v>-5775</v>
      </c>
      <c r="F5978">
        <v>1</v>
      </c>
      <c r="G5978" t="s">
        <v>65</v>
      </c>
      <c r="H5978" t="s">
        <v>85</v>
      </c>
      <c r="I5978" t="s">
        <v>60</v>
      </c>
      <c r="J5978" t="s">
        <v>61</v>
      </c>
      <c r="L5978" t="s">
        <v>62</v>
      </c>
    </row>
    <row r="5979" spans="1:13">
      <c r="A5979">
        <v>46127</v>
      </c>
      <c r="B5979" t="s">
        <v>84</v>
      </c>
      <c r="E5979">
        <v>1575</v>
      </c>
      <c r="F5979">
        <v>1</v>
      </c>
      <c r="G5979" t="s">
        <v>65</v>
      </c>
      <c r="H5979" t="s">
        <v>66</v>
      </c>
      <c r="I5979" t="s">
        <v>60</v>
      </c>
      <c r="J5979" t="s">
        <v>61</v>
      </c>
      <c r="L5979" t="s">
        <v>62</v>
      </c>
    </row>
    <row r="5980" spans="1:13">
      <c r="A5980">
        <v>46127</v>
      </c>
      <c r="B5980" t="s">
        <v>4922</v>
      </c>
      <c r="D5980">
        <v>500</v>
      </c>
      <c r="F5980">
        <v>1</v>
      </c>
      <c r="G5980" t="s">
        <v>22</v>
      </c>
      <c r="H5980" t="s">
        <v>21</v>
      </c>
      <c r="I5980" t="s">
        <v>60</v>
      </c>
      <c r="J5980" t="s">
        <v>61</v>
      </c>
      <c r="L5980" t="s">
        <v>82</v>
      </c>
    </row>
    <row r="5981" spans="1:13">
      <c r="A5981">
        <v>46127</v>
      </c>
      <c r="B5981" t="s">
        <v>63</v>
      </c>
      <c r="E5981">
        <v>2500</v>
      </c>
      <c r="F5981">
        <v>1</v>
      </c>
      <c r="G5981" t="s">
        <v>65</v>
      </c>
      <c r="H5981" t="s">
        <v>66</v>
      </c>
      <c r="I5981" t="s">
        <v>60</v>
      </c>
      <c r="J5981" t="s">
        <v>61</v>
      </c>
      <c r="L5981" t="s">
        <v>62</v>
      </c>
      <c r="M5981" t="s">
        <v>91</v>
      </c>
    </row>
    <row r="5982" spans="1:13">
      <c r="A5982">
        <v>46127</v>
      </c>
      <c r="B5982" t="s">
        <v>63</v>
      </c>
      <c r="E5982">
        <v>300</v>
      </c>
      <c r="F5982">
        <v>1</v>
      </c>
      <c r="G5982" t="s">
        <v>65</v>
      </c>
      <c r="H5982" t="s">
        <v>66</v>
      </c>
      <c r="I5982" t="s">
        <v>60</v>
      </c>
      <c r="J5982" t="s">
        <v>61</v>
      </c>
      <c r="L5982" t="s">
        <v>62</v>
      </c>
      <c r="M5982" t="s">
        <v>94</v>
      </c>
    </row>
    <row r="5983" spans="1:13">
      <c r="A5983">
        <v>46128</v>
      </c>
      <c r="B5983" t="s">
        <v>4923</v>
      </c>
      <c r="D5983">
        <v>500</v>
      </c>
      <c r="F5983">
        <v>1</v>
      </c>
      <c r="G5983" t="s">
        <v>22</v>
      </c>
      <c r="H5983" t="s">
        <v>21</v>
      </c>
      <c r="I5983" t="s">
        <v>60</v>
      </c>
      <c r="J5983" t="s">
        <v>61</v>
      </c>
      <c r="L5983" t="s">
        <v>89</v>
      </c>
    </row>
    <row r="5984" spans="1:13">
      <c r="A5984">
        <v>46128</v>
      </c>
      <c r="B5984" t="s">
        <v>4924</v>
      </c>
      <c r="D5984">
        <v>500</v>
      </c>
      <c r="F5984">
        <v>1</v>
      </c>
      <c r="G5984" t="s">
        <v>22</v>
      </c>
      <c r="H5984" t="s">
        <v>21</v>
      </c>
      <c r="I5984" t="s">
        <v>60</v>
      </c>
      <c r="J5984" t="s">
        <v>61</v>
      </c>
      <c r="L5984" t="s">
        <v>89</v>
      </c>
    </row>
    <row r="5985" spans="1:13">
      <c r="A5985">
        <v>46128</v>
      </c>
      <c r="B5985" t="s">
        <v>76</v>
      </c>
      <c r="D5985">
        <v>19900</v>
      </c>
      <c r="G5985" t="s">
        <v>77</v>
      </c>
      <c r="I5985" t="s">
        <v>60</v>
      </c>
      <c r="J5985" t="s">
        <v>61</v>
      </c>
      <c r="L5985" t="s">
        <v>62</v>
      </c>
    </row>
    <row r="5986" spans="1:13">
      <c r="A5986">
        <v>46128</v>
      </c>
      <c r="B5986" t="s">
        <v>4925</v>
      </c>
      <c r="D5986">
        <v>500</v>
      </c>
      <c r="F5986">
        <v>1</v>
      </c>
      <c r="G5986" t="s">
        <v>22</v>
      </c>
      <c r="H5986" t="s">
        <v>21</v>
      </c>
      <c r="I5986" t="s">
        <v>60</v>
      </c>
      <c r="J5986" t="s">
        <v>61</v>
      </c>
      <c r="L5986" t="s">
        <v>86</v>
      </c>
    </row>
    <row r="5987" spans="1:13">
      <c r="A5987">
        <v>46128</v>
      </c>
      <c r="B5987" t="s">
        <v>4926</v>
      </c>
      <c r="D5987">
        <v>500</v>
      </c>
      <c r="F5987">
        <v>1</v>
      </c>
      <c r="G5987" t="s">
        <v>22</v>
      </c>
      <c r="H5987" t="s">
        <v>21</v>
      </c>
      <c r="I5987" t="s">
        <v>60</v>
      </c>
      <c r="J5987" t="s">
        <v>61</v>
      </c>
      <c r="L5987" t="s">
        <v>89</v>
      </c>
    </row>
    <row r="5988" spans="1:13">
      <c r="A5988">
        <v>46128</v>
      </c>
      <c r="B5988" t="s">
        <v>4927</v>
      </c>
      <c r="D5988">
        <v>500</v>
      </c>
      <c r="F5988">
        <v>0</v>
      </c>
      <c r="G5988" t="s">
        <v>22</v>
      </c>
      <c r="H5988" t="s">
        <v>21</v>
      </c>
      <c r="I5988" t="s">
        <v>60</v>
      </c>
      <c r="J5988" t="s">
        <v>61</v>
      </c>
      <c r="L5988" t="s">
        <v>89</v>
      </c>
    </row>
    <row r="5989" spans="1:13">
      <c r="A5989">
        <v>46128</v>
      </c>
      <c r="B5989" t="s">
        <v>2813</v>
      </c>
      <c r="F5989">
        <v>1</v>
      </c>
      <c r="G5989" t="s">
        <v>64</v>
      </c>
      <c r="L5989" t="s">
        <v>89</v>
      </c>
      <c r="M5989" t="s">
        <v>96</v>
      </c>
    </row>
    <row r="5990" spans="1:13">
      <c r="A5990">
        <v>46128</v>
      </c>
      <c r="B5990" t="s">
        <v>4928</v>
      </c>
      <c r="D5990">
        <v>500</v>
      </c>
      <c r="F5990">
        <v>1</v>
      </c>
      <c r="G5990" t="s">
        <v>22</v>
      </c>
      <c r="H5990" t="s">
        <v>21</v>
      </c>
      <c r="I5990" t="s">
        <v>60</v>
      </c>
      <c r="J5990" t="s">
        <v>61</v>
      </c>
      <c r="L5990" t="s">
        <v>86</v>
      </c>
    </row>
    <row r="5991" spans="1:13">
      <c r="A5991">
        <v>46128</v>
      </c>
      <c r="B5991" t="s">
        <v>4929</v>
      </c>
      <c r="D5991">
        <v>500</v>
      </c>
      <c r="F5991">
        <v>1</v>
      </c>
      <c r="G5991" t="s">
        <v>22</v>
      </c>
      <c r="H5991" t="s">
        <v>21</v>
      </c>
      <c r="I5991" t="s">
        <v>60</v>
      </c>
      <c r="J5991" t="s">
        <v>61</v>
      </c>
      <c r="L5991" t="s">
        <v>86</v>
      </c>
    </row>
    <row r="5992" spans="1:13">
      <c r="A5992">
        <v>46128</v>
      </c>
      <c r="B5992" t="s">
        <v>4930</v>
      </c>
      <c r="D5992">
        <v>500</v>
      </c>
      <c r="F5992">
        <v>1</v>
      </c>
      <c r="G5992" t="s">
        <v>22</v>
      </c>
      <c r="H5992" t="s">
        <v>21</v>
      </c>
      <c r="I5992" t="s">
        <v>60</v>
      </c>
      <c r="J5992" t="s">
        <v>61</v>
      </c>
      <c r="L5992" t="s">
        <v>86</v>
      </c>
    </row>
    <row r="5993" spans="1:13">
      <c r="A5993">
        <v>46128</v>
      </c>
      <c r="B5993" t="s">
        <v>81</v>
      </c>
      <c r="D5993">
        <v>105000</v>
      </c>
      <c r="F5993">
        <v>1</v>
      </c>
      <c r="G5993" t="s">
        <v>74</v>
      </c>
      <c r="H5993" t="s">
        <v>75</v>
      </c>
      <c r="I5993" t="s">
        <v>60</v>
      </c>
      <c r="J5993" t="s">
        <v>61</v>
      </c>
      <c r="L5993" t="s">
        <v>88</v>
      </c>
    </row>
    <row r="5994" spans="1:13">
      <c r="A5994">
        <v>46128</v>
      </c>
      <c r="B5994" t="s">
        <v>63</v>
      </c>
      <c r="E5994">
        <v>4000</v>
      </c>
      <c r="F5994">
        <v>1</v>
      </c>
      <c r="G5994" t="s">
        <v>65</v>
      </c>
      <c r="H5994" t="s">
        <v>66</v>
      </c>
      <c r="I5994" t="s">
        <v>60</v>
      </c>
      <c r="J5994" t="s">
        <v>61</v>
      </c>
      <c r="L5994" t="s">
        <v>62</v>
      </c>
      <c r="M5994" t="s">
        <v>91</v>
      </c>
    </row>
    <row r="5995" spans="1:13">
      <c r="A5995">
        <v>46129</v>
      </c>
      <c r="B5995" t="s">
        <v>81</v>
      </c>
      <c r="D5995">
        <v>87000</v>
      </c>
      <c r="F5995">
        <v>1</v>
      </c>
      <c r="G5995" t="s">
        <v>74</v>
      </c>
      <c r="H5995" t="s">
        <v>75</v>
      </c>
      <c r="I5995" t="s">
        <v>60</v>
      </c>
      <c r="J5995" t="s">
        <v>61</v>
      </c>
      <c r="L5995" t="s">
        <v>88</v>
      </c>
    </row>
    <row r="5996" spans="1:13">
      <c r="A5996">
        <v>46129</v>
      </c>
      <c r="B5996" t="s">
        <v>4931</v>
      </c>
      <c r="F5996">
        <v>1</v>
      </c>
      <c r="G5996" t="s">
        <v>79</v>
      </c>
      <c r="H5996" t="s">
        <v>21</v>
      </c>
      <c r="L5996" t="s">
        <v>89</v>
      </c>
      <c r="M5996" t="s">
        <v>327</v>
      </c>
    </row>
    <row r="5997" spans="1:13">
      <c r="A5997">
        <v>46129</v>
      </c>
      <c r="B5997" t="s">
        <v>4932</v>
      </c>
      <c r="D5997">
        <v>500</v>
      </c>
      <c r="F5997">
        <v>1</v>
      </c>
      <c r="G5997" t="s">
        <v>22</v>
      </c>
      <c r="H5997" t="s">
        <v>21</v>
      </c>
      <c r="I5997" t="s">
        <v>60</v>
      </c>
      <c r="J5997" t="s">
        <v>61</v>
      </c>
      <c r="L5997" t="s">
        <v>82</v>
      </c>
    </row>
    <row r="5998" spans="1:13">
      <c r="A5998">
        <v>46129</v>
      </c>
      <c r="B5998" t="s">
        <v>4933</v>
      </c>
      <c r="D5998">
        <v>500</v>
      </c>
      <c r="F5998">
        <v>1</v>
      </c>
      <c r="G5998" t="s">
        <v>22</v>
      </c>
      <c r="H5998" t="s">
        <v>21</v>
      </c>
      <c r="I5998" t="s">
        <v>60</v>
      </c>
      <c r="J5998" t="s">
        <v>61</v>
      </c>
      <c r="L5998" t="s">
        <v>82</v>
      </c>
    </row>
    <row r="5999" spans="1:13">
      <c r="A5999">
        <v>46129</v>
      </c>
      <c r="B5999" t="s">
        <v>4934</v>
      </c>
      <c r="D5999">
        <v>500</v>
      </c>
      <c r="F5999">
        <v>1</v>
      </c>
      <c r="G5999" t="s">
        <v>22</v>
      </c>
      <c r="H5999" t="s">
        <v>21</v>
      </c>
      <c r="I5999" t="s">
        <v>60</v>
      </c>
      <c r="J5999" t="s">
        <v>61</v>
      </c>
      <c r="L5999" t="s">
        <v>82</v>
      </c>
    </row>
    <row r="6000" spans="1:13">
      <c r="A6000">
        <v>46129</v>
      </c>
      <c r="B6000" t="s">
        <v>4935</v>
      </c>
      <c r="F6000">
        <v>1</v>
      </c>
      <c r="G6000" t="s">
        <v>64</v>
      </c>
      <c r="L6000" t="s">
        <v>82</v>
      </c>
      <c r="M6000" t="s">
        <v>4851</v>
      </c>
    </row>
    <row r="6001" spans="1:13">
      <c r="A6001">
        <v>46129</v>
      </c>
      <c r="B6001" t="s">
        <v>63</v>
      </c>
      <c r="D6001">
        <v>16000</v>
      </c>
      <c r="F6001">
        <v>2</v>
      </c>
      <c r="G6001" t="s">
        <v>70</v>
      </c>
      <c r="I6001" t="s">
        <v>71</v>
      </c>
      <c r="J6001" t="s">
        <v>72</v>
      </c>
      <c r="K6001" t="s">
        <v>4936</v>
      </c>
      <c r="L6001" t="s">
        <v>62</v>
      </c>
      <c r="M6001" t="s">
        <v>4937</v>
      </c>
    </row>
    <row r="6002" spans="1:13">
      <c r="A6002">
        <v>46129</v>
      </c>
      <c r="B6002" t="s">
        <v>63</v>
      </c>
      <c r="D6002">
        <v>26500</v>
      </c>
      <c r="F6002">
        <v>2</v>
      </c>
      <c r="G6002" t="s">
        <v>70</v>
      </c>
      <c r="I6002" t="s">
        <v>71</v>
      </c>
      <c r="J6002" t="s">
        <v>72</v>
      </c>
      <c r="K6002" t="s">
        <v>4938</v>
      </c>
      <c r="L6002" t="s">
        <v>62</v>
      </c>
      <c r="M6002" t="s">
        <v>90</v>
      </c>
    </row>
    <row r="6003" spans="1:13">
      <c r="A6003">
        <v>46129</v>
      </c>
      <c r="B6003" t="s">
        <v>3341</v>
      </c>
      <c r="D6003">
        <v>500</v>
      </c>
      <c r="F6003">
        <v>1</v>
      </c>
      <c r="G6003" t="s">
        <v>22</v>
      </c>
      <c r="H6003" t="s">
        <v>21</v>
      </c>
      <c r="I6003" t="s">
        <v>60</v>
      </c>
      <c r="J6003" t="s">
        <v>61</v>
      </c>
      <c r="L6003" t="s">
        <v>82</v>
      </c>
    </row>
    <row r="6004" spans="1:13">
      <c r="A6004">
        <v>46129</v>
      </c>
      <c r="B6004" t="s">
        <v>4939</v>
      </c>
      <c r="F6004">
        <v>1</v>
      </c>
      <c r="G6004" t="s">
        <v>64</v>
      </c>
      <c r="L6004" t="s">
        <v>89</v>
      </c>
      <c r="M6004" t="s">
        <v>4940</v>
      </c>
    </row>
    <row r="6005" spans="1:13">
      <c r="A6005">
        <v>46129</v>
      </c>
      <c r="B6005" t="s">
        <v>4941</v>
      </c>
      <c r="F6005">
        <v>1</v>
      </c>
      <c r="G6005" t="s">
        <v>64</v>
      </c>
      <c r="L6005" t="s">
        <v>82</v>
      </c>
      <c r="M6005" t="s">
        <v>96</v>
      </c>
    </row>
    <row r="6006" spans="1:13">
      <c r="A6006">
        <v>46129</v>
      </c>
      <c r="B6006" t="s">
        <v>4942</v>
      </c>
      <c r="F6006">
        <v>1</v>
      </c>
      <c r="G6006" t="s">
        <v>79</v>
      </c>
      <c r="H6006" t="s">
        <v>21</v>
      </c>
      <c r="L6006" t="s">
        <v>82</v>
      </c>
      <c r="M6006" t="s">
        <v>327</v>
      </c>
    </row>
    <row r="6007" spans="1:13">
      <c r="A6007">
        <v>46129</v>
      </c>
      <c r="B6007" t="s">
        <v>4942</v>
      </c>
      <c r="F6007">
        <v>1</v>
      </c>
      <c r="G6007" t="s">
        <v>64</v>
      </c>
      <c r="L6007" t="s">
        <v>82</v>
      </c>
      <c r="M6007" t="s">
        <v>96</v>
      </c>
    </row>
    <row r="6008" spans="1:13">
      <c r="A6008">
        <v>46129</v>
      </c>
      <c r="B6008" t="s">
        <v>63</v>
      </c>
      <c r="E6008">
        <v>2000</v>
      </c>
      <c r="F6008">
        <v>1</v>
      </c>
      <c r="G6008" t="s">
        <v>65</v>
      </c>
      <c r="H6008" t="s">
        <v>66</v>
      </c>
      <c r="I6008" t="s">
        <v>60</v>
      </c>
      <c r="J6008" t="s">
        <v>61</v>
      </c>
      <c r="L6008" t="s">
        <v>62</v>
      </c>
      <c r="M6008" t="s">
        <v>91</v>
      </c>
    </row>
    <row r="6009" spans="1:13">
      <c r="A6009">
        <v>46129</v>
      </c>
      <c r="B6009" t="s">
        <v>4943</v>
      </c>
      <c r="F6009">
        <v>1</v>
      </c>
      <c r="G6009" t="s">
        <v>0</v>
      </c>
      <c r="L6009" t="s">
        <v>82</v>
      </c>
    </row>
    <row r="6010" spans="1:13">
      <c r="A6010">
        <v>46130</v>
      </c>
      <c r="B6010" t="s">
        <v>4944</v>
      </c>
      <c r="D6010">
        <v>500</v>
      </c>
      <c r="F6010">
        <v>1</v>
      </c>
      <c r="G6010" t="s">
        <v>22</v>
      </c>
      <c r="H6010" t="s">
        <v>21</v>
      </c>
      <c r="I6010" t="s">
        <v>60</v>
      </c>
      <c r="J6010" t="s">
        <v>61</v>
      </c>
      <c r="L6010" t="s">
        <v>89</v>
      </c>
    </row>
    <row r="6011" spans="1:13">
      <c r="A6011">
        <v>46130</v>
      </c>
      <c r="B6011" t="s">
        <v>4945</v>
      </c>
      <c r="D6011">
        <v>500</v>
      </c>
      <c r="F6011">
        <v>1</v>
      </c>
      <c r="G6011" t="s">
        <v>22</v>
      </c>
      <c r="H6011" t="s">
        <v>21</v>
      </c>
      <c r="I6011" t="s">
        <v>60</v>
      </c>
      <c r="J6011" t="s">
        <v>61</v>
      </c>
      <c r="L6011" t="s">
        <v>89</v>
      </c>
    </row>
    <row r="6012" spans="1:13">
      <c r="A6012">
        <v>46130</v>
      </c>
      <c r="B6012" t="s">
        <v>4946</v>
      </c>
      <c r="F6012">
        <v>1</v>
      </c>
      <c r="G6012" t="s">
        <v>79</v>
      </c>
      <c r="H6012" t="s">
        <v>21</v>
      </c>
      <c r="L6012" t="s">
        <v>89</v>
      </c>
      <c r="M6012" t="s">
        <v>327</v>
      </c>
    </row>
    <row r="6013" spans="1:13">
      <c r="A6013">
        <v>46130</v>
      </c>
      <c r="B6013" t="s">
        <v>4946</v>
      </c>
      <c r="F6013">
        <v>1</v>
      </c>
      <c r="G6013" t="s">
        <v>64</v>
      </c>
      <c r="L6013" t="s">
        <v>89</v>
      </c>
      <c r="M6013" t="s">
        <v>4947</v>
      </c>
    </row>
    <row r="6014" spans="1:13">
      <c r="A6014">
        <v>46130</v>
      </c>
      <c r="B6014" t="s">
        <v>4948</v>
      </c>
      <c r="F6014">
        <v>1</v>
      </c>
      <c r="G6014" t="s">
        <v>64</v>
      </c>
      <c r="L6014" t="s">
        <v>89</v>
      </c>
      <c r="M6014" t="s">
        <v>110</v>
      </c>
    </row>
    <row r="6015" spans="1:13">
      <c r="A6015">
        <v>46130</v>
      </c>
      <c r="B6015" t="s">
        <v>63</v>
      </c>
      <c r="D6015">
        <v>47000</v>
      </c>
      <c r="G6015" t="s">
        <v>70</v>
      </c>
      <c r="I6015" t="s">
        <v>60</v>
      </c>
      <c r="J6015" t="s">
        <v>61</v>
      </c>
      <c r="L6015" t="s">
        <v>62</v>
      </c>
    </row>
    <row r="6016" spans="1:13">
      <c r="A6016">
        <v>46130</v>
      </c>
      <c r="B6016" t="s">
        <v>76</v>
      </c>
      <c r="D6016">
        <v>9000</v>
      </c>
      <c r="G6016" t="s">
        <v>77</v>
      </c>
      <c r="I6016" t="s">
        <v>60</v>
      </c>
      <c r="J6016" t="s">
        <v>61</v>
      </c>
      <c r="L6016" t="s">
        <v>62</v>
      </c>
    </row>
    <row r="6017" spans="1:13">
      <c r="A6017">
        <v>46130</v>
      </c>
      <c r="B6017" t="s">
        <v>4949</v>
      </c>
      <c r="F6017">
        <v>1</v>
      </c>
      <c r="G6017" t="s">
        <v>64</v>
      </c>
      <c r="L6017" t="s">
        <v>89</v>
      </c>
      <c r="M6017" t="s">
        <v>96</v>
      </c>
    </row>
    <row r="6018" spans="1:13">
      <c r="A6018">
        <v>46130</v>
      </c>
      <c r="B6018" t="s">
        <v>4950</v>
      </c>
      <c r="D6018">
        <v>500</v>
      </c>
      <c r="F6018">
        <v>1</v>
      </c>
      <c r="G6018" t="s">
        <v>22</v>
      </c>
      <c r="H6018" t="s">
        <v>21</v>
      </c>
      <c r="I6018" t="s">
        <v>60</v>
      </c>
      <c r="J6018" t="s">
        <v>61</v>
      </c>
      <c r="L6018" t="s">
        <v>86</v>
      </c>
    </row>
    <row r="6019" spans="1:13">
      <c r="A6019">
        <v>46130</v>
      </c>
      <c r="B6019" t="s">
        <v>4951</v>
      </c>
      <c r="D6019">
        <v>500</v>
      </c>
      <c r="F6019">
        <v>0</v>
      </c>
      <c r="G6019" t="s">
        <v>22</v>
      </c>
      <c r="H6019" t="s">
        <v>21</v>
      </c>
      <c r="I6019" t="s">
        <v>60</v>
      </c>
      <c r="J6019" t="s">
        <v>61</v>
      </c>
      <c r="L6019" t="s">
        <v>86</v>
      </c>
      <c r="M6019" t="s">
        <v>3048</v>
      </c>
    </row>
    <row r="6020" spans="1:13">
      <c r="A6020">
        <v>46130</v>
      </c>
      <c r="B6020" t="s">
        <v>4952</v>
      </c>
      <c r="D6020">
        <v>500</v>
      </c>
      <c r="F6020">
        <v>1</v>
      </c>
      <c r="G6020" t="s">
        <v>22</v>
      </c>
      <c r="H6020" t="s">
        <v>21</v>
      </c>
      <c r="I6020" t="s">
        <v>60</v>
      </c>
      <c r="J6020" t="s">
        <v>61</v>
      </c>
      <c r="L6020" t="s">
        <v>86</v>
      </c>
    </row>
    <row r="6021" spans="1:13">
      <c r="A6021">
        <v>46130</v>
      </c>
      <c r="B6021" t="s">
        <v>4953</v>
      </c>
      <c r="D6021">
        <v>500</v>
      </c>
      <c r="F6021">
        <v>1</v>
      </c>
      <c r="G6021" t="s">
        <v>22</v>
      </c>
      <c r="H6021" t="s">
        <v>21</v>
      </c>
      <c r="I6021" t="s">
        <v>60</v>
      </c>
      <c r="J6021" t="s">
        <v>61</v>
      </c>
      <c r="L6021" t="s">
        <v>86</v>
      </c>
    </row>
    <row r="6022" spans="1:13">
      <c r="A6022">
        <v>46130</v>
      </c>
      <c r="B6022" t="s">
        <v>4954</v>
      </c>
      <c r="D6022">
        <v>500</v>
      </c>
      <c r="F6022">
        <v>1</v>
      </c>
      <c r="G6022" t="s">
        <v>22</v>
      </c>
      <c r="H6022" t="s">
        <v>21</v>
      </c>
      <c r="I6022" t="s">
        <v>60</v>
      </c>
      <c r="J6022" t="s">
        <v>61</v>
      </c>
      <c r="L6022" t="s">
        <v>86</v>
      </c>
    </row>
    <row r="6023" spans="1:13">
      <c r="A6023">
        <v>46130</v>
      </c>
      <c r="B6023" t="s">
        <v>63</v>
      </c>
      <c r="E6023">
        <v>3500</v>
      </c>
      <c r="F6023">
        <v>1</v>
      </c>
      <c r="G6023" t="s">
        <v>65</v>
      </c>
      <c r="H6023" t="s">
        <v>66</v>
      </c>
      <c r="I6023" t="s">
        <v>60</v>
      </c>
      <c r="J6023" t="s">
        <v>61</v>
      </c>
      <c r="L6023" t="s">
        <v>62</v>
      </c>
      <c r="M6023" t="s">
        <v>91</v>
      </c>
    </row>
    <row r="6024" spans="1:13">
      <c r="A6024">
        <v>46131</v>
      </c>
      <c r="B6024" t="s">
        <v>4955</v>
      </c>
      <c r="D6024">
        <v>500</v>
      </c>
      <c r="F6024">
        <v>1</v>
      </c>
      <c r="G6024" t="s">
        <v>22</v>
      </c>
      <c r="H6024" t="s">
        <v>21</v>
      </c>
      <c r="I6024" t="s">
        <v>60</v>
      </c>
      <c r="J6024" t="s">
        <v>61</v>
      </c>
      <c r="L6024" t="s">
        <v>86</v>
      </c>
    </row>
    <row r="6025" spans="1:13">
      <c r="A6025">
        <v>46131</v>
      </c>
      <c r="B6025" t="s">
        <v>63</v>
      </c>
      <c r="D6025">
        <v>43500</v>
      </c>
      <c r="G6025" t="s">
        <v>70</v>
      </c>
      <c r="I6025" t="s">
        <v>60</v>
      </c>
      <c r="J6025" t="s">
        <v>61</v>
      </c>
      <c r="L6025" t="s">
        <v>62</v>
      </c>
    </row>
    <row r="6026" spans="1:13">
      <c r="A6026">
        <v>46131</v>
      </c>
      <c r="B6026" t="s">
        <v>4956</v>
      </c>
      <c r="F6026">
        <v>1</v>
      </c>
      <c r="G6026" t="s">
        <v>64</v>
      </c>
      <c r="L6026" t="s">
        <v>86</v>
      </c>
      <c r="M6026" t="s">
        <v>96</v>
      </c>
    </row>
    <row r="6027" spans="1:13">
      <c r="A6027">
        <v>46131</v>
      </c>
      <c r="B6027" t="s">
        <v>4957</v>
      </c>
      <c r="D6027">
        <v>500</v>
      </c>
      <c r="F6027">
        <v>1</v>
      </c>
      <c r="G6027" t="s">
        <v>22</v>
      </c>
      <c r="H6027" t="s">
        <v>21</v>
      </c>
      <c r="I6027" t="s">
        <v>60</v>
      </c>
      <c r="J6027" t="s">
        <v>61</v>
      </c>
      <c r="L6027" t="s">
        <v>86</v>
      </c>
    </row>
    <row r="6028" spans="1:13">
      <c r="A6028">
        <v>46131</v>
      </c>
      <c r="B6028" t="s">
        <v>4958</v>
      </c>
      <c r="D6028">
        <v>500</v>
      </c>
      <c r="F6028">
        <v>1</v>
      </c>
      <c r="G6028" t="s">
        <v>22</v>
      </c>
      <c r="H6028" t="s">
        <v>21</v>
      </c>
      <c r="I6028" t="s">
        <v>60</v>
      </c>
      <c r="J6028" t="s">
        <v>61</v>
      </c>
      <c r="L6028" t="s">
        <v>82</v>
      </c>
    </row>
    <row r="6029" spans="1:13">
      <c r="A6029">
        <v>46131</v>
      </c>
      <c r="B6029" t="s">
        <v>4959</v>
      </c>
      <c r="D6029">
        <v>500</v>
      </c>
      <c r="F6029">
        <v>1</v>
      </c>
      <c r="G6029" t="s">
        <v>22</v>
      </c>
      <c r="H6029" t="s">
        <v>21</v>
      </c>
      <c r="I6029" t="s">
        <v>60</v>
      </c>
      <c r="J6029" t="s">
        <v>61</v>
      </c>
      <c r="L6029" t="s">
        <v>82</v>
      </c>
      <c r="M6029" t="s">
        <v>4960</v>
      </c>
    </row>
    <row r="6030" spans="1:13">
      <c r="A6030">
        <v>46131</v>
      </c>
      <c r="B6030" t="s">
        <v>4959</v>
      </c>
      <c r="D6030">
        <v>500</v>
      </c>
      <c r="F6030">
        <v>1</v>
      </c>
      <c r="G6030" t="s">
        <v>22</v>
      </c>
      <c r="H6030" t="s">
        <v>21</v>
      </c>
      <c r="I6030" t="s">
        <v>60</v>
      </c>
      <c r="J6030" t="s">
        <v>61</v>
      </c>
      <c r="L6030" t="s">
        <v>82</v>
      </c>
    </row>
    <row r="6031" spans="1:13">
      <c r="A6031">
        <v>46131</v>
      </c>
      <c r="B6031" t="s">
        <v>4961</v>
      </c>
      <c r="F6031">
        <v>1</v>
      </c>
      <c r="G6031" t="s">
        <v>64</v>
      </c>
      <c r="L6031" t="s">
        <v>82</v>
      </c>
      <c r="M6031" t="s">
        <v>96</v>
      </c>
    </row>
    <row r="6032" spans="1:13">
      <c r="A6032">
        <v>46131</v>
      </c>
      <c r="B6032" t="s">
        <v>4962</v>
      </c>
      <c r="D6032">
        <v>500</v>
      </c>
      <c r="F6032">
        <v>1</v>
      </c>
      <c r="G6032" t="s">
        <v>22</v>
      </c>
      <c r="H6032" t="s">
        <v>21</v>
      </c>
      <c r="I6032" t="s">
        <v>60</v>
      </c>
      <c r="J6032" t="s">
        <v>61</v>
      </c>
      <c r="L6032" t="s">
        <v>82</v>
      </c>
    </row>
    <row r="6033" spans="1:13">
      <c r="A6033">
        <v>46131</v>
      </c>
      <c r="B6033" t="s">
        <v>80</v>
      </c>
      <c r="E6033">
        <v>15798</v>
      </c>
      <c r="F6033">
        <v>1</v>
      </c>
      <c r="G6033" t="s">
        <v>74</v>
      </c>
      <c r="H6033" t="s">
        <v>75</v>
      </c>
      <c r="I6033" t="s">
        <v>60</v>
      </c>
      <c r="J6033" t="s">
        <v>61</v>
      </c>
      <c r="L6033" t="s">
        <v>87</v>
      </c>
      <c r="M6033" t="s">
        <v>4963</v>
      </c>
    </row>
    <row r="6034" spans="1:13">
      <c r="A6034">
        <v>46131</v>
      </c>
      <c r="B6034" t="s">
        <v>97</v>
      </c>
      <c r="E6034">
        <v>202</v>
      </c>
      <c r="F6034">
        <v>1</v>
      </c>
      <c r="G6034" t="s">
        <v>65</v>
      </c>
      <c r="H6034" t="s">
        <v>66</v>
      </c>
      <c r="I6034" t="s">
        <v>60</v>
      </c>
      <c r="J6034" t="s">
        <v>61</v>
      </c>
      <c r="L6034" t="s">
        <v>87</v>
      </c>
      <c r="M6034" t="s">
        <v>4963</v>
      </c>
    </row>
    <row r="6035" spans="1:13">
      <c r="A6035">
        <v>46131</v>
      </c>
      <c r="B6035" t="s">
        <v>4964</v>
      </c>
      <c r="F6035">
        <v>1</v>
      </c>
      <c r="G6035" t="s">
        <v>79</v>
      </c>
      <c r="H6035" t="s">
        <v>21</v>
      </c>
      <c r="L6035" t="s">
        <v>82</v>
      </c>
      <c r="M6035" t="s">
        <v>327</v>
      </c>
    </row>
    <row r="6036" spans="1:13">
      <c r="A6036">
        <v>46131</v>
      </c>
      <c r="B6036" t="s">
        <v>63</v>
      </c>
      <c r="E6036">
        <v>3000</v>
      </c>
      <c r="F6036">
        <v>1</v>
      </c>
      <c r="G6036" t="s">
        <v>65</v>
      </c>
      <c r="H6036" t="s">
        <v>66</v>
      </c>
      <c r="I6036" t="s">
        <v>60</v>
      </c>
      <c r="J6036" t="s">
        <v>61</v>
      </c>
      <c r="L6036" t="s">
        <v>62</v>
      </c>
      <c r="M6036" t="s">
        <v>91</v>
      </c>
    </row>
    <row r="6037" spans="1:13">
      <c r="A6037">
        <v>46132</v>
      </c>
      <c r="B6037" t="s">
        <v>81</v>
      </c>
      <c r="D6037">
        <v>179000</v>
      </c>
      <c r="F6037">
        <v>1</v>
      </c>
      <c r="G6037" t="s">
        <v>74</v>
      </c>
      <c r="H6037" t="s">
        <v>75</v>
      </c>
      <c r="I6037" t="s">
        <v>60</v>
      </c>
      <c r="J6037" t="s">
        <v>61</v>
      </c>
      <c r="L6037" t="s">
        <v>88</v>
      </c>
    </row>
    <row r="6038" spans="1:13">
      <c r="A6038">
        <v>46132</v>
      </c>
      <c r="B6038" t="s">
        <v>238</v>
      </c>
      <c r="C6038" t="s">
        <v>4965</v>
      </c>
      <c r="F6038">
        <v>14</v>
      </c>
      <c r="G6038" t="s">
        <v>22</v>
      </c>
      <c r="H6038" t="s">
        <v>21</v>
      </c>
      <c r="L6038" t="s">
        <v>95</v>
      </c>
    </row>
    <row r="6039" spans="1:13">
      <c r="A6039">
        <v>46132</v>
      </c>
      <c r="B6039" t="s">
        <v>63</v>
      </c>
      <c r="D6039">
        <v>11500</v>
      </c>
      <c r="G6039" t="s">
        <v>70</v>
      </c>
      <c r="I6039" t="s">
        <v>60</v>
      </c>
      <c r="J6039" t="s">
        <v>61</v>
      </c>
      <c r="L6039" t="s">
        <v>62</v>
      </c>
    </row>
    <row r="6040" spans="1:13">
      <c r="A6040">
        <v>46132</v>
      </c>
      <c r="B6040" t="s">
        <v>4966</v>
      </c>
      <c r="F6040">
        <v>1</v>
      </c>
      <c r="G6040" t="s">
        <v>79</v>
      </c>
      <c r="H6040" t="s">
        <v>21</v>
      </c>
      <c r="L6040" t="s">
        <v>82</v>
      </c>
      <c r="M6040" t="s">
        <v>327</v>
      </c>
    </row>
    <row r="6041" spans="1:13">
      <c r="A6041">
        <v>46132</v>
      </c>
      <c r="B6041" t="s">
        <v>4967</v>
      </c>
      <c r="D6041">
        <v>500</v>
      </c>
      <c r="F6041">
        <v>0</v>
      </c>
      <c r="G6041" t="s">
        <v>22</v>
      </c>
      <c r="H6041" t="s">
        <v>21</v>
      </c>
      <c r="I6041" t="s">
        <v>60</v>
      </c>
      <c r="J6041" t="s">
        <v>61</v>
      </c>
      <c r="L6041" t="s">
        <v>82</v>
      </c>
    </row>
    <row r="6042" spans="1:13">
      <c r="A6042">
        <v>46132</v>
      </c>
      <c r="B6042" t="s">
        <v>4968</v>
      </c>
      <c r="F6042">
        <v>1</v>
      </c>
      <c r="G6042" t="s">
        <v>79</v>
      </c>
      <c r="H6042" t="s">
        <v>21</v>
      </c>
      <c r="L6042" t="s">
        <v>82</v>
      </c>
      <c r="M6042" t="s">
        <v>327</v>
      </c>
    </row>
    <row r="6043" spans="1:13">
      <c r="A6043">
        <v>46132</v>
      </c>
      <c r="B6043" t="s">
        <v>4969</v>
      </c>
      <c r="D6043">
        <v>500</v>
      </c>
      <c r="F6043">
        <v>1</v>
      </c>
      <c r="G6043" t="s">
        <v>22</v>
      </c>
      <c r="H6043" t="s">
        <v>21</v>
      </c>
      <c r="I6043" t="s">
        <v>60</v>
      </c>
      <c r="J6043" t="s">
        <v>61</v>
      </c>
      <c r="L6043" t="s">
        <v>89</v>
      </c>
    </row>
    <row r="6044" spans="1:13">
      <c r="A6044">
        <v>46132</v>
      </c>
      <c r="B6044" t="s">
        <v>4970</v>
      </c>
      <c r="F6044">
        <v>1</v>
      </c>
      <c r="G6044" t="s">
        <v>79</v>
      </c>
      <c r="H6044" t="s">
        <v>21</v>
      </c>
      <c r="L6044" t="s">
        <v>89</v>
      </c>
      <c r="M6044" t="s">
        <v>327</v>
      </c>
    </row>
    <row r="6045" spans="1:13">
      <c r="A6045">
        <v>46132</v>
      </c>
      <c r="B6045" t="s">
        <v>2452</v>
      </c>
      <c r="D6045">
        <v>500</v>
      </c>
      <c r="F6045">
        <v>1</v>
      </c>
      <c r="G6045" t="s">
        <v>22</v>
      </c>
      <c r="H6045" t="s">
        <v>21</v>
      </c>
      <c r="I6045" t="s">
        <v>60</v>
      </c>
      <c r="J6045" t="s">
        <v>61</v>
      </c>
      <c r="L6045" t="s">
        <v>89</v>
      </c>
    </row>
    <row r="6046" spans="1:13">
      <c r="A6046">
        <v>46132</v>
      </c>
      <c r="B6046" t="s">
        <v>562</v>
      </c>
      <c r="D6046">
        <v>5000</v>
      </c>
      <c r="G6046" t="s">
        <v>77</v>
      </c>
      <c r="I6046" t="s">
        <v>60</v>
      </c>
      <c r="J6046" t="s">
        <v>61</v>
      </c>
      <c r="L6046" t="s">
        <v>62</v>
      </c>
    </row>
    <row r="6047" spans="1:13">
      <c r="A6047">
        <v>46132</v>
      </c>
      <c r="B6047" t="s">
        <v>63</v>
      </c>
      <c r="E6047">
        <v>1500</v>
      </c>
      <c r="F6047">
        <v>1</v>
      </c>
      <c r="G6047" t="s">
        <v>65</v>
      </c>
      <c r="H6047" t="s">
        <v>66</v>
      </c>
      <c r="I6047" t="s">
        <v>60</v>
      </c>
      <c r="J6047" t="s">
        <v>61</v>
      </c>
      <c r="L6047" t="s">
        <v>62</v>
      </c>
      <c r="M6047" t="s">
        <v>91</v>
      </c>
    </row>
    <row r="6048" spans="1:13">
      <c r="A6048">
        <v>46133</v>
      </c>
      <c r="B6048" t="s">
        <v>81</v>
      </c>
      <c r="D6048">
        <v>18000</v>
      </c>
      <c r="F6048">
        <v>1</v>
      </c>
      <c r="G6048" t="s">
        <v>74</v>
      </c>
      <c r="H6048" t="s">
        <v>75</v>
      </c>
      <c r="I6048" t="s">
        <v>60</v>
      </c>
      <c r="J6048" t="s">
        <v>61</v>
      </c>
      <c r="L6048" t="s">
        <v>88</v>
      </c>
    </row>
    <row r="6049" spans="1:13">
      <c r="A6049">
        <v>46133</v>
      </c>
      <c r="B6049" t="s">
        <v>4971</v>
      </c>
      <c r="F6049">
        <v>1</v>
      </c>
      <c r="G6049" t="s">
        <v>79</v>
      </c>
      <c r="H6049" t="s">
        <v>21</v>
      </c>
      <c r="L6049" t="s">
        <v>89</v>
      </c>
      <c r="M6049" t="s">
        <v>327</v>
      </c>
    </row>
    <row r="6050" spans="1:13">
      <c r="A6050">
        <v>46133</v>
      </c>
      <c r="B6050" t="s">
        <v>4972</v>
      </c>
      <c r="F6050">
        <v>1</v>
      </c>
      <c r="G6050" t="s">
        <v>564</v>
      </c>
      <c r="H6050" t="s">
        <v>21</v>
      </c>
      <c r="L6050" t="s">
        <v>89</v>
      </c>
      <c r="M6050" t="s">
        <v>327</v>
      </c>
    </row>
    <row r="6051" spans="1:13">
      <c r="A6051">
        <v>46133</v>
      </c>
      <c r="B6051" t="s">
        <v>4973</v>
      </c>
      <c r="F6051">
        <v>1</v>
      </c>
      <c r="G6051" t="s">
        <v>750</v>
      </c>
      <c r="H6051" t="s">
        <v>21</v>
      </c>
      <c r="L6051" t="s">
        <v>89</v>
      </c>
      <c r="M6051" t="s">
        <v>327</v>
      </c>
    </row>
    <row r="6052" spans="1:13">
      <c r="A6052">
        <v>46133</v>
      </c>
      <c r="B6052" t="s">
        <v>4974</v>
      </c>
      <c r="F6052">
        <v>1</v>
      </c>
      <c r="G6052" t="s">
        <v>750</v>
      </c>
      <c r="H6052" t="s">
        <v>21</v>
      </c>
      <c r="L6052" t="s">
        <v>89</v>
      </c>
      <c r="M6052" t="s">
        <v>327</v>
      </c>
    </row>
    <row r="6053" spans="1:13">
      <c r="A6053">
        <v>46133</v>
      </c>
      <c r="B6053" t="s">
        <v>4975</v>
      </c>
      <c r="F6053">
        <v>1</v>
      </c>
      <c r="G6053" t="s">
        <v>750</v>
      </c>
      <c r="H6053" t="s">
        <v>21</v>
      </c>
      <c r="L6053" t="s">
        <v>89</v>
      </c>
      <c r="M6053" t="s">
        <v>327</v>
      </c>
    </row>
    <row r="6054" spans="1:13">
      <c r="A6054">
        <v>46133</v>
      </c>
      <c r="B6054" t="s">
        <v>4976</v>
      </c>
      <c r="F6054">
        <v>1</v>
      </c>
      <c r="G6054" t="s">
        <v>750</v>
      </c>
      <c r="H6054" t="s">
        <v>21</v>
      </c>
      <c r="L6054" t="s">
        <v>89</v>
      </c>
      <c r="M6054" t="s">
        <v>327</v>
      </c>
    </row>
    <row r="6055" spans="1:13">
      <c r="A6055">
        <v>46133</v>
      </c>
      <c r="B6055" t="s">
        <v>63</v>
      </c>
      <c r="D6055">
        <v>22500</v>
      </c>
      <c r="G6055" t="s">
        <v>70</v>
      </c>
      <c r="I6055" t="s">
        <v>60</v>
      </c>
      <c r="J6055" t="s">
        <v>61</v>
      </c>
      <c r="L6055" t="s">
        <v>62</v>
      </c>
    </row>
    <row r="6056" spans="1:13">
      <c r="A6056">
        <v>46133</v>
      </c>
      <c r="B6056" t="s">
        <v>63</v>
      </c>
      <c r="D6056">
        <v>12500</v>
      </c>
      <c r="F6056">
        <v>2</v>
      </c>
      <c r="G6056" t="s">
        <v>70</v>
      </c>
      <c r="I6056" t="s">
        <v>71</v>
      </c>
      <c r="J6056" t="s">
        <v>72</v>
      </c>
      <c r="L6056" t="s">
        <v>62</v>
      </c>
      <c r="M6056" t="s">
        <v>4977</v>
      </c>
    </row>
    <row r="6057" spans="1:13">
      <c r="A6057">
        <v>46133</v>
      </c>
      <c r="B6057" t="s">
        <v>100</v>
      </c>
      <c r="F6057">
        <v>-15</v>
      </c>
      <c r="G6057" t="s">
        <v>22</v>
      </c>
      <c r="H6057" t="s">
        <v>93</v>
      </c>
      <c r="L6057" t="s">
        <v>101</v>
      </c>
    </row>
    <row r="6058" spans="1:13">
      <c r="A6058">
        <v>46133</v>
      </c>
      <c r="B6058" t="s">
        <v>63</v>
      </c>
      <c r="D6058">
        <v>100</v>
      </c>
      <c r="F6058">
        <v>1</v>
      </c>
      <c r="G6058" t="s">
        <v>22</v>
      </c>
      <c r="H6058" t="s">
        <v>93</v>
      </c>
      <c r="I6058" t="s">
        <v>60</v>
      </c>
      <c r="J6058" t="s">
        <v>61</v>
      </c>
      <c r="L6058" t="s">
        <v>62</v>
      </c>
    </row>
    <row r="6059" spans="1:13">
      <c r="A6059">
        <v>46133</v>
      </c>
      <c r="B6059" t="s">
        <v>76</v>
      </c>
      <c r="D6059">
        <v>2000</v>
      </c>
      <c r="G6059" t="s">
        <v>77</v>
      </c>
      <c r="I6059" t="s">
        <v>60</v>
      </c>
      <c r="J6059" t="s">
        <v>61</v>
      </c>
      <c r="L6059" t="s">
        <v>62</v>
      </c>
    </row>
    <row r="6060" spans="1:13">
      <c r="A6060">
        <v>46133</v>
      </c>
      <c r="B6060" t="s">
        <v>4978</v>
      </c>
      <c r="D6060">
        <v>500</v>
      </c>
      <c r="F6060">
        <v>1</v>
      </c>
      <c r="G6060" t="s">
        <v>22</v>
      </c>
      <c r="H6060" t="s">
        <v>21</v>
      </c>
      <c r="I6060" t="s">
        <v>60</v>
      </c>
      <c r="J6060" t="s">
        <v>61</v>
      </c>
      <c r="L6060" t="s">
        <v>89</v>
      </c>
    </row>
    <row r="6061" spans="1:13">
      <c r="A6061">
        <v>46133</v>
      </c>
      <c r="B6061" t="s">
        <v>63</v>
      </c>
      <c r="E6061">
        <v>500</v>
      </c>
      <c r="F6061">
        <v>1</v>
      </c>
      <c r="G6061" t="s">
        <v>65</v>
      </c>
      <c r="H6061" t="s">
        <v>66</v>
      </c>
      <c r="I6061" t="s">
        <v>60</v>
      </c>
      <c r="J6061" t="s">
        <v>61</v>
      </c>
      <c r="L6061" t="s">
        <v>62</v>
      </c>
      <c r="M6061" t="s">
        <v>91</v>
      </c>
    </row>
    <row r="6062" spans="1:13">
      <c r="A6062">
        <v>46133</v>
      </c>
      <c r="B6062" t="s">
        <v>63</v>
      </c>
      <c r="E6062">
        <v>100</v>
      </c>
      <c r="F6062">
        <v>1</v>
      </c>
      <c r="G6062" t="s">
        <v>65</v>
      </c>
      <c r="H6062" t="s">
        <v>66</v>
      </c>
      <c r="I6062" t="s">
        <v>60</v>
      </c>
      <c r="J6062" t="s">
        <v>61</v>
      </c>
      <c r="L6062" t="s">
        <v>62</v>
      </c>
      <c r="M6062" t="s">
        <v>94</v>
      </c>
    </row>
    <row r="6063" spans="1:13">
      <c r="A6063">
        <v>46134</v>
      </c>
      <c r="B6063" t="s">
        <v>81</v>
      </c>
      <c r="D6063">
        <v>85000</v>
      </c>
      <c r="F6063">
        <v>1</v>
      </c>
      <c r="G6063" t="s">
        <v>74</v>
      </c>
      <c r="H6063" t="s">
        <v>75</v>
      </c>
      <c r="I6063" t="s">
        <v>60</v>
      </c>
      <c r="J6063" t="s">
        <v>61</v>
      </c>
      <c r="L6063" t="s">
        <v>88</v>
      </c>
    </row>
    <row r="6064" spans="1:13">
      <c r="A6064">
        <v>46134</v>
      </c>
      <c r="B6064" t="s">
        <v>84</v>
      </c>
      <c r="D6064">
        <v>-52000</v>
      </c>
      <c r="G6064" t="s">
        <v>77</v>
      </c>
      <c r="I6064" t="s">
        <v>60</v>
      </c>
      <c r="J6064" t="s">
        <v>61</v>
      </c>
      <c r="L6064" t="s">
        <v>62</v>
      </c>
    </row>
    <row r="6065" spans="1:13">
      <c r="A6065">
        <v>46134</v>
      </c>
      <c r="B6065" t="s">
        <v>84</v>
      </c>
      <c r="E6065">
        <v>-2750</v>
      </c>
      <c r="F6065">
        <v>1</v>
      </c>
      <c r="G6065" t="s">
        <v>65</v>
      </c>
      <c r="H6065" t="s">
        <v>85</v>
      </c>
      <c r="I6065" t="s">
        <v>60</v>
      </c>
      <c r="J6065" t="s">
        <v>61</v>
      </c>
      <c r="L6065" t="s">
        <v>62</v>
      </c>
    </row>
    <row r="6066" spans="1:13">
      <c r="A6066">
        <v>46134</v>
      </c>
      <c r="B6066" t="s">
        <v>84</v>
      </c>
      <c r="E6066">
        <v>750</v>
      </c>
      <c r="F6066">
        <v>1</v>
      </c>
      <c r="G6066" t="s">
        <v>65</v>
      </c>
      <c r="H6066" t="s">
        <v>66</v>
      </c>
      <c r="I6066" t="s">
        <v>60</v>
      </c>
      <c r="J6066" t="s">
        <v>61</v>
      </c>
      <c r="L6066" t="s">
        <v>62</v>
      </c>
    </row>
    <row r="6067" spans="1:13">
      <c r="A6067">
        <v>46134</v>
      </c>
      <c r="B6067" t="s">
        <v>4979</v>
      </c>
      <c r="F6067">
        <v>1</v>
      </c>
      <c r="G6067" t="s">
        <v>64</v>
      </c>
      <c r="L6067" t="s">
        <v>86</v>
      </c>
      <c r="M6067" t="s">
        <v>96</v>
      </c>
    </row>
    <row r="6068" spans="1:13">
      <c r="A6068">
        <v>46134</v>
      </c>
      <c r="B6068" t="s">
        <v>4980</v>
      </c>
      <c r="D6068">
        <v>500</v>
      </c>
      <c r="F6068">
        <v>1</v>
      </c>
      <c r="G6068" t="s">
        <v>22</v>
      </c>
      <c r="H6068" t="s">
        <v>21</v>
      </c>
      <c r="I6068" t="s">
        <v>60</v>
      </c>
      <c r="J6068" t="s">
        <v>61</v>
      </c>
      <c r="L6068" t="s">
        <v>86</v>
      </c>
    </row>
    <row r="6069" spans="1:13">
      <c r="A6069">
        <v>46134</v>
      </c>
      <c r="B6069" t="s">
        <v>4981</v>
      </c>
      <c r="D6069">
        <v>500</v>
      </c>
      <c r="F6069">
        <v>0</v>
      </c>
      <c r="G6069" t="s">
        <v>22</v>
      </c>
      <c r="H6069" t="s">
        <v>21</v>
      </c>
      <c r="I6069" t="s">
        <v>60</v>
      </c>
      <c r="J6069" t="s">
        <v>61</v>
      </c>
      <c r="L6069" t="s">
        <v>86</v>
      </c>
      <c r="M6069" t="s">
        <v>83</v>
      </c>
    </row>
    <row r="6070" spans="1:13">
      <c r="A6070">
        <v>46134</v>
      </c>
      <c r="B6070" t="s">
        <v>4982</v>
      </c>
      <c r="D6070">
        <v>500</v>
      </c>
      <c r="F6070">
        <v>1</v>
      </c>
      <c r="G6070" t="s">
        <v>22</v>
      </c>
      <c r="H6070" t="s">
        <v>21</v>
      </c>
      <c r="I6070" t="s">
        <v>60</v>
      </c>
      <c r="J6070" t="s">
        <v>61</v>
      </c>
      <c r="L6070" t="s">
        <v>86</v>
      </c>
    </row>
    <row r="6071" spans="1:13">
      <c r="A6071">
        <v>46134</v>
      </c>
      <c r="B6071" t="s">
        <v>4983</v>
      </c>
      <c r="D6071">
        <v>500</v>
      </c>
      <c r="F6071">
        <v>1</v>
      </c>
      <c r="G6071" t="s">
        <v>22</v>
      </c>
      <c r="H6071" t="s">
        <v>21</v>
      </c>
      <c r="I6071" t="s">
        <v>60</v>
      </c>
      <c r="J6071" t="s">
        <v>61</v>
      </c>
      <c r="L6071" t="s">
        <v>86</v>
      </c>
    </row>
    <row r="6072" spans="1:13">
      <c r="A6072">
        <v>46134</v>
      </c>
      <c r="B6072" t="s">
        <v>4984</v>
      </c>
      <c r="F6072">
        <v>1</v>
      </c>
      <c r="G6072" t="s">
        <v>64</v>
      </c>
      <c r="L6072" t="s">
        <v>86</v>
      </c>
      <c r="M6072" t="s">
        <v>4813</v>
      </c>
    </row>
    <row r="6073" spans="1:13">
      <c r="A6073">
        <v>46134</v>
      </c>
      <c r="B6073" t="s">
        <v>4985</v>
      </c>
      <c r="F6073">
        <v>1</v>
      </c>
      <c r="G6073" t="s">
        <v>64</v>
      </c>
      <c r="L6073" t="s">
        <v>86</v>
      </c>
      <c r="M6073" t="s">
        <v>4986</v>
      </c>
    </row>
    <row r="6074" spans="1:13">
      <c r="A6074">
        <v>46134</v>
      </c>
      <c r="B6074" t="s">
        <v>4969</v>
      </c>
      <c r="D6074">
        <v>500</v>
      </c>
      <c r="F6074">
        <v>1</v>
      </c>
      <c r="G6074" t="s">
        <v>22</v>
      </c>
      <c r="H6074" t="s">
        <v>21</v>
      </c>
      <c r="I6074" t="s">
        <v>60</v>
      </c>
      <c r="J6074" t="s">
        <v>61</v>
      </c>
      <c r="L6074" t="s">
        <v>82</v>
      </c>
      <c r="M6074" t="s">
        <v>4987</v>
      </c>
    </row>
    <row r="6075" spans="1:13">
      <c r="A6075">
        <v>46134</v>
      </c>
      <c r="B6075" t="s">
        <v>4969</v>
      </c>
      <c r="D6075">
        <v>500</v>
      </c>
      <c r="F6075">
        <v>0</v>
      </c>
      <c r="G6075" t="s">
        <v>22</v>
      </c>
      <c r="H6075" t="s">
        <v>21</v>
      </c>
      <c r="I6075" t="s">
        <v>60</v>
      </c>
      <c r="J6075" t="s">
        <v>61</v>
      </c>
      <c r="L6075" t="s">
        <v>82</v>
      </c>
      <c r="M6075" t="s">
        <v>4988</v>
      </c>
    </row>
    <row r="6076" spans="1:13">
      <c r="A6076">
        <v>46134</v>
      </c>
      <c r="B6076" t="s">
        <v>4969</v>
      </c>
      <c r="D6076">
        <v>500</v>
      </c>
      <c r="F6076">
        <v>1</v>
      </c>
      <c r="G6076" t="s">
        <v>22</v>
      </c>
      <c r="H6076" t="s">
        <v>21</v>
      </c>
      <c r="I6076" t="s">
        <v>60</v>
      </c>
      <c r="J6076" t="s">
        <v>61</v>
      </c>
      <c r="L6076" t="s">
        <v>82</v>
      </c>
      <c r="M6076" t="s">
        <v>4989</v>
      </c>
    </row>
    <row r="6077" spans="1:13">
      <c r="A6077">
        <v>46134</v>
      </c>
      <c r="B6077" t="s">
        <v>4990</v>
      </c>
      <c r="F6077">
        <v>1</v>
      </c>
      <c r="G6077" t="s">
        <v>64</v>
      </c>
      <c r="L6077" t="s">
        <v>82</v>
      </c>
      <c r="M6077" t="s">
        <v>96</v>
      </c>
    </row>
    <row r="6078" spans="1:13">
      <c r="A6078">
        <v>46134</v>
      </c>
      <c r="B6078" t="s">
        <v>63</v>
      </c>
      <c r="D6078">
        <v>11500</v>
      </c>
      <c r="G6078" t="s">
        <v>70</v>
      </c>
      <c r="I6078" t="s">
        <v>60</v>
      </c>
      <c r="J6078" t="s">
        <v>61</v>
      </c>
      <c r="L6078" t="s">
        <v>62</v>
      </c>
    </row>
    <row r="6079" spans="1:13">
      <c r="A6079">
        <v>46134</v>
      </c>
      <c r="B6079" t="s">
        <v>76</v>
      </c>
      <c r="D6079">
        <v>31000</v>
      </c>
      <c r="G6079" t="s">
        <v>77</v>
      </c>
      <c r="I6079" t="s">
        <v>60</v>
      </c>
      <c r="J6079" t="s">
        <v>61</v>
      </c>
      <c r="L6079" t="s">
        <v>62</v>
      </c>
    </row>
    <row r="6080" spans="1:13">
      <c r="A6080">
        <v>46134</v>
      </c>
      <c r="B6080" t="s">
        <v>63</v>
      </c>
      <c r="D6080">
        <v>100</v>
      </c>
      <c r="F6080">
        <v>1</v>
      </c>
      <c r="G6080" t="s">
        <v>22</v>
      </c>
      <c r="H6080" t="s">
        <v>93</v>
      </c>
      <c r="I6080" t="s">
        <v>60</v>
      </c>
      <c r="J6080" t="s">
        <v>61</v>
      </c>
      <c r="L6080" t="s">
        <v>62</v>
      </c>
    </row>
    <row r="6081" spans="1:13">
      <c r="A6081">
        <v>46134</v>
      </c>
      <c r="B6081" t="s">
        <v>4991</v>
      </c>
      <c r="D6081">
        <v>500</v>
      </c>
      <c r="F6081">
        <v>1</v>
      </c>
      <c r="G6081" t="s">
        <v>22</v>
      </c>
      <c r="H6081" t="s">
        <v>21</v>
      </c>
      <c r="I6081" t="s">
        <v>60</v>
      </c>
      <c r="J6081" t="s">
        <v>61</v>
      </c>
      <c r="L6081" t="s">
        <v>82</v>
      </c>
    </row>
    <row r="6082" spans="1:13">
      <c r="A6082">
        <v>46134</v>
      </c>
      <c r="B6082" t="s">
        <v>1047</v>
      </c>
      <c r="D6082">
        <v>500</v>
      </c>
      <c r="F6082">
        <v>0</v>
      </c>
      <c r="G6082" t="s">
        <v>22</v>
      </c>
      <c r="H6082" t="s">
        <v>21</v>
      </c>
      <c r="I6082" t="s">
        <v>60</v>
      </c>
      <c r="J6082" t="s">
        <v>61</v>
      </c>
      <c r="L6082" t="s">
        <v>82</v>
      </c>
    </row>
    <row r="6083" spans="1:13">
      <c r="A6083">
        <v>46134</v>
      </c>
      <c r="B6083" t="s">
        <v>63</v>
      </c>
      <c r="E6083">
        <v>4500</v>
      </c>
      <c r="F6083">
        <v>1</v>
      </c>
      <c r="G6083" t="s">
        <v>65</v>
      </c>
      <c r="H6083" t="s">
        <v>66</v>
      </c>
      <c r="I6083" t="s">
        <v>60</v>
      </c>
      <c r="J6083" t="s">
        <v>61</v>
      </c>
      <c r="L6083" t="s">
        <v>62</v>
      </c>
      <c r="M6083" t="s">
        <v>91</v>
      </c>
    </row>
    <row r="6084" spans="1:13">
      <c r="A6084">
        <v>46134</v>
      </c>
      <c r="B6084" t="s">
        <v>63</v>
      </c>
      <c r="E6084">
        <v>100</v>
      </c>
      <c r="F6084">
        <v>1</v>
      </c>
      <c r="G6084" t="s">
        <v>65</v>
      </c>
      <c r="H6084" t="s">
        <v>66</v>
      </c>
      <c r="I6084" t="s">
        <v>60</v>
      </c>
      <c r="J6084" t="s">
        <v>61</v>
      </c>
      <c r="L6084" t="s">
        <v>62</v>
      </c>
      <c r="M6084" t="s">
        <v>94</v>
      </c>
    </row>
    <row r="6085" spans="1:13">
      <c r="A6085">
        <v>46135</v>
      </c>
      <c r="B6085" t="s">
        <v>4992</v>
      </c>
      <c r="D6085">
        <v>500</v>
      </c>
      <c r="F6085">
        <v>0</v>
      </c>
      <c r="G6085" t="s">
        <v>22</v>
      </c>
      <c r="H6085" t="s">
        <v>21</v>
      </c>
      <c r="I6085" t="s">
        <v>60</v>
      </c>
      <c r="J6085" t="s">
        <v>61</v>
      </c>
      <c r="L6085" t="s">
        <v>89</v>
      </c>
    </row>
    <row r="6086" spans="1:13">
      <c r="A6086">
        <v>46135</v>
      </c>
      <c r="B6086" t="s">
        <v>4993</v>
      </c>
      <c r="D6086">
        <v>500</v>
      </c>
      <c r="F6086">
        <v>0</v>
      </c>
      <c r="G6086" t="s">
        <v>22</v>
      </c>
      <c r="H6086" t="s">
        <v>21</v>
      </c>
      <c r="I6086" t="s">
        <v>60</v>
      </c>
      <c r="J6086" t="s">
        <v>61</v>
      </c>
      <c r="L6086" t="s">
        <v>89</v>
      </c>
    </row>
    <row r="6087" spans="1:13">
      <c r="A6087">
        <v>46135</v>
      </c>
      <c r="B6087" t="s">
        <v>4994</v>
      </c>
      <c r="D6087">
        <v>500</v>
      </c>
      <c r="F6087">
        <v>1</v>
      </c>
      <c r="G6087" t="s">
        <v>22</v>
      </c>
      <c r="H6087" t="s">
        <v>21</v>
      </c>
      <c r="I6087" t="s">
        <v>60</v>
      </c>
      <c r="J6087" t="s">
        <v>61</v>
      </c>
      <c r="L6087" t="s">
        <v>89</v>
      </c>
    </row>
    <row r="6088" spans="1:13">
      <c r="A6088">
        <v>46135</v>
      </c>
      <c r="B6088" t="s">
        <v>63</v>
      </c>
      <c r="E6088">
        <v>2000</v>
      </c>
      <c r="F6088">
        <v>1</v>
      </c>
      <c r="G6088" t="s">
        <v>65</v>
      </c>
      <c r="H6088" t="s">
        <v>66</v>
      </c>
      <c r="I6088" t="s">
        <v>60</v>
      </c>
      <c r="J6088" t="s">
        <v>61</v>
      </c>
      <c r="L6088" t="s">
        <v>62</v>
      </c>
      <c r="M6088" t="s">
        <v>91</v>
      </c>
    </row>
    <row r="6089" spans="1:13">
      <c r="A6089">
        <v>46135</v>
      </c>
      <c r="B6089" t="s">
        <v>81</v>
      </c>
      <c r="D6089">
        <v>40000</v>
      </c>
      <c r="F6089">
        <v>1</v>
      </c>
      <c r="G6089" t="s">
        <v>74</v>
      </c>
      <c r="H6089" t="s">
        <v>75</v>
      </c>
      <c r="I6089" t="s">
        <v>60</v>
      </c>
      <c r="J6089" t="s">
        <v>61</v>
      </c>
      <c r="L6089" t="s">
        <v>88</v>
      </c>
    </row>
    <row r="6090" spans="1:13">
      <c r="A6090">
        <v>46135</v>
      </c>
      <c r="B6090" t="s">
        <v>63</v>
      </c>
      <c r="D6090">
        <v>44000</v>
      </c>
      <c r="G6090" t="s">
        <v>70</v>
      </c>
      <c r="I6090" t="s">
        <v>60</v>
      </c>
      <c r="J6090" t="s">
        <v>61</v>
      </c>
      <c r="L6090" t="s">
        <v>62</v>
      </c>
    </row>
    <row r="6091" spans="1:13">
      <c r="A6091">
        <v>46135</v>
      </c>
      <c r="B6091" t="s">
        <v>80</v>
      </c>
      <c r="E6091">
        <v>15304</v>
      </c>
      <c r="F6091">
        <v>1</v>
      </c>
      <c r="G6091" t="s">
        <v>74</v>
      </c>
      <c r="H6091" t="s">
        <v>75</v>
      </c>
      <c r="I6091" t="s">
        <v>60</v>
      </c>
      <c r="J6091" t="s">
        <v>61</v>
      </c>
      <c r="L6091" t="s">
        <v>87</v>
      </c>
      <c r="M6091" t="s">
        <v>4995</v>
      </c>
    </row>
    <row r="6092" spans="1:13">
      <c r="A6092">
        <v>46135</v>
      </c>
      <c r="B6092" t="s">
        <v>97</v>
      </c>
      <c r="E6092">
        <v>196</v>
      </c>
      <c r="F6092">
        <v>1</v>
      </c>
      <c r="G6092" t="s">
        <v>65</v>
      </c>
      <c r="H6092" t="s">
        <v>66</v>
      </c>
      <c r="I6092" t="s">
        <v>60</v>
      </c>
      <c r="J6092" t="s">
        <v>61</v>
      </c>
      <c r="L6092" t="s">
        <v>87</v>
      </c>
      <c r="M6092" t="s">
        <v>4995</v>
      </c>
    </row>
    <row r="6093" spans="1:13">
      <c r="A6093">
        <v>46135</v>
      </c>
      <c r="B6093" t="s">
        <v>4996</v>
      </c>
      <c r="D6093">
        <v>500</v>
      </c>
      <c r="F6093">
        <v>1</v>
      </c>
      <c r="G6093" t="s">
        <v>22</v>
      </c>
      <c r="H6093" t="s">
        <v>21</v>
      </c>
      <c r="I6093" t="s">
        <v>60</v>
      </c>
      <c r="J6093" t="s">
        <v>61</v>
      </c>
      <c r="L6093" t="s">
        <v>89</v>
      </c>
    </row>
    <row r="6094" spans="1:13">
      <c r="A6094">
        <v>46135</v>
      </c>
      <c r="B6094" t="s">
        <v>3152</v>
      </c>
      <c r="F6094">
        <v>1</v>
      </c>
      <c r="G6094" t="s">
        <v>64</v>
      </c>
      <c r="L6094" t="s">
        <v>89</v>
      </c>
      <c r="M6094" t="s">
        <v>954</v>
      </c>
    </row>
    <row r="6095" spans="1:13">
      <c r="A6095">
        <v>46135</v>
      </c>
      <c r="B6095" t="s">
        <v>4997</v>
      </c>
      <c r="F6095">
        <v>1</v>
      </c>
      <c r="G6095" t="s">
        <v>99</v>
      </c>
      <c r="H6095" t="s">
        <v>21</v>
      </c>
      <c r="L6095" t="s">
        <v>89</v>
      </c>
      <c r="M6095" t="s">
        <v>4998</v>
      </c>
    </row>
    <row r="6096" spans="1:13">
      <c r="A6096">
        <v>46135</v>
      </c>
      <c r="B6096" t="s">
        <v>63</v>
      </c>
      <c r="D6096">
        <v>40000</v>
      </c>
      <c r="F6096">
        <v>2</v>
      </c>
      <c r="G6096" t="s">
        <v>70</v>
      </c>
      <c r="I6096" t="s">
        <v>71</v>
      </c>
      <c r="J6096" t="s">
        <v>72</v>
      </c>
      <c r="K6096" t="s">
        <v>4999</v>
      </c>
      <c r="L6096" t="s">
        <v>62</v>
      </c>
      <c r="M6096" t="s">
        <v>5000</v>
      </c>
    </row>
    <row r="6097" spans="1:13">
      <c r="A6097">
        <v>46135</v>
      </c>
      <c r="B6097" t="s">
        <v>5001</v>
      </c>
      <c r="F6097">
        <v>1</v>
      </c>
      <c r="G6097" t="s">
        <v>0</v>
      </c>
      <c r="L6097" t="s">
        <v>89</v>
      </c>
    </row>
    <row r="6098" spans="1:13">
      <c r="A6098">
        <v>46136</v>
      </c>
      <c r="B6098" t="s">
        <v>81</v>
      </c>
      <c r="D6098">
        <v>53500</v>
      </c>
      <c r="F6098">
        <v>1</v>
      </c>
      <c r="G6098" t="s">
        <v>74</v>
      </c>
      <c r="H6098" t="s">
        <v>75</v>
      </c>
      <c r="I6098" t="s">
        <v>60</v>
      </c>
      <c r="J6098" t="s">
        <v>61</v>
      </c>
      <c r="L6098" t="s">
        <v>88</v>
      </c>
    </row>
    <row r="6099" spans="1:13">
      <c r="A6099">
        <v>46136</v>
      </c>
      <c r="B6099" t="s">
        <v>5002</v>
      </c>
      <c r="F6099">
        <v>1</v>
      </c>
      <c r="G6099" t="s">
        <v>319</v>
      </c>
      <c r="H6099" t="s">
        <v>21</v>
      </c>
      <c r="L6099" t="s">
        <v>89</v>
      </c>
      <c r="M6099" t="s">
        <v>4998</v>
      </c>
    </row>
    <row r="6100" spans="1:13">
      <c r="A6100">
        <v>46136</v>
      </c>
      <c r="B6100" t="s">
        <v>5003</v>
      </c>
      <c r="F6100">
        <v>1</v>
      </c>
      <c r="G6100" t="s">
        <v>319</v>
      </c>
      <c r="H6100" t="s">
        <v>21</v>
      </c>
      <c r="L6100" t="s">
        <v>89</v>
      </c>
      <c r="M6100" t="s">
        <v>4998</v>
      </c>
    </row>
    <row r="6101" spans="1:13">
      <c r="A6101">
        <v>46136</v>
      </c>
      <c r="B6101" t="s">
        <v>76</v>
      </c>
      <c r="D6101">
        <v>17500</v>
      </c>
      <c r="G6101" t="s">
        <v>77</v>
      </c>
      <c r="I6101" t="s">
        <v>60</v>
      </c>
      <c r="J6101" t="s">
        <v>61</v>
      </c>
      <c r="L6101" t="s">
        <v>62</v>
      </c>
    </row>
    <row r="6102" spans="1:13">
      <c r="A6102">
        <v>46136</v>
      </c>
      <c r="B6102" t="s">
        <v>727</v>
      </c>
      <c r="C6102" t="s">
        <v>5004</v>
      </c>
      <c r="E6102">
        <v>40000</v>
      </c>
      <c r="F6102">
        <v>1</v>
      </c>
      <c r="G6102" t="s">
        <v>65</v>
      </c>
      <c r="H6102" t="s">
        <v>265</v>
      </c>
      <c r="I6102" t="s">
        <v>60</v>
      </c>
      <c r="J6102" t="s">
        <v>61</v>
      </c>
      <c r="L6102" t="s">
        <v>62</v>
      </c>
    </row>
    <row r="6103" spans="1:13">
      <c r="A6103">
        <v>46136</v>
      </c>
      <c r="B6103" t="s">
        <v>727</v>
      </c>
      <c r="C6103" t="s">
        <v>5005</v>
      </c>
      <c r="E6103">
        <v>40000</v>
      </c>
      <c r="F6103">
        <v>1</v>
      </c>
      <c r="G6103" t="s">
        <v>65</v>
      </c>
      <c r="H6103" t="s">
        <v>265</v>
      </c>
      <c r="I6103" t="s">
        <v>60</v>
      </c>
      <c r="J6103" t="s">
        <v>61</v>
      </c>
      <c r="L6103" t="s">
        <v>768</v>
      </c>
    </row>
    <row r="6104" spans="1:13">
      <c r="A6104">
        <v>46136</v>
      </c>
      <c r="B6104" t="s">
        <v>4982</v>
      </c>
      <c r="D6104">
        <v>500</v>
      </c>
      <c r="F6104">
        <v>1</v>
      </c>
      <c r="G6104" t="s">
        <v>22</v>
      </c>
      <c r="H6104" t="s">
        <v>21</v>
      </c>
      <c r="I6104" t="s">
        <v>60</v>
      </c>
      <c r="J6104" t="s">
        <v>61</v>
      </c>
      <c r="L6104" t="s">
        <v>89</v>
      </c>
    </row>
    <row r="6105" spans="1:13">
      <c r="A6105">
        <v>46136</v>
      </c>
      <c r="B6105" t="s">
        <v>5006</v>
      </c>
      <c r="D6105">
        <v>500</v>
      </c>
      <c r="F6105">
        <v>1</v>
      </c>
      <c r="G6105" t="s">
        <v>22</v>
      </c>
      <c r="H6105" t="s">
        <v>21</v>
      </c>
      <c r="I6105" t="s">
        <v>60</v>
      </c>
      <c r="J6105" t="s">
        <v>61</v>
      </c>
      <c r="L6105" t="s">
        <v>82</v>
      </c>
    </row>
    <row r="6106" spans="1:13">
      <c r="A6106">
        <v>46136</v>
      </c>
      <c r="B6106" t="s">
        <v>63</v>
      </c>
      <c r="E6106">
        <v>1000</v>
      </c>
      <c r="F6106">
        <v>1</v>
      </c>
      <c r="G6106" t="s">
        <v>65</v>
      </c>
      <c r="H6106" t="s">
        <v>66</v>
      </c>
      <c r="I6106" t="s">
        <v>60</v>
      </c>
      <c r="J6106" t="s">
        <v>61</v>
      </c>
      <c r="L6106" t="s">
        <v>62</v>
      </c>
      <c r="M6106" t="s">
        <v>91</v>
      </c>
    </row>
    <row r="6107" spans="1:13">
      <c r="A6107">
        <v>46136</v>
      </c>
      <c r="B6107" t="s">
        <v>4487</v>
      </c>
      <c r="F6107">
        <v>1</v>
      </c>
      <c r="G6107" t="s">
        <v>0</v>
      </c>
      <c r="L6107" t="s">
        <v>82</v>
      </c>
    </row>
    <row r="6108" spans="1:13">
      <c r="A6108">
        <v>46136</v>
      </c>
      <c r="B6108" t="s">
        <v>5007</v>
      </c>
      <c r="F6108">
        <v>1</v>
      </c>
      <c r="G6108" t="s">
        <v>0</v>
      </c>
      <c r="L6108" t="s">
        <v>82</v>
      </c>
    </row>
    <row r="6109" spans="1:13">
      <c r="A6109">
        <v>46137</v>
      </c>
      <c r="B6109" t="s">
        <v>5008</v>
      </c>
      <c r="D6109">
        <v>500</v>
      </c>
      <c r="F6109">
        <v>1</v>
      </c>
      <c r="G6109" t="s">
        <v>22</v>
      </c>
      <c r="H6109" t="s">
        <v>21</v>
      </c>
      <c r="I6109" t="s">
        <v>60</v>
      </c>
      <c r="J6109" t="s">
        <v>61</v>
      </c>
      <c r="L6109" t="s">
        <v>86</v>
      </c>
    </row>
    <row r="6110" spans="1:13">
      <c r="A6110">
        <v>46137</v>
      </c>
      <c r="B6110" t="s">
        <v>5009</v>
      </c>
      <c r="D6110">
        <v>500</v>
      </c>
      <c r="F6110">
        <v>1</v>
      </c>
      <c r="G6110" t="s">
        <v>22</v>
      </c>
      <c r="H6110" t="s">
        <v>21</v>
      </c>
      <c r="I6110" t="s">
        <v>60</v>
      </c>
      <c r="J6110" t="s">
        <v>61</v>
      </c>
      <c r="L6110" t="s">
        <v>86</v>
      </c>
    </row>
    <row r="6111" spans="1:13">
      <c r="A6111">
        <v>46137</v>
      </c>
      <c r="B6111" t="s">
        <v>2735</v>
      </c>
      <c r="F6111">
        <v>1</v>
      </c>
      <c r="G6111" t="s">
        <v>64</v>
      </c>
      <c r="L6111" t="s">
        <v>86</v>
      </c>
      <c r="M6111" t="s">
        <v>1035</v>
      </c>
    </row>
    <row r="6112" spans="1:13">
      <c r="A6112">
        <v>46137</v>
      </c>
      <c r="B6112" t="s">
        <v>63</v>
      </c>
      <c r="D6112">
        <v>70000</v>
      </c>
      <c r="G6112" t="s">
        <v>70</v>
      </c>
      <c r="I6112" t="s">
        <v>60</v>
      </c>
      <c r="J6112" t="s">
        <v>61</v>
      </c>
      <c r="L6112" t="s">
        <v>62</v>
      </c>
    </row>
    <row r="6113" spans="1:13">
      <c r="A6113">
        <v>46137</v>
      </c>
      <c r="B6113" t="s">
        <v>63</v>
      </c>
      <c r="D6113">
        <v>15000</v>
      </c>
      <c r="F6113">
        <v>2</v>
      </c>
      <c r="G6113" t="s">
        <v>70</v>
      </c>
      <c r="I6113" t="s">
        <v>71</v>
      </c>
      <c r="J6113" t="s">
        <v>72</v>
      </c>
      <c r="K6113" t="s">
        <v>5010</v>
      </c>
      <c r="L6113" t="s">
        <v>62</v>
      </c>
      <c r="M6113" t="s">
        <v>90</v>
      </c>
    </row>
    <row r="6114" spans="1:13">
      <c r="A6114">
        <v>46137</v>
      </c>
      <c r="B6114" t="s">
        <v>5011</v>
      </c>
      <c r="F6114">
        <v>1</v>
      </c>
      <c r="G6114" t="s">
        <v>64</v>
      </c>
      <c r="L6114" t="s">
        <v>82</v>
      </c>
      <c r="M6114" t="s">
        <v>96</v>
      </c>
    </row>
    <row r="6115" spans="1:13">
      <c r="A6115">
        <v>46137</v>
      </c>
      <c r="B6115" t="s">
        <v>63</v>
      </c>
      <c r="D6115">
        <v>500</v>
      </c>
      <c r="F6115">
        <v>5</v>
      </c>
      <c r="G6115" t="s">
        <v>22</v>
      </c>
      <c r="H6115" t="s">
        <v>93</v>
      </c>
      <c r="I6115" t="s">
        <v>60</v>
      </c>
      <c r="J6115" t="s">
        <v>61</v>
      </c>
      <c r="L6115" t="s">
        <v>62</v>
      </c>
    </row>
    <row r="6116" spans="1:13">
      <c r="A6116">
        <v>46137</v>
      </c>
      <c r="B6116" t="s">
        <v>76</v>
      </c>
      <c r="D6116">
        <v>2000</v>
      </c>
      <c r="G6116" t="s">
        <v>77</v>
      </c>
      <c r="I6116" t="s">
        <v>60</v>
      </c>
      <c r="J6116" t="s">
        <v>61</v>
      </c>
      <c r="L6116" t="s">
        <v>62</v>
      </c>
    </row>
    <row r="6117" spans="1:13">
      <c r="A6117">
        <v>46137</v>
      </c>
      <c r="B6117" t="s">
        <v>5012</v>
      </c>
      <c r="D6117">
        <v>500</v>
      </c>
      <c r="F6117">
        <v>1</v>
      </c>
      <c r="G6117" t="s">
        <v>22</v>
      </c>
      <c r="H6117" t="s">
        <v>21</v>
      </c>
      <c r="I6117" t="s">
        <v>60</v>
      </c>
      <c r="J6117" t="s">
        <v>61</v>
      </c>
      <c r="L6117" t="s">
        <v>82</v>
      </c>
    </row>
    <row r="6118" spans="1:13">
      <c r="A6118">
        <v>46137</v>
      </c>
      <c r="B6118" t="s">
        <v>5013</v>
      </c>
      <c r="D6118">
        <v>500</v>
      </c>
      <c r="F6118">
        <v>1</v>
      </c>
      <c r="G6118" t="s">
        <v>22</v>
      </c>
      <c r="H6118" t="s">
        <v>21</v>
      </c>
      <c r="I6118" t="s">
        <v>60</v>
      </c>
      <c r="J6118" t="s">
        <v>61</v>
      </c>
      <c r="L6118" t="s">
        <v>82</v>
      </c>
    </row>
    <row r="6119" spans="1:13">
      <c r="A6119">
        <v>46137</v>
      </c>
      <c r="B6119" t="s">
        <v>5013</v>
      </c>
      <c r="F6119">
        <v>1</v>
      </c>
      <c r="G6119" t="s">
        <v>64</v>
      </c>
      <c r="L6119" t="s">
        <v>82</v>
      </c>
      <c r="M6119" t="s">
        <v>5014</v>
      </c>
    </row>
    <row r="6120" spans="1:13">
      <c r="A6120">
        <v>46137</v>
      </c>
      <c r="B6120" t="s">
        <v>5015</v>
      </c>
      <c r="D6120">
        <v>500</v>
      </c>
      <c r="F6120">
        <v>1</v>
      </c>
      <c r="G6120" t="s">
        <v>22</v>
      </c>
      <c r="H6120" t="s">
        <v>21</v>
      </c>
      <c r="I6120" t="s">
        <v>60</v>
      </c>
      <c r="J6120" t="s">
        <v>61</v>
      </c>
      <c r="L6120" t="s">
        <v>82</v>
      </c>
    </row>
    <row r="6121" spans="1:13">
      <c r="A6121">
        <v>46137</v>
      </c>
      <c r="B6121" t="s">
        <v>84</v>
      </c>
      <c r="D6121">
        <v>-20800</v>
      </c>
      <c r="G6121" t="s">
        <v>77</v>
      </c>
      <c r="I6121" t="s">
        <v>60</v>
      </c>
      <c r="J6121" t="s">
        <v>61</v>
      </c>
      <c r="L6121" t="s">
        <v>62</v>
      </c>
    </row>
    <row r="6122" spans="1:13">
      <c r="A6122">
        <v>46137</v>
      </c>
      <c r="B6122" t="s">
        <v>84</v>
      </c>
      <c r="E6122">
        <v>-1100</v>
      </c>
      <c r="F6122">
        <v>1</v>
      </c>
      <c r="G6122" t="s">
        <v>65</v>
      </c>
      <c r="H6122" t="s">
        <v>85</v>
      </c>
      <c r="I6122" t="s">
        <v>60</v>
      </c>
      <c r="J6122" t="s">
        <v>61</v>
      </c>
      <c r="L6122" t="s">
        <v>62</v>
      </c>
    </row>
    <row r="6123" spans="1:13">
      <c r="A6123">
        <v>46137</v>
      </c>
      <c r="B6123" t="s">
        <v>84</v>
      </c>
      <c r="E6123">
        <v>300</v>
      </c>
      <c r="F6123">
        <v>1</v>
      </c>
      <c r="G6123" t="s">
        <v>65</v>
      </c>
      <c r="H6123" t="s">
        <v>66</v>
      </c>
      <c r="I6123" t="s">
        <v>60</v>
      </c>
      <c r="J6123" t="s">
        <v>61</v>
      </c>
      <c r="L6123" t="s">
        <v>62</v>
      </c>
    </row>
    <row r="6124" spans="1:13">
      <c r="A6124">
        <v>46137</v>
      </c>
      <c r="B6124" t="s">
        <v>5016</v>
      </c>
      <c r="D6124">
        <v>500</v>
      </c>
      <c r="F6124">
        <v>1</v>
      </c>
      <c r="G6124" t="s">
        <v>22</v>
      </c>
      <c r="H6124" t="s">
        <v>21</v>
      </c>
      <c r="I6124" t="s">
        <v>60</v>
      </c>
      <c r="J6124" t="s">
        <v>61</v>
      </c>
      <c r="L6124" t="s">
        <v>82</v>
      </c>
    </row>
    <row r="6125" spans="1:13">
      <c r="A6125">
        <v>46137</v>
      </c>
      <c r="B6125" t="s">
        <v>5017</v>
      </c>
      <c r="F6125">
        <v>1</v>
      </c>
      <c r="G6125" t="s">
        <v>64</v>
      </c>
      <c r="L6125" t="s">
        <v>82</v>
      </c>
      <c r="M6125" t="s">
        <v>96</v>
      </c>
    </row>
    <row r="6126" spans="1:13">
      <c r="A6126">
        <v>46137</v>
      </c>
      <c r="B6126" t="s">
        <v>80</v>
      </c>
      <c r="E6126">
        <v>5924</v>
      </c>
      <c r="F6126">
        <v>1</v>
      </c>
      <c r="G6126" t="s">
        <v>74</v>
      </c>
      <c r="H6126" t="s">
        <v>75</v>
      </c>
      <c r="I6126" t="s">
        <v>60</v>
      </c>
      <c r="J6126" t="s">
        <v>61</v>
      </c>
      <c r="L6126" t="s">
        <v>87</v>
      </c>
      <c r="M6126" t="s">
        <v>5018</v>
      </c>
    </row>
    <row r="6127" spans="1:13">
      <c r="A6127">
        <v>46137</v>
      </c>
      <c r="B6127" t="s">
        <v>97</v>
      </c>
      <c r="E6127">
        <v>76</v>
      </c>
      <c r="F6127">
        <v>1</v>
      </c>
      <c r="G6127" t="s">
        <v>65</v>
      </c>
      <c r="H6127" t="s">
        <v>66</v>
      </c>
      <c r="I6127" t="s">
        <v>60</v>
      </c>
      <c r="J6127" t="s">
        <v>61</v>
      </c>
      <c r="L6127" t="s">
        <v>87</v>
      </c>
      <c r="M6127" t="s">
        <v>5018</v>
      </c>
    </row>
    <row r="6128" spans="1:13">
      <c r="A6128">
        <v>46137</v>
      </c>
      <c r="B6128" t="s">
        <v>63</v>
      </c>
      <c r="E6128">
        <v>3000</v>
      </c>
      <c r="F6128">
        <v>1</v>
      </c>
      <c r="G6128" t="s">
        <v>65</v>
      </c>
      <c r="H6128" t="s">
        <v>66</v>
      </c>
      <c r="I6128" t="s">
        <v>60</v>
      </c>
      <c r="J6128" t="s">
        <v>61</v>
      </c>
      <c r="L6128" t="s">
        <v>62</v>
      </c>
      <c r="M6128" t="s">
        <v>91</v>
      </c>
    </row>
    <row r="6129" spans="1:13">
      <c r="A6129">
        <v>46137</v>
      </c>
      <c r="B6129" t="s">
        <v>63</v>
      </c>
      <c r="E6129">
        <v>500</v>
      </c>
      <c r="F6129">
        <v>1</v>
      </c>
      <c r="G6129" t="s">
        <v>65</v>
      </c>
      <c r="H6129" t="s">
        <v>66</v>
      </c>
      <c r="I6129" t="s">
        <v>60</v>
      </c>
      <c r="J6129" t="s">
        <v>61</v>
      </c>
      <c r="L6129" t="s">
        <v>62</v>
      </c>
      <c r="M6129" t="s">
        <v>94</v>
      </c>
    </row>
    <row r="6130" spans="1:13">
      <c r="A6130">
        <v>46137</v>
      </c>
      <c r="B6130" t="s">
        <v>5019</v>
      </c>
      <c r="F6130">
        <v>1</v>
      </c>
      <c r="G6130" t="s">
        <v>0</v>
      </c>
      <c r="L6130" t="s">
        <v>82</v>
      </c>
    </row>
    <row r="6131" spans="1:13">
      <c r="A6131">
        <v>46137</v>
      </c>
      <c r="B6131" t="s">
        <v>5020</v>
      </c>
      <c r="F6131">
        <v>1</v>
      </c>
      <c r="G6131" t="s">
        <v>0</v>
      </c>
      <c r="L6131" t="s">
        <v>89</v>
      </c>
    </row>
    <row r="6132" spans="1:13">
      <c r="A6132">
        <v>46138</v>
      </c>
      <c r="B6132" t="s">
        <v>3306</v>
      </c>
      <c r="D6132">
        <v>500</v>
      </c>
      <c r="F6132">
        <v>0</v>
      </c>
      <c r="G6132" t="s">
        <v>22</v>
      </c>
      <c r="H6132" t="s">
        <v>21</v>
      </c>
      <c r="I6132" t="s">
        <v>60</v>
      </c>
      <c r="J6132" t="s">
        <v>61</v>
      </c>
      <c r="L6132" t="s">
        <v>86</v>
      </c>
      <c r="M6132" t="s">
        <v>83</v>
      </c>
    </row>
    <row r="6133" spans="1:13">
      <c r="A6133">
        <v>46138</v>
      </c>
      <c r="B6133" t="s">
        <v>5021</v>
      </c>
      <c r="D6133">
        <v>500</v>
      </c>
      <c r="F6133">
        <v>1</v>
      </c>
      <c r="G6133" t="s">
        <v>22</v>
      </c>
      <c r="H6133" t="s">
        <v>21</v>
      </c>
      <c r="I6133" t="s">
        <v>60</v>
      </c>
      <c r="J6133" t="s">
        <v>61</v>
      </c>
      <c r="L6133" t="s">
        <v>89</v>
      </c>
    </row>
    <row r="6134" spans="1:13">
      <c r="A6134">
        <v>46138</v>
      </c>
      <c r="B6134" t="s">
        <v>5022</v>
      </c>
      <c r="F6134">
        <v>1</v>
      </c>
      <c r="G6134" t="s">
        <v>79</v>
      </c>
      <c r="H6134" t="s">
        <v>21</v>
      </c>
      <c r="L6134" t="s">
        <v>89</v>
      </c>
      <c r="M6134" t="s">
        <v>327</v>
      </c>
    </row>
    <row r="6135" spans="1:13">
      <c r="A6135">
        <v>46138</v>
      </c>
      <c r="B6135" t="s">
        <v>5023</v>
      </c>
      <c r="F6135">
        <v>1</v>
      </c>
      <c r="G6135" t="s">
        <v>79</v>
      </c>
      <c r="H6135" t="s">
        <v>21</v>
      </c>
      <c r="L6135" t="s">
        <v>89</v>
      </c>
      <c r="M6135" t="s">
        <v>327</v>
      </c>
    </row>
    <row r="6136" spans="1:13">
      <c r="A6136">
        <v>46138</v>
      </c>
      <c r="B6136" t="s">
        <v>5024</v>
      </c>
      <c r="D6136">
        <v>500</v>
      </c>
      <c r="F6136">
        <v>1</v>
      </c>
      <c r="G6136" t="s">
        <v>22</v>
      </c>
      <c r="H6136" t="s">
        <v>21</v>
      </c>
      <c r="I6136" t="s">
        <v>60</v>
      </c>
      <c r="J6136" t="s">
        <v>61</v>
      </c>
      <c r="L6136" t="s">
        <v>89</v>
      </c>
    </row>
    <row r="6137" spans="1:13">
      <c r="A6137">
        <v>46138</v>
      </c>
      <c r="B6137" t="s">
        <v>5024</v>
      </c>
      <c r="D6137">
        <v>431999</v>
      </c>
      <c r="F6137">
        <v>1</v>
      </c>
      <c r="G6137" t="s">
        <v>64</v>
      </c>
      <c r="I6137" t="s">
        <v>60</v>
      </c>
      <c r="J6137" t="s">
        <v>61</v>
      </c>
      <c r="L6137" t="s">
        <v>89</v>
      </c>
      <c r="M6137" t="s">
        <v>5025</v>
      </c>
    </row>
    <row r="6138" spans="1:13">
      <c r="A6138">
        <v>46138</v>
      </c>
      <c r="B6138" t="s">
        <v>5026</v>
      </c>
      <c r="F6138">
        <v>1</v>
      </c>
      <c r="G6138" t="s">
        <v>377</v>
      </c>
      <c r="H6138" t="s">
        <v>21</v>
      </c>
      <c r="L6138" t="s">
        <v>89</v>
      </c>
      <c r="M6138" t="s">
        <v>327</v>
      </c>
    </row>
    <row r="6139" spans="1:13">
      <c r="A6139">
        <v>46138</v>
      </c>
      <c r="B6139" t="s">
        <v>5027</v>
      </c>
      <c r="D6139">
        <v>500</v>
      </c>
      <c r="F6139">
        <v>1</v>
      </c>
      <c r="G6139" t="s">
        <v>22</v>
      </c>
      <c r="H6139" t="s">
        <v>21</v>
      </c>
      <c r="I6139" t="s">
        <v>60</v>
      </c>
      <c r="J6139" t="s">
        <v>61</v>
      </c>
      <c r="L6139" t="s">
        <v>89</v>
      </c>
    </row>
    <row r="6140" spans="1:13">
      <c r="A6140">
        <v>46138</v>
      </c>
      <c r="B6140" t="s">
        <v>63</v>
      </c>
      <c r="D6140">
        <v>42500</v>
      </c>
      <c r="G6140" t="s">
        <v>70</v>
      </c>
      <c r="I6140" t="s">
        <v>60</v>
      </c>
      <c r="J6140" t="s">
        <v>61</v>
      </c>
      <c r="L6140" t="s">
        <v>62</v>
      </c>
    </row>
    <row r="6141" spans="1:13">
      <c r="A6141">
        <v>46138</v>
      </c>
      <c r="B6141" t="s">
        <v>80</v>
      </c>
      <c r="E6141">
        <v>18760</v>
      </c>
      <c r="F6141">
        <v>1</v>
      </c>
      <c r="G6141" t="s">
        <v>74</v>
      </c>
      <c r="H6141" t="s">
        <v>75</v>
      </c>
      <c r="I6141" t="s">
        <v>60</v>
      </c>
      <c r="J6141" t="s">
        <v>61</v>
      </c>
      <c r="L6141" t="s">
        <v>87</v>
      </c>
      <c r="M6141" t="s">
        <v>5028</v>
      </c>
    </row>
    <row r="6142" spans="1:13">
      <c r="A6142">
        <v>46138</v>
      </c>
      <c r="B6142" t="s">
        <v>97</v>
      </c>
      <c r="E6142">
        <v>240</v>
      </c>
      <c r="F6142">
        <v>1</v>
      </c>
      <c r="G6142" t="s">
        <v>65</v>
      </c>
      <c r="H6142" t="s">
        <v>66</v>
      </c>
      <c r="I6142" t="s">
        <v>60</v>
      </c>
      <c r="J6142" t="s">
        <v>61</v>
      </c>
      <c r="L6142" t="s">
        <v>87</v>
      </c>
      <c r="M6142" t="s">
        <v>5028</v>
      </c>
    </row>
    <row r="6143" spans="1:13">
      <c r="A6143">
        <v>46138</v>
      </c>
      <c r="B6143" t="s">
        <v>5029</v>
      </c>
      <c r="F6143">
        <v>1</v>
      </c>
      <c r="G6143" t="s">
        <v>79</v>
      </c>
      <c r="H6143" t="s">
        <v>21</v>
      </c>
      <c r="L6143" t="s">
        <v>89</v>
      </c>
      <c r="M6143" t="s">
        <v>327</v>
      </c>
    </row>
    <row r="6144" spans="1:13">
      <c r="A6144">
        <v>46138</v>
      </c>
      <c r="B6144" t="s">
        <v>63</v>
      </c>
      <c r="E6144">
        <v>2000</v>
      </c>
      <c r="F6144">
        <v>1</v>
      </c>
      <c r="G6144" t="s">
        <v>65</v>
      </c>
      <c r="H6144" t="s">
        <v>66</v>
      </c>
      <c r="I6144" t="s">
        <v>60</v>
      </c>
      <c r="J6144" t="s">
        <v>61</v>
      </c>
      <c r="L6144" t="s">
        <v>62</v>
      </c>
      <c r="M6144" t="s">
        <v>91</v>
      </c>
    </row>
    <row r="6145" spans="1:13">
      <c r="A6145">
        <v>46139</v>
      </c>
      <c r="B6145" t="s">
        <v>81</v>
      </c>
      <c r="D6145">
        <v>145000</v>
      </c>
      <c r="F6145">
        <v>1</v>
      </c>
      <c r="G6145" t="s">
        <v>74</v>
      </c>
      <c r="H6145" t="s">
        <v>75</v>
      </c>
      <c r="I6145" t="s">
        <v>60</v>
      </c>
      <c r="J6145" t="s">
        <v>61</v>
      </c>
      <c r="L6145" t="s">
        <v>88</v>
      </c>
    </row>
    <row r="6146" spans="1:13">
      <c r="A6146">
        <v>46139</v>
      </c>
      <c r="B6146" t="s">
        <v>102</v>
      </c>
      <c r="C6146" t="s">
        <v>5030</v>
      </c>
      <c r="F6146">
        <v>26</v>
      </c>
      <c r="G6146" t="s">
        <v>22</v>
      </c>
      <c r="H6146" t="s">
        <v>21</v>
      </c>
      <c r="L6146" t="s">
        <v>95</v>
      </c>
    </row>
    <row r="6147" spans="1:13">
      <c r="A6147">
        <v>46139</v>
      </c>
      <c r="B6147" t="s">
        <v>562</v>
      </c>
      <c r="D6147">
        <v>4000</v>
      </c>
      <c r="G6147" t="s">
        <v>77</v>
      </c>
      <c r="I6147" t="s">
        <v>60</v>
      </c>
      <c r="J6147" t="s">
        <v>61</v>
      </c>
      <c r="L6147" t="s">
        <v>62</v>
      </c>
    </row>
    <row r="6148" spans="1:13">
      <c r="A6148">
        <v>46139</v>
      </c>
      <c r="B6148" t="s">
        <v>63</v>
      </c>
      <c r="D6148">
        <v>100</v>
      </c>
      <c r="F6148">
        <v>1</v>
      </c>
      <c r="G6148" t="s">
        <v>22</v>
      </c>
      <c r="H6148" t="s">
        <v>93</v>
      </c>
      <c r="I6148" t="s">
        <v>60</v>
      </c>
      <c r="J6148" t="s">
        <v>61</v>
      </c>
      <c r="L6148" t="s">
        <v>62</v>
      </c>
    </row>
    <row r="6149" spans="1:13">
      <c r="A6149">
        <v>46139</v>
      </c>
      <c r="B6149" t="s">
        <v>5031</v>
      </c>
      <c r="D6149">
        <v>500</v>
      </c>
      <c r="F6149">
        <v>1</v>
      </c>
      <c r="G6149" t="s">
        <v>22</v>
      </c>
      <c r="H6149" t="s">
        <v>21</v>
      </c>
      <c r="I6149" t="s">
        <v>60</v>
      </c>
      <c r="J6149" t="s">
        <v>61</v>
      </c>
      <c r="L6149" t="s">
        <v>89</v>
      </c>
    </row>
    <row r="6150" spans="1:13">
      <c r="A6150">
        <v>46139</v>
      </c>
      <c r="B6150" t="s">
        <v>5032</v>
      </c>
      <c r="D6150">
        <v>500</v>
      </c>
      <c r="F6150">
        <v>1</v>
      </c>
      <c r="G6150" t="s">
        <v>22</v>
      </c>
      <c r="H6150" t="s">
        <v>21</v>
      </c>
      <c r="I6150" t="s">
        <v>60</v>
      </c>
      <c r="J6150" t="s">
        <v>61</v>
      </c>
      <c r="L6150" t="s">
        <v>89</v>
      </c>
    </row>
    <row r="6151" spans="1:13">
      <c r="A6151">
        <v>46139</v>
      </c>
      <c r="B6151" t="s">
        <v>5033</v>
      </c>
      <c r="D6151">
        <v>500</v>
      </c>
      <c r="F6151">
        <v>1</v>
      </c>
      <c r="G6151" t="s">
        <v>22</v>
      </c>
      <c r="H6151" t="s">
        <v>21</v>
      </c>
      <c r="I6151" t="s">
        <v>60</v>
      </c>
      <c r="J6151" t="s">
        <v>61</v>
      </c>
      <c r="L6151" t="s">
        <v>89</v>
      </c>
    </row>
    <row r="6152" spans="1:13">
      <c r="A6152">
        <v>46139</v>
      </c>
      <c r="B6152" t="s">
        <v>5034</v>
      </c>
      <c r="D6152">
        <v>500</v>
      </c>
      <c r="F6152">
        <v>1</v>
      </c>
      <c r="G6152" t="s">
        <v>22</v>
      </c>
      <c r="H6152" t="s">
        <v>21</v>
      </c>
      <c r="I6152" t="s">
        <v>60</v>
      </c>
      <c r="J6152" t="s">
        <v>61</v>
      </c>
      <c r="L6152" t="s">
        <v>89</v>
      </c>
    </row>
    <row r="6153" spans="1:13">
      <c r="A6153">
        <v>46139</v>
      </c>
      <c r="B6153" t="s">
        <v>5035</v>
      </c>
      <c r="D6153">
        <v>500</v>
      </c>
      <c r="F6153">
        <v>1</v>
      </c>
      <c r="G6153" t="s">
        <v>22</v>
      </c>
      <c r="H6153" t="s">
        <v>21</v>
      </c>
      <c r="I6153" t="s">
        <v>60</v>
      </c>
      <c r="J6153" t="s">
        <v>61</v>
      </c>
      <c r="L6153" t="s">
        <v>89</v>
      </c>
    </row>
    <row r="6154" spans="1:13">
      <c r="A6154">
        <v>46139</v>
      </c>
      <c r="B6154" t="s">
        <v>5036</v>
      </c>
      <c r="F6154">
        <v>1</v>
      </c>
      <c r="G6154" t="s">
        <v>79</v>
      </c>
      <c r="H6154" t="s">
        <v>21</v>
      </c>
      <c r="L6154" t="s">
        <v>89</v>
      </c>
      <c r="M6154" t="s">
        <v>327</v>
      </c>
    </row>
    <row r="6155" spans="1:13">
      <c r="A6155">
        <v>46139</v>
      </c>
      <c r="B6155" t="s">
        <v>63</v>
      </c>
      <c r="D6155">
        <v>13500</v>
      </c>
      <c r="G6155" t="s">
        <v>70</v>
      </c>
      <c r="I6155" t="s">
        <v>60</v>
      </c>
      <c r="J6155" t="s">
        <v>61</v>
      </c>
      <c r="L6155" t="s">
        <v>62</v>
      </c>
    </row>
    <row r="6156" spans="1:13">
      <c r="A6156">
        <v>46139</v>
      </c>
      <c r="B6156" t="s">
        <v>63</v>
      </c>
      <c r="E6156">
        <v>100</v>
      </c>
      <c r="F6156">
        <v>1</v>
      </c>
      <c r="G6156" t="s">
        <v>65</v>
      </c>
      <c r="H6156" t="s">
        <v>66</v>
      </c>
      <c r="I6156" t="s">
        <v>60</v>
      </c>
      <c r="J6156" t="s">
        <v>61</v>
      </c>
      <c r="L6156" t="s">
        <v>62</v>
      </c>
      <c r="M6156" t="s">
        <v>91</v>
      </c>
    </row>
    <row r="6157" spans="1:13">
      <c r="A6157">
        <v>46139</v>
      </c>
      <c r="B6157" t="s">
        <v>63</v>
      </c>
      <c r="E6157">
        <v>2500</v>
      </c>
      <c r="F6157">
        <v>1</v>
      </c>
      <c r="G6157" t="s">
        <v>65</v>
      </c>
      <c r="H6157" t="s">
        <v>66</v>
      </c>
      <c r="I6157" t="s">
        <v>60</v>
      </c>
      <c r="J6157" t="s">
        <v>61</v>
      </c>
      <c r="L6157" t="s">
        <v>62</v>
      </c>
      <c r="M6157" t="s">
        <v>94</v>
      </c>
    </row>
    <row r="6158" spans="1:13">
      <c r="A6158">
        <v>46139</v>
      </c>
      <c r="B6158" t="s">
        <v>5037</v>
      </c>
      <c r="F6158">
        <v>1</v>
      </c>
      <c r="G6158" t="s">
        <v>0</v>
      </c>
      <c r="L6158" t="s">
        <v>89</v>
      </c>
    </row>
    <row r="6159" spans="1:13">
      <c r="A6159">
        <v>46140</v>
      </c>
      <c r="B6159" t="s">
        <v>81</v>
      </c>
      <c r="D6159">
        <v>136000</v>
      </c>
      <c r="F6159">
        <v>1</v>
      </c>
      <c r="G6159" t="s">
        <v>74</v>
      </c>
      <c r="H6159" t="s">
        <v>75</v>
      </c>
      <c r="I6159" t="s">
        <v>60</v>
      </c>
      <c r="J6159" t="s">
        <v>61</v>
      </c>
      <c r="L6159" t="s">
        <v>88</v>
      </c>
    </row>
    <row r="6160" spans="1:13">
      <c r="A6160">
        <v>46140</v>
      </c>
      <c r="B6160" t="s">
        <v>5038</v>
      </c>
      <c r="D6160">
        <v>500</v>
      </c>
      <c r="F6160">
        <v>0</v>
      </c>
      <c r="G6160" t="s">
        <v>22</v>
      </c>
      <c r="H6160" t="s">
        <v>21</v>
      </c>
      <c r="I6160" t="s">
        <v>60</v>
      </c>
      <c r="J6160" t="s">
        <v>61</v>
      </c>
      <c r="L6160" t="s">
        <v>82</v>
      </c>
    </row>
    <row r="6161" spans="1:13">
      <c r="A6161">
        <v>46140</v>
      </c>
      <c r="B6161" t="s">
        <v>5039</v>
      </c>
      <c r="D6161">
        <v>500</v>
      </c>
      <c r="F6161">
        <v>0</v>
      </c>
      <c r="G6161" t="s">
        <v>22</v>
      </c>
      <c r="H6161" t="s">
        <v>21</v>
      </c>
      <c r="I6161" t="s">
        <v>60</v>
      </c>
      <c r="J6161" t="s">
        <v>61</v>
      </c>
      <c r="L6161" t="s">
        <v>82</v>
      </c>
    </row>
    <row r="6162" spans="1:13">
      <c r="A6162">
        <v>46140</v>
      </c>
      <c r="B6162" t="s">
        <v>5040</v>
      </c>
      <c r="D6162">
        <v>500</v>
      </c>
      <c r="F6162">
        <v>0</v>
      </c>
      <c r="G6162" t="s">
        <v>22</v>
      </c>
      <c r="H6162" t="s">
        <v>21</v>
      </c>
      <c r="I6162" t="s">
        <v>60</v>
      </c>
      <c r="J6162" t="s">
        <v>61</v>
      </c>
      <c r="L6162" t="s">
        <v>82</v>
      </c>
    </row>
    <row r="6163" spans="1:13">
      <c r="A6163">
        <v>46140</v>
      </c>
      <c r="B6163" t="s">
        <v>5038</v>
      </c>
      <c r="D6163">
        <v>500</v>
      </c>
      <c r="F6163">
        <v>0</v>
      </c>
      <c r="G6163" t="s">
        <v>22</v>
      </c>
      <c r="H6163" t="s">
        <v>21</v>
      </c>
      <c r="I6163" t="s">
        <v>60</v>
      </c>
      <c r="J6163" t="s">
        <v>61</v>
      </c>
      <c r="L6163" t="s">
        <v>82</v>
      </c>
    </row>
    <row r="6164" spans="1:13">
      <c r="A6164">
        <v>46140</v>
      </c>
      <c r="B6164" t="s">
        <v>5041</v>
      </c>
      <c r="D6164">
        <v>500</v>
      </c>
      <c r="F6164">
        <v>1</v>
      </c>
      <c r="G6164" t="s">
        <v>22</v>
      </c>
      <c r="H6164" t="s">
        <v>21</v>
      </c>
      <c r="I6164" t="s">
        <v>60</v>
      </c>
      <c r="J6164" t="s">
        <v>61</v>
      </c>
      <c r="L6164" t="s">
        <v>89</v>
      </c>
    </row>
    <row r="6165" spans="1:13">
      <c r="A6165">
        <v>46140</v>
      </c>
      <c r="B6165" t="s">
        <v>5042</v>
      </c>
      <c r="D6165">
        <v>500</v>
      </c>
      <c r="F6165">
        <v>1</v>
      </c>
      <c r="G6165" t="s">
        <v>22</v>
      </c>
      <c r="H6165" t="s">
        <v>21</v>
      </c>
      <c r="I6165" t="s">
        <v>60</v>
      </c>
      <c r="J6165" t="s">
        <v>61</v>
      </c>
      <c r="L6165" t="s">
        <v>82</v>
      </c>
    </row>
    <row r="6166" spans="1:13">
      <c r="A6166">
        <v>46140</v>
      </c>
      <c r="B6166" t="s">
        <v>63</v>
      </c>
      <c r="D6166">
        <v>111141</v>
      </c>
      <c r="G6166" t="s">
        <v>70</v>
      </c>
      <c r="I6166" t="s">
        <v>60</v>
      </c>
      <c r="J6166" t="s">
        <v>61</v>
      </c>
      <c r="L6166" t="s">
        <v>62</v>
      </c>
    </row>
    <row r="6167" spans="1:13">
      <c r="A6167">
        <v>46140</v>
      </c>
      <c r="B6167" t="s">
        <v>63</v>
      </c>
      <c r="E6167">
        <v>3000</v>
      </c>
      <c r="F6167">
        <v>1</v>
      </c>
      <c r="G6167" t="s">
        <v>65</v>
      </c>
      <c r="H6167" t="s">
        <v>66</v>
      </c>
      <c r="I6167" t="s">
        <v>60</v>
      </c>
      <c r="J6167" t="s">
        <v>61</v>
      </c>
      <c r="L6167" t="s">
        <v>62</v>
      </c>
      <c r="M6167" t="s">
        <v>91</v>
      </c>
    </row>
    <row r="6168" spans="1:13">
      <c r="A6168">
        <v>46141</v>
      </c>
      <c r="B6168" t="s">
        <v>5043</v>
      </c>
      <c r="D6168">
        <v>500</v>
      </c>
      <c r="F6168">
        <v>1</v>
      </c>
      <c r="G6168" t="s">
        <v>22</v>
      </c>
      <c r="H6168" t="s">
        <v>21</v>
      </c>
      <c r="I6168" t="s">
        <v>60</v>
      </c>
      <c r="J6168" t="s">
        <v>61</v>
      </c>
      <c r="L6168" t="s">
        <v>89</v>
      </c>
    </row>
    <row r="6169" spans="1:13">
      <c r="A6169">
        <v>46141</v>
      </c>
      <c r="B6169" t="s">
        <v>290</v>
      </c>
      <c r="C6169" t="s">
        <v>5044</v>
      </c>
      <c r="E6169">
        <v>66579</v>
      </c>
      <c r="F6169">
        <v>1</v>
      </c>
      <c r="G6169" t="s">
        <v>65</v>
      </c>
      <c r="H6169" t="s">
        <v>66</v>
      </c>
      <c r="I6169" t="s">
        <v>60</v>
      </c>
      <c r="J6169" t="s">
        <v>61</v>
      </c>
      <c r="L6169" t="s">
        <v>62</v>
      </c>
      <c r="M6169" t="s">
        <v>5045</v>
      </c>
    </row>
    <row r="6170" spans="1:13">
      <c r="A6170">
        <v>46141</v>
      </c>
      <c r="B6170" t="s">
        <v>5046</v>
      </c>
      <c r="D6170">
        <v>500</v>
      </c>
      <c r="F6170">
        <v>0</v>
      </c>
      <c r="G6170" t="s">
        <v>22</v>
      </c>
      <c r="H6170" t="s">
        <v>21</v>
      </c>
      <c r="I6170" t="s">
        <v>60</v>
      </c>
      <c r="J6170" t="s">
        <v>61</v>
      </c>
      <c r="L6170" t="s">
        <v>89</v>
      </c>
      <c r="M6170" t="s">
        <v>83</v>
      </c>
    </row>
    <row r="6171" spans="1:13">
      <c r="A6171">
        <v>46141</v>
      </c>
      <c r="B6171" t="s">
        <v>5047</v>
      </c>
      <c r="F6171">
        <v>1</v>
      </c>
      <c r="G6171" t="s">
        <v>64</v>
      </c>
      <c r="L6171" t="s">
        <v>89</v>
      </c>
      <c r="M6171" t="s">
        <v>2120</v>
      </c>
    </row>
    <row r="6172" spans="1:13">
      <c r="A6172">
        <v>46141</v>
      </c>
      <c r="B6172" t="s">
        <v>5036</v>
      </c>
      <c r="D6172">
        <v>500</v>
      </c>
      <c r="F6172">
        <v>1</v>
      </c>
      <c r="G6172" t="s">
        <v>22</v>
      </c>
      <c r="H6172" t="s">
        <v>21</v>
      </c>
      <c r="I6172" t="s">
        <v>60</v>
      </c>
      <c r="J6172" t="s">
        <v>61</v>
      </c>
      <c r="L6172" t="s">
        <v>89</v>
      </c>
    </row>
    <row r="6173" spans="1:13">
      <c r="A6173">
        <v>46141</v>
      </c>
      <c r="B6173" t="s">
        <v>5048</v>
      </c>
      <c r="D6173">
        <v>500</v>
      </c>
      <c r="F6173">
        <v>1</v>
      </c>
      <c r="G6173" t="s">
        <v>22</v>
      </c>
      <c r="H6173" t="s">
        <v>21</v>
      </c>
      <c r="I6173" t="s">
        <v>60</v>
      </c>
      <c r="J6173" t="s">
        <v>61</v>
      </c>
      <c r="L6173" t="s">
        <v>86</v>
      </c>
    </row>
    <row r="6174" spans="1:13">
      <c r="A6174">
        <v>46141</v>
      </c>
      <c r="B6174" t="s">
        <v>84</v>
      </c>
      <c r="D6174">
        <v>-41600</v>
      </c>
      <c r="G6174" t="s">
        <v>77</v>
      </c>
      <c r="I6174" t="s">
        <v>60</v>
      </c>
      <c r="J6174" t="s">
        <v>61</v>
      </c>
      <c r="L6174" t="s">
        <v>62</v>
      </c>
    </row>
    <row r="6175" spans="1:13">
      <c r="A6175">
        <v>46141</v>
      </c>
      <c r="B6175" t="s">
        <v>84</v>
      </c>
      <c r="E6175">
        <v>-2200</v>
      </c>
      <c r="G6175" t="s">
        <v>65</v>
      </c>
      <c r="H6175" t="s">
        <v>85</v>
      </c>
      <c r="I6175" t="s">
        <v>60</v>
      </c>
      <c r="J6175" t="s">
        <v>61</v>
      </c>
      <c r="L6175" t="s">
        <v>62</v>
      </c>
    </row>
    <row r="6176" spans="1:13">
      <c r="A6176">
        <v>46141</v>
      </c>
      <c r="B6176" t="s">
        <v>84</v>
      </c>
      <c r="E6176">
        <v>600</v>
      </c>
      <c r="F6176">
        <v>1</v>
      </c>
      <c r="G6176" t="s">
        <v>65</v>
      </c>
      <c r="H6176" t="s">
        <v>66</v>
      </c>
      <c r="I6176" t="s">
        <v>60</v>
      </c>
      <c r="J6176" t="s">
        <v>61</v>
      </c>
      <c r="L6176" t="s">
        <v>62</v>
      </c>
    </row>
    <row r="6177" spans="1:13">
      <c r="A6177">
        <v>46141</v>
      </c>
      <c r="B6177" t="s">
        <v>81</v>
      </c>
      <c r="D6177">
        <v>87000</v>
      </c>
      <c r="F6177">
        <v>1</v>
      </c>
      <c r="G6177" t="s">
        <v>74</v>
      </c>
      <c r="H6177" t="s">
        <v>75</v>
      </c>
      <c r="I6177" t="s">
        <v>60</v>
      </c>
      <c r="J6177" t="s">
        <v>61</v>
      </c>
      <c r="L6177" t="s">
        <v>88</v>
      </c>
    </row>
    <row r="6178" spans="1:13">
      <c r="A6178">
        <v>46141</v>
      </c>
      <c r="B6178" t="s">
        <v>3426</v>
      </c>
      <c r="D6178">
        <v>23000</v>
      </c>
      <c r="G6178" t="s">
        <v>70</v>
      </c>
      <c r="I6178" t="s">
        <v>60</v>
      </c>
      <c r="J6178" t="s">
        <v>61</v>
      </c>
      <c r="L6178" t="s">
        <v>62</v>
      </c>
    </row>
    <row r="6179" spans="1:13">
      <c r="A6179">
        <v>46141</v>
      </c>
      <c r="B6179" t="s">
        <v>80</v>
      </c>
      <c r="E6179">
        <v>15798</v>
      </c>
      <c r="F6179">
        <v>1</v>
      </c>
      <c r="G6179" t="s">
        <v>74</v>
      </c>
      <c r="H6179" t="s">
        <v>75</v>
      </c>
      <c r="I6179" t="s">
        <v>60</v>
      </c>
      <c r="J6179" t="s">
        <v>61</v>
      </c>
      <c r="L6179" t="s">
        <v>87</v>
      </c>
      <c r="M6179" t="s">
        <v>5049</v>
      </c>
    </row>
    <row r="6180" spans="1:13">
      <c r="A6180">
        <v>46141</v>
      </c>
      <c r="B6180" t="s">
        <v>97</v>
      </c>
      <c r="E6180">
        <v>202</v>
      </c>
      <c r="F6180">
        <v>1</v>
      </c>
      <c r="G6180" t="s">
        <v>65</v>
      </c>
      <c r="H6180" t="s">
        <v>66</v>
      </c>
      <c r="I6180" t="s">
        <v>60</v>
      </c>
      <c r="J6180" t="s">
        <v>61</v>
      </c>
      <c r="L6180" t="s">
        <v>87</v>
      </c>
      <c r="M6180" t="s">
        <v>5049</v>
      </c>
    </row>
    <row r="6181" spans="1:13">
      <c r="A6181">
        <v>46141</v>
      </c>
      <c r="B6181" t="s">
        <v>5050</v>
      </c>
      <c r="D6181">
        <v>500</v>
      </c>
      <c r="F6181">
        <v>1</v>
      </c>
      <c r="G6181" t="s">
        <v>22</v>
      </c>
      <c r="H6181" t="s">
        <v>21</v>
      </c>
      <c r="I6181" t="s">
        <v>60</v>
      </c>
      <c r="J6181" t="s">
        <v>61</v>
      </c>
      <c r="L6181" t="s">
        <v>86</v>
      </c>
    </row>
    <row r="6182" spans="1:13">
      <c r="A6182">
        <v>46141</v>
      </c>
      <c r="B6182" t="s">
        <v>76</v>
      </c>
      <c r="D6182">
        <v>9000</v>
      </c>
      <c r="G6182" t="s">
        <v>77</v>
      </c>
      <c r="I6182" t="s">
        <v>60</v>
      </c>
      <c r="J6182" t="s">
        <v>61</v>
      </c>
      <c r="L6182" t="s">
        <v>62</v>
      </c>
    </row>
    <row r="6183" spans="1:13">
      <c r="A6183">
        <v>46141</v>
      </c>
      <c r="B6183" t="s">
        <v>63</v>
      </c>
      <c r="E6183">
        <v>3000</v>
      </c>
      <c r="F6183">
        <v>1</v>
      </c>
      <c r="G6183" t="s">
        <v>65</v>
      </c>
      <c r="H6183" t="s">
        <v>66</v>
      </c>
      <c r="I6183" t="s">
        <v>60</v>
      </c>
      <c r="J6183" t="s">
        <v>61</v>
      </c>
      <c r="L6183" t="s">
        <v>62</v>
      </c>
      <c r="M6183" t="s">
        <v>91</v>
      </c>
    </row>
    <row r="6184" spans="1:13">
      <c r="A6184">
        <v>46141</v>
      </c>
      <c r="B6184" t="s">
        <v>5051</v>
      </c>
      <c r="D6184">
        <v>500</v>
      </c>
      <c r="F6184">
        <v>0</v>
      </c>
      <c r="G6184" t="s">
        <v>22</v>
      </c>
      <c r="H6184" t="s">
        <v>21</v>
      </c>
      <c r="I6184" t="s">
        <v>60</v>
      </c>
      <c r="J6184" t="s">
        <v>61</v>
      </c>
      <c r="L6184" t="s">
        <v>86</v>
      </c>
      <c r="M6184" t="s">
        <v>83</v>
      </c>
    </row>
    <row r="6185" spans="1:13">
      <c r="A6185">
        <v>46141</v>
      </c>
      <c r="B6185" t="s">
        <v>5052</v>
      </c>
      <c r="F6185">
        <v>1</v>
      </c>
      <c r="G6185" t="s">
        <v>79</v>
      </c>
      <c r="H6185" t="s">
        <v>21</v>
      </c>
      <c r="L6185" t="s">
        <v>86</v>
      </c>
      <c r="M6185" t="s">
        <v>327</v>
      </c>
    </row>
    <row r="6186" spans="1:13">
      <c r="A6186">
        <v>46141</v>
      </c>
      <c r="B6186" t="s">
        <v>5052</v>
      </c>
      <c r="F6186">
        <v>1</v>
      </c>
      <c r="G6186" t="s">
        <v>64</v>
      </c>
      <c r="L6186" t="s">
        <v>86</v>
      </c>
      <c r="M6186" t="s">
        <v>103</v>
      </c>
    </row>
    <row r="6187" spans="1:13">
      <c r="A6187">
        <v>46141</v>
      </c>
      <c r="B6187" t="s">
        <v>5053</v>
      </c>
      <c r="F6187">
        <v>1</v>
      </c>
      <c r="G6187" t="s">
        <v>0</v>
      </c>
      <c r="L6187" t="s">
        <v>89</v>
      </c>
    </row>
    <row r="6188" spans="1:13">
      <c r="A6188">
        <v>46142</v>
      </c>
      <c r="B6188" t="s">
        <v>81</v>
      </c>
      <c r="D6188">
        <v>45000</v>
      </c>
      <c r="F6188">
        <v>1</v>
      </c>
      <c r="G6188" t="s">
        <v>74</v>
      </c>
      <c r="H6188" t="s">
        <v>75</v>
      </c>
      <c r="I6188" t="s">
        <v>60</v>
      </c>
      <c r="J6188" t="s">
        <v>61</v>
      </c>
      <c r="L6188" t="s">
        <v>88</v>
      </c>
    </row>
    <row r="6189" spans="1:13">
      <c r="A6189">
        <v>46142</v>
      </c>
      <c r="B6189" t="s">
        <v>5054</v>
      </c>
      <c r="F6189">
        <v>1</v>
      </c>
      <c r="G6189" t="s">
        <v>79</v>
      </c>
      <c r="H6189" t="s">
        <v>21</v>
      </c>
      <c r="L6189" t="s">
        <v>86</v>
      </c>
      <c r="M6189" t="s">
        <v>327</v>
      </c>
    </row>
    <row r="6190" spans="1:13">
      <c r="A6190">
        <v>46142</v>
      </c>
      <c r="B6190" t="s">
        <v>5054</v>
      </c>
      <c r="D6190">
        <v>500</v>
      </c>
      <c r="F6190">
        <v>0</v>
      </c>
      <c r="G6190" t="s">
        <v>22</v>
      </c>
      <c r="H6190" t="s">
        <v>21</v>
      </c>
      <c r="I6190" t="s">
        <v>60</v>
      </c>
      <c r="J6190" t="s">
        <v>61</v>
      </c>
      <c r="L6190" t="s">
        <v>86</v>
      </c>
      <c r="M6190" t="s">
        <v>83</v>
      </c>
    </row>
    <row r="6191" spans="1:13">
      <c r="A6191">
        <v>46142</v>
      </c>
      <c r="B6191" t="s">
        <v>106</v>
      </c>
      <c r="F6191">
        <v>1</v>
      </c>
      <c r="G6191" t="s">
        <v>99</v>
      </c>
      <c r="H6191" t="s">
        <v>21</v>
      </c>
      <c r="L6191" t="s">
        <v>86</v>
      </c>
      <c r="M6191" t="s">
        <v>5055</v>
      </c>
    </row>
    <row r="6192" spans="1:13">
      <c r="A6192">
        <v>46142</v>
      </c>
      <c r="B6192" t="s">
        <v>5056</v>
      </c>
      <c r="F6192">
        <v>1</v>
      </c>
      <c r="G6192" t="s">
        <v>99</v>
      </c>
      <c r="H6192" t="s">
        <v>21</v>
      </c>
      <c r="L6192" t="s">
        <v>86</v>
      </c>
      <c r="M6192" t="s">
        <v>5055</v>
      </c>
    </row>
    <row r="6193" spans="1:13">
      <c r="A6193">
        <v>46142</v>
      </c>
      <c r="B6193" t="s">
        <v>5057</v>
      </c>
      <c r="D6193">
        <v>29000</v>
      </c>
      <c r="G6193" t="s">
        <v>70</v>
      </c>
      <c r="I6193" t="s">
        <v>60</v>
      </c>
      <c r="J6193" t="s">
        <v>61</v>
      </c>
      <c r="L6193" t="s">
        <v>62</v>
      </c>
    </row>
    <row r="6194" spans="1:13">
      <c r="A6194">
        <v>46142</v>
      </c>
      <c r="B6194" t="s">
        <v>76</v>
      </c>
      <c r="D6194">
        <v>12000</v>
      </c>
      <c r="G6194" t="s">
        <v>77</v>
      </c>
      <c r="I6194" t="s">
        <v>60</v>
      </c>
      <c r="J6194" t="s">
        <v>61</v>
      </c>
      <c r="L6194" t="s">
        <v>62</v>
      </c>
    </row>
    <row r="6195" spans="1:13">
      <c r="A6195">
        <v>46142</v>
      </c>
      <c r="B6195" t="s">
        <v>248</v>
      </c>
      <c r="E6195">
        <v>99091</v>
      </c>
      <c r="F6195">
        <v>1</v>
      </c>
      <c r="G6195" t="s">
        <v>65</v>
      </c>
      <c r="H6195" t="s">
        <v>348</v>
      </c>
      <c r="I6195" t="s">
        <v>60</v>
      </c>
      <c r="J6195" t="s">
        <v>61</v>
      </c>
      <c r="L6195" t="s">
        <v>62</v>
      </c>
    </row>
    <row r="6196" spans="1:13">
      <c r="A6196">
        <v>46142</v>
      </c>
      <c r="B6196" t="s">
        <v>63</v>
      </c>
      <c r="E6196">
        <v>1000</v>
      </c>
      <c r="F6196">
        <v>1</v>
      </c>
      <c r="G6196" t="s">
        <v>65</v>
      </c>
      <c r="H6196" t="s">
        <v>66</v>
      </c>
      <c r="I6196" t="s">
        <v>60</v>
      </c>
      <c r="J6196" t="s">
        <v>61</v>
      </c>
      <c r="L6196" t="s">
        <v>62</v>
      </c>
      <c r="M6196" t="s">
        <v>91</v>
      </c>
    </row>
    <row r="6197" spans="1:13">
      <c r="A6197">
        <v>46142</v>
      </c>
      <c r="B6197" t="s">
        <v>63</v>
      </c>
      <c r="D6197">
        <v>200</v>
      </c>
      <c r="F6197">
        <v>2</v>
      </c>
      <c r="G6197" t="s">
        <v>22</v>
      </c>
      <c r="H6197" t="s">
        <v>93</v>
      </c>
      <c r="I6197" t="s">
        <v>60</v>
      </c>
      <c r="J6197" t="s">
        <v>61</v>
      </c>
      <c r="L6197" t="s">
        <v>62</v>
      </c>
    </row>
    <row r="6198" spans="1:13">
      <c r="A6198">
        <v>46142</v>
      </c>
      <c r="B6198" t="s">
        <v>63</v>
      </c>
      <c r="E6198">
        <v>200</v>
      </c>
      <c r="F6198">
        <v>1</v>
      </c>
      <c r="G6198" t="s">
        <v>65</v>
      </c>
      <c r="H6198" t="s">
        <v>66</v>
      </c>
      <c r="I6198" t="s">
        <v>60</v>
      </c>
      <c r="J6198" t="s">
        <v>61</v>
      </c>
      <c r="L6198" t="s">
        <v>62</v>
      </c>
      <c r="M6198" t="s">
        <v>94</v>
      </c>
    </row>
    <row r="6199" spans="1:13">
      <c r="A6199">
        <v>46142</v>
      </c>
      <c r="B6199" t="s">
        <v>5058</v>
      </c>
      <c r="D6199">
        <v>500</v>
      </c>
      <c r="F6199">
        <v>1</v>
      </c>
      <c r="G6199" t="s">
        <v>22</v>
      </c>
      <c r="H6199" t="s">
        <v>21</v>
      </c>
      <c r="I6199" t="s">
        <v>60</v>
      </c>
      <c r="J6199" t="s">
        <v>61</v>
      </c>
      <c r="L6199" t="s">
        <v>86</v>
      </c>
    </row>
    <row r="6200" spans="1:13">
      <c r="A6200">
        <v>46142</v>
      </c>
      <c r="B6200" t="s">
        <v>80</v>
      </c>
      <c r="E6200">
        <v>12836</v>
      </c>
      <c r="F6200">
        <v>1</v>
      </c>
      <c r="G6200" t="s">
        <v>74</v>
      </c>
      <c r="H6200" t="s">
        <v>75</v>
      </c>
      <c r="I6200" t="s">
        <v>60</v>
      </c>
      <c r="J6200" t="s">
        <v>61</v>
      </c>
      <c r="L6200" t="s">
        <v>87</v>
      </c>
      <c r="M6200" t="s">
        <v>5049</v>
      </c>
    </row>
    <row r="6201" spans="1:13">
      <c r="A6201">
        <v>46142</v>
      </c>
      <c r="B6201" t="s">
        <v>97</v>
      </c>
      <c r="E6201">
        <v>164</v>
      </c>
      <c r="F6201">
        <v>1</v>
      </c>
      <c r="G6201" t="s">
        <v>65</v>
      </c>
      <c r="H6201" t="s">
        <v>66</v>
      </c>
      <c r="I6201" t="s">
        <v>60</v>
      </c>
      <c r="J6201" t="s">
        <v>61</v>
      </c>
      <c r="L6201" t="s">
        <v>87</v>
      </c>
      <c r="M6201" t="s">
        <v>5049</v>
      </c>
    </row>
    <row r="6202" spans="1:13">
      <c r="A6202">
        <v>46143</v>
      </c>
      <c r="B6202" t="s">
        <v>112</v>
      </c>
      <c r="F6202">
        <v>1</v>
      </c>
      <c r="G6202" t="s">
        <v>0</v>
      </c>
      <c r="L6202" t="s">
        <v>86</v>
      </c>
    </row>
    <row r="6203" spans="1:13">
      <c r="A6203">
        <v>46144</v>
      </c>
      <c r="B6203" t="s">
        <v>84</v>
      </c>
      <c r="D6203">
        <v>-83200</v>
      </c>
      <c r="G6203" t="s">
        <v>77</v>
      </c>
      <c r="I6203" t="s">
        <v>60</v>
      </c>
      <c r="J6203" t="s">
        <v>61</v>
      </c>
      <c r="L6203" t="s">
        <v>62</v>
      </c>
    </row>
    <row r="6204" spans="1:13">
      <c r="A6204">
        <v>46144</v>
      </c>
      <c r="B6204" t="s">
        <v>84</v>
      </c>
      <c r="E6204">
        <v>-4400</v>
      </c>
      <c r="F6204">
        <v>1</v>
      </c>
      <c r="G6204" t="s">
        <v>65</v>
      </c>
      <c r="H6204" t="s">
        <v>85</v>
      </c>
      <c r="I6204" t="s">
        <v>60</v>
      </c>
      <c r="J6204" t="s">
        <v>61</v>
      </c>
      <c r="L6204" t="s">
        <v>62</v>
      </c>
    </row>
    <row r="6205" spans="1:13">
      <c r="A6205">
        <v>46144</v>
      </c>
      <c r="B6205" t="s">
        <v>84</v>
      </c>
      <c r="E6205">
        <v>1200</v>
      </c>
      <c r="F6205">
        <v>1</v>
      </c>
      <c r="G6205" t="s">
        <v>65</v>
      </c>
      <c r="H6205" t="s">
        <v>66</v>
      </c>
      <c r="I6205" t="s">
        <v>60</v>
      </c>
      <c r="J6205" t="s">
        <v>61</v>
      </c>
      <c r="L6205" t="s">
        <v>62</v>
      </c>
    </row>
    <row r="6206" spans="1:13">
      <c r="A6206">
        <v>46144</v>
      </c>
      <c r="B6206" t="s">
        <v>100</v>
      </c>
      <c r="F6206">
        <v>-20</v>
      </c>
      <c r="G6206" t="s">
        <v>22</v>
      </c>
      <c r="H6206" t="s">
        <v>93</v>
      </c>
      <c r="L6206" t="s">
        <v>101</v>
      </c>
    </row>
    <row r="6207" spans="1:13">
      <c r="A6207">
        <v>46144</v>
      </c>
      <c r="B6207" t="s">
        <v>63</v>
      </c>
      <c r="D6207">
        <v>1400</v>
      </c>
      <c r="F6207">
        <v>14</v>
      </c>
      <c r="G6207" t="s">
        <v>22</v>
      </c>
      <c r="H6207" t="s">
        <v>93</v>
      </c>
      <c r="I6207" t="s">
        <v>60</v>
      </c>
      <c r="J6207" t="s">
        <v>61</v>
      </c>
      <c r="L6207" t="s">
        <v>62</v>
      </c>
    </row>
    <row r="6208" spans="1:13">
      <c r="A6208">
        <v>46144</v>
      </c>
      <c r="B6208" t="s">
        <v>76</v>
      </c>
      <c r="D6208">
        <v>150680</v>
      </c>
      <c r="G6208" t="s">
        <v>77</v>
      </c>
      <c r="I6208" t="s">
        <v>60</v>
      </c>
      <c r="J6208" t="s">
        <v>61</v>
      </c>
      <c r="L6208" t="s">
        <v>62</v>
      </c>
    </row>
    <row r="6209" spans="1:13">
      <c r="A6209">
        <v>46144</v>
      </c>
      <c r="B6209" t="s">
        <v>113</v>
      </c>
      <c r="D6209">
        <v>500</v>
      </c>
      <c r="F6209">
        <v>1</v>
      </c>
      <c r="G6209" t="s">
        <v>22</v>
      </c>
      <c r="H6209" t="s">
        <v>21</v>
      </c>
      <c r="I6209" t="s">
        <v>60</v>
      </c>
      <c r="J6209" t="s">
        <v>61</v>
      </c>
      <c r="L6209" t="s">
        <v>82</v>
      </c>
    </row>
    <row r="6210" spans="1:13">
      <c r="A6210">
        <v>46144</v>
      </c>
      <c r="B6210" t="s">
        <v>114</v>
      </c>
      <c r="D6210">
        <v>500</v>
      </c>
      <c r="F6210">
        <v>1</v>
      </c>
      <c r="G6210" t="s">
        <v>22</v>
      </c>
      <c r="H6210" t="s">
        <v>21</v>
      </c>
      <c r="I6210" t="s">
        <v>60</v>
      </c>
      <c r="J6210" t="s">
        <v>61</v>
      </c>
      <c r="L6210" t="s">
        <v>82</v>
      </c>
    </row>
    <row r="6211" spans="1:13">
      <c r="A6211">
        <v>46144</v>
      </c>
      <c r="B6211" t="s">
        <v>115</v>
      </c>
      <c r="D6211">
        <v>500</v>
      </c>
      <c r="F6211">
        <v>1</v>
      </c>
      <c r="G6211" t="s">
        <v>22</v>
      </c>
      <c r="H6211" t="s">
        <v>21</v>
      </c>
      <c r="I6211" t="s">
        <v>60</v>
      </c>
      <c r="J6211" t="s">
        <v>61</v>
      </c>
      <c r="L6211" t="s">
        <v>82</v>
      </c>
    </row>
    <row r="6212" spans="1:13">
      <c r="A6212">
        <v>46144</v>
      </c>
      <c r="B6212" t="s">
        <v>116</v>
      </c>
      <c r="D6212">
        <v>500</v>
      </c>
      <c r="F6212">
        <v>1</v>
      </c>
      <c r="G6212" t="s">
        <v>22</v>
      </c>
      <c r="H6212" t="s">
        <v>21</v>
      </c>
      <c r="I6212" t="s">
        <v>60</v>
      </c>
      <c r="J6212" t="s">
        <v>61</v>
      </c>
      <c r="L6212" t="s">
        <v>82</v>
      </c>
    </row>
    <row r="6213" spans="1:13">
      <c r="A6213">
        <v>46144</v>
      </c>
      <c r="B6213" t="s">
        <v>117</v>
      </c>
      <c r="F6213">
        <v>1</v>
      </c>
      <c r="G6213" t="s">
        <v>64</v>
      </c>
      <c r="L6213" t="s">
        <v>86</v>
      </c>
      <c r="M6213" t="s">
        <v>96</v>
      </c>
    </row>
    <row r="6214" spans="1:13">
      <c r="A6214">
        <v>46144</v>
      </c>
      <c r="B6214" t="s">
        <v>118</v>
      </c>
      <c r="D6214">
        <v>500</v>
      </c>
      <c r="F6214">
        <v>0</v>
      </c>
      <c r="G6214" t="s">
        <v>22</v>
      </c>
      <c r="H6214" t="s">
        <v>21</v>
      </c>
      <c r="I6214" t="s">
        <v>60</v>
      </c>
      <c r="J6214" t="s">
        <v>61</v>
      </c>
      <c r="L6214" t="s">
        <v>86</v>
      </c>
    </row>
    <row r="6215" spans="1:13">
      <c r="A6215">
        <v>46144</v>
      </c>
      <c r="B6215" t="s">
        <v>119</v>
      </c>
      <c r="D6215">
        <v>500</v>
      </c>
      <c r="F6215">
        <v>1</v>
      </c>
      <c r="G6215" t="s">
        <v>22</v>
      </c>
      <c r="H6215" t="s">
        <v>21</v>
      </c>
      <c r="I6215" t="s">
        <v>60</v>
      </c>
      <c r="J6215" t="s">
        <v>61</v>
      </c>
      <c r="L6215" t="s">
        <v>82</v>
      </c>
    </row>
    <row r="6216" spans="1:13">
      <c r="A6216">
        <v>46144</v>
      </c>
      <c r="B6216" t="s">
        <v>63</v>
      </c>
      <c r="D6216">
        <v>85500</v>
      </c>
      <c r="G6216" t="s">
        <v>70</v>
      </c>
      <c r="I6216" t="s">
        <v>60</v>
      </c>
      <c r="J6216" t="s">
        <v>61</v>
      </c>
      <c r="L6216" t="s">
        <v>62</v>
      </c>
    </row>
    <row r="6217" spans="1:13">
      <c r="A6217">
        <v>46144</v>
      </c>
      <c r="B6217" t="s">
        <v>80</v>
      </c>
      <c r="E6217">
        <v>7923</v>
      </c>
      <c r="F6217">
        <v>1</v>
      </c>
      <c r="G6217" t="s">
        <v>74</v>
      </c>
      <c r="H6217" t="s">
        <v>75</v>
      </c>
      <c r="I6217" t="s">
        <v>60</v>
      </c>
      <c r="J6217" t="s">
        <v>61</v>
      </c>
      <c r="K6217" t="s">
        <v>120</v>
      </c>
      <c r="L6217" t="s">
        <v>87</v>
      </c>
    </row>
    <row r="6218" spans="1:13">
      <c r="A6218">
        <v>46144</v>
      </c>
      <c r="B6218" t="s">
        <v>97</v>
      </c>
      <c r="E6218">
        <v>77</v>
      </c>
      <c r="F6218">
        <v>1</v>
      </c>
      <c r="G6218" t="s">
        <v>65</v>
      </c>
      <c r="H6218" t="s">
        <v>66</v>
      </c>
      <c r="I6218" t="s">
        <v>60</v>
      </c>
      <c r="J6218" t="s">
        <v>61</v>
      </c>
      <c r="K6218" t="s">
        <v>120</v>
      </c>
      <c r="L6218" t="s">
        <v>87</v>
      </c>
    </row>
    <row r="6219" spans="1:13">
      <c r="A6219">
        <v>46144</v>
      </c>
      <c r="B6219" t="s">
        <v>80</v>
      </c>
      <c r="E6219">
        <v>15845</v>
      </c>
      <c r="F6219">
        <v>1</v>
      </c>
      <c r="G6219" t="s">
        <v>74</v>
      </c>
      <c r="H6219" t="s">
        <v>75</v>
      </c>
      <c r="I6219" t="s">
        <v>60</v>
      </c>
      <c r="J6219" t="s">
        <v>61</v>
      </c>
      <c r="K6219" t="s">
        <v>120</v>
      </c>
      <c r="L6219" t="s">
        <v>87</v>
      </c>
    </row>
    <row r="6220" spans="1:13">
      <c r="A6220">
        <v>46144</v>
      </c>
      <c r="B6220" t="s">
        <v>97</v>
      </c>
      <c r="E6220">
        <v>155</v>
      </c>
      <c r="F6220">
        <v>1</v>
      </c>
      <c r="G6220" t="s">
        <v>65</v>
      </c>
      <c r="H6220" t="s">
        <v>66</v>
      </c>
      <c r="I6220" t="s">
        <v>60</v>
      </c>
      <c r="J6220" t="s">
        <v>61</v>
      </c>
      <c r="K6220" t="s">
        <v>120</v>
      </c>
      <c r="L6220" t="s">
        <v>87</v>
      </c>
    </row>
    <row r="6221" spans="1:13">
      <c r="A6221">
        <v>46144</v>
      </c>
      <c r="B6221" t="s">
        <v>121</v>
      </c>
      <c r="F6221">
        <v>1</v>
      </c>
      <c r="G6221" t="s">
        <v>64</v>
      </c>
      <c r="L6221" t="s">
        <v>86</v>
      </c>
      <c r="M6221" t="s">
        <v>122</v>
      </c>
    </row>
    <row r="6222" spans="1:13">
      <c r="A6222">
        <v>46144</v>
      </c>
      <c r="B6222" t="s">
        <v>121</v>
      </c>
      <c r="D6222">
        <v>500</v>
      </c>
      <c r="F6222">
        <v>1</v>
      </c>
      <c r="G6222" t="s">
        <v>22</v>
      </c>
      <c r="H6222" t="s">
        <v>21</v>
      </c>
      <c r="I6222" t="s">
        <v>60</v>
      </c>
      <c r="J6222" t="s">
        <v>61</v>
      </c>
      <c r="L6222" t="s">
        <v>86</v>
      </c>
    </row>
    <row r="6223" spans="1:13">
      <c r="A6223">
        <v>46144</v>
      </c>
      <c r="B6223" t="s">
        <v>123</v>
      </c>
      <c r="D6223">
        <v>500</v>
      </c>
      <c r="F6223">
        <v>1</v>
      </c>
      <c r="G6223" t="s">
        <v>22</v>
      </c>
      <c r="H6223" t="s">
        <v>21</v>
      </c>
      <c r="I6223" t="s">
        <v>60</v>
      </c>
      <c r="J6223" t="s">
        <v>61</v>
      </c>
      <c r="L6223" t="s">
        <v>86</v>
      </c>
    </row>
    <row r="6224" spans="1:13">
      <c r="A6224">
        <v>46144</v>
      </c>
      <c r="B6224" t="s">
        <v>124</v>
      </c>
      <c r="D6224">
        <v>500</v>
      </c>
      <c r="F6224">
        <v>1</v>
      </c>
      <c r="G6224" t="s">
        <v>22</v>
      </c>
      <c r="H6224" t="s">
        <v>21</v>
      </c>
      <c r="I6224" t="s">
        <v>60</v>
      </c>
      <c r="J6224" t="s">
        <v>61</v>
      </c>
      <c r="L6224" t="s">
        <v>86</v>
      </c>
    </row>
    <row r="6225" spans="1:13">
      <c r="A6225">
        <v>46144</v>
      </c>
      <c r="B6225" t="s">
        <v>125</v>
      </c>
      <c r="D6225">
        <v>500</v>
      </c>
      <c r="F6225">
        <v>1</v>
      </c>
      <c r="G6225" t="s">
        <v>22</v>
      </c>
      <c r="H6225" t="s">
        <v>21</v>
      </c>
      <c r="I6225" t="s">
        <v>60</v>
      </c>
      <c r="J6225" t="s">
        <v>61</v>
      </c>
      <c r="L6225" t="s">
        <v>86</v>
      </c>
    </row>
    <row r="6226" spans="1:13">
      <c r="A6226">
        <v>46144</v>
      </c>
      <c r="B6226" t="s">
        <v>126</v>
      </c>
      <c r="D6226">
        <v>500</v>
      </c>
      <c r="F6226">
        <v>1</v>
      </c>
      <c r="G6226" t="s">
        <v>22</v>
      </c>
      <c r="H6226" t="s">
        <v>21</v>
      </c>
      <c r="I6226" t="s">
        <v>60</v>
      </c>
      <c r="J6226" t="s">
        <v>61</v>
      </c>
      <c r="L6226" t="s">
        <v>86</v>
      </c>
    </row>
    <row r="6227" spans="1:13">
      <c r="A6227">
        <v>46144</v>
      </c>
      <c r="B6227" t="s">
        <v>127</v>
      </c>
      <c r="D6227">
        <v>500</v>
      </c>
      <c r="F6227">
        <v>1</v>
      </c>
      <c r="G6227" t="s">
        <v>22</v>
      </c>
      <c r="H6227" t="s">
        <v>21</v>
      </c>
      <c r="I6227" t="s">
        <v>60</v>
      </c>
      <c r="J6227" t="s">
        <v>61</v>
      </c>
      <c r="L6227" t="s">
        <v>86</v>
      </c>
    </row>
    <row r="6228" spans="1:13">
      <c r="A6228">
        <v>46144</v>
      </c>
      <c r="B6228" t="s">
        <v>128</v>
      </c>
      <c r="D6228">
        <v>500</v>
      </c>
      <c r="F6228">
        <v>1</v>
      </c>
      <c r="G6228" t="s">
        <v>22</v>
      </c>
      <c r="H6228" t="s">
        <v>21</v>
      </c>
      <c r="I6228" t="s">
        <v>60</v>
      </c>
      <c r="J6228" t="s">
        <v>61</v>
      </c>
      <c r="L6228" t="s">
        <v>86</v>
      </c>
    </row>
    <row r="6229" spans="1:13">
      <c r="A6229">
        <v>46144</v>
      </c>
      <c r="B6229" t="s">
        <v>129</v>
      </c>
      <c r="D6229">
        <v>500</v>
      </c>
      <c r="F6229">
        <v>1</v>
      </c>
      <c r="G6229" t="s">
        <v>22</v>
      </c>
      <c r="H6229" t="s">
        <v>21</v>
      </c>
      <c r="I6229" t="s">
        <v>60</v>
      </c>
      <c r="J6229" t="s">
        <v>61</v>
      </c>
      <c r="L6229" t="s">
        <v>86</v>
      </c>
    </row>
    <row r="6230" spans="1:13">
      <c r="A6230">
        <v>46144</v>
      </c>
      <c r="B6230" t="s">
        <v>63</v>
      </c>
      <c r="E6230">
        <v>7000</v>
      </c>
      <c r="F6230">
        <v>1</v>
      </c>
      <c r="G6230" t="s">
        <v>65</v>
      </c>
      <c r="H6230" t="s">
        <v>66</v>
      </c>
      <c r="I6230" t="s">
        <v>60</v>
      </c>
      <c r="J6230" t="s">
        <v>61</v>
      </c>
      <c r="L6230" t="s">
        <v>62</v>
      </c>
      <c r="M6230" t="s">
        <v>91</v>
      </c>
    </row>
    <row r="6231" spans="1:13">
      <c r="A6231">
        <v>46144</v>
      </c>
      <c r="B6231" t="s">
        <v>63</v>
      </c>
      <c r="E6231">
        <v>1400</v>
      </c>
      <c r="F6231">
        <v>1</v>
      </c>
      <c r="G6231" t="s">
        <v>65</v>
      </c>
      <c r="H6231" t="s">
        <v>66</v>
      </c>
      <c r="I6231" t="s">
        <v>60</v>
      </c>
      <c r="J6231" t="s">
        <v>61</v>
      </c>
      <c r="L6231" t="s">
        <v>62</v>
      </c>
      <c r="M6231" t="s">
        <v>94</v>
      </c>
    </row>
    <row r="6232" spans="1:13">
      <c r="A6232">
        <v>46145</v>
      </c>
      <c r="B6232" t="s">
        <v>130</v>
      </c>
      <c r="D6232">
        <v>500</v>
      </c>
      <c r="F6232">
        <v>1</v>
      </c>
      <c r="G6232" t="s">
        <v>22</v>
      </c>
      <c r="H6232" t="s">
        <v>21</v>
      </c>
      <c r="I6232" t="s">
        <v>60</v>
      </c>
      <c r="J6232" t="s">
        <v>61</v>
      </c>
      <c r="L6232" t="s">
        <v>86</v>
      </c>
    </row>
    <row r="6233" spans="1:13">
      <c r="A6233">
        <v>46145</v>
      </c>
      <c r="B6233" t="s">
        <v>131</v>
      </c>
      <c r="D6233">
        <v>500</v>
      </c>
      <c r="F6233">
        <v>1</v>
      </c>
      <c r="G6233" t="s">
        <v>22</v>
      </c>
      <c r="H6233" t="s">
        <v>21</v>
      </c>
      <c r="I6233" t="s">
        <v>60</v>
      </c>
      <c r="J6233" t="s">
        <v>61</v>
      </c>
      <c r="L6233" t="s">
        <v>82</v>
      </c>
    </row>
    <row r="6234" spans="1:13">
      <c r="A6234">
        <v>46145</v>
      </c>
      <c r="B6234" t="s">
        <v>132</v>
      </c>
      <c r="F6234">
        <v>1</v>
      </c>
      <c r="G6234" t="s">
        <v>79</v>
      </c>
      <c r="H6234" t="s">
        <v>21</v>
      </c>
      <c r="L6234" t="s">
        <v>86</v>
      </c>
      <c r="M6234" t="s">
        <v>327</v>
      </c>
    </row>
    <row r="6235" spans="1:13">
      <c r="A6235">
        <v>46145</v>
      </c>
      <c r="B6235" t="s">
        <v>133</v>
      </c>
      <c r="F6235">
        <v>1</v>
      </c>
      <c r="G6235" t="s">
        <v>64</v>
      </c>
      <c r="L6235" t="s">
        <v>86</v>
      </c>
      <c r="M6235" t="s">
        <v>96</v>
      </c>
    </row>
    <row r="6236" spans="1:13">
      <c r="A6236">
        <v>46145</v>
      </c>
      <c r="B6236" t="s">
        <v>134</v>
      </c>
      <c r="F6236">
        <v>1</v>
      </c>
      <c r="G6236" t="s">
        <v>64</v>
      </c>
      <c r="L6236" t="s">
        <v>86</v>
      </c>
      <c r="M6236" t="s">
        <v>96</v>
      </c>
    </row>
    <row r="6237" spans="1:13">
      <c r="A6237">
        <v>46145</v>
      </c>
      <c r="B6237" t="s">
        <v>63</v>
      </c>
      <c r="D6237">
        <v>15000</v>
      </c>
      <c r="G6237" t="s">
        <v>70</v>
      </c>
      <c r="I6237" t="s">
        <v>60</v>
      </c>
      <c r="J6237" t="s">
        <v>61</v>
      </c>
      <c r="L6237" t="s">
        <v>62</v>
      </c>
    </row>
    <row r="6238" spans="1:13">
      <c r="A6238">
        <v>46145</v>
      </c>
      <c r="B6238" t="s">
        <v>135</v>
      </c>
      <c r="D6238">
        <v>500</v>
      </c>
      <c r="F6238">
        <v>1</v>
      </c>
      <c r="G6238" t="s">
        <v>22</v>
      </c>
      <c r="H6238" t="s">
        <v>21</v>
      </c>
      <c r="I6238" t="s">
        <v>60</v>
      </c>
      <c r="J6238" t="s">
        <v>61</v>
      </c>
      <c r="L6238" t="s">
        <v>82</v>
      </c>
    </row>
    <row r="6239" spans="1:13">
      <c r="A6239">
        <v>46145</v>
      </c>
      <c r="B6239" t="s">
        <v>136</v>
      </c>
      <c r="D6239">
        <v>500</v>
      </c>
      <c r="F6239">
        <v>1</v>
      </c>
      <c r="G6239" t="s">
        <v>22</v>
      </c>
      <c r="H6239" t="s">
        <v>21</v>
      </c>
      <c r="I6239" t="s">
        <v>60</v>
      </c>
      <c r="J6239" t="s">
        <v>61</v>
      </c>
      <c r="L6239" t="s">
        <v>82</v>
      </c>
    </row>
    <row r="6240" spans="1:13">
      <c r="A6240">
        <v>46145</v>
      </c>
      <c r="B6240" t="s">
        <v>137</v>
      </c>
      <c r="F6240">
        <v>1</v>
      </c>
      <c r="G6240" t="s">
        <v>64</v>
      </c>
      <c r="L6240" t="s">
        <v>82</v>
      </c>
      <c r="M6240" t="s">
        <v>96</v>
      </c>
    </row>
    <row r="6241" spans="1:13">
      <c r="A6241">
        <v>46145</v>
      </c>
      <c r="B6241" t="s">
        <v>138</v>
      </c>
      <c r="F6241">
        <v>1</v>
      </c>
      <c r="G6241" t="s">
        <v>64</v>
      </c>
      <c r="L6241" t="s">
        <v>86</v>
      </c>
      <c r="M6241" t="s">
        <v>103</v>
      </c>
    </row>
    <row r="6242" spans="1:13">
      <c r="A6242">
        <v>46145</v>
      </c>
      <c r="B6242" t="s">
        <v>139</v>
      </c>
      <c r="D6242">
        <v>500</v>
      </c>
      <c r="F6242">
        <v>1</v>
      </c>
      <c r="G6242" t="s">
        <v>22</v>
      </c>
      <c r="H6242" t="s">
        <v>21</v>
      </c>
      <c r="I6242" t="s">
        <v>60</v>
      </c>
      <c r="J6242" t="s">
        <v>61</v>
      </c>
      <c r="L6242" t="s">
        <v>86</v>
      </c>
    </row>
    <row r="6243" spans="1:13">
      <c r="A6243">
        <v>46145</v>
      </c>
      <c r="B6243" t="s">
        <v>140</v>
      </c>
      <c r="D6243">
        <v>500</v>
      </c>
      <c r="F6243">
        <v>0</v>
      </c>
      <c r="G6243" t="s">
        <v>22</v>
      </c>
      <c r="H6243" t="s">
        <v>21</v>
      </c>
      <c r="I6243" t="s">
        <v>60</v>
      </c>
      <c r="J6243" t="s">
        <v>61</v>
      </c>
      <c r="L6243" t="s">
        <v>86</v>
      </c>
      <c r="M6243" t="s">
        <v>83</v>
      </c>
    </row>
    <row r="6244" spans="1:13">
      <c r="A6244">
        <v>46145</v>
      </c>
      <c r="B6244" t="s">
        <v>63</v>
      </c>
      <c r="E6244">
        <v>2000</v>
      </c>
      <c r="F6244">
        <v>1</v>
      </c>
      <c r="G6244" t="s">
        <v>65</v>
      </c>
      <c r="H6244" t="s">
        <v>66</v>
      </c>
      <c r="I6244" t="s">
        <v>60</v>
      </c>
      <c r="J6244" t="s">
        <v>61</v>
      </c>
      <c r="L6244" t="s">
        <v>62</v>
      </c>
      <c r="M6244" t="s">
        <v>91</v>
      </c>
    </row>
    <row r="6245" spans="1:13">
      <c r="A6245">
        <v>46146</v>
      </c>
      <c r="B6245" t="s">
        <v>102</v>
      </c>
      <c r="C6245" t="s">
        <v>141</v>
      </c>
      <c r="F6245">
        <v>29</v>
      </c>
      <c r="G6245" t="s">
        <v>22</v>
      </c>
      <c r="H6245" t="s">
        <v>21</v>
      </c>
      <c r="L6245" t="s">
        <v>95</v>
      </c>
    </row>
    <row r="6246" spans="1:13">
      <c r="A6246">
        <v>46146</v>
      </c>
      <c r="B6246" t="s">
        <v>81</v>
      </c>
      <c r="D6246">
        <v>160000</v>
      </c>
      <c r="F6246">
        <v>1</v>
      </c>
      <c r="G6246" t="s">
        <v>74</v>
      </c>
      <c r="H6246" t="s">
        <v>75</v>
      </c>
      <c r="I6246" t="s">
        <v>60</v>
      </c>
      <c r="J6246" t="s">
        <v>61</v>
      </c>
      <c r="L6246" t="s">
        <v>88</v>
      </c>
    </row>
    <row r="6247" spans="1:13">
      <c r="A6247">
        <v>46146</v>
      </c>
      <c r="B6247" t="s">
        <v>84</v>
      </c>
      <c r="D6247">
        <v>-72800</v>
      </c>
      <c r="G6247" t="s">
        <v>77</v>
      </c>
      <c r="I6247" t="s">
        <v>60</v>
      </c>
      <c r="J6247" t="s">
        <v>61</v>
      </c>
      <c r="L6247" t="s">
        <v>62</v>
      </c>
    </row>
    <row r="6248" spans="1:13">
      <c r="A6248">
        <v>46146</v>
      </c>
      <c r="B6248" t="s">
        <v>84</v>
      </c>
      <c r="E6248">
        <v>-3850</v>
      </c>
      <c r="F6248">
        <v>1</v>
      </c>
      <c r="G6248" t="s">
        <v>65</v>
      </c>
      <c r="H6248" t="s">
        <v>85</v>
      </c>
      <c r="I6248" t="s">
        <v>60</v>
      </c>
      <c r="J6248" t="s">
        <v>61</v>
      </c>
      <c r="L6248" t="s">
        <v>62</v>
      </c>
    </row>
    <row r="6249" spans="1:13">
      <c r="A6249">
        <v>46146</v>
      </c>
      <c r="B6249" t="s">
        <v>84</v>
      </c>
      <c r="E6249">
        <v>1050</v>
      </c>
      <c r="F6249">
        <v>1</v>
      </c>
      <c r="G6249" t="s">
        <v>65</v>
      </c>
      <c r="H6249" t="s">
        <v>66</v>
      </c>
      <c r="I6249" t="s">
        <v>60</v>
      </c>
      <c r="J6249" t="s">
        <v>61</v>
      </c>
      <c r="L6249" t="s">
        <v>62</v>
      </c>
    </row>
    <row r="6250" spans="1:13">
      <c r="A6250">
        <v>46146</v>
      </c>
      <c r="B6250" t="s">
        <v>63</v>
      </c>
      <c r="D6250">
        <v>90003</v>
      </c>
      <c r="G6250" t="s">
        <v>70</v>
      </c>
      <c r="I6250" t="s">
        <v>60</v>
      </c>
      <c r="J6250" t="s">
        <v>61</v>
      </c>
      <c r="L6250" t="s">
        <v>62</v>
      </c>
    </row>
    <row r="6251" spans="1:13">
      <c r="A6251">
        <v>46146</v>
      </c>
      <c r="B6251" t="s">
        <v>142</v>
      </c>
      <c r="D6251">
        <v>500</v>
      </c>
      <c r="F6251">
        <v>1</v>
      </c>
      <c r="G6251" t="s">
        <v>22</v>
      </c>
      <c r="H6251" t="s">
        <v>21</v>
      </c>
      <c r="I6251" t="s">
        <v>60</v>
      </c>
      <c r="J6251" t="s">
        <v>61</v>
      </c>
      <c r="L6251" t="s">
        <v>89</v>
      </c>
    </row>
    <row r="6252" spans="1:13">
      <c r="A6252">
        <v>46146</v>
      </c>
      <c r="B6252" t="s">
        <v>143</v>
      </c>
      <c r="D6252">
        <v>167999</v>
      </c>
      <c r="F6252">
        <v>1</v>
      </c>
      <c r="G6252" t="s">
        <v>64</v>
      </c>
      <c r="I6252" t="s">
        <v>60</v>
      </c>
      <c r="J6252" t="s">
        <v>61</v>
      </c>
      <c r="L6252" t="s">
        <v>82</v>
      </c>
    </row>
    <row r="6253" spans="1:13">
      <c r="A6253">
        <v>46146</v>
      </c>
      <c r="B6253" t="s">
        <v>144</v>
      </c>
      <c r="F6253">
        <v>1</v>
      </c>
      <c r="G6253" t="s">
        <v>99</v>
      </c>
      <c r="H6253" t="s">
        <v>21</v>
      </c>
      <c r="L6253" t="s">
        <v>82</v>
      </c>
      <c r="M6253" t="s">
        <v>145</v>
      </c>
    </row>
    <row r="6254" spans="1:13">
      <c r="A6254">
        <v>46146</v>
      </c>
      <c r="B6254" t="s">
        <v>146</v>
      </c>
      <c r="F6254">
        <v>1</v>
      </c>
      <c r="G6254" t="s">
        <v>99</v>
      </c>
      <c r="H6254" t="s">
        <v>21</v>
      </c>
      <c r="L6254" t="s">
        <v>82</v>
      </c>
      <c r="M6254" t="s">
        <v>145</v>
      </c>
    </row>
    <row r="6255" spans="1:13">
      <c r="A6255">
        <v>46146</v>
      </c>
      <c r="B6255" t="s">
        <v>147</v>
      </c>
      <c r="D6255">
        <v>500</v>
      </c>
      <c r="F6255">
        <v>1</v>
      </c>
      <c r="G6255" t="s">
        <v>22</v>
      </c>
      <c r="H6255" t="s">
        <v>21</v>
      </c>
      <c r="I6255" t="s">
        <v>60</v>
      </c>
      <c r="J6255" t="s">
        <v>61</v>
      </c>
      <c r="L6255" t="s">
        <v>89</v>
      </c>
    </row>
    <row r="6256" spans="1:13">
      <c r="A6256">
        <v>46146</v>
      </c>
      <c r="B6256" t="s">
        <v>63</v>
      </c>
      <c r="D6256">
        <v>400</v>
      </c>
      <c r="F6256">
        <v>4</v>
      </c>
      <c r="G6256" t="s">
        <v>22</v>
      </c>
      <c r="H6256" t="s">
        <v>93</v>
      </c>
      <c r="I6256" t="s">
        <v>60</v>
      </c>
      <c r="J6256" t="s">
        <v>61</v>
      </c>
      <c r="L6256" t="s">
        <v>62</v>
      </c>
    </row>
    <row r="6257" spans="1:13">
      <c r="A6257">
        <v>46146</v>
      </c>
      <c r="B6257" t="s">
        <v>76</v>
      </c>
      <c r="D6257">
        <v>11000</v>
      </c>
      <c r="G6257" t="s">
        <v>77</v>
      </c>
      <c r="I6257" t="s">
        <v>60</v>
      </c>
      <c r="J6257" t="s">
        <v>61</v>
      </c>
      <c r="L6257" t="s">
        <v>62</v>
      </c>
    </row>
    <row r="6258" spans="1:13">
      <c r="A6258">
        <v>46146</v>
      </c>
      <c r="B6258" t="s">
        <v>148</v>
      </c>
      <c r="D6258">
        <v>167999</v>
      </c>
      <c r="F6258">
        <v>1</v>
      </c>
      <c r="G6258" t="s">
        <v>64</v>
      </c>
      <c r="I6258" t="s">
        <v>60</v>
      </c>
      <c r="J6258" t="s">
        <v>61</v>
      </c>
      <c r="L6258" t="s">
        <v>82</v>
      </c>
    </row>
    <row r="6259" spans="1:13">
      <c r="A6259">
        <v>46146</v>
      </c>
      <c r="B6259" t="s">
        <v>63</v>
      </c>
      <c r="D6259">
        <v>7000</v>
      </c>
      <c r="F6259">
        <v>1</v>
      </c>
      <c r="G6259" t="s">
        <v>70</v>
      </c>
      <c r="I6259" t="s">
        <v>71</v>
      </c>
      <c r="J6259" t="s">
        <v>72</v>
      </c>
      <c r="K6259" t="s">
        <v>149</v>
      </c>
      <c r="L6259" t="s">
        <v>62</v>
      </c>
      <c r="M6259" t="s">
        <v>90</v>
      </c>
    </row>
    <row r="6260" spans="1:13">
      <c r="A6260">
        <v>46146</v>
      </c>
      <c r="B6260" t="s">
        <v>150</v>
      </c>
      <c r="D6260">
        <v>500</v>
      </c>
      <c r="F6260">
        <v>1</v>
      </c>
      <c r="G6260" t="s">
        <v>22</v>
      </c>
      <c r="H6260" t="s">
        <v>21</v>
      </c>
      <c r="I6260" t="s">
        <v>60</v>
      </c>
      <c r="J6260" t="s">
        <v>61</v>
      </c>
      <c r="L6260" t="s">
        <v>82</v>
      </c>
    </row>
    <row r="6261" spans="1:13">
      <c r="A6261">
        <v>46146</v>
      </c>
      <c r="B6261" t="s">
        <v>63</v>
      </c>
      <c r="E6261">
        <v>1500</v>
      </c>
      <c r="F6261">
        <v>1</v>
      </c>
      <c r="G6261" t="s">
        <v>65</v>
      </c>
      <c r="H6261" t="s">
        <v>66</v>
      </c>
      <c r="I6261" t="s">
        <v>60</v>
      </c>
      <c r="J6261" t="s">
        <v>61</v>
      </c>
      <c r="L6261" t="s">
        <v>62</v>
      </c>
      <c r="M6261" t="s">
        <v>91</v>
      </c>
    </row>
    <row r="6262" spans="1:13">
      <c r="A6262">
        <v>46146</v>
      </c>
      <c r="B6262" t="s">
        <v>63</v>
      </c>
      <c r="E6262">
        <v>400</v>
      </c>
      <c r="F6262">
        <v>1</v>
      </c>
      <c r="G6262" t="s">
        <v>65</v>
      </c>
      <c r="H6262" t="s">
        <v>66</v>
      </c>
      <c r="I6262" t="s">
        <v>60</v>
      </c>
      <c r="J6262" t="s">
        <v>61</v>
      </c>
      <c r="L6262" t="s">
        <v>62</v>
      </c>
      <c r="M6262" t="s">
        <v>94</v>
      </c>
    </row>
    <row r="6263" spans="1:13">
      <c r="A6263">
        <v>46147</v>
      </c>
      <c r="B6263" t="s">
        <v>151</v>
      </c>
      <c r="F6263">
        <v>1</v>
      </c>
      <c r="G6263" t="s">
        <v>0</v>
      </c>
      <c r="L6263" t="s">
        <v>86</v>
      </c>
    </row>
    <row r="6264" spans="1:13">
      <c r="A6264">
        <v>46147</v>
      </c>
      <c r="B6264" t="s">
        <v>152</v>
      </c>
      <c r="D6264">
        <v>500</v>
      </c>
      <c r="F6264">
        <v>1</v>
      </c>
      <c r="G6264" t="s">
        <v>22</v>
      </c>
      <c r="H6264" t="s">
        <v>21</v>
      </c>
      <c r="I6264" t="s">
        <v>60</v>
      </c>
      <c r="J6264" t="s">
        <v>61</v>
      </c>
      <c r="L6264" t="s">
        <v>82</v>
      </c>
    </row>
    <row r="6265" spans="1:13">
      <c r="A6265">
        <v>46147</v>
      </c>
      <c r="B6265" t="s">
        <v>153</v>
      </c>
      <c r="D6265">
        <v>500</v>
      </c>
      <c r="F6265">
        <v>1</v>
      </c>
      <c r="G6265" t="s">
        <v>22</v>
      </c>
      <c r="H6265" t="s">
        <v>21</v>
      </c>
      <c r="I6265" t="s">
        <v>60</v>
      </c>
      <c r="J6265" t="s">
        <v>61</v>
      </c>
      <c r="L6265" t="s">
        <v>82</v>
      </c>
    </row>
    <row r="6266" spans="1:13">
      <c r="A6266">
        <v>46147</v>
      </c>
      <c r="B6266" t="s">
        <v>154</v>
      </c>
      <c r="F6266">
        <v>1</v>
      </c>
      <c r="G6266" t="s">
        <v>98</v>
      </c>
      <c r="H6266" t="s">
        <v>21</v>
      </c>
      <c r="L6266" t="s">
        <v>82</v>
      </c>
      <c r="M6266" t="s">
        <v>327</v>
      </c>
    </row>
    <row r="6267" spans="1:13">
      <c r="A6267">
        <v>46147</v>
      </c>
      <c r="B6267" t="s">
        <v>155</v>
      </c>
      <c r="F6267">
        <v>1</v>
      </c>
      <c r="G6267" t="s">
        <v>99</v>
      </c>
      <c r="H6267" t="s">
        <v>21</v>
      </c>
      <c r="L6267" t="s">
        <v>82</v>
      </c>
      <c r="M6267" t="s">
        <v>156</v>
      </c>
    </row>
    <row r="6268" spans="1:13">
      <c r="A6268">
        <v>46147</v>
      </c>
      <c r="B6268" t="s">
        <v>157</v>
      </c>
      <c r="F6268">
        <v>1</v>
      </c>
      <c r="G6268" t="s">
        <v>99</v>
      </c>
      <c r="H6268" t="s">
        <v>21</v>
      </c>
      <c r="L6268" t="s">
        <v>82</v>
      </c>
      <c r="M6268" t="s">
        <v>156</v>
      </c>
    </row>
    <row r="6269" spans="1:13">
      <c r="A6269">
        <v>46147</v>
      </c>
      <c r="B6269" t="s">
        <v>158</v>
      </c>
      <c r="F6269">
        <v>1</v>
      </c>
      <c r="G6269" t="s">
        <v>99</v>
      </c>
      <c r="H6269" t="s">
        <v>21</v>
      </c>
      <c r="L6269" t="s">
        <v>89</v>
      </c>
      <c r="M6269" t="s">
        <v>156</v>
      </c>
    </row>
    <row r="6270" spans="1:13">
      <c r="A6270">
        <v>46147</v>
      </c>
      <c r="B6270" t="s">
        <v>159</v>
      </c>
      <c r="D6270">
        <v>500</v>
      </c>
      <c r="F6270">
        <v>1</v>
      </c>
      <c r="G6270" t="s">
        <v>22</v>
      </c>
      <c r="H6270" t="s">
        <v>21</v>
      </c>
      <c r="I6270" t="s">
        <v>60</v>
      </c>
      <c r="J6270" t="s">
        <v>61</v>
      </c>
      <c r="L6270" t="s">
        <v>89</v>
      </c>
    </row>
    <row r="6271" spans="1:13">
      <c r="A6271">
        <v>46147</v>
      </c>
      <c r="B6271" t="s">
        <v>160</v>
      </c>
      <c r="D6271">
        <v>500</v>
      </c>
      <c r="F6271">
        <v>1</v>
      </c>
      <c r="G6271" t="s">
        <v>22</v>
      </c>
      <c r="H6271" t="s">
        <v>21</v>
      </c>
      <c r="I6271" t="s">
        <v>60</v>
      </c>
      <c r="J6271" t="s">
        <v>61</v>
      </c>
      <c r="L6271" t="s">
        <v>82</v>
      </c>
    </row>
    <row r="6272" spans="1:13">
      <c r="A6272">
        <v>46147</v>
      </c>
      <c r="B6272" t="s">
        <v>161</v>
      </c>
      <c r="D6272">
        <v>500</v>
      </c>
      <c r="F6272">
        <v>1</v>
      </c>
      <c r="G6272" t="s">
        <v>22</v>
      </c>
      <c r="H6272" t="s">
        <v>21</v>
      </c>
      <c r="I6272" t="s">
        <v>60</v>
      </c>
      <c r="J6272" t="s">
        <v>61</v>
      </c>
      <c r="L6272" t="s">
        <v>82</v>
      </c>
    </row>
    <row r="6273" spans="1:13">
      <c r="A6273">
        <v>46147</v>
      </c>
      <c r="B6273" t="s">
        <v>63</v>
      </c>
      <c r="E6273">
        <v>2500</v>
      </c>
      <c r="F6273">
        <v>1</v>
      </c>
      <c r="G6273" t="s">
        <v>65</v>
      </c>
      <c r="H6273" t="s">
        <v>66</v>
      </c>
      <c r="I6273" t="s">
        <v>60</v>
      </c>
      <c r="J6273" t="s">
        <v>61</v>
      </c>
      <c r="L6273" t="s">
        <v>62</v>
      </c>
      <c r="M6273" t="s">
        <v>91</v>
      </c>
    </row>
    <row r="6274" spans="1:13">
      <c r="A6274">
        <v>46148</v>
      </c>
      <c r="B6274" t="s">
        <v>81</v>
      </c>
      <c r="D6274">
        <v>15000</v>
      </c>
      <c r="F6274">
        <v>1</v>
      </c>
      <c r="G6274" t="s">
        <v>74</v>
      </c>
      <c r="H6274" t="s">
        <v>75</v>
      </c>
      <c r="I6274" t="s">
        <v>60</v>
      </c>
      <c r="J6274" t="s">
        <v>61</v>
      </c>
      <c r="L6274" t="s">
        <v>88</v>
      </c>
    </row>
    <row r="6275" spans="1:13">
      <c r="A6275">
        <v>46148</v>
      </c>
      <c r="B6275" t="s">
        <v>162</v>
      </c>
      <c r="D6275">
        <v>500</v>
      </c>
      <c r="F6275">
        <v>1</v>
      </c>
      <c r="G6275" t="s">
        <v>22</v>
      </c>
      <c r="H6275" t="s">
        <v>21</v>
      </c>
      <c r="I6275" t="s">
        <v>60</v>
      </c>
      <c r="J6275" t="s">
        <v>61</v>
      </c>
      <c r="L6275" t="s">
        <v>82</v>
      </c>
    </row>
    <row r="6276" spans="1:13">
      <c r="A6276">
        <v>46148</v>
      </c>
      <c r="B6276" t="s">
        <v>163</v>
      </c>
      <c r="D6276">
        <v>500</v>
      </c>
      <c r="F6276">
        <v>1</v>
      </c>
      <c r="G6276" t="s">
        <v>22</v>
      </c>
      <c r="H6276" t="s">
        <v>21</v>
      </c>
      <c r="I6276" t="s">
        <v>60</v>
      </c>
      <c r="J6276" t="s">
        <v>61</v>
      </c>
      <c r="L6276" t="s">
        <v>82</v>
      </c>
    </row>
    <row r="6277" spans="1:13">
      <c r="A6277">
        <v>46148</v>
      </c>
      <c r="B6277" t="s">
        <v>76</v>
      </c>
      <c r="D6277">
        <v>21815</v>
      </c>
      <c r="G6277" t="s">
        <v>77</v>
      </c>
      <c r="I6277" t="s">
        <v>60</v>
      </c>
      <c r="J6277" t="s">
        <v>61</v>
      </c>
      <c r="L6277" t="s">
        <v>62</v>
      </c>
    </row>
    <row r="6278" spans="1:13">
      <c r="A6278">
        <v>46148</v>
      </c>
      <c r="B6278" t="s">
        <v>81</v>
      </c>
      <c r="E6278">
        <v>1344913</v>
      </c>
      <c r="F6278">
        <v>1</v>
      </c>
      <c r="G6278" t="s">
        <v>74</v>
      </c>
      <c r="H6278" t="s">
        <v>75</v>
      </c>
      <c r="I6278" t="s">
        <v>60</v>
      </c>
      <c r="J6278" t="s">
        <v>61</v>
      </c>
      <c r="L6278" t="s">
        <v>104</v>
      </c>
    </row>
    <row r="6279" spans="1:13">
      <c r="A6279">
        <v>46148</v>
      </c>
      <c r="B6279" t="s">
        <v>164</v>
      </c>
      <c r="D6279">
        <v>500</v>
      </c>
      <c r="F6279">
        <v>1</v>
      </c>
      <c r="G6279" t="s">
        <v>22</v>
      </c>
      <c r="H6279" t="s">
        <v>21</v>
      </c>
      <c r="I6279" t="s">
        <v>60</v>
      </c>
      <c r="J6279" t="s">
        <v>61</v>
      </c>
      <c r="L6279" t="s">
        <v>82</v>
      </c>
    </row>
    <row r="6280" spans="1:13">
      <c r="A6280">
        <v>46148</v>
      </c>
      <c r="B6280" t="s">
        <v>165</v>
      </c>
      <c r="F6280">
        <v>1</v>
      </c>
      <c r="G6280" t="s">
        <v>64</v>
      </c>
      <c r="L6280" t="s">
        <v>82</v>
      </c>
      <c r="M6280" t="s">
        <v>96</v>
      </c>
    </row>
    <row r="6281" spans="1:13">
      <c r="A6281">
        <v>46148</v>
      </c>
      <c r="B6281" t="s">
        <v>166</v>
      </c>
      <c r="D6281">
        <v>500</v>
      </c>
      <c r="F6281">
        <v>1</v>
      </c>
      <c r="G6281" t="s">
        <v>22</v>
      </c>
      <c r="H6281" t="s">
        <v>21</v>
      </c>
      <c r="I6281" t="s">
        <v>60</v>
      </c>
      <c r="J6281" t="s">
        <v>61</v>
      </c>
      <c r="L6281" t="s">
        <v>82</v>
      </c>
    </row>
    <row r="6282" spans="1:13">
      <c r="A6282">
        <v>46148</v>
      </c>
      <c r="B6282" t="s">
        <v>63</v>
      </c>
      <c r="D6282">
        <v>800</v>
      </c>
      <c r="F6282">
        <v>8</v>
      </c>
      <c r="G6282" t="s">
        <v>22</v>
      </c>
      <c r="H6282" t="s">
        <v>93</v>
      </c>
      <c r="I6282" t="s">
        <v>60</v>
      </c>
      <c r="J6282" t="s">
        <v>61</v>
      </c>
      <c r="L6282" t="s">
        <v>62</v>
      </c>
    </row>
    <row r="6283" spans="1:13">
      <c r="A6283">
        <v>46148</v>
      </c>
      <c r="B6283" t="s">
        <v>63</v>
      </c>
      <c r="D6283">
        <v>8000</v>
      </c>
      <c r="G6283" t="s">
        <v>70</v>
      </c>
      <c r="I6283" t="s">
        <v>60</v>
      </c>
      <c r="J6283" t="s">
        <v>61</v>
      </c>
      <c r="L6283" t="s">
        <v>62</v>
      </c>
    </row>
    <row r="6284" spans="1:13">
      <c r="A6284">
        <v>46148</v>
      </c>
      <c r="B6284" t="s">
        <v>80</v>
      </c>
      <c r="E6284">
        <v>7923</v>
      </c>
      <c r="F6284">
        <v>1</v>
      </c>
      <c r="G6284" t="s">
        <v>74</v>
      </c>
      <c r="H6284" t="s">
        <v>75</v>
      </c>
      <c r="I6284" t="s">
        <v>60</v>
      </c>
      <c r="J6284" t="s">
        <v>61</v>
      </c>
      <c r="K6284" t="s">
        <v>108</v>
      </c>
      <c r="L6284" t="s">
        <v>87</v>
      </c>
    </row>
    <row r="6285" spans="1:13">
      <c r="A6285">
        <v>46148</v>
      </c>
      <c r="B6285" t="s">
        <v>97</v>
      </c>
      <c r="E6285">
        <v>77</v>
      </c>
      <c r="F6285">
        <v>1</v>
      </c>
      <c r="G6285" t="s">
        <v>65</v>
      </c>
      <c r="H6285" t="s">
        <v>66</v>
      </c>
      <c r="I6285" t="s">
        <v>60</v>
      </c>
      <c r="J6285" t="s">
        <v>61</v>
      </c>
      <c r="K6285" t="s">
        <v>108</v>
      </c>
      <c r="L6285" t="s">
        <v>87</v>
      </c>
    </row>
    <row r="6286" spans="1:13">
      <c r="A6286">
        <v>46148</v>
      </c>
      <c r="B6286" t="s">
        <v>63</v>
      </c>
      <c r="E6286">
        <v>2000</v>
      </c>
      <c r="F6286">
        <v>1</v>
      </c>
      <c r="G6286" t="s">
        <v>65</v>
      </c>
      <c r="H6286" t="s">
        <v>66</v>
      </c>
      <c r="I6286" t="s">
        <v>60</v>
      </c>
      <c r="J6286" t="s">
        <v>61</v>
      </c>
      <c r="L6286" t="s">
        <v>62</v>
      </c>
      <c r="M6286" t="s">
        <v>91</v>
      </c>
    </row>
    <row r="6287" spans="1:13">
      <c r="A6287">
        <v>46148</v>
      </c>
      <c r="B6287" t="s">
        <v>63</v>
      </c>
      <c r="E6287">
        <v>800</v>
      </c>
      <c r="F6287">
        <v>1</v>
      </c>
      <c r="G6287" t="s">
        <v>65</v>
      </c>
      <c r="H6287" t="s">
        <v>66</v>
      </c>
      <c r="I6287" t="s">
        <v>60</v>
      </c>
      <c r="J6287" t="s">
        <v>61</v>
      </c>
      <c r="L6287" t="s">
        <v>62</v>
      </c>
      <c r="M6287" t="s">
        <v>94</v>
      </c>
    </row>
    <row r="6288" spans="1:13">
      <c r="A6288">
        <v>46149</v>
      </c>
      <c r="B6288" t="s">
        <v>105</v>
      </c>
      <c r="E6288">
        <v>965385</v>
      </c>
      <c r="F6288">
        <v>1</v>
      </c>
      <c r="G6288" t="s">
        <v>74</v>
      </c>
      <c r="H6288" t="s">
        <v>75</v>
      </c>
      <c r="I6288" t="s">
        <v>60</v>
      </c>
      <c r="J6288" t="s">
        <v>61</v>
      </c>
      <c r="L6288" t="s">
        <v>167</v>
      </c>
    </row>
    <row r="6289" spans="1:13">
      <c r="A6289">
        <v>46149</v>
      </c>
      <c r="B6289" t="s">
        <v>81</v>
      </c>
      <c r="D6289">
        <v>10000</v>
      </c>
      <c r="F6289">
        <v>1</v>
      </c>
      <c r="G6289" t="s">
        <v>74</v>
      </c>
      <c r="H6289" t="s">
        <v>75</v>
      </c>
      <c r="I6289" t="s">
        <v>60</v>
      </c>
      <c r="J6289" t="s">
        <v>61</v>
      </c>
      <c r="L6289" t="s">
        <v>88</v>
      </c>
    </row>
    <row r="6290" spans="1:13">
      <c r="A6290">
        <v>46149</v>
      </c>
      <c r="B6290" t="s">
        <v>166</v>
      </c>
      <c r="D6290">
        <v>500</v>
      </c>
      <c r="F6290">
        <v>1</v>
      </c>
      <c r="G6290" t="s">
        <v>22</v>
      </c>
      <c r="H6290" t="s">
        <v>21</v>
      </c>
      <c r="I6290" t="s">
        <v>60</v>
      </c>
      <c r="J6290" t="s">
        <v>61</v>
      </c>
      <c r="L6290" t="s">
        <v>89</v>
      </c>
    </row>
    <row r="6291" spans="1:13">
      <c r="A6291">
        <v>46149</v>
      </c>
      <c r="B6291" t="s">
        <v>168</v>
      </c>
      <c r="D6291">
        <v>500</v>
      </c>
      <c r="F6291">
        <v>1</v>
      </c>
      <c r="G6291" t="s">
        <v>22</v>
      </c>
      <c r="H6291" t="s">
        <v>21</v>
      </c>
      <c r="I6291" t="s">
        <v>60</v>
      </c>
      <c r="J6291" t="s">
        <v>61</v>
      </c>
      <c r="L6291" t="s">
        <v>86</v>
      </c>
    </row>
    <row r="6292" spans="1:13">
      <c r="A6292">
        <v>46149</v>
      </c>
      <c r="B6292" t="s">
        <v>106</v>
      </c>
      <c r="F6292">
        <v>1</v>
      </c>
      <c r="G6292" t="s">
        <v>64</v>
      </c>
      <c r="L6292" t="s">
        <v>86</v>
      </c>
      <c r="M6292" t="s">
        <v>169</v>
      </c>
    </row>
    <row r="6293" spans="1:13">
      <c r="A6293">
        <v>46149</v>
      </c>
      <c r="B6293" t="s">
        <v>170</v>
      </c>
      <c r="F6293">
        <v>1</v>
      </c>
      <c r="G6293" t="s">
        <v>107</v>
      </c>
      <c r="H6293" t="s">
        <v>21</v>
      </c>
      <c r="L6293" t="s">
        <v>86</v>
      </c>
      <c r="M6293" t="s">
        <v>325</v>
      </c>
    </row>
    <row r="6294" spans="1:13">
      <c r="A6294">
        <v>46149</v>
      </c>
      <c r="B6294" t="s">
        <v>63</v>
      </c>
      <c r="E6294">
        <v>1000</v>
      </c>
      <c r="F6294">
        <v>1</v>
      </c>
      <c r="G6294" t="s">
        <v>65</v>
      </c>
      <c r="H6294" t="s">
        <v>66</v>
      </c>
      <c r="I6294" t="s">
        <v>60</v>
      </c>
      <c r="J6294" t="s">
        <v>61</v>
      </c>
      <c r="L6294" t="s">
        <v>62</v>
      </c>
      <c r="M6294" t="s">
        <v>91</v>
      </c>
    </row>
    <row r="6295" spans="1:13">
      <c r="A6295">
        <v>46149</v>
      </c>
      <c r="B6295" t="s">
        <v>63</v>
      </c>
      <c r="D6295">
        <v>100</v>
      </c>
      <c r="F6295">
        <v>1</v>
      </c>
      <c r="G6295" t="s">
        <v>22</v>
      </c>
      <c r="H6295" t="s">
        <v>93</v>
      </c>
      <c r="I6295" t="s">
        <v>60</v>
      </c>
      <c r="J6295" t="s">
        <v>61</v>
      </c>
      <c r="L6295" t="s">
        <v>62</v>
      </c>
    </row>
    <row r="6296" spans="1:13">
      <c r="A6296">
        <v>46149</v>
      </c>
      <c r="B6296" t="s">
        <v>76</v>
      </c>
      <c r="D6296">
        <v>8130</v>
      </c>
      <c r="G6296" t="s">
        <v>77</v>
      </c>
      <c r="I6296" t="s">
        <v>60</v>
      </c>
      <c r="J6296" t="s">
        <v>61</v>
      </c>
      <c r="L6296" t="s">
        <v>62</v>
      </c>
    </row>
    <row r="6297" spans="1:13">
      <c r="A6297">
        <v>46149</v>
      </c>
      <c r="B6297" t="s">
        <v>63</v>
      </c>
      <c r="E6297">
        <v>800</v>
      </c>
      <c r="F6297">
        <v>1</v>
      </c>
      <c r="G6297" t="s">
        <v>65</v>
      </c>
      <c r="H6297" t="s">
        <v>66</v>
      </c>
      <c r="I6297" t="s">
        <v>60</v>
      </c>
      <c r="J6297" t="s">
        <v>61</v>
      </c>
      <c r="L6297" t="s">
        <v>62</v>
      </c>
      <c r="M6297" t="s">
        <v>94</v>
      </c>
    </row>
    <row r="6298" spans="1:13">
      <c r="A6298">
        <v>46150</v>
      </c>
      <c r="B6298" t="s">
        <v>63</v>
      </c>
      <c r="D6298">
        <v>24000</v>
      </c>
      <c r="G6298" t="s">
        <v>70</v>
      </c>
      <c r="I6298" t="s">
        <v>60</v>
      </c>
      <c r="J6298" t="s">
        <v>61</v>
      </c>
      <c r="L6298" t="s">
        <v>62</v>
      </c>
    </row>
    <row r="6299" spans="1:13">
      <c r="A6299">
        <v>46150</v>
      </c>
      <c r="B6299" t="s">
        <v>80</v>
      </c>
      <c r="E6299">
        <v>7923</v>
      </c>
      <c r="F6299">
        <v>1</v>
      </c>
      <c r="G6299" t="s">
        <v>74</v>
      </c>
      <c r="H6299" t="s">
        <v>75</v>
      </c>
      <c r="I6299" t="s">
        <v>60</v>
      </c>
      <c r="J6299" t="s">
        <v>61</v>
      </c>
      <c r="K6299" t="s">
        <v>171</v>
      </c>
      <c r="L6299" t="s">
        <v>87</v>
      </c>
    </row>
    <row r="6300" spans="1:13">
      <c r="A6300">
        <v>46150</v>
      </c>
      <c r="B6300" t="s">
        <v>97</v>
      </c>
      <c r="E6300">
        <v>77</v>
      </c>
      <c r="F6300">
        <v>1</v>
      </c>
      <c r="G6300" t="s">
        <v>65</v>
      </c>
      <c r="H6300" t="s">
        <v>66</v>
      </c>
      <c r="I6300" t="s">
        <v>60</v>
      </c>
      <c r="J6300" t="s">
        <v>61</v>
      </c>
      <c r="K6300" t="s">
        <v>171</v>
      </c>
      <c r="L6300" t="s">
        <v>87</v>
      </c>
    </row>
    <row r="6301" spans="1:13">
      <c r="A6301">
        <v>46150</v>
      </c>
      <c r="B6301" t="s">
        <v>76</v>
      </c>
      <c r="D6301">
        <v>1000</v>
      </c>
      <c r="G6301" t="s">
        <v>77</v>
      </c>
      <c r="I6301" t="s">
        <v>60</v>
      </c>
      <c r="J6301" t="s">
        <v>61</v>
      </c>
      <c r="L6301" t="s">
        <v>62</v>
      </c>
    </row>
    <row r="6302" spans="1:13">
      <c r="A6302">
        <v>46150</v>
      </c>
      <c r="B6302" t="s">
        <v>172</v>
      </c>
      <c r="D6302">
        <v>500</v>
      </c>
      <c r="F6302">
        <v>1</v>
      </c>
      <c r="G6302" t="s">
        <v>22</v>
      </c>
      <c r="H6302" t="s">
        <v>21</v>
      </c>
      <c r="I6302" t="s">
        <v>60</v>
      </c>
      <c r="J6302" t="s">
        <v>61</v>
      </c>
      <c r="L6302" t="s">
        <v>82</v>
      </c>
    </row>
    <row r="6303" spans="1:13">
      <c r="A6303">
        <v>46150</v>
      </c>
      <c r="B6303" t="s">
        <v>173</v>
      </c>
      <c r="D6303">
        <v>500</v>
      </c>
      <c r="F6303">
        <v>1</v>
      </c>
      <c r="G6303" t="s">
        <v>22</v>
      </c>
      <c r="H6303" t="s">
        <v>21</v>
      </c>
      <c r="I6303" t="s">
        <v>60</v>
      </c>
      <c r="J6303" t="s">
        <v>61</v>
      </c>
      <c r="L6303" t="s">
        <v>82</v>
      </c>
    </row>
    <row r="6304" spans="1:13">
      <c r="A6304">
        <v>46150</v>
      </c>
      <c r="B6304" t="s">
        <v>174</v>
      </c>
      <c r="D6304">
        <v>500</v>
      </c>
      <c r="F6304">
        <v>0</v>
      </c>
      <c r="G6304" t="s">
        <v>22</v>
      </c>
      <c r="H6304" t="s">
        <v>21</v>
      </c>
      <c r="I6304" t="s">
        <v>60</v>
      </c>
      <c r="J6304" t="s">
        <v>61</v>
      </c>
      <c r="L6304" t="s">
        <v>89</v>
      </c>
    </row>
    <row r="6305" spans="1:13">
      <c r="A6305">
        <v>46150</v>
      </c>
      <c r="B6305" t="s">
        <v>175</v>
      </c>
      <c r="D6305">
        <v>500</v>
      </c>
      <c r="F6305">
        <v>1</v>
      </c>
      <c r="G6305" t="s">
        <v>22</v>
      </c>
      <c r="H6305" t="s">
        <v>21</v>
      </c>
      <c r="I6305" t="s">
        <v>60</v>
      </c>
      <c r="J6305" t="s">
        <v>61</v>
      </c>
      <c r="L6305" t="s">
        <v>89</v>
      </c>
    </row>
    <row r="6306" spans="1:13">
      <c r="A6306">
        <v>46150</v>
      </c>
      <c r="B6306" t="s">
        <v>176</v>
      </c>
      <c r="F6306">
        <v>1</v>
      </c>
      <c r="G6306" t="s">
        <v>79</v>
      </c>
      <c r="H6306" t="s">
        <v>21</v>
      </c>
      <c r="L6306" t="s">
        <v>89</v>
      </c>
      <c r="M6306" t="s">
        <v>327</v>
      </c>
    </row>
    <row r="6307" spans="1:13">
      <c r="A6307">
        <v>46150</v>
      </c>
      <c r="B6307" t="s">
        <v>177</v>
      </c>
      <c r="D6307">
        <v>500</v>
      </c>
      <c r="F6307">
        <v>1</v>
      </c>
      <c r="G6307" t="s">
        <v>22</v>
      </c>
      <c r="H6307" t="s">
        <v>21</v>
      </c>
      <c r="I6307" t="s">
        <v>60</v>
      </c>
      <c r="J6307" t="s">
        <v>61</v>
      </c>
      <c r="L6307" t="s">
        <v>89</v>
      </c>
    </row>
    <row r="6308" spans="1:13">
      <c r="A6308">
        <v>46150</v>
      </c>
      <c r="B6308" t="s">
        <v>178</v>
      </c>
      <c r="F6308">
        <v>1</v>
      </c>
      <c r="G6308" t="s">
        <v>64</v>
      </c>
      <c r="L6308" t="s">
        <v>89</v>
      </c>
      <c r="M6308" t="s">
        <v>96</v>
      </c>
    </row>
    <row r="6309" spans="1:13">
      <c r="A6309">
        <v>46150</v>
      </c>
      <c r="B6309" t="s">
        <v>179</v>
      </c>
      <c r="D6309">
        <v>500</v>
      </c>
      <c r="F6309">
        <v>1</v>
      </c>
      <c r="G6309" t="s">
        <v>22</v>
      </c>
      <c r="H6309" t="s">
        <v>21</v>
      </c>
      <c r="I6309" t="s">
        <v>60</v>
      </c>
      <c r="J6309" t="s">
        <v>61</v>
      </c>
      <c r="L6309" t="s">
        <v>89</v>
      </c>
    </row>
    <row r="6310" spans="1:13">
      <c r="A6310">
        <v>46150</v>
      </c>
      <c r="B6310" t="s">
        <v>180</v>
      </c>
      <c r="F6310">
        <v>1</v>
      </c>
      <c r="G6310" t="s">
        <v>79</v>
      </c>
      <c r="H6310" t="s">
        <v>21</v>
      </c>
      <c r="L6310" t="s">
        <v>89</v>
      </c>
      <c r="M6310" t="s">
        <v>327</v>
      </c>
    </row>
    <row r="6311" spans="1:13">
      <c r="A6311">
        <v>46150</v>
      </c>
      <c r="B6311" t="s">
        <v>181</v>
      </c>
      <c r="F6311">
        <v>1</v>
      </c>
      <c r="G6311" t="s">
        <v>79</v>
      </c>
      <c r="H6311" t="s">
        <v>21</v>
      </c>
      <c r="L6311" t="s">
        <v>89</v>
      </c>
      <c r="M6311" t="s">
        <v>327</v>
      </c>
    </row>
    <row r="6312" spans="1:13">
      <c r="A6312">
        <v>46150</v>
      </c>
      <c r="B6312" t="s">
        <v>182</v>
      </c>
      <c r="F6312">
        <v>1</v>
      </c>
      <c r="G6312" t="s">
        <v>79</v>
      </c>
      <c r="H6312" t="s">
        <v>21</v>
      </c>
      <c r="L6312" t="s">
        <v>89</v>
      </c>
      <c r="M6312" t="s">
        <v>327</v>
      </c>
    </row>
    <row r="6313" spans="1:13">
      <c r="A6313">
        <v>46150</v>
      </c>
      <c r="B6313" t="s">
        <v>183</v>
      </c>
      <c r="F6313">
        <v>1</v>
      </c>
      <c r="G6313" t="s">
        <v>64</v>
      </c>
      <c r="L6313" t="s">
        <v>89</v>
      </c>
      <c r="M6313" t="s">
        <v>96</v>
      </c>
    </row>
    <row r="6314" spans="1:13">
      <c r="A6314">
        <v>46150</v>
      </c>
      <c r="B6314" t="s">
        <v>81</v>
      </c>
      <c r="D6314">
        <v>10000</v>
      </c>
      <c r="F6314">
        <v>1</v>
      </c>
      <c r="G6314" t="s">
        <v>74</v>
      </c>
      <c r="H6314" t="s">
        <v>75</v>
      </c>
      <c r="I6314" t="s">
        <v>60</v>
      </c>
      <c r="J6314" t="s">
        <v>61</v>
      </c>
      <c r="L6314" t="s">
        <v>88</v>
      </c>
    </row>
    <row r="6315" spans="1:13">
      <c r="A6315">
        <v>46150</v>
      </c>
      <c r="B6315" t="s">
        <v>63</v>
      </c>
      <c r="E6315">
        <v>3000</v>
      </c>
      <c r="F6315">
        <v>1</v>
      </c>
      <c r="G6315" t="s">
        <v>65</v>
      </c>
      <c r="H6315" t="s">
        <v>66</v>
      </c>
      <c r="I6315" t="s">
        <v>60</v>
      </c>
      <c r="J6315" t="s">
        <v>61</v>
      </c>
      <c r="L6315" t="s">
        <v>62</v>
      </c>
      <c r="M6315" t="s">
        <v>91</v>
      </c>
    </row>
    <row r="6316" spans="1:13">
      <c r="A6316">
        <v>46151</v>
      </c>
      <c r="B6316" t="s">
        <v>184</v>
      </c>
      <c r="F6316">
        <v>1</v>
      </c>
      <c r="G6316" t="s">
        <v>0</v>
      </c>
      <c r="L6316" t="s">
        <v>82</v>
      </c>
    </row>
    <row r="6317" spans="1:13">
      <c r="A6317">
        <v>46151</v>
      </c>
      <c r="B6317" t="s">
        <v>185</v>
      </c>
      <c r="D6317">
        <v>500</v>
      </c>
      <c r="F6317">
        <v>1</v>
      </c>
      <c r="G6317" t="s">
        <v>22</v>
      </c>
      <c r="H6317" t="s">
        <v>21</v>
      </c>
      <c r="I6317" t="s">
        <v>60</v>
      </c>
      <c r="J6317" t="s">
        <v>61</v>
      </c>
      <c r="L6317" t="s">
        <v>89</v>
      </c>
    </row>
    <row r="6318" spans="1:13">
      <c r="A6318">
        <v>46151</v>
      </c>
      <c r="B6318" t="s">
        <v>186</v>
      </c>
      <c r="D6318">
        <v>500</v>
      </c>
      <c r="F6318">
        <v>1</v>
      </c>
      <c r="G6318" t="s">
        <v>22</v>
      </c>
      <c r="H6318" t="s">
        <v>21</v>
      </c>
      <c r="I6318" t="s">
        <v>60</v>
      </c>
      <c r="J6318" t="s">
        <v>61</v>
      </c>
      <c r="L6318" t="s">
        <v>89</v>
      </c>
    </row>
    <row r="6319" spans="1:13">
      <c r="A6319">
        <v>46151</v>
      </c>
      <c r="B6319" t="s">
        <v>187</v>
      </c>
      <c r="F6319">
        <v>1</v>
      </c>
      <c r="G6319" t="s">
        <v>64</v>
      </c>
      <c r="L6319" t="s">
        <v>89</v>
      </c>
      <c r="M6319" t="s">
        <v>96</v>
      </c>
    </row>
    <row r="6320" spans="1:13">
      <c r="A6320">
        <v>46151</v>
      </c>
      <c r="B6320" t="s">
        <v>63</v>
      </c>
      <c r="D6320">
        <v>63500</v>
      </c>
      <c r="G6320" t="s">
        <v>70</v>
      </c>
      <c r="I6320" t="s">
        <v>60</v>
      </c>
      <c r="J6320" t="s">
        <v>61</v>
      </c>
      <c r="L6320" t="s">
        <v>62</v>
      </c>
    </row>
    <row r="6321" spans="1:13">
      <c r="A6321">
        <v>46151</v>
      </c>
      <c r="B6321" t="s">
        <v>80</v>
      </c>
      <c r="E6321">
        <v>9903</v>
      </c>
      <c r="F6321">
        <v>1</v>
      </c>
      <c r="G6321" t="s">
        <v>74</v>
      </c>
      <c r="H6321" t="s">
        <v>75</v>
      </c>
      <c r="I6321" t="s">
        <v>60</v>
      </c>
      <c r="J6321" t="s">
        <v>61</v>
      </c>
      <c r="K6321" t="s">
        <v>188</v>
      </c>
      <c r="L6321" t="s">
        <v>87</v>
      </c>
    </row>
    <row r="6322" spans="1:13">
      <c r="A6322">
        <v>46151</v>
      </c>
      <c r="B6322" t="s">
        <v>97</v>
      </c>
      <c r="E6322">
        <v>97</v>
      </c>
      <c r="F6322">
        <v>1</v>
      </c>
      <c r="G6322" t="s">
        <v>65</v>
      </c>
      <c r="H6322" t="s">
        <v>66</v>
      </c>
      <c r="I6322" t="s">
        <v>60</v>
      </c>
      <c r="J6322" t="s">
        <v>61</v>
      </c>
      <c r="K6322" t="s">
        <v>188</v>
      </c>
      <c r="L6322" t="s">
        <v>87</v>
      </c>
    </row>
    <row r="6323" spans="1:13">
      <c r="A6323">
        <v>46151</v>
      </c>
      <c r="B6323" t="s">
        <v>80</v>
      </c>
      <c r="E6323">
        <v>18816</v>
      </c>
      <c r="F6323">
        <v>1</v>
      </c>
      <c r="G6323" t="s">
        <v>74</v>
      </c>
      <c r="H6323" t="s">
        <v>75</v>
      </c>
      <c r="I6323" t="s">
        <v>60</v>
      </c>
      <c r="J6323" t="s">
        <v>61</v>
      </c>
      <c r="K6323" t="s">
        <v>109</v>
      </c>
      <c r="L6323" t="s">
        <v>87</v>
      </c>
    </row>
    <row r="6324" spans="1:13">
      <c r="A6324">
        <v>46151</v>
      </c>
      <c r="B6324" t="s">
        <v>97</v>
      </c>
      <c r="E6324">
        <v>184</v>
      </c>
      <c r="F6324">
        <v>1</v>
      </c>
      <c r="G6324" t="s">
        <v>65</v>
      </c>
      <c r="H6324" t="s">
        <v>66</v>
      </c>
      <c r="I6324" t="s">
        <v>60</v>
      </c>
      <c r="J6324" t="s">
        <v>61</v>
      </c>
      <c r="K6324" t="s">
        <v>109</v>
      </c>
      <c r="L6324" t="s">
        <v>87</v>
      </c>
    </row>
    <row r="6325" spans="1:13">
      <c r="A6325">
        <v>46151</v>
      </c>
      <c r="B6325" t="s">
        <v>189</v>
      </c>
      <c r="F6325">
        <v>1</v>
      </c>
      <c r="G6325" t="s">
        <v>79</v>
      </c>
      <c r="H6325" t="s">
        <v>21</v>
      </c>
      <c r="L6325" t="s">
        <v>89</v>
      </c>
      <c r="M6325" t="s">
        <v>327</v>
      </c>
    </row>
    <row r="6326" spans="1:13">
      <c r="A6326">
        <v>46151</v>
      </c>
      <c r="B6326" t="s">
        <v>190</v>
      </c>
      <c r="D6326">
        <v>500</v>
      </c>
      <c r="F6326">
        <v>1</v>
      </c>
      <c r="G6326" t="s">
        <v>22</v>
      </c>
      <c r="H6326" t="s">
        <v>21</v>
      </c>
      <c r="I6326" t="s">
        <v>60</v>
      </c>
      <c r="J6326" t="s">
        <v>61</v>
      </c>
      <c r="L6326" t="s">
        <v>89</v>
      </c>
    </row>
    <row r="6327" spans="1:13">
      <c r="A6327">
        <v>46151</v>
      </c>
      <c r="B6327" t="s">
        <v>191</v>
      </c>
      <c r="F6327">
        <v>1</v>
      </c>
      <c r="G6327" t="s">
        <v>64</v>
      </c>
      <c r="L6327" t="s">
        <v>89</v>
      </c>
      <c r="M6327" t="s">
        <v>96</v>
      </c>
    </row>
    <row r="6328" spans="1:13">
      <c r="A6328">
        <v>46151</v>
      </c>
      <c r="B6328" t="s">
        <v>192</v>
      </c>
      <c r="D6328">
        <v>500</v>
      </c>
      <c r="F6328">
        <v>1</v>
      </c>
      <c r="G6328" t="s">
        <v>22</v>
      </c>
      <c r="H6328" t="s">
        <v>21</v>
      </c>
      <c r="I6328" t="s">
        <v>60</v>
      </c>
      <c r="J6328" t="s">
        <v>61</v>
      </c>
      <c r="L6328" t="s">
        <v>89</v>
      </c>
    </row>
    <row r="6329" spans="1:13">
      <c r="A6329">
        <v>46151</v>
      </c>
      <c r="B6329" t="s">
        <v>193</v>
      </c>
      <c r="F6329">
        <v>1</v>
      </c>
      <c r="G6329" t="s">
        <v>64</v>
      </c>
      <c r="L6329" t="s">
        <v>86</v>
      </c>
      <c r="M6329" t="s">
        <v>96</v>
      </c>
    </row>
    <row r="6330" spans="1:13">
      <c r="A6330">
        <v>46151</v>
      </c>
      <c r="B6330" t="s">
        <v>194</v>
      </c>
      <c r="F6330">
        <v>1</v>
      </c>
      <c r="G6330" t="s">
        <v>64</v>
      </c>
      <c r="L6330" t="s">
        <v>89</v>
      </c>
      <c r="M6330" t="s">
        <v>195</v>
      </c>
    </row>
    <row r="6331" spans="1:13">
      <c r="A6331">
        <v>46151</v>
      </c>
      <c r="B6331" t="s">
        <v>196</v>
      </c>
      <c r="E6331">
        <v>8000</v>
      </c>
      <c r="F6331">
        <v>1</v>
      </c>
      <c r="G6331" t="s">
        <v>65</v>
      </c>
      <c r="H6331" t="s">
        <v>66</v>
      </c>
      <c r="I6331" t="s">
        <v>60</v>
      </c>
      <c r="J6331" t="s">
        <v>61</v>
      </c>
      <c r="L6331" t="s">
        <v>62</v>
      </c>
    </row>
    <row r="6332" spans="1:13">
      <c r="A6332">
        <v>46151</v>
      </c>
      <c r="B6332" t="s">
        <v>197</v>
      </c>
      <c r="D6332">
        <v>500</v>
      </c>
      <c r="F6332">
        <v>1</v>
      </c>
      <c r="G6332" t="s">
        <v>22</v>
      </c>
      <c r="H6332" t="s">
        <v>21</v>
      </c>
      <c r="I6332" t="s">
        <v>60</v>
      </c>
      <c r="J6332" t="s">
        <v>61</v>
      </c>
      <c r="L6332" t="s">
        <v>86</v>
      </c>
    </row>
    <row r="6333" spans="1:13">
      <c r="A6333">
        <v>46151</v>
      </c>
      <c r="B6333" t="s">
        <v>198</v>
      </c>
      <c r="F6333">
        <v>1</v>
      </c>
      <c r="G6333" t="s">
        <v>79</v>
      </c>
      <c r="H6333" t="s">
        <v>21</v>
      </c>
      <c r="L6333" t="s">
        <v>86</v>
      </c>
      <c r="M6333" t="s">
        <v>327</v>
      </c>
    </row>
    <row r="6334" spans="1:13">
      <c r="A6334">
        <v>46151</v>
      </c>
      <c r="B6334" t="s">
        <v>76</v>
      </c>
      <c r="D6334">
        <v>9000</v>
      </c>
      <c r="G6334" t="s">
        <v>77</v>
      </c>
      <c r="I6334" t="s">
        <v>60</v>
      </c>
      <c r="J6334" t="s">
        <v>61</v>
      </c>
      <c r="L6334" t="s">
        <v>62</v>
      </c>
    </row>
    <row r="6335" spans="1:13">
      <c r="A6335">
        <v>46151</v>
      </c>
      <c r="B6335" t="s">
        <v>199</v>
      </c>
      <c r="D6335">
        <v>500</v>
      </c>
      <c r="F6335">
        <v>1</v>
      </c>
      <c r="G6335" t="s">
        <v>22</v>
      </c>
      <c r="H6335" t="s">
        <v>21</v>
      </c>
      <c r="I6335" t="s">
        <v>60</v>
      </c>
      <c r="J6335" t="s">
        <v>61</v>
      </c>
      <c r="L6335" t="s">
        <v>86</v>
      </c>
    </row>
    <row r="6336" spans="1:13">
      <c r="A6336">
        <v>46151</v>
      </c>
      <c r="B6336" t="s">
        <v>200</v>
      </c>
      <c r="F6336">
        <v>1</v>
      </c>
      <c r="G6336" t="s">
        <v>64</v>
      </c>
      <c r="L6336" t="s">
        <v>86</v>
      </c>
      <c r="M6336" t="s">
        <v>96</v>
      </c>
    </row>
    <row r="6337" spans="1:13">
      <c r="A6337">
        <v>46151</v>
      </c>
      <c r="B6337" t="s">
        <v>201</v>
      </c>
      <c r="F6337">
        <v>1</v>
      </c>
      <c r="G6337" t="s">
        <v>64</v>
      </c>
      <c r="L6337" t="s">
        <v>86</v>
      </c>
      <c r="M6337" t="s">
        <v>110</v>
      </c>
    </row>
    <row r="6338" spans="1:13">
      <c r="A6338">
        <v>46151</v>
      </c>
      <c r="B6338" t="s">
        <v>202</v>
      </c>
      <c r="F6338">
        <v>1</v>
      </c>
      <c r="G6338" t="s">
        <v>99</v>
      </c>
      <c r="H6338" t="s">
        <v>21</v>
      </c>
      <c r="L6338" t="s">
        <v>86</v>
      </c>
      <c r="M6338" t="s">
        <v>326</v>
      </c>
    </row>
    <row r="6339" spans="1:13">
      <c r="A6339">
        <v>46151</v>
      </c>
      <c r="B6339" t="s">
        <v>203</v>
      </c>
      <c r="D6339">
        <v>500</v>
      </c>
      <c r="F6339">
        <v>1</v>
      </c>
      <c r="G6339" t="s">
        <v>22</v>
      </c>
      <c r="H6339" t="s">
        <v>21</v>
      </c>
      <c r="I6339" t="s">
        <v>60</v>
      </c>
      <c r="J6339" t="s">
        <v>61</v>
      </c>
      <c r="L6339" t="s">
        <v>86</v>
      </c>
    </row>
    <row r="6340" spans="1:13">
      <c r="A6340">
        <v>46151</v>
      </c>
      <c r="B6340" t="s">
        <v>63</v>
      </c>
      <c r="E6340">
        <v>3500</v>
      </c>
      <c r="F6340">
        <v>1</v>
      </c>
      <c r="G6340" t="s">
        <v>65</v>
      </c>
      <c r="H6340" t="s">
        <v>66</v>
      </c>
      <c r="I6340" t="s">
        <v>60</v>
      </c>
      <c r="J6340" t="s">
        <v>61</v>
      </c>
      <c r="L6340" t="s">
        <v>62</v>
      </c>
      <c r="M6340" t="s">
        <v>91</v>
      </c>
    </row>
    <row r="6341" spans="1:13">
      <c r="A6341">
        <v>46152</v>
      </c>
      <c r="B6341" t="s">
        <v>204</v>
      </c>
      <c r="F6341">
        <v>1</v>
      </c>
      <c r="G6341" t="s">
        <v>64</v>
      </c>
      <c r="L6341" t="s">
        <v>86</v>
      </c>
      <c r="M6341" t="s">
        <v>96</v>
      </c>
    </row>
    <row r="6342" spans="1:13">
      <c r="A6342">
        <v>46152</v>
      </c>
      <c r="B6342" t="s">
        <v>63</v>
      </c>
      <c r="D6342">
        <v>31000</v>
      </c>
      <c r="G6342" t="s">
        <v>70</v>
      </c>
      <c r="I6342" t="s">
        <v>60</v>
      </c>
      <c r="J6342" t="s">
        <v>61</v>
      </c>
      <c r="L6342" t="s">
        <v>62</v>
      </c>
    </row>
    <row r="6343" spans="1:13">
      <c r="A6343">
        <v>46152</v>
      </c>
      <c r="B6343" t="s">
        <v>205</v>
      </c>
      <c r="F6343">
        <v>1</v>
      </c>
      <c r="G6343" t="s">
        <v>64</v>
      </c>
      <c r="L6343" t="s">
        <v>86</v>
      </c>
      <c r="M6343" t="s">
        <v>206</v>
      </c>
    </row>
    <row r="6344" spans="1:13">
      <c r="A6344">
        <v>46152</v>
      </c>
      <c r="B6344" t="s">
        <v>207</v>
      </c>
      <c r="D6344">
        <v>500</v>
      </c>
      <c r="F6344">
        <v>1</v>
      </c>
      <c r="G6344" t="s">
        <v>22</v>
      </c>
      <c r="H6344" t="s">
        <v>21</v>
      </c>
      <c r="I6344" t="s">
        <v>60</v>
      </c>
      <c r="J6344" t="s">
        <v>61</v>
      </c>
      <c r="L6344" t="s">
        <v>82</v>
      </c>
    </row>
    <row r="6345" spans="1:13">
      <c r="A6345">
        <v>46152</v>
      </c>
      <c r="B6345" t="s">
        <v>208</v>
      </c>
      <c r="D6345">
        <v>500</v>
      </c>
      <c r="F6345">
        <v>1</v>
      </c>
      <c r="G6345" t="s">
        <v>22</v>
      </c>
      <c r="H6345" t="s">
        <v>21</v>
      </c>
      <c r="I6345" t="s">
        <v>60</v>
      </c>
      <c r="J6345" t="s">
        <v>61</v>
      </c>
      <c r="L6345" t="s">
        <v>86</v>
      </c>
    </row>
    <row r="6346" spans="1:13">
      <c r="A6346">
        <v>46152</v>
      </c>
      <c r="B6346" t="s">
        <v>209</v>
      </c>
      <c r="F6346">
        <v>1</v>
      </c>
      <c r="G6346" t="s">
        <v>64</v>
      </c>
      <c r="L6346" t="s">
        <v>82</v>
      </c>
      <c r="M6346" t="s">
        <v>508</v>
      </c>
    </row>
    <row r="6347" spans="1:13">
      <c r="A6347">
        <v>46152</v>
      </c>
      <c r="B6347" t="s">
        <v>63</v>
      </c>
      <c r="D6347">
        <v>12500</v>
      </c>
      <c r="F6347">
        <v>1</v>
      </c>
      <c r="G6347" t="s">
        <v>70</v>
      </c>
      <c r="I6347" t="s">
        <v>71</v>
      </c>
      <c r="J6347" t="s">
        <v>72</v>
      </c>
      <c r="K6347" t="s">
        <v>210</v>
      </c>
      <c r="L6347" t="s">
        <v>62</v>
      </c>
      <c r="M6347" t="s">
        <v>90</v>
      </c>
    </row>
    <row r="6348" spans="1:13">
      <c r="A6348">
        <v>46152</v>
      </c>
      <c r="B6348" t="s">
        <v>80</v>
      </c>
      <c r="E6348">
        <v>15845</v>
      </c>
      <c r="F6348">
        <v>1</v>
      </c>
      <c r="G6348" t="s">
        <v>74</v>
      </c>
      <c r="H6348" t="s">
        <v>75</v>
      </c>
      <c r="I6348" t="s">
        <v>60</v>
      </c>
      <c r="J6348" t="s">
        <v>61</v>
      </c>
      <c r="K6348" t="s">
        <v>211</v>
      </c>
      <c r="L6348" t="s">
        <v>87</v>
      </c>
    </row>
    <row r="6349" spans="1:13">
      <c r="A6349">
        <v>46152</v>
      </c>
      <c r="B6349" t="s">
        <v>97</v>
      </c>
      <c r="E6349">
        <v>155</v>
      </c>
      <c r="F6349">
        <v>1</v>
      </c>
      <c r="G6349" t="s">
        <v>65</v>
      </c>
      <c r="H6349" t="s">
        <v>66</v>
      </c>
      <c r="I6349" t="s">
        <v>60</v>
      </c>
      <c r="J6349" t="s">
        <v>61</v>
      </c>
      <c r="K6349" t="s">
        <v>211</v>
      </c>
      <c r="L6349" t="s">
        <v>87</v>
      </c>
    </row>
    <row r="6350" spans="1:13">
      <c r="A6350">
        <v>46152</v>
      </c>
      <c r="B6350" t="s">
        <v>63</v>
      </c>
      <c r="E6350">
        <v>1000</v>
      </c>
      <c r="F6350">
        <v>1</v>
      </c>
      <c r="G6350" t="s">
        <v>65</v>
      </c>
      <c r="H6350" t="s">
        <v>66</v>
      </c>
      <c r="I6350" t="s">
        <v>60</v>
      </c>
      <c r="J6350" t="s">
        <v>61</v>
      </c>
      <c r="L6350" t="s">
        <v>62</v>
      </c>
      <c r="M6350" t="s">
        <v>91</v>
      </c>
    </row>
    <row r="6351" spans="1:13">
      <c r="A6351">
        <v>46153</v>
      </c>
      <c r="B6351" t="s">
        <v>238</v>
      </c>
      <c r="C6351" t="s">
        <v>212</v>
      </c>
      <c r="F6351">
        <v>35</v>
      </c>
      <c r="G6351" t="s">
        <v>22</v>
      </c>
      <c r="H6351" t="s">
        <v>21</v>
      </c>
      <c r="L6351" t="s">
        <v>95</v>
      </c>
      <c r="M6351" t="s">
        <v>213</v>
      </c>
    </row>
    <row r="6352" spans="1:13">
      <c r="A6352">
        <v>46153</v>
      </c>
      <c r="B6352" t="s">
        <v>100</v>
      </c>
      <c r="F6352">
        <v>-26</v>
      </c>
      <c r="G6352" t="s">
        <v>22</v>
      </c>
      <c r="H6352" t="s">
        <v>93</v>
      </c>
      <c r="L6352" t="s">
        <v>101</v>
      </c>
    </row>
    <row r="6353" spans="1:13">
      <c r="A6353">
        <v>46153</v>
      </c>
      <c r="B6353" t="s">
        <v>81</v>
      </c>
      <c r="D6353">
        <v>135000</v>
      </c>
      <c r="F6353">
        <v>1</v>
      </c>
      <c r="G6353" t="s">
        <v>74</v>
      </c>
      <c r="H6353" t="s">
        <v>75</v>
      </c>
      <c r="I6353" t="s">
        <v>60</v>
      </c>
      <c r="J6353" t="s">
        <v>61</v>
      </c>
      <c r="L6353" t="s">
        <v>214</v>
      </c>
    </row>
    <row r="6354" spans="1:13">
      <c r="A6354">
        <v>46153</v>
      </c>
      <c r="B6354" t="s">
        <v>84</v>
      </c>
      <c r="D6354">
        <v>-52000</v>
      </c>
      <c r="G6354" t="s">
        <v>77</v>
      </c>
      <c r="I6354" t="s">
        <v>60</v>
      </c>
      <c r="J6354" t="s">
        <v>61</v>
      </c>
      <c r="L6354" t="s">
        <v>62</v>
      </c>
    </row>
    <row r="6355" spans="1:13">
      <c r="A6355">
        <v>46153</v>
      </c>
      <c r="B6355" t="s">
        <v>84</v>
      </c>
      <c r="E6355">
        <v>-2750</v>
      </c>
      <c r="F6355">
        <v>1</v>
      </c>
      <c r="G6355" t="s">
        <v>65</v>
      </c>
      <c r="H6355" t="s">
        <v>85</v>
      </c>
      <c r="I6355" t="s">
        <v>60</v>
      </c>
      <c r="J6355" t="s">
        <v>61</v>
      </c>
      <c r="L6355" t="s">
        <v>62</v>
      </c>
    </row>
    <row r="6356" spans="1:13">
      <c r="A6356">
        <v>46153</v>
      </c>
      <c r="B6356" t="s">
        <v>84</v>
      </c>
      <c r="E6356">
        <v>750</v>
      </c>
      <c r="F6356">
        <v>1</v>
      </c>
      <c r="G6356" t="s">
        <v>65</v>
      </c>
      <c r="H6356" t="s">
        <v>66</v>
      </c>
      <c r="I6356" t="s">
        <v>60</v>
      </c>
      <c r="J6356" t="s">
        <v>61</v>
      </c>
      <c r="L6356" t="s">
        <v>62</v>
      </c>
    </row>
    <row r="6357" spans="1:13">
      <c r="A6357">
        <v>46153</v>
      </c>
      <c r="B6357" t="s">
        <v>215</v>
      </c>
      <c r="D6357">
        <v>500</v>
      </c>
      <c r="F6357">
        <v>1</v>
      </c>
      <c r="G6357" t="s">
        <v>22</v>
      </c>
      <c r="H6357" t="s">
        <v>21</v>
      </c>
      <c r="I6357" t="s">
        <v>60</v>
      </c>
      <c r="J6357" t="s">
        <v>61</v>
      </c>
      <c r="L6357" t="s">
        <v>82</v>
      </c>
    </row>
    <row r="6358" spans="1:13">
      <c r="A6358">
        <v>46153</v>
      </c>
      <c r="B6358" t="s">
        <v>216</v>
      </c>
      <c r="D6358">
        <v>500</v>
      </c>
      <c r="F6358">
        <v>1</v>
      </c>
      <c r="G6358" t="s">
        <v>22</v>
      </c>
      <c r="H6358" t="s">
        <v>21</v>
      </c>
      <c r="I6358" t="s">
        <v>60</v>
      </c>
      <c r="J6358" t="s">
        <v>61</v>
      </c>
      <c r="L6358" t="s">
        <v>86</v>
      </c>
    </row>
    <row r="6359" spans="1:13">
      <c r="A6359">
        <v>46153</v>
      </c>
      <c r="B6359" t="s">
        <v>217</v>
      </c>
      <c r="F6359">
        <v>1</v>
      </c>
      <c r="G6359" t="s">
        <v>64</v>
      </c>
      <c r="L6359" t="s">
        <v>86</v>
      </c>
      <c r="M6359" t="s">
        <v>96</v>
      </c>
    </row>
    <row r="6360" spans="1:13">
      <c r="A6360">
        <v>46153</v>
      </c>
      <c r="B6360" t="s">
        <v>218</v>
      </c>
      <c r="D6360">
        <v>500</v>
      </c>
      <c r="F6360">
        <v>1</v>
      </c>
      <c r="G6360" t="s">
        <v>22</v>
      </c>
      <c r="H6360" t="s">
        <v>21</v>
      </c>
      <c r="I6360" t="s">
        <v>60</v>
      </c>
      <c r="J6360" t="s">
        <v>61</v>
      </c>
      <c r="L6360" t="s">
        <v>86</v>
      </c>
    </row>
    <row r="6361" spans="1:13">
      <c r="A6361">
        <v>46153</v>
      </c>
      <c r="B6361" t="s">
        <v>219</v>
      </c>
      <c r="F6361">
        <v>1</v>
      </c>
      <c r="G6361" t="s">
        <v>64</v>
      </c>
      <c r="L6361" t="s">
        <v>86</v>
      </c>
      <c r="M6361" t="s">
        <v>96</v>
      </c>
    </row>
    <row r="6362" spans="1:13">
      <c r="A6362">
        <v>46153</v>
      </c>
      <c r="B6362" t="s">
        <v>220</v>
      </c>
      <c r="D6362">
        <v>500</v>
      </c>
      <c r="F6362">
        <v>1</v>
      </c>
      <c r="G6362" t="s">
        <v>22</v>
      </c>
      <c r="H6362" t="s">
        <v>21</v>
      </c>
      <c r="I6362" t="s">
        <v>60</v>
      </c>
      <c r="J6362" t="s">
        <v>61</v>
      </c>
      <c r="L6362" t="s">
        <v>86</v>
      </c>
    </row>
    <row r="6363" spans="1:13">
      <c r="A6363">
        <v>46153</v>
      </c>
      <c r="B6363" t="s">
        <v>63</v>
      </c>
      <c r="D6363">
        <v>100</v>
      </c>
      <c r="F6363">
        <v>1</v>
      </c>
      <c r="G6363" t="s">
        <v>22</v>
      </c>
      <c r="H6363" t="s">
        <v>93</v>
      </c>
      <c r="I6363" t="s">
        <v>60</v>
      </c>
      <c r="J6363" t="s">
        <v>61</v>
      </c>
      <c r="L6363" t="s">
        <v>62</v>
      </c>
    </row>
    <row r="6364" spans="1:13">
      <c r="A6364">
        <v>46153</v>
      </c>
      <c r="B6364" t="s">
        <v>63</v>
      </c>
      <c r="D6364">
        <v>13000</v>
      </c>
      <c r="G6364" t="s">
        <v>70</v>
      </c>
      <c r="I6364" t="s">
        <v>60</v>
      </c>
      <c r="J6364" t="s">
        <v>61</v>
      </c>
      <c r="L6364" t="s">
        <v>62</v>
      </c>
    </row>
    <row r="6365" spans="1:13">
      <c r="A6365">
        <v>46153</v>
      </c>
      <c r="B6365" t="s">
        <v>80</v>
      </c>
      <c r="E6365">
        <v>12874</v>
      </c>
      <c r="F6365">
        <v>1</v>
      </c>
      <c r="G6365" t="s">
        <v>74</v>
      </c>
      <c r="H6365" t="s">
        <v>75</v>
      </c>
      <c r="I6365" t="s">
        <v>60</v>
      </c>
      <c r="J6365" t="s">
        <v>61</v>
      </c>
      <c r="K6365" t="s">
        <v>111</v>
      </c>
      <c r="L6365" t="s">
        <v>87</v>
      </c>
    </row>
    <row r="6366" spans="1:13">
      <c r="A6366">
        <v>46153</v>
      </c>
      <c r="B6366" t="s">
        <v>97</v>
      </c>
      <c r="E6366">
        <v>126</v>
      </c>
      <c r="F6366">
        <v>1</v>
      </c>
      <c r="G6366" t="s">
        <v>65</v>
      </c>
      <c r="H6366" t="s">
        <v>66</v>
      </c>
      <c r="I6366" t="s">
        <v>60</v>
      </c>
      <c r="J6366" t="s">
        <v>61</v>
      </c>
      <c r="K6366" t="s">
        <v>111</v>
      </c>
      <c r="L6366" t="s">
        <v>87</v>
      </c>
    </row>
    <row r="6367" spans="1:13">
      <c r="A6367">
        <v>46153</v>
      </c>
      <c r="B6367" t="s">
        <v>76</v>
      </c>
      <c r="D6367">
        <v>2000</v>
      </c>
      <c r="G6367" t="s">
        <v>77</v>
      </c>
      <c r="I6367" t="s">
        <v>60</v>
      </c>
      <c r="J6367" t="s">
        <v>61</v>
      </c>
      <c r="L6367" t="s">
        <v>62</v>
      </c>
    </row>
    <row r="6368" spans="1:13">
      <c r="A6368">
        <v>46153</v>
      </c>
      <c r="B6368" t="s">
        <v>63</v>
      </c>
      <c r="E6368">
        <v>100</v>
      </c>
      <c r="F6368">
        <v>1</v>
      </c>
      <c r="G6368" t="s">
        <v>65</v>
      </c>
      <c r="H6368" t="s">
        <v>66</v>
      </c>
      <c r="I6368" t="s">
        <v>60</v>
      </c>
      <c r="J6368" t="s">
        <v>61</v>
      </c>
      <c r="L6368" t="s">
        <v>62</v>
      </c>
      <c r="M6368" t="s">
        <v>94</v>
      </c>
    </row>
    <row r="6369" spans="1:13">
      <c r="A6369">
        <v>46153</v>
      </c>
      <c r="B6369" t="s">
        <v>63</v>
      </c>
      <c r="E6369">
        <v>2000</v>
      </c>
      <c r="F6369">
        <v>1</v>
      </c>
      <c r="G6369" t="s">
        <v>65</v>
      </c>
      <c r="H6369" t="s">
        <v>66</v>
      </c>
      <c r="I6369" t="s">
        <v>60</v>
      </c>
      <c r="J6369" t="s">
        <v>61</v>
      </c>
      <c r="L6369" t="s">
        <v>62</v>
      </c>
      <c r="M6369" t="s">
        <v>91</v>
      </c>
    </row>
    <row r="6370" spans="1:13">
      <c r="A6370">
        <v>46153</v>
      </c>
      <c r="B6370" t="s">
        <v>235</v>
      </c>
      <c r="F6370">
        <v>1</v>
      </c>
      <c r="G6370" t="s">
        <v>0</v>
      </c>
      <c r="L6370" t="s">
        <v>89</v>
      </c>
    </row>
    <row r="6371" spans="1:13">
      <c r="A6371">
        <v>46154</v>
      </c>
      <c r="B6371" t="s">
        <v>81</v>
      </c>
      <c r="D6371">
        <v>57000</v>
      </c>
      <c r="F6371">
        <v>1</v>
      </c>
      <c r="G6371" t="s">
        <v>74</v>
      </c>
      <c r="H6371" t="s">
        <v>75</v>
      </c>
      <c r="I6371" t="s">
        <v>60</v>
      </c>
      <c r="J6371" t="s">
        <v>61</v>
      </c>
      <c r="L6371" t="s">
        <v>88</v>
      </c>
    </row>
    <row r="6372" spans="1:13">
      <c r="A6372">
        <v>46154</v>
      </c>
      <c r="B6372" t="s">
        <v>221</v>
      </c>
      <c r="D6372">
        <v>500</v>
      </c>
      <c r="F6372">
        <v>1</v>
      </c>
      <c r="G6372" t="s">
        <v>22</v>
      </c>
      <c r="H6372" t="s">
        <v>21</v>
      </c>
      <c r="I6372" t="s">
        <v>60</v>
      </c>
      <c r="J6372" t="s">
        <v>61</v>
      </c>
      <c r="L6372" t="s">
        <v>89</v>
      </c>
    </row>
    <row r="6373" spans="1:13">
      <c r="A6373">
        <v>46154</v>
      </c>
      <c r="B6373" t="s">
        <v>222</v>
      </c>
      <c r="F6373">
        <v>1</v>
      </c>
      <c r="G6373" t="s">
        <v>79</v>
      </c>
      <c r="H6373" t="s">
        <v>21</v>
      </c>
      <c r="L6373" t="s">
        <v>89</v>
      </c>
      <c r="M6373" t="s">
        <v>327</v>
      </c>
    </row>
    <row r="6374" spans="1:13">
      <c r="A6374">
        <v>46154</v>
      </c>
      <c r="B6374" t="s">
        <v>223</v>
      </c>
      <c r="D6374">
        <v>500</v>
      </c>
      <c r="F6374">
        <v>1</v>
      </c>
      <c r="G6374" t="s">
        <v>22</v>
      </c>
      <c r="H6374" t="s">
        <v>21</v>
      </c>
      <c r="I6374" t="s">
        <v>60</v>
      </c>
      <c r="J6374" t="s">
        <v>61</v>
      </c>
      <c r="L6374" t="s">
        <v>89</v>
      </c>
    </row>
    <row r="6375" spans="1:13">
      <c r="A6375">
        <v>46154</v>
      </c>
      <c r="B6375" t="s">
        <v>224</v>
      </c>
      <c r="D6375">
        <v>500</v>
      </c>
      <c r="F6375">
        <v>1</v>
      </c>
      <c r="G6375" t="s">
        <v>22</v>
      </c>
      <c r="H6375" t="s">
        <v>21</v>
      </c>
      <c r="I6375" t="s">
        <v>60</v>
      </c>
      <c r="J6375" t="s">
        <v>61</v>
      </c>
      <c r="L6375" t="s">
        <v>89</v>
      </c>
    </row>
    <row r="6376" spans="1:13">
      <c r="A6376">
        <v>46154</v>
      </c>
      <c r="B6376" t="s">
        <v>225</v>
      </c>
      <c r="D6376">
        <v>500</v>
      </c>
      <c r="F6376">
        <v>1</v>
      </c>
      <c r="G6376" t="s">
        <v>22</v>
      </c>
      <c r="H6376" t="s">
        <v>21</v>
      </c>
      <c r="I6376" t="s">
        <v>60</v>
      </c>
      <c r="J6376" t="s">
        <v>61</v>
      </c>
      <c r="L6376" t="s">
        <v>82</v>
      </c>
    </row>
    <row r="6377" spans="1:13">
      <c r="A6377">
        <v>46154</v>
      </c>
      <c r="B6377" t="s">
        <v>226</v>
      </c>
      <c r="D6377">
        <v>500</v>
      </c>
      <c r="F6377">
        <v>1</v>
      </c>
      <c r="G6377" t="s">
        <v>22</v>
      </c>
      <c r="H6377" t="s">
        <v>21</v>
      </c>
      <c r="I6377" t="s">
        <v>60</v>
      </c>
      <c r="J6377" t="s">
        <v>61</v>
      </c>
      <c r="L6377" t="s">
        <v>82</v>
      </c>
    </row>
    <row r="6378" spans="1:13">
      <c r="A6378">
        <v>46154</v>
      </c>
      <c r="B6378" t="s">
        <v>63</v>
      </c>
      <c r="D6378">
        <v>35500</v>
      </c>
      <c r="G6378" t="s">
        <v>70</v>
      </c>
      <c r="I6378" t="s">
        <v>60</v>
      </c>
      <c r="J6378" t="s">
        <v>61</v>
      </c>
      <c r="L6378" t="s">
        <v>82</v>
      </c>
    </row>
    <row r="6379" spans="1:13">
      <c r="A6379">
        <v>46154</v>
      </c>
      <c r="B6379" t="s">
        <v>97</v>
      </c>
      <c r="E6379">
        <v>6932</v>
      </c>
      <c r="F6379">
        <v>1</v>
      </c>
      <c r="G6379" t="s">
        <v>74</v>
      </c>
      <c r="H6379" t="s">
        <v>75</v>
      </c>
      <c r="I6379" t="s">
        <v>60</v>
      </c>
      <c r="J6379" t="s">
        <v>61</v>
      </c>
      <c r="K6379" t="s">
        <v>474</v>
      </c>
      <c r="L6379" t="s">
        <v>87</v>
      </c>
    </row>
    <row r="6380" spans="1:13">
      <c r="A6380">
        <v>46154</v>
      </c>
      <c r="B6380" t="s">
        <v>80</v>
      </c>
      <c r="E6380">
        <v>68</v>
      </c>
      <c r="F6380">
        <v>1</v>
      </c>
      <c r="G6380" t="s">
        <v>65</v>
      </c>
      <c r="H6380" t="s">
        <v>66</v>
      </c>
      <c r="I6380" t="s">
        <v>60</v>
      </c>
      <c r="J6380" t="s">
        <v>61</v>
      </c>
      <c r="K6380" t="s">
        <v>474</v>
      </c>
      <c r="L6380" t="s">
        <v>87</v>
      </c>
    </row>
    <row r="6381" spans="1:13">
      <c r="A6381">
        <v>46154</v>
      </c>
      <c r="B6381" t="s">
        <v>227</v>
      </c>
      <c r="F6381">
        <v>1</v>
      </c>
      <c r="G6381" t="s">
        <v>79</v>
      </c>
      <c r="H6381" t="s">
        <v>21</v>
      </c>
      <c r="L6381" t="s">
        <v>89</v>
      </c>
      <c r="M6381" t="s">
        <v>327</v>
      </c>
    </row>
    <row r="6382" spans="1:13">
      <c r="A6382">
        <v>46154</v>
      </c>
      <c r="B6382" t="s">
        <v>227</v>
      </c>
      <c r="F6382">
        <v>1</v>
      </c>
      <c r="G6382" t="s">
        <v>64</v>
      </c>
      <c r="L6382" t="s">
        <v>89</v>
      </c>
      <c r="M6382" t="s">
        <v>228</v>
      </c>
    </row>
    <row r="6383" spans="1:13">
      <c r="A6383">
        <v>46154</v>
      </c>
      <c r="B6383" t="s">
        <v>229</v>
      </c>
      <c r="D6383">
        <v>500</v>
      </c>
      <c r="F6383">
        <v>1</v>
      </c>
      <c r="G6383" t="s">
        <v>22</v>
      </c>
      <c r="H6383" t="s">
        <v>21</v>
      </c>
      <c r="I6383" t="s">
        <v>60</v>
      </c>
      <c r="J6383" t="s">
        <v>61</v>
      </c>
      <c r="L6383" t="s">
        <v>89</v>
      </c>
    </row>
    <row r="6384" spans="1:13">
      <c r="A6384">
        <v>46154</v>
      </c>
      <c r="B6384" t="s">
        <v>230</v>
      </c>
      <c r="F6384">
        <v>1</v>
      </c>
      <c r="G6384" t="s">
        <v>79</v>
      </c>
      <c r="H6384" t="s">
        <v>21</v>
      </c>
      <c r="L6384" t="s">
        <v>89</v>
      </c>
      <c r="M6384" t="s">
        <v>327</v>
      </c>
    </row>
    <row r="6385" spans="1:13">
      <c r="A6385">
        <v>46154</v>
      </c>
      <c r="B6385" t="s">
        <v>231</v>
      </c>
      <c r="F6385">
        <v>1</v>
      </c>
      <c r="G6385" t="s">
        <v>64</v>
      </c>
      <c r="L6385" t="s">
        <v>89</v>
      </c>
      <c r="M6385" t="s">
        <v>232</v>
      </c>
    </row>
    <row r="6386" spans="1:13">
      <c r="A6386">
        <v>46154</v>
      </c>
      <c r="B6386" t="s">
        <v>234</v>
      </c>
      <c r="F6386">
        <v>1</v>
      </c>
      <c r="G6386" t="s">
        <v>0</v>
      </c>
      <c r="L6386" t="s">
        <v>89</v>
      </c>
    </row>
    <row r="6387" spans="1:13">
      <c r="A6387">
        <v>46154</v>
      </c>
      <c r="B6387" t="s">
        <v>236</v>
      </c>
      <c r="F6387">
        <v>1</v>
      </c>
      <c r="G6387" t="s">
        <v>0</v>
      </c>
      <c r="L6387" t="s">
        <v>82</v>
      </c>
    </row>
    <row r="6388" spans="1:13">
      <c r="A6388">
        <v>46154</v>
      </c>
      <c r="B6388" t="s">
        <v>237</v>
      </c>
      <c r="F6388">
        <v>1</v>
      </c>
      <c r="G6388" t="s">
        <v>0</v>
      </c>
      <c r="L6388" t="s">
        <v>86</v>
      </c>
    </row>
    <row r="6389" spans="1:13">
      <c r="A6389">
        <v>46154</v>
      </c>
      <c r="B6389" t="s">
        <v>63</v>
      </c>
      <c r="E6389">
        <v>3000</v>
      </c>
      <c r="F6389">
        <v>1</v>
      </c>
      <c r="G6389" t="s">
        <v>65</v>
      </c>
      <c r="H6389" t="s">
        <v>66</v>
      </c>
      <c r="I6389" t="s">
        <v>60</v>
      </c>
      <c r="J6389" t="s">
        <v>61</v>
      </c>
      <c r="L6389" t="s">
        <v>62</v>
      </c>
    </row>
    <row r="6390" spans="1:13">
      <c r="A6390">
        <v>46155</v>
      </c>
      <c r="B6390" t="s">
        <v>97</v>
      </c>
      <c r="E6390">
        <v>28224</v>
      </c>
      <c r="F6390">
        <v>1</v>
      </c>
      <c r="G6390" t="s">
        <v>74</v>
      </c>
      <c r="H6390" t="s">
        <v>75</v>
      </c>
      <c r="I6390" t="s">
        <v>60</v>
      </c>
      <c r="J6390" t="s">
        <v>61</v>
      </c>
      <c r="K6390" t="s">
        <v>311</v>
      </c>
      <c r="L6390" t="s">
        <v>87</v>
      </c>
    </row>
    <row r="6391" spans="1:13">
      <c r="A6391">
        <v>46155</v>
      </c>
      <c r="B6391" t="s">
        <v>80</v>
      </c>
      <c r="E6391">
        <v>276</v>
      </c>
      <c r="F6391">
        <v>1</v>
      </c>
      <c r="G6391" t="s">
        <v>65</v>
      </c>
      <c r="H6391" t="s">
        <v>66</v>
      </c>
      <c r="I6391" t="s">
        <v>60</v>
      </c>
      <c r="J6391" t="s">
        <v>61</v>
      </c>
      <c r="K6391" t="s">
        <v>311</v>
      </c>
      <c r="L6391" t="s">
        <v>87</v>
      </c>
    </row>
    <row r="6392" spans="1:13">
      <c r="A6392">
        <v>46155</v>
      </c>
      <c r="B6392" t="s">
        <v>81</v>
      </c>
      <c r="D6392">
        <v>164000</v>
      </c>
      <c r="F6392">
        <v>1</v>
      </c>
      <c r="G6392" t="s">
        <v>74</v>
      </c>
      <c r="H6392" t="s">
        <v>75</v>
      </c>
      <c r="I6392" t="s">
        <v>60</v>
      </c>
      <c r="J6392" t="s">
        <v>61</v>
      </c>
      <c r="L6392" t="s">
        <v>88</v>
      </c>
    </row>
    <row r="6393" spans="1:13">
      <c r="A6393">
        <v>46155</v>
      </c>
      <c r="B6393" t="s">
        <v>239</v>
      </c>
      <c r="F6393">
        <v>1</v>
      </c>
      <c r="G6393" t="s">
        <v>99</v>
      </c>
      <c r="H6393" t="s">
        <v>21</v>
      </c>
      <c r="L6393" t="s">
        <v>86</v>
      </c>
      <c r="M6393" t="s">
        <v>328</v>
      </c>
    </row>
    <row r="6394" spans="1:13">
      <c r="A6394">
        <v>46155</v>
      </c>
      <c r="B6394" t="s">
        <v>240</v>
      </c>
      <c r="D6394">
        <v>500</v>
      </c>
      <c r="F6394">
        <v>1</v>
      </c>
      <c r="G6394" t="s">
        <v>22</v>
      </c>
      <c r="H6394" t="s">
        <v>21</v>
      </c>
      <c r="I6394" t="s">
        <v>60</v>
      </c>
      <c r="J6394" t="s">
        <v>61</v>
      </c>
      <c r="L6394" t="s">
        <v>82</v>
      </c>
    </row>
    <row r="6395" spans="1:13">
      <c r="A6395">
        <v>46155</v>
      </c>
      <c r="B6395" t="s">
        <v>84</v>
      </c>
      <c r="D6395">
        <v>-52000</v>
      </c>
      <c r="G6395" t="s">
        <v>77</v>
      </c>
      <c r="I6395" t="s">
        <v>60</v>
      </c>
      <c r="J6395" t="s">
        <v>61</v>
      </c>
      <c r="L6395" t="s">
        <v>62</v>
      </c>
    </row>
    <row r="6396" spans="1:13">
      <c r="A6396">
        <v>46155</v>
      </c>
      <c r="B6396" t="s">
        <v>84</v>
      </c>
      <c r="E6396">
        <v>-2750</v>
      </c>
      <c r="F6396">
        <v>1</v>
      </c>
      <c r="G6396" t="s">
        <v>65</v>
      </c>
      <c r="H6396" t="s">
        <v>85</v>
      </c>
      <c r="I6396" t="s">
        <v>60</v>
      </c>
      <c r="J6396" t="s">
        <v>61</v>
      </c>
      <c r="L6396" t="s">
        <v>62</v>
      </c>
    </row>
    <row r="6397" spans="1:13">
      <c r="A6397">
        <v>46155</v>
      </c>
      <c r="B6397" t="s">
        <v>84</v>
      </c>
      <c r="E6397">
        <v>750</v>
      </c>
      <c r="F6397">
        <v>1</v>
      </c>
      <c r="G6397" t="s">
        <v>65</v>
      </c>
      <c r="H6397" t="s">
        <v>66</v>
      </c>
      <c r="I6397" t="s">
        <v>60</v>
      </c>
      <c r="J6397" t="s">
        <v>61</v>
      </c>
      <c r="L6397" t="s">
        <v>62</v>
      </c>
    </row>
    <row r="6398" spans="1:13">
      <c r="A6398">
        <v>46155</v>
      </c>
      <c r="B6398" t="s">
        <v>76</v>
      </c>
      <c r="D6398">
        <v>55000</v>
      </c>
      <c r="G6398" t="s">
        <v>77</v>
      </c>
      <c r="I6398" t="s">
        <v>60</v>
      </c>
      <c r="J6398" t="s">
        <v>61</v>
      </c>
      <c r="L6398" t="s">
        <v>62</v>
      </c>
    </row>
    <row r="6399" spans="1:13">
      <c r="A6399">
        <v>46155</v>
      </c>
      <c r="B6399" t="s">
        <v>63</v>
      </c>
      <c r="D6399">
        <v>100</v>
      </c>
      <c r="F6399">
        <v>1</v>
      </c>
      <c r="G6399" t="s">
        <v>22</v>
      </c>
      <c r="H6399" t="s">
        <v>93</v>
      </c>
      <c r="I6399" t="s">
        <v>60</v>
      </c>
      <c r="J6399" t="s">
        <v>61</v>
      </c>
      <c r="L6399" t="s">
        <v>62</v>
      </c>
    </row>
    <row r="6400" spans="1:13">
      <c r="A6400">
        <v>46155</v>
      </c>
      <c r="B6400" t="s">
        <v>241</v>
      </c>
      <c r="D6400">
        <v>500</v>
      </c>
      <c r="F6400">
        <v>1</v>
      </c>
      <c r="G6400" t="s">
        <v>22</v>
      </c>
      <c r="H6400" t="s">
        <v>21</v>
      </c>
      <c r="I6400" t="s">
        <v>60</v>
      </c>
      <c r="J6400" t="s">
        <v>61</v>
      </c>
      <c r="L6400" t="s">
        <v>82</v>
      </c>
    </row>
    <row r="6401" spans="1:13">
      <c r="A6401">
        <v>46155</v>
      </c>
      <c r="B6401" t="s">
        <v>242</v>
      </c>
      <c r="D6401">
        <v>500</v>
      </c>
      <c r="F6401">
        <v>1</v>
      </c>
      <c r="G6401" t="s">
        <v>22</v>
      </c>
      <c r="H6401" t="s">
        <v>21</v>
      </c>
      <c r="I6401" t="s">
        <v>60</v>
      </c>
      <c r="J6401" t="s">
        <v>61</v>
      </c>
      <c r="L6401" t="s">
        <v>82</v>
      </c>
    </row>
    <row r="6402" spans="1:13">
      <c r="A6402">
        <v>46155</v>
      </c>
      <c r="B6402" t="s">
        <v>243</v>
      </c>
      <c r="F6402">
        <v>1</v>
      </c>
      <c r="G6402" t="s">
        <v>64</v>
      </c>
      <c r="L6402" t="s">
        <v>82</v>
      </c>
      <c r="M6402" t="s">
        <v>244</v>
      </c>
    </row>
    <row r="6403" spans="1:13">
      <c r="A6403">
        <v>46155</v>
      </c>
      <c r="B6403" t="s">
        <v>245</v>
      </c>
      <c r="F6403">
        <v>1</v>
      </c>
      <c r="G6403" t="s">
        <v>64</v>
      </c>
      <c r="L6403" t="s">
        <v>82</v>
      </c>
      <c r="M6403" t="s">
        <v>246</v>
      </c>
    </row>
    <row r="6404" spans="1:13">
      <c r="A6404">
        <v>46155</v>
      </c>
      <c r="B6404" t="s">
        <v>63</v>
      </c>
      <c r="D6404">
        <v>9429</v>
      </c>
      <c r="G6404" t="s">
        <v>70</v>
      </c>
      <c r="I6404" t="s">
        <v>60</v>
      </c>
      <c r="J6404" t="s">
        <v>61</v>
      </c>
      <c r="L6404" t="s">
        <v>62</v>
      </c>
    </row>
    <row r="6405" spans="1:13">
      <c r="A6405">
        <v>46155</v>
      </c>
      <c r="B6405" t="s">
        <v>247</v>
      </c>
      <c r="D6405">
        <v>500</v>
      </c>
      <c r="F6405">
        <v>1</v>
      </c>
      <c r="G6405" t="s">
        <v>22</v>
      </c>
      <c r="H6405" t="s">
        <v>21</v>
      </c>
      <c r="I6405" t="s">
        <v>60</v>
      </c>
      <c r="J6405" t="s">
        <v>61</v>
      </c>
      <c r="L6405" t="s">
        <v>82</v>
      </c>
    </row>
    <row r="6406" spans="1:13">
      <c r="A6406">
        <v>46155</v>
      </c>
      <c r="B6406" t="s">
        <v>63</v>
      </c>
      <c r="E6406">
        <v>2000</v>
      </c>
      <c r="F6406">
        <v>1</v>
      </c>
      <c r="G6406" t="s">
        <v>65</v>
      </c>
      <c r="H6406" t="s">
        <v>66</v>
      </c>
      <c r="I6406" t="s">
        <v>60</v>
      </c>
      <c r="J6406" t="s">
        <v>61</v>
      </c>
      <c r="L6406" t="s">
        <v>62</v>
      </c>
      <c r="M6406" t="s">
        <v>91</v>
      </c>
    </row>
    <row r="6407" spans="1:13">
      <c r="A6407">
        <v>46155</v>
      </c>
      <c r="B6407" t="s">
        <v>63</v>
      </c>
      <c r="E6407">
        <v>100</v>
      </c>
      <c r="F6407">
        <v>1</v>
      </c>
      <c r="G6407" t="s">
        <v>65</v>
      </c>
      <c r="H6407" t="s">
        <v>66</v>
      </c>
      <c r="I6407" t="s">
        <v>60</v>
      </c>
      <c r="J6407" t="s">
        <v>61</v>
      </c>
      <c r="L6407" t="s">
        <v>62</v>
      </c>
      <c r="M6407" t="s">
        <v>94</v>
      </c>
    </row>
    <row r="6408" spans="1:13">
      <c r="A6408">
        <v>46155</v>
      </c>
      <c r="B6408" t="s">
        <v>249</v>
      </c>
      <c r="F6408">
        <v>1</v>
      </c>
      <c r="G6408" t="s">
        <v>0</v>
      </c>
      <c r="L6408" t="s">
        <v>86</v>
      </c>
    </row>
    <row r="6409" spans="1:13">
      <c r="A6409">
        <v>46155</v>
      </c>
      <c r="B6409" t="s">
        <v>250</v>
      </c>
      <c r="F6409">
        <v>1</v>
      </c>
      <c r="G6409" t="s">
        <v>0</v>
      </c>
      <c r="L6409" t="s">
        <v>86</v>
      </c>
    </row>
    <row r="6410" spans="1:13">
      <c r="A6410">
        <v>46156</v>
      </c>
      <c r="B6410" t="s">
        <v>251</v>
      </c>
      <c r="D6410">
        <v>500</v>
      </c>
      <c r="F6410">
        <v>1</v>
      </c>
      <c r="G6410" t="s">
        <v>22</v>
      </c>
      <c r="H6410" t="s">
        <v>21</v>
      </c>
      <c r="I6410" t="s">
        <v>60</v>
      </c>
      <c r="J6410" t="s">
        <v>61</v>
      </c>
      <c r="L6410" t="s">
        <v>89</v>
      </c>
    </row>
    <row r="6411" spans="1:13">
      <c r="A6411">
        <v>46156</v>
      </c>
      <c r="B6411" t="s">
        <v>252</v>
      </c>
      <c r="D6411">
        <v>500</v>
      </c>
      <c r="F6411">
        <v>1</v>
      </c>
      <c r="G6411" t="s">
        <v>22</v>
      </c>
      <c r="H6411" t="s">
        <v>21</v>
      </c>
      <c r="I6411" t="s">
        <v>60</v>
      </c>
      <c r="J6411" t="s">
        <v>61</v>
      </c>
      <c r="L6411" t="s">
        <v>89</v>
      </c>
    </row>
    <row r="6412" spans="1:13">
      <c r="A6412">
        <v>46156</v>
      </c>
      <c r="B6412" t="s">
        <v>253</v>
      </c>
      <c r="D6412">
        <v>500</v>
      </c>
      <c r="F6412">
        <v>1</v>
      </c>
      <c r="G6412" t="s">
        <v>22</v>
      </c>
      <c r="H6412" t="s">
        <v>21</v>
      </c>
      <c r="I6412" t="s">
        <v>60</v>
      </c>
      <c r="J6412" t="s">
        <v>61</v>
      </c>
      <c r="L6412" t="s">
        <v>89</v>
      </c>
    </row>
    <row r="6413" spans="1:13">
      <c r="A6413">
        <v>46156</v>
      </c>
      <c r="B6413" t="s">
        <v>63</v>
      </c>
      <c r="D6413">
        <v>28500</v>
      </c>
      <c r="G6413" t="s">
        <v>70</v>
      </c>
      <c r="I6413" t="s">
        <v>60</v>
      </c>
      <c r="J6413" t="s">
        <v>61</v>
      </c>
      <c r="L6413" t="s">
        <v>62</v>
      </c>
    </row>
    <row r="6414" spans="1:13">
      <c r="A6414">
        <v>46156</v>
      </c>
      <c r="B6414" t="s">
        <v>80</v>
      </c>
      <c r="E6414">
        <v>12874</v>
      </c>
      <c r="F6414">
        <v>1</v>
      </c>
      <c r="G6414" t="s">
        <v>74</v>
      </c>
      <c r="H6414" t="s">
        <v>75</v>
      </c>
      <c r="I6414" t="s">
        <v>60</v>
      </c>
      <c r="J6414" t="s">
        <v>61</v>
      </c>
      <c r="K6414" t="s">
        <v>475</v>
      </c>
      <c r="L6414" t="s">
        <v>87</v>
      </c>
    </row>
    <row r="6415" spans="1:13">
      <c r="A6415">
        <v>46156</v>
      </c>
      <c r="B6415" t="s">
        <v>80</v>
      </c>
      <c r="E6415">
        <v>126</v>
      </c>
      <c r="F6415">
        <v>1</v>
      </c>
      <c r="G6415" t="s">
        <v>65</v>
      </c>
      <c r="H6415" t="s">
        <v>66</v>
      </c>
      <c r="I6415" t="s">
        <v>60</v>
      </c>
      <c r="J6415" t="s">
        <v>61</v>
      </c>
      <c r="K6415" t="s">
        <v>475</v>
      </c>
      <c r="L6415" t="s">
        <v>87</v>
      </c>
    </row>
    <row r="6416" spans="1:13">
      <c r="A6416">
        <v>46156</v>
      </c>
      <c r="B6416" t="s">
        <v>80</v>
      </c>
      <c r="E6416">
        <v>15350</v>
      </c>
      <c r="F6416">
        <v>1</v>
      </c>
      <c r="G6416" t="s">
        <v>74</v>
      </c>
      <c r="H6416" t="s">
        <v>75</v>
      </c>
      <c r="I6416" t="s">
        <v>60</v>
      </c>
      <c r="J6416" t="s">
        <v>61</v>
      </c>
      <c r="K6416" t="s">
        <v>476</v>
      </c>
      <c r="L6416" t="s">
        <v>87</v>
      </c>
    </row>
    <row r="6417" spans="1:13">
      <c r="A6417">
        <v>46156</v>
      </c>
      <c r="B6417" t="s">
        <v>80</v>
      </c>
      <c r="E6417">
        <v>150</v>
      </c>
      <c r="F6417">
        <v>1</v>
      </c>
      <c r="G6417" t="s">
        <v>65</v>
      </c>
      <c r="H6417" t="s">
        <v>66</v>
      </c>
      <c r="I6417" t="s">
        <v>60</v>
      </c>
      <c r="J6417" t="s">
        <v>61</v>
      </c>
      <c r="K6417" t="s">
        <v>476</v>
      </c>
      <c r="L6417" t="s">
        <v>87</v>
      </c>
    </row>
    <row r="6418" spans="1:13">
      <c r="A6418">
        <v>46156</v>
      </c>
      <c r="B6418" t="s">
        <v>76</v>
      </c>
      <c r="D6418">
        <v>9400</v>
      </c>
      <c r="G6418" t="s">
        <v>77</v>
      </c>
      <c r="I6418" t="s">
        <v>60</v>
      </c>
      <c r="J6418" t="s">
        <v>61</v>
      </c>
      <c r="L6418" t="s">
        <v>62</v>
      </c>
    </row>
    <row r="6419" spans="1:13">
      <c r="A6419">
        <v>46156</v>
      </c>
      <c r="B6419" t="s">
        <v>254</v>
      </c>
      <c r="D6419">
        <v>500</v>
      </c>
      <c r="F6419">
        <v>0</v>
      </c>
      <c r="G6419" t="s">
        <v>22</v>
      </c>
      <c r="H6419" t="s">
        <v>21</v>
      </c>
      <c r="I6419" t="s">
        <v>60</v>
      </c>
      <c r="J6419" t="s">
        <v>61</v>
      </c>
      <c r="L6419" t="s">
        <v>89</v>
      </c>
      <c r="M6419" t="s">
        <v>83</v>
      </c>
    </row>
    <row r="6420" spans="1:13">
      <c r="A6420">
        <v>46156</v>
      </c>
      <c r="B6420" t="s">
        <v>255</v>
      </c>
      <c r="D6420">
        <v>500</v>
      </c>
      <c r="F6420">
        <v>1</v>
      </c>
      <c r="G6420" t="s">
        <v>22</v>
      </c>
      <c r="H6420" t="s">
        <v>21</v>
      </c>
      <c r="I6420" t="s">
        <v>60</v>
      </c>
      <c r="J6420" t="s">
        <v>61</v>
      </c>
      <c r="L6420" t="s">
        <v>86</v>
      </c>
    </row>
    <row r="6421" spans="1:13">
      <c r="A6421">
        <v>46156</v>
      </c>
      <c r="B6421" t="s">
        <v>256</v>
      </c>
      <c r="D6421">
        <v>500</v>
      </c>
      <c r="F6421">
        <v>1</v>
      </c>
      <c r="G6421" t="s">
        <v>22</v>
      </c>
      <c r="H6421" t="s">
        <v>21</v>
      </c>
      <c r="I6421" t="s">
        <v>60</v>
      </c>
      <c r="J6421" t="s">
        <v>61</v>
      </c>
      <c r="L6421" t="s">
        <v>89</v>
      </c>
    </row>
    <row r="6422" spans="1:13">
      <c r="A6422">
        <v>46156</v>
      </c>
      <c r="B6422" t="s">
        <v>257</v>
      </c>
      <c r="D6422">
        <v>500</v>
      </c>
      <c r="F6422">
        <v>0</v>
      </c>
      <c r="G6422" t="s">
        <v>22</v>
      </c>
      <c r="H6422" t="s">
        <v>21</v>
      </c>
      <c r="I6422" t="s">
        <v>60</v>
      </c>
      <c r="J6422" t="s">
        <v>61</v>
      </c>
      <c r="L6422" t="s">
        <v>86</v>
      </c>
      <c r="M6422" t="s">
        <v>83</v>
      </c>
    </row>
    <row r="6423" spans="1:13">
      <c r="A6423">
        <v>46156</v>
      </c>
      <c r="B6423" t="s">
        <v>258</v>
      </c>
      <c r="F6423">
        <v>1</v>
      </c>
      <c r="G6423" t="s">
        <v>64</v>
      </c>
      <c r="L6423" t="s">
        <v>86</v>
      </c>
      <c r="M6423" t="s">
        <v>96</v>
      </c>
    </row>
    <row r="6424" spans="1:13">
      <c r="A6424">
        <v>46156</v>
      </c>
      <c r="B6424" t="s">
        <v>259</v>
      </c>
      <c r="D6424">
        <v>500</v>
      </c>
      <c r="F6424">
        <v>1</v>
      </c>
      <c r="G6424" t="s">
        <v>22</v>
      </c>
      <c r="H6424" t="s">
        <v>21</v>
      </c>
      <c r="I6424" t="s">
        <v>60</v>
      </c>
      <c r="J6424" t="s">
        <v>61</v>
      </c>
      <c r="L6424" t="s">
        <v>86</v>
      </c>
    </row>
    <row r="6425" spans="1:13">
      <c r="A6425">
        <v>46156</v>
      </c>
      <c r="B6425" t="s">
        <v>260</v>
      </c>
      <c r="D6425">
        <v>500</v>
      </c>
      <c r="F6425">
        <v>1</v>
      </c>
      <c r="G6425" t="s">
        <v>22</v>
      </c>
      <c r="H6425" t="s">
        <v>21</v>
      </c>
      <c r="I6425" t="s">
        <v>60</v>
      </c>
      <c r="J6425" t="s">
        <v>61</v>
      </c>
      <c r="L6425" t="s">
        <v>86</v>
      </c>
    </row>
    <row r="6426" spans="1:13">
      <c r="A6426">
        <v>46156</v>
      </c>
      <c r="B6426" t="s">
        <v>63</v>
      </c>
      <c r="E6426">
        <v>4500</v>
      </c>
      <c r="F6426">
        <v>1</v>
      </c>
      <c r="G6426" t="s">
        <v>65</v>
      </c>
      <c r="H6426" t="s">
        <v>66</v>
      </c>
      <c r="I6426" t="s">
        <v>60</v>
      </c>
      <c r="J6426" t="s">
        <v>61</v>
      </c>
      <c r="L6426" t="s">
        <v>62</v>
      </c>
      <c r="M6426" t="s">
        <v>91</v>
      </c>
    </row>
    <row r="6427" spans="1:13">
      <c r="A6427">
        <v>46157</v>
      </c>
      <c r="B6427" t="s">
        <v>261</v>
      </c>
      <c r="D6427">
        <v>500</v>
      </c>
      <c r="F6427">
        <v>1</v>
      </c>
      <c r="G6427" t="s">
        <v>22</v>
      </c>
      <c r="H6427" t="s">
        <v>21</v>
      </c>
      <c r="I6427" t="s">
        <v>60</v>
      </c>
      <c r="J6427" t="s">
        <v>61</v>
      </c>
      <c r="L6427" t="s">
        <v>89</v>
      </c>
    </row>
    <row r="6428" spans="1:13">
      <c r="A6428">
        <v>46157</v>
      </c>
      <c r="B6428" t="s">
        <v>262</v>
      </c>
      <c r="F6428">
        <v>1</v>
      </c>
      <c r="G6428" t="s">
        <v>64</v>
      </c>
      <c r="L6428" t="s">
        <v>89</v>
      </c>
      <c r="M6428" t="s">
        <v>263</v>
      </c>
    </row>
    <row r="6429" spans="1:13">
      <c r="A6429">
        <v>46157</v>
      </c>
      <c r="B6429" t="s">
        <v>264</v>
      </c>
      <c r="D6429">
        <v>500</v>
      </c>
      <c r="F6429">
        <v>0</v>
      </c>
      <c r="G6429" t="s">
        <v>22</v>
      </c>
      <c r="H6429" t="s">
        <v>21</v>
      </c>
      <c r="I6429" t="s">
        <v>60</v>
      </c>
      <c r="J6429" t="s">
        <v>61</v>
      </c>
      <c r="L6429" t="s">
        <v>86</v>
      </c>
    </row>
    <row r="6430" spans="1:13">
      <c r="A6430">
        <v>46157</v>
      </c>
      <c r="B6430" t="s">
        <v>196</v>
      </c>
      <c r="E6430">
        <v>8000</v>
      </c>
      <c r="F6430">
        <v>1</v>
      </c>
      <c r="G6430" t="s">
        <v>65</v>
      </c>
      <c r="H6430" t="s">
        <v>265</v>
      </c>
      <c r="I6430" t="s">
        <v>60</v>
      </c>
      <c r="J6430" t="s">
        <v>61</v>
      </c>
      <c r="L6430" t="s">
        <v>62</v>
      </c>
    </row>
    <row r="6431" spans="1:13">
      <c r="A6431">
        <v>46157</v>
      </c>
      <c r="B6431" t="s">
        <v>76</v>
      </c>
      <c r="D6431">
        <v>19900</v>
      </c>
      <c r="G6431" t="s">
        <v>77</v>
      </c>
      <c r="I6431" t="s">
        <v>60</v>
      </c>
      <c r="J6431" t="s">
        <v>61</v>
      </c>
      <c r="L6431" t="s">
        <v>62</v>
      </c>
    </row>
    <row r="6432" spans="1:13">
      <c r="A6432">
        <v>46157</v>
      </c>
      <c r="B6432" t="s">
        <v>63</v>
      </c>
      <c r="D6432">
        <v>10000</v>
      </c>
      <c r="F6432">
        <v>1</v>
      </c>
      <c r="G6432" t="s">
        <v>70</v>
      </c>
      <c r="I6432" t="s">
        <v>71</v>
      </c>
      <c r="J6432" t="s">
        <v>72</v>
      </c>
      <c r="K6432" t="s">
        <v>266</v>
      </c>
      <c r="L6432" t="s">
        <v>62</v>
      </c>
      <c r="M6432" t="s">
        <v>90</v>
      </c>
    </row>
    <row r="6433" spans="1:13">
      <c r="A6433">
        <v>46157</v>
      </c>
      <c r="B6433" t="s">
        <v>267</v>
      </c>
      <c r="F6433">
        <v>1</v>
      </c>
      <c r="G6433" t="s">
        <v>99</v>
      </c>
      <c r="H6433" t="s">
        <v>21</v>
      </c>
      <c r="L6433" t="s">
        <v>86</v>
      </c>
      <c r="M6433" t="s">
        <v>445</v>
      </c>
    </row>
    <row r="6434" spans="1:13">
      <c r="A6434">
        <v>46157</v>
      </c>
      <c r="B6434" t="s">
        <v>268</v>
      </c>
      <c r="F6434">
        <v>1</v>
      </c>
      <c r="G6434" t="s">
        <v>64</v>
      </c>
      <c r="L6434" t="s">
        <v>86</v>
      </c>
      <c r="M6434" t="s">
        <v>96</v>
      </c>
    </row>
    <row r="6435" spans="1:13">
      <c r="A6435">
        <v>46157</v>
      </c>
      <c r="B6435" t="s">
        <v>269</v>
      </c>
      <c r="D6435">
        <v>500</v>
      </c>
      <c r="F6435">
        <v>1</v>
      </c>
      <c r="G6435" t="s">
        <v>22</v>
      </c>
      <c r="H6435" t="s">
        <v>21</v>
      </c>
      <c r="I6435" t="s">
        <v>60</v>
      </c>
      <c r="J6435" t="s">
        <v>61</v>
      </c>
      <c r="L6435" t="s">
        <v>270</v>
      </c>
    </row>
    <row r="6436" spans="1:13">
      <c r="A6436">
        <v>46157</v>
      </c>
      <c r="B6436" t="s">
        <v>80</v>
      </c>
      <c r="E6436">
        <v>7923</v>
      </c>
      <c r="F6436">
        <v>1</v>
      </c>
      <c r="G6436" t="s">
        <v>74</v>
      </c>
      <c r="H6436" t="s">
        <v>75</v>
      </c>
      <c r="I6436" t="s">
        <v>60</v>
      </c>
      <c r="J6436" t="s">
        <v>61</v>
      </c>
      <c r="K6436" t="s">
        <v>109</v>
      </c>
      <c r="L6436" t="s">
        <v>87</v>
      </c>
    </row>
    <row r="6437" spans="1:13">
      <c r="A6437">
        <v>46157</v>
      </c>
      <c r="B6437" t="s">
        <v>80</v>
      </c>
      <c r="E6437">
        <v>77</v>
      </c>
      <c r="F6437">
        <v>1</v>
      </c>
      <c r="G6437" t="s">
        <v>65</v>
      </c>
      <c r="H6437" t="s">
        <v>66</v>
      </c>
      <c r="I6437" t="s">
        <v>60</v>
      </c>
      <c r="J6437" t="s">
        <v>61</v>
      </c>
      <c r="K6437" t="s">
        <v>109</v>
      </c>
      <c r="L6437" t="s">
        <v>87</v>
      </c>
    </row>
    <row r="6438" spans="1:13">
      <c r="A6438">
        <v>46157</v>
      </c>
      <c r="B6438" t="s">
        <v>80</v>
      </c>
      <c r="E6438">
        <v>7923</v>
      </c>
      <c r="F6438">
        <v>1</v>
      </c>
      <c r="G6438" t="s">
        <v>74</v>
      </c>
      <c r="H6438" t="s">
        <v>75</v>
      </c>
      <c r="I6438" t="s">
        <v>60</v>
      </c>
      <c r="J6438" t="s">
        <v>61</v>
      </c>
      <c r="K6438" t="s">
        <v>474</v>
      </c>
      <c r="L6438" t="s">
        <v>87</v>
      </c>
    </row>
    <row r="6439" spans="1:13">
      <c r="A6439">
        <v>46157</v>
      </c>
      <c r="B6439" t="s">
        <v>80</v>
      </c>
      <c r="E6439">
        <v>77</v>
      </c>
      <c r="F6439">
        <v>1</v>
      </c>
      <c r="G6439" t="s">
        <v>65</v>
      </c>
      <c r="H6439" t="s">
        <v>66</v>
      </c>
      <c r="I6439" t="s">
        <v>60</v>
      </c>
      <c r="J6439" t="s">
        <v>61</v>
      </c>
      <c r="K6439" t="s">
        <v>474</v>
      </c>
      <c r="L6439" t="s">
        <v>87</v>
      </c>
    </row>
    <row r="6440" spans="1:13">
      <c r="A6440">
        <v>46157</v>
      </c>
      <c r="B6440" t="s">
        <v>63</v>
      </c>
      <c r="D6440">
        <v>48000</v>
      </c>
      <c r="G6440" t="s">
        <v>70</v>
      </c>
      <c r="I6440" t="s">
        <v>60</v>
      </c>
      <c r="J6440" t="s">
        <v>61</v>
      </c>
      <c r="L6440" t="s">
        <v>62</v>
      </c>
    </row>
    <row r="6441" spans="1:13">
      <c r="A6441">
        <v>46157</v>
      </c>
      <c r="B6441" t="s">
        <v>63</v>
      </c>
      <c r="E6441">
        <v>1500</v>
      </c>
      <c r="F6441">
        <v>1</v>
      </c>
      <c r="G6441" t="s">
        <v>65</v>
      </c>
      <c r="H6441" t="s">
        <v>66</v>
      </c>
      <c r="I6441" t="s">
        <v>60</v>
      </c>
      <c r="J6441" t="s">
        <v>61</v>
      </c>
      <c r="L6441" t="s">
        <v>62</v>
      </c>
      <c r="M6441" t="s">
        <v>91</v>
      </c>
    </row>
    <row r="6442" spans="1:13">
      <c r="A6442">
        <v>46157</v>
      </c>
      <c r="B6442" t="s">
        <v>63</v>
      </c>
      <c r="D6442">
        <v>7000</v>
      </c>
      <c r="F6442">
        <v>1</v>
      </c>
      <c r="G6442" t="s">
        <v>70</v>
      </c>
      <c r="I6442" t="s">
        <v>71</v>
      </c>
      <c r="J6442" t="s">
        <v>72</v>
      </c>
      <c r="K6442" t="s">
        <v>271</v>
      </c>
      <c r="L6442" t="s">
        <v>62</v>
      </c>
      <c r="M6442" t="s">
        <v>272</v>
      </c>
    </row>
    <row r="6443" spans="1:13">
      <c r="A6443">
        <v>46157</v>
      </c>
      <c r="B6443" t="s">
        <v>80</v>
      </c>
      <c r="E6443">
        <v>31690</v>
      </c>
      <c r="F6443">
        <v>1</v>
      </c>
      <c r="G6443" t="s">
        <v>74</v>
      </c>
      <c r="H6443" t="s">
        <v>75</v>
      </c>
      <c r="I6443" t="s">
        <v>60</v>
      </c>
      <c r="J6443" t="s">
        <v>61</v>
      </c>
      <c r="K6443" t="s">
        <v>474</v>
      </c>
      <c r="L6443" t="s">
        <v>87</v>
      </c>
    </row>
    <row r="6444" spans="1:13">
      <c r="A6444">
        <v>46157</v>
      </c>
      <c r="B6444" t="s">
        <v>80</v>
      </c>
      <c r="E6444">
        <v>310</v>
      </c>
      <c r="F6444">
        <v>1</v>
      </c>
      <c r="G6444" t="s">
        <v>65</v>
      </c>
      <c r="H6444" t="s">
        <v>66</v>
      </c>
      <c r="I6444" t="s">
        <v>60</v>
      </c>
      <c r="J6444" t="s">
        <v>61</v>
      </c>
      <c r="K6444" t="s">
        <v>474</v>
      </c>
      <c r="L6444" t="s">
        <v>87</v>
      </c>
    </row>
    <row r="6445" spans="1:13">
      <c r="A6445">
        <v>46157</v>
      </c>
      <c r="B6445" t="s">
        <v>273</v>
      </c>
      <c r="D6445">
        <v>100</v>
      </c>
      <c r="F6445">
        <v>1</v>
      </c>
      <c r="G6445" t="s">
        <v>22</v>
      </c>
      <c r="H6445" t="s">
        <v>93</v>
      </c>
      <c r="I6445" t="s">
        <v>60</v>
      </c>
      <c r="J6445" t="s">
        <v>61</v>
      </c>
      <c r="L6445" t="s">
        <v>62</v>
      </c>
    </row>
    <row r="6446" spans="1:13">
      <c r="A6446">
        <v>46157</v>
      </c>
      <c r="B6446" t="s">
        <v>274</v>
      </c>
      <c r="F6446">
        <v>1</v>
      </c>
      <c r="G6446" t="s">
        <v>64</v>
      </c>
      <c r="L6446" t="s">
        <v>86</v>
      </c>
      <c r="M6446" t="s">
        <v>96</v>
      </c>
    </row>
    <row r="6447" spans="1:13">
      <c r="A6447">
        <v>46157</v>
      </c>
      <c r="B6447" t="s">
        <v>63</v>
      </c>
      <c r="E6447">
        <v>100</v>
      </c>
      <c r="F6447">
        <v>1</v>
      </c>
      <c r="G6447" t="s">
        <v>65</v>
      </c>
      <c r="H6447" t="s">
        <v>66</v>
      </c>
      <c r="I6447" t="s">
        <v>60</v>
      </c>
      <c r="J6447" t="s">
        <v>61</v>
      </c>
      <c r="L6447" t="s">
        <v>62</v>
      </c>
      <c r="M6447" t="s">
        <v>94</v>
      </c>
    </row>
    <row r="6448" spans="1:13">
      <c r="A6448">
        <v>46158</v>
      </c>
      <c r="B6448" t="s">
        <v>81</v>
      </c>
      <c r="D6448">
        <v>80000</v>
      </c>
      <c r="F6448">
        <v>1</v>
      </c>
      <c r="G6448" t="s">
        <v>74</v>
      </c>
      <c r="H6448" t="s">
        <v>75</v>
      </c>
      <c r="I6448" t="s">
        <v>60</v>
      </c>
      <c r="J6448" t="s">
        <v>61</v>
      </c>
      <c r="L6448" t="s">
        <v>214</v>
      </c>
    </row>
    <row r="6449" spans="1:13">
      <c r="A6449">
        <v>46158</v>
      </c>
      <c r="B6449" t="s">
        <v>275</v>
      </c>
      <c r="F6449">
        <v>1</v>
      </c>
      <c r="G6449" t="s">
        <v>0</v>
      </c>
      <c r="L6449" t="s">
        <v>89</v>
      </c>
    </row>
    <row r="6450" spans="1:13">
      <c r="A6450">
        <v>46158</v>
      </c>
      <c r="B6450" t="s">
        <v>276</v>
      </c>
      <c r="D6450">
        <v>500</v>
      </c>
      <c r="F6450">
        <v>1</v>
      </c>
      <c r="G6450" t="s">
        <v>22</v>
      </c>
      <c r="H6450" t="s">
        <v>21</v>
      </c>
      <c r="I6450" t="s">
        <v>60</v>
      </c>
      <c r="J6450" t="s">
        <v>61</v>
      </c>
      <c r="L6450" t="s">
        <v>89</v>
      </c>
    </row>
    <row r="6451" spans="1:13">
      <c r="A6451">
        <v>46158</v>
      </c>
      <c r="B6451" t="s">
        <v>277</v>
      </c>
      <c r="F6451">
        <v>1</v>
      </c>
      <c r="G6451" t="s">
        <v>79</v>
      </c>
      <c r="H6451" t="s">
        <v>21</v>
      </c>
      <c r="L6451" t="s">
        <v>82</v>
      </c>
      <c r="M6451" t="s">
        <v>327</v>
      </c>
    </row>
    <row r="6452" spans="1:13">
      <c r="A6452">
        <v>46158</v>
      </c>
      <c r="B6452" t="s">
        <v>277</v>
      </c>
      <c r="F6452">
        <v>1</v>
      </c>
      <c r="G6452" t="s">
        <v>64</v>
      </c>
      <c r="L6452" t="s">
        <v>82</v>
      </c>
      <c r="M6452" t="s">
        <v>278</v>
      </c>
    </row>
    <row r="6453" spans="1:13">
      <c r="A6453">
        <v>46158</v>
      </c>
      <c r="B6453" t="s">
        <v>279</v>
      </c>
      <c r="D6453">
        <v>500</v>
      </c>
      <c r="F6453">
        <v>1</v>
      </c>
      <c r="G6453" t="s">
        <v>22</v>
      </c>
      <c r="H6453" t="s">
        <v>21</v>
      </c>
      <c r="I6453" t="s">
        <v>60</v>
      </c>
      <c r="J6453" t="s">
        <v>61</v>
      </c>
      <c r="L6453" t="s">
        <v>89</v>
      </c>
    </row>
    <row r="6454" spans="1:13">
      <c r="A6454">
        <v>46158</v>
      </c>
      <c r="B6454" t="s">
        <v>280</v>
      </c>
      <c r="D6454">
        <v>500</v>
      </c>
      <c r="F6454">
        <v>1</v>
      </c>
      <c r="G6454" t="s">
        <v>22</v>
      </c>
      <c r="H6454" t="s">
        <v>21</v>
      </c>
      <c r="I6454" t="s">
        <v>60</v>
      </c>
      <c r="J6454" t="s">
        <v>61</v>
      </c>
      <c r="L6454" t="s">
        <v>82</v>
      </c>
    </row>
    <row r="6455" spans="1:13">
      <c r="A6455">
        <v>46158</v>
      </c>
      <c r="B6455" t="s">
        <v>281</v>
      </c>
      <c r="D6455">
        <v>500</v>
      </c>
      <c r="F6455">
        <v>1</v>
      </c>
      <c r="G6455" t="s">
        <v>22</v>
      </c>
      <c r="H6455" t="s">
        <v>21</v>
      </c>
      <c r="I6455" t="s">
        <v>60</v>
      </c>
      <c r="J6455" t="s">
        <v>61</v>
      </c>
      <c r="L6455" t="s">
        <v>82</v>
      </c>
    </row>
    <row r="6456" spans="1:13">
      <c r="A6456">
        <v>46158</v>
      </c>
      <c r="B6456" t="s">
        <v>282</v>
      </c>
      <c r="D6456">
        <v>500</v>
      </c>
      <c r="F6456">
        <v>1</v>
      </c>
      <c r="G6456" t="s">
        <v>22</v>
      </c>
      <c r="H6456" t="s">
        <v>21</v>
      </c>
      <c r="I6456" t="s">
        <v>60</v>
      </c>
      <c r="J6456" t="s">
        <v>61</v>
      </c>
      <c r="L6456" t="s">
        <v>82</v>
      </c>
    </row>
    <row r="6457" spans="1:13">
      <c r="A6457">
        <v>46158</v>
      </c>
      <c r="B6457" t="s">
        <v>283</v>
      </c>
      <c r="F6457">
        <v>1</v>
      </c>
      <c r="G6457" t="s">
        <v>64</v>
      </c>
      <c r="L6457" t="s">
        <v>82</v>
      </c>
      <c r="M6457" t="s">
        <v>284</v>
      </c>
    </row>
    <row r="6458" spans="1:13">
      <c r="A6458">
        <v>46158</v>
      </c>
      <c r="B6458" t="s">
        <v>63</v>
      </c>
      <c r="D6458">
        <v>32500</v>
      </c>
      <c r="G6458" t="s">
        <v>70</v>
      </c>
      <c r="I6458" t="s">
        <v>60</v>
      </c>
      <c r="J6458" t="s">
        <v>61</v>
      </c>
      <c r="L6458" t="s">
        <v>62</v>
      </c>
    </row>
    <row r="6459" spans="1:13">
      <c r="A6459">
        <v>46158</v>
      </c>
      <c r="B6459" t="s">
        <v>97</v>
      </c>
      <c r="E6459">
        <v>24263</v>
      </c>
      <c r="F6459">
        <v>1</v>
      </c>
      <c r="G6459" t="s">
        <v>74</v>
      </c>
      <c r="H6459" t="s">
        <v>75</v>
      </c>
      <c r="I6459" t="s">
        <v>60</v>
      </c>
      <c r="J6459" t="s">
        <v>61</v>
      </c>
      <c r="K6459" t="s">
        <v>109</v>
      </c>
      <c r="L6459" t="s">
        <v>87</v>
      </c>
    </row>
    <row r="6460" spans="1:13">
      <c r="A6460">
        <v>46158</v>
      </c>
      <c r="B6460" t="s">
        <v>80</v>
      </c>
      <c r="E6460">
        <v>237</v>
      </c>
      <c r="F6460">
        <v>1</v>
      </c>
      <c r="G6460" t="s">
        <v>65</v>
      </c>
      <c r="H6460" t="s">
        <v>66</v>
      </c>
      <c r="I6460" t="s">
        <v>60</v>
      </c>
      <c r="J6460" t="s">
        <v>61</v>
      </c>
      <c r="K6460" t="s">
        <v>109</v>
      </c>
      <c r="L6460" t="s">
        <v>87</v>
      </c>
    </row>
    <row r="6461" spans="1:13">
      <c r="A6461">
        <v>46158</v>
      </c>
      <c r="B6461" t="s">
        <v>285</v>
      </c>
      <c r="D6461">
        <v>500</v>
      </c>
      <c r="F6461">
        <v>1</v>
      </c>
      <c r="G6461" t="s">
        <v>22</v>
      </c>
      <c r="H6461" t="s">
        <v>21</v>
      </c>
      <c r="I6461" t="s">
        <v>60</v>
      </c>
      <c r="J6461" t="s">
        <v>61</v>
      </c>
      <c r="L6461" t="s">
        <v>82</v>
      </c>
    </row>
    <row r="6462" spans="1:13">
      <c r="A6462">
        <v>46158</v>
      </c>
      <c r="B6462" t="s">
        <v>285</v>
      </c>
      <c r="F6462">
        <v>1</v>
      </c>
      <c r="G6462" t="s">
        <v>64</v>
      </c>
      <c r="L6462" t="s">
        <v>82</v>
      </c>
      <c r="M6462" t="s">
        <v>288</v>
      </c>
    </row>
    <row r="6463" spans="1:13">
      <c r="A6463">
        <v>46158</v>
      </c>
      <c r="B6463" t="s">
        <v>63</v>
      </c>
      <c r="D6463">
        <v>27000</v>
      </c>
      <c r="F6463">
        <v>3</v>
      </c>
      <c r="G6463" t="s">
        <v>70</v>
      </c>
      <c r="I6463" t="s">
        <v>71</v>
      </c>
      <c r="J6463" t="s">
        <v>72</v>
      </c>
      <c r="K6463" t="s">
        <v>289</v>
      </c>
      <c r="L6463" t="s">
        <v>62</v>
      </c>
      <c r="M6463" t="s">
        <v>90</v>
      </c>
    </row>
    <row r="6464" spans="1:13">
      <c r="A6464">
        <v>46158</v>
      </c>
      <c r="B6464" t="s">
        <v>76</v>
      </c>
      <c r="D6464">
        <v>10100</v>
      </c>
      <c r="G6464" t="s">
        <v>77</v>
      </c>
      <c r="I6464" t="s">
        <v>60</v>
      </c>
      <c r="J6464" t="s">
        <v>61</v>
      </c>
      <c r="L6464" t="s">
        <v>62</v>
      </c>
    </row>
    <row r="6465" spans="1:13">
      <c r="A6465">
        <v>46158</v>
      </c>
      <c r="B6465" t="s">
        <v>63</v>
      </c>
      <c r="D6465">
        <v>300</v>
      </c>
      <c r="F6465">
        <v>3</v>
      </c>
      <c r="G6465" t="s">
        <v>22</v>
      </c>
      <c r="H6465" t="s">
        <v>93</v>
      </c>
      <c r="I6465" t="s">
        <v>60</v>
      </c>
      <c r="J6465" t="s">
        <v>61</v>
      </c>
      <c r="L6465" t="s">
        <v>62</v>
      </c>
    </row>
    <row r="6466" spans="1:13">
      <c r="A6466">
        <v>46158</v>
      </c>
      <c r="B6466" t="s">
        <v>290</v>
      </c>
      <c r="C6466" t="s">
        <v>291</v>
      </c>
      <c r="E6466">
        <v>7797.52</v>
      </c>
      <c r="F6466">
        <v>1</v>
      </c>
      <c r="G6466" t="s">
        <v>65</v>
      </c>
      <c r="H6466" t="s">
        <v>292</v>
      </c>
      <c r="I6466" t="s">
        <v>60</v>
      </c>
      <c r="J6466" t="s">
        <v>61</v>
      </c>
      <c r="L6466" t="s">
        <v>62</v>
      </c>
    </row>
    <row r="6467" spans="1:13">
      <c r="A6467">
        <v>46158</v>
      </c>
      <c r="B6467" t="s">
        <v>63</v>
      </c>
      <c r="E6467">
        <v>3000</v>
      </c>
      <c r="F6467">
        <v>1</v>
      </c>
      <c r="G6467" t="s">
        <v>65</v>
      </c>
      <c r="H6467" t="s">
        <v>66</v>
      </c>
      <c r="I6467" t="s">
        <v>60</v>
      </c>
      <c r="J6467" t="s">
        <v>61</v>
      </c>
      <c r="L6467" t="s">
        <v>62</v>
      </c>
      <c r="M6467" t="s">
        <v>91</v>
      </c>
    </row>
    <row r="6468" spans="1:13">
      <c r="A6468">
        <v>46158</v>
      </c>
      <c r="B6468" t="s">
        <v>63</v>
      </c>
      <c r="E6468">
        <v>300</v>
      </c>
      <c r="F6468">
        <v>1</v>
      </c>
      <c r="G6468" t="s">
        <v>65</v>
      </c>
      <c r="H6468" t="s">
        <v>66</v>
      </c>
      <c r="I6468" t="s">
        <v>60</v>
      </c>
      <c r="J6468" t="s">
        <v>61</v>
      </c>
      <c r="L6468" t="s">
        <v>62</v>
      </c>
      <c r="M6468" t="s">
        <v>91</v>
      </c>
    </row>
    <row r="6469" spans="1:13">
      <c r="A6469">
        <v>46159</v>
      </c>
      <c r="B6469" t="s">
        <v>293</v>
      </c>
      <c r="D6469">
        <v>500</v>
      </c>
      <c r="F6469">
        <v>1</v>
      </c>
      <c r="G6469" t="s">
        <v>22</v>
      </c>
      <c r="H6469" t="s">
        <v>21</v>
      </c>
      <c r="I6469" t="s">
        <v>60</v>
      </c>
      <c r="J6469" t="s">
        <v>61</v>
      </c>
      <c r="L6469" t="s">
        <v>82</v>
      </c>
    </row>
    <row r="6470" spans="1:13">
      <c r="A6470">
        <v>46159</v>
      </c>
      <c r="B6470" t="s">
        <v>294</v>
      </c>
      <c r="D6470">
        <v>500</v>
      </c>
      <c r="F6470">
        <v>1</v>
      </c>
      <c r="G6470" t="s">
        <v>22</v>
      </c>
      <c r="H6470" t="s">
        <v>21</v>
      </c>
      <c r="I6470" t="s">
        <v>60</v>
      </c>
      <c r="J6470" t="s">
        <v>61</v>
      </c>
      <c r="L6470" t="s">
        <v>82</v>
      </c>
    </row>
    <row r="6471" spans="1:13">
      <c r="A6471">
        <v>46159</v>
      </c>
      <c r="B6471" t="s">
        <v>63</v>
      </c>
      <c r="D6471">
        <v>100</v>
      </c>
      <c r="F6471">
        <v>1</v>
      </c>
      <c r="G6471" t="s">
        <v>22</v>
      </c>
      <c r="H6471" t="s">
        <v>93</v>
      </c>
      <c r="I6471" t="s">
        <v>60</v>
      </c>
      <c r="J6471" t="s">
        <v>61</v>
      </c>
      <c r="L6471" t="s">
        <v>62</v>
      </c>
    </row>
    <row r="6472" spans="1:13">
      <c r="A6472">
        <v>46159</v>
      </c>
      <c r="B6472" t="s">
        <v>295</v>
      </c>
      <c r="D6472">
        <v>500</v>
      </c>
      <c r="F6472">
        <v>1</v>
      </c>
      <c r="G6472" t="s">
        <v>22</v>
      </c>
      <c r="H6472" t="s">
        <v>21</v>
      </c>
      <c r="I6472" t="s">
        <v>60</v>
      </c>
      <c r="J6472" t="s">
        <v>61</v>
      </c>
      <c r="L6472" t="s">
        <v>82</v>
      </c>
    </row>
    <row r="6473" spans="1:13">
      <c r="A6473">
        <v>46159</v>
      </c>
      <c r="B6473" t="s">
        <v>295</v>
      </c>
      <c r="F6473">
        <v>1</v>
      </c>
      <c r="G6473" t="s">
        <v>64</v>
      </c>
      <c r="L6473" t="s">
        <v>82</v>
      </c>
      <c r="M6473" t="s">
        <v>296</v>
      </c>
    </row>
    <row r="6474" spans="1:13">
      <c r="A6474">
        <v>46159</v>
      </c>
      <c r="B6474" t="s">
        <v>297</v>
      </c>
      <c r="D6474">
        <v>500</v>
      </c>
      <c r="F6474">
        <v>1</v>
      </c>
      <c r="G6474" t="s">
        <v>22</v>
      </c>
      <c r="H6474" t="s">
        <v>21</v>
      </c>
      <c r="I6474" t="s">
        <v>60</v>
      </c>
      <c r="J6474" t="s">
        <v>61</v>
      </c>
      <c r="L6474" t="s">
        <v>89</v>
      </c>
    </row>
    <row r="6475" spans="1:13">
      <c r="A6475">
        <v>46159</v>
      </c>
      <c r="B6475" t="s">
        <v>297</v>
      </c>
      <c r="F6475">
        <v>1</v>
      </c>
      <c r="G6475" t="s">
        <v>64</v>
      </c>
      <c r="L6475" t="s">
        <v>89</v>
      </c>
      <c r="M6475" t="s">
        <v>96</v>
      </c>
    </row>
    <row r="6476" spans="1:13">
      <c r="A6476">
        <v>46159</v>
      </c>
      <c r="B6476" t="s">
        <v>298</v>
      </c>
      <c r="F6476">
        <v>1</v>
      </c>
      <c r="G6476" t="s">
        <v>64</v>
      </c>
      <c r="L6476" t="s">
        <v>89</v>
      </c>
      <c r="M6476" t="s">
        <v>232</v>
      </c>
    </row>
    <row r="6477" spans="1:13">
      <c r="A6477">
        <v>46159</v>
      </c>
      <c r="B6477" t="s">
        <v>299</v>
      </c>
      <c r="D6477">
        <v>500</v>
      </c>
      <c r="F6477">
        <v>1</v>
      </c>
      <c r="G6477" t="s">
        <v>22</v>
      </c>
      <c r="H6477" t="s">
        <v>21</v>
      </c>
      <c r="I6477" t="s">
        <v>60</v>
      </c>
      <c r="J6477" t="s">
        <v>61</v>
      </c>
      <c r="L6477" t="s">
        <v>82</v>
      </c>
    </row>
    <row r="6478" spans="1:13">
      <c r="A6478">
        <v>46159</v>
      </c>
      <c r="B6478" t="s">
        <v>300</v>
      </c>
      <c r="D6478">
        <v>500</v>
      </c>
      <c r="F6478">
        <v>1</v>
      </c>
      <c r="G6478" t="s">
        <v>22</v>
      </c>
      <c r="H6478" t="s">
        <v>21</v>
      </c>
      <c r="I6478" t="s">
        <v>60</v>
      </c>
      <c r="J6478" t="s">
        <v>61</v>
      </c>
      <c r="L6478" t="s">
        <v>89</v>
      </c>
    </row>
    <row r="6479" spans="1:13">
      <c r="A6479">
        <v>46159</v>
      </c>
      <c r="B6479" t="s">
        <v>301</v>
      </c>
      <c r="F6479">
        <v>1</v>
      </c>
      <c r="G6479" t="s">
        <v>64</v>
      </c>
      <c r="L6479" t="s">
        <v>89</v>
      </c>
      <c r="M6479" t="s">
        <v>302</v>
      </c>
    </row>
    <row r="6480" spans="1:13">
      <c r="A6480">
        <v>46159</v>
      </c>
      <c r="B6480" t="s">
        <v>303</v>
      </c>
      <c r="F6480">
        <v>1</v>
      </c>
      <c r="G6480" t="s">
        <v>64</v>
      </c>
      <c r="L6480" t="s">
        <v>89</v>
      </c>
      <c r="M6480" t="s">
        <v>96</v>
      </c>
    </row>
    <row r="6481" spans="1:13">
      <c r="A6481">
        <v>46159</v>
      </c>
      <c r="B6481" t="s">
        <v>304</v>
      </c>
      <c r="F6481">
        <v>1</v>
      </c>
      <c r="G6481" t="s">
        <v>79</v>
      </c>
      <c r="H6481" t="s">
        <v>21</v>
      </c>
      <c r="L6481" t="s">
        <v>89</v>
      </c>
      <c r="M6481" t="s">
        <v>327</v>
      </c>
    </row>
    <row r="6482" spans="1:13">
      <c r="A6482">
        <v>46159</v>
      </c>
      <c r="B6482" t="s">
        <v>63</v>
      </c>
      <c r="D6482">
        <v>12500</v>
      </c>
      <c r="F6482">
        <v>1</v>
      </c>
      <c r="G6482" t="s">
        <v>70</v>
      </c>
      <c r="I6482" t="s">
        <v>71</v>
      </c>
      <c r="J6482" t="s">
        <v>72</v>
      </c>
      <c r="K6482" t="s">
        <v>477</v>
      </c>
      <c r="L6482" t="s">
        <v>62</v>
      </c>
      <c r="M6482" t="s">
        <v>478</v>
      </c>
    </row>
    <row r="6483" spans="1:13">
      <c r="A6483">
        <v>46159</v>
      </c>
      <c r="B6483" t="s">
        <v>63</v>
      </c>
      <c r="D6483">
        <v>24000</v>
      </c>
      <c r="G6483" t="s">
        <v>70</v>
      </c>
      <c r="I6483" t="s">
        <v>60</v>
      </c>
      <c r="J6483" t="s">
        <v>61</v>
      </c>
      <c r="L6483" t="s">
        <v>62</v>
      </c>
    </row>
    <row r="6484" spans="1:13">
      <c r="A6484">
        <v>46159</v>
      </c>
      <c r="B6484" t="s">
        <v>80</v>
      </c>
      <c r="E6484">
        <v>7923</v>
      </c>
      <c r="F6484">
        <v>1</v>
      </c>
      <c r="G6484" t="s">
        <v>74</v>
      </c>
      <c r="H6484" t="s">
        <v>75</v>
      </c>
      <c r="I6484" t="s">
        <v>60</v>
      </c>
      <c r="J6484" t="s">
        <v>61</v>
      </c>
      <c r="K6484" t="s">
        <v>479</v>
      </c>
      <c r="L6484" t="s">
        <v>305</v>
      </c>
    </row>
    <row r="6485" spans="1:13">
      <c r="A6485">
        <v>46159</v>
      </c>
      <c r="B6485" t="s">
        <v>80</v>
      </c>
      <c r="E6485">
        <v>77</v>
      </c>
      <c r="F6485">
        <v>1</v>
      </c>
      <c r="G6485" t="s">
        <v>65</v>
      </c>
      <c r="H6485" t="s">
        <v>66</v>
      </c>
      <c r="I6485" t="s">
        <v>60</v>
      </c>
      <c r="J6485" t="s">
        <v>61</v>
      </c>
      <c r="K6485" t="s">
        <v>479</v>
      </c>
      <c r="L6485" t="s">
        <v>87</v>
      </c>
    </row>
    <row r="6486" spans="1:13">
      <c r="A6486">
        <v>46159</v>
      </c>
      <c r="B6486" t="s">
        <v>63</v>
      </c>
      <c r="E6486">
        <v>3000</v>
      </c>
      <c r="F6486">
        <v>1</v>
      </c>
      <c r="G6486" t="s">
        <v>65</v>
      </c>
      <c r="H6486" t="s">
        <v>66</v>
      </c>
      <c r="I6486" t="s">
        <v>60</v>
      </c>
      <c r="J6486" t="s">
        <v>61</v>
      </c>
      <c r="L6486" t="s">
        <v>62</v>
      </c>
      <c r="M6486" t="s">
        <v>91</v>
      </c>
    </row>
    <row r="6487" spans="1:13">
      <c r="A6487">
        <v>46159</v>
      </c>
      <c r="B6487" t="s">
        <v>63</v>
      </c>
      <c r="E6487">
        <v>100</v>
      </c>
      <c r="F6487">
        <v>1</v>
      </c>
      <c r="G6487" t="s">
        <v>65</v>
      </c>
      <c r="H6487" t="s">
        <v>66</v>
      </c>
      <c r="I6487" t="s">
        <v>60</v>
      </c>
      <c r="J6487" t="s">
        <v>61</v>
      </c>
      <c r="L6487" t="s">
        <v>62</v>
      </c>
      <c r="M6487" t="s">
        <v>91</v>
      </c>
    </row>
    <row r="6488" spans="1:13">
      <c r="A6488">
        <v>46160</v>
      </c>
      <c r="B6488" t="s">
        <v>306</v>
      </c>
      <c r="F6488">
        <v>1</v>
      </c>
      <c r="G6488" t="s">
        <v>0</v>
      </c>
      <c r="L6488" t="s">
        <v>82</v>
      </c>
    </row>
    <row r="6489" spans="1:13">
      <c r="A6489">
        <v>46160</v>
      </c>
      <c r="B6489" t="s">
        <v>238</v>
      </c>
      <c r="C6489" t="s">
        <v>310</v>
      </c>
      <c r="F6489">
        <v>24</v>
      </c>
      <c r="G6489" t="s">
        <v>22</v>
      </c>
      <c r="H6489" t="s">
        <v>21</v>
      </c>
      <c r="L6489" t="s">
        <v>95</v>
      </c>
    </row>
    <row r="6490" spans="1:13">
      <c r="A6490">
        <v>46160</v>
      </c>
      <c r="B6490" t="s">
        <v>81</v>
      </c>
      <c r="D6490">
        <v>55000</v>
      </c>
      <c r="F6490">
        <v>1</v>
      </c>
      <c r="G6490" t="s">
        <v>74</v>
      </c>
      <c r="H6490" t="s">
        <v>75</v>
      </c>
      <c r="I6490" t="s">
        <v>60</v>
      </c>
      <c r="J6490" t="s">
        <v>61</v>
      </c>
      <c r="L6490" t="s">
        <v>214</v>
      </c>
    </row>
    <row r="6491" spans="1:13">
      <c r="A6491">
        <v>46160</v>
      </c>
      <c r="B6491" t="s">
        <v>307</v>
      </c>
      <c r="D6491">
        <v>500</v>
      </c>
      <c r="F6491">
        <v>1</v>
      </c>
      <c r="G6491" t="s">
        <v>22</v>
      </c>
      <c r="H6491" t="s">
        <v>21</v>
      </c>
      <c r="I6491" t="s">
        <v>60</v>
      </c>
      <c r="J6491" t="s">
        <v>61</v>
      </c>
      <c r="L6491" t="s">
        <v>89</v>
      </c>
    </row>
    <row r="6492" spans="1:13">
      <c r="A6492">
        <v>46160</v>
      </c>
      <c r="B6492" t="s">
        <v>308</v>
      </c>
      <c r="D6492">
        <v>500</v>
      </c>
      <c r="F6492">
        <v>1</v>
      </c>
      <c r="G6492" t="s">
        <v>22</v>
      </c>
      <c r="H6492" t="s">
        <v>21</v>
      </c>
      <c r="I6492" t="s">
        <v>60</v>
      </c>
      <c r="J6492" t="s">
        <v>61</v>
      </c>
      <c r="L6492" t="s">
        <v>89</v>
      </c>
    </row>
    <row r="6493" spans="1:13">
      <c r="A6493">
        <v>46160</v>
      </c>
      <c r="B6493" t="s">
        <v>309</v>
      </c>
      <c r="F6493">
        <v>1</v>
      </c>
      <c r="G6493" t="s">
        <v>64</v>
      </c>
      <c r="L6493" t="s">
        <v>89</v>
      </c>
      <c r="M6493" t="s">
        <v>96</v>
      </c>
    </row>
    <row r="6494" spans="1:13">
      <c r="A6494">
        <v>46160</v>
      </c>
      <c r="B6494" t="s">
        <v>312</v>
      </c>
      <c r="D6494">
        <v>500</v>
      </c>
      <c r="F6494">
        <v>1</v>
      </c>
      <c r="G6494" t="s">
        <v>22</v>
      </c>
      <c r="H6494" t="s">
        <v>21</v>
      </c>
      <c r="I6494" t="s">
        <v>60</v>
      </c>
      <c r="J6494" t="s">
        <v>61</v>
      </c>
      <c r="L6494" t="s">
        <v>89</v>
      </c>
    </row>
    <row r="6495" spans="1:13">
      <c r="A6495">
        <v>46160</v>
      </c>
      <c r="B6495" t="s">
        <v>313</v>
      </c>
      <c r="F6495">
        <v>1</v>
      </c>
      <c r="G6495" t="s">
        <v>79</v>
      </c>
      <c r="H6495" t="s">
        <v>21</v>
      </c>
      <c r="L6495" t="s">
        <v>82</v>
      </c>
      <c r="M6495" t="s">
        <v>327</v>
      </c>
    </row>
    <row r="6496" spans="1:13">
      <c r="A6496">
        <v>46160</v>
      </c>
      <c r="B6496" t="s">
        <v>314</v>
      </c>
      <c r="D6496">
        <v>500</v>
      </c>
      <c r="F6496">
        <v>1</v>
      </c>
      <c r="G6496" t="s">
        <v>22</v>
      </c>
      <c r="H6496" t="s">
        <v>21</v>
      </c>
      <c r="I6496" t="s">
        <v>60</v>
      </c>
      <c r="J6496" t="s">
        <v>61</v>
      </c>
      <c r="L6496" t="s">
        <v>82</v>
      </c>
    </row>
    <row r="6497" spans="1:13">
      <c r="A6497">
        <v>46160</v>
      </c>
      <c r="B6497" t="s">
        <v>315</v>
      </c>
      <c r="D6497">
        <v>500</v>
      </c>
      <c r="F6497">
        <v>1</v>
      </c>
      <c r="G6497" t="s">
        <v>22</v>
      </c>
      <c r="H6497" t="s">
        <v>21</v>
      </c>
      <c r="I6497" t="s">
        <v>60</v>
      </c>
      <c r="J6497" t="s">
        <v>61</v>
      </c>
      <c r="L6497" t="s">
        <v>82</v>
      </c>
    </row>
    <row r="6498" spans="1:13">
      <c r="A6498">
        <v>46160</v>
      </c>
      <c r="B6498" t="s">
        <v>63</v>
      </c>
      <c r="E6498">
        <v>2500</v>
      </c>
      <c r="F6498">
        <v>1</v>
      </c>
      <c r="G6498" t="s">
        <v>65</v>
      </c>
      <c r="H6498" t="s">
        <v>66</v>
      </c>
      <c r="I6498" t="s">
        <v>60</v>
      </c>
      <c r="J6498" t="s">
        <v>61</v>
      </c>
      <c r="L6498" t="s">
        <v>62</v>
      </c>
      <c r="M6498" t="s">
        <v>91</v>
      </c>
    </row>
    <row r="6499" spans="1:13">
      <c r="A6499">
        <v>46161</v>
      </c>
      <c r="B6499" t="s">
        <v>81</v>
      </c>
      <c r="D6499">
        <v>40000</v>
      </c>
      <c r="F6499">
        <v>1</v>
      </c>
      <c r="G6499" t="s">
        <v>74</v>
      </c>
      <c r="H6499" t="s">
        <v>75</v>
      </c>
      <c r="I6499" t="s">
        <v>60</v>
      </c>
      <c r="J6499" t="s">
        <v>61</v>
      </c>
      <c r="L6499" t="s">
        <v>88</v>
      </c>
    </row>
    <row r="6500" spans="1:13">
      <c r="A6500">
        <v>46161</v>
      </c>
      <c r="B6500" t="s">
        <v>316</v>
      </c>
      <c r="D6500">
        <v>500</v>
      </c>
      <c r="F6500">
        <v>1</v>
      </c>
      <c r="G6500" t="s">
        <v>22</v>
      </c>
      <c r="H6500" t="s">
        <v>21</v>
      </c>
      <c r="I6500" t="s">
        <v>60</v>
      </c>
      <c r="J6500" t="s">
        <v>61</v>
      </c>
      <c r="L6500" t="s">
        <v>82</v>
      </c>
    </row>
    <row r="6501" spans="1:13">
      <c r="A6501">
        <v>46161</v>
      </c>
      <c r="B6501" t="s">
        <v>317</v>
      </c>
      <c r="F6501">
        <v>1</v>
      </c>
      <c r="G6501" t="s">
        <v>79</v>
      </c>
      <c r="H6501" t="s">
        <v>21</v>
      </c>
      <c r="L6501" t="s">
        <v>82</v>
      </c>
      <c r="M6501" t="s">
        <v>327</v>
      </c>
    </row>
    <row r="6502" spans="1:13">
      <c r="A6502">
        <v>46161</v>
      </c>
      <c r="B6502" t="s">
        <v>63</v>
      </c>
      <c r="D6502">
        <v>73000</v>
      </c>
      <c r="G6502" t="s">
        <v>70</v>
      </c>
      <c r="I6502" t="s">
        <v>60</v>
      </c>
      <c r="J6502" t="s">
        <v>61</v>
      </c>
      <c r="L6502" t="s">
        <v>62</v>
      </c>
    </row>
    <row r="6503" spans="1:13">
      <c r="A6503">
        <v>46161</v>
      </c>
      <c r="B6503" t="s">
        <v>80</v>
      </c>
      <c r="E6503">
        <v>6437</v>
      </c>
      <c r="F6503">
        <v>1</v>
      </c>
      <c r="G6503" t="s">
        <v>74</v>
      </c>
      <c r="H6503" t="s">
        <v>75</v>
      </c>
      <c r="I6503" t="s">
        <v>60</v>
      </c>
      <c r="J6503" t="s">
        <v>61</v>
      </c>
      <c r="K6503" t="s">
        <v>480</v>
      </c>
      <c r="L6503" t="s">
        <v>305</v>
      </c>
    </row>
    <row r="6504" spans="1:13">
      <c r="A6504">
        <v>46161</v>
      </c>
      <c r="B6504" t="s">
        <v>80</v>
      </c>
      <c r="E6504">
        <v>63</v>
      </c>
      <c r="F6504">
        <v>1</v>
      </c>
      <c r="G6504" t="s">
        <v>65</v>
      </c>
      <c r="H6504" t="s">
        <v>66</v>
      </c>
      <c r="I6504" t="s">
        <v>60</v>
      </c>
      <c r="J6504" t="s">
        <v>61</v>
      </c>
      <c r="K6504" t="s">
        <v>480</v>
      </c>
      <c r="L6504" t="s">
        <v>87</v>
      </c>
    </row>
    <row r="6505" spans="1:13">
      <c r="A6505">
        <v>46161</v>
      </c>
      <c r="B6505" t="s">
        <v>80</v>
      </c>
      <c r="E6505">
        <v>50011</v>
      </c>
      <c r="F6505">
        <v>1</v>
      </c>
      <c r="G6505" t="s">
        <v>74</v>
      </c>
      <c r="H6505" t="s">
        <v>75</v>
      </c>
      <c r="I6505" t="s">
        <v>60</v>
      </c>
      <c r="J6505" t="s">
        <v>61</v>
      </c>
      <c r="K6505" t="s">
        <v>481</v>
      </c>
      <c r="L6505" t="s">
        <v>305</v>
      </c>
    </row>
    <row r="6506" spans="1:13">
      <c r="A6506">
        <v>46161</v>
      </c>
      <c r="B6506" t="s">
        <v>80</v>
      </c>
      <c r="E6506">
        <v>489</v>
      </c>
      <c r="F6506">
        <v>1</v>
      </c>
      <c r="G6506" t="s">
        <v>65</v>
      </c>
      <c r="H6506" t="s">
        <v>66</v>
      </c>
      <c r="I6506" t="s">
        <v>60</v>
      </c>
      <c r="J6506" t="s">
        <v>61</v>
      </c>
      <c r="K6506" t="s">
        <v>481</v>
      </c>
      <c r="L6506" t="s">
        <v>87</v>
      </c>
    </row>
    <row r="6507" spans="1:13">
      <c r="A6507">
        <v>46161</v>
      </c>
      <c r="B6507" t="s">
        <v>84</v>
      </c>
      <c r="D6507">
        <v>-31200</v>
      </c>
      <c r="G6507" t="s">
        <v>77</v>
      </c>
      <c r="I6507" t="s">
        <v>60</v>
      </c>
      <c r="J6507" t="s">
        <v>61</v>
      </c>
      <c r="L6507" t="s">
        <v>62</v>
      </c>
    </row>
    <row r="6508" spans="1:13">
      <c r="A6508">
        <v>46161</v>
      </c>
      <c r="B6508" t="s">
        <v>84</v>
      </c>
      <c r="E6508">
        <v>-1650</v>
      </c>
      <c r="F6508">
        <v>1</v>
      </c>
      <c r="G6508" t="s">
        <v>65</v>
      </c>
      <c r="H6508" t="s">
        <v>85</v>
      </c>
      <c r="I6508" t="s">
        <v>60</v>
      </c>
      <c r="J6508" t="s">
        <v>61</v>
      </c>
      <c r="L6508" t="s">
        <v>62</v>
      </c>
    </row>
    <row r="6509" spans="1:13">
      <c r="A6509">
        <v>46161</v>
      </c>
      <c r="B6509" t="s">
        <v>84</v>
      </c>
      <c r="E6509">
        <v>450</v>
      </c>
      <c r="F6509">
        <v>1</v>
      </c>
      <c r="G6509" t="s">
        <v>65</v>
      </c>
      <c r="H6509" t="s">
        <v>66</v>
      </c>
      <c r="I6509" t="s">
        <v>60</v>
      </c>
      <c r="J6509" t="s">
        <v>61</v>
      </c>
      <c r="L6509" t="s">
        <v>62</v>
      </c>
    </row>
    <row r="6510" spans="1:13">
      <c r="A6510">
        <v>46161</v>
      </c>
      <c r="B6510" t="s">
        <v>318</v>
      </c>
      <c r="F6510">
        <v>1</v>
      </c>
      <c r="G6510" t="s">
        <v>319</v>
      </c>
      <c r="H6510" t="s">
        <v>21</v>
      </c>
      <c r="L6510" t="s">
        <v>89</v>
      </c>
      <c r="M6510" t="s">
        <v>446</v>
      </c>
    </row>
    <row r="6511" spans="1:13">
      <c r="A6511">
        <v>46161</v>
      </c>
      <c r="B6511" t="s">
        <v>320</v>
      </c>
      <c r="F6511">
        <v>1</v>
      </c>
      <c r="G6511" t="s">
        <v>98</v>
      </c>
      <c r="H6511" t="s">
        <v>21</v>
      </c>
      <c r="L6511" t="s">
        <v>89</v>
      </c>
      <c r="M6511" t="s">
        <v>327</v>
      </c>
    </row>
    <row r="6512" spans="1:13">
      <c r="A6512">
        <v>46161</v>
      </c>
      <c r="B6512" t="s">
        <v>321</v>
      </c>
      <c r="F6512">
        <v>1</v>
      </c>
      <c r="G6512" t="s">
        <v>64</v>
      </c>
      <c r="L6512" t="s">
        <v>82</v>
      </c>
      <c r="M6512" t="s">
        <v>322</v>
      </c>
    </row>
    <row r="6513" spans="1:13">
      <c r="A6513">
        <v>46161</v>
      </c>
      <c r="B6513" t="s">
        <v>323</v>
      </c>
      <c r="F6513">
        <v>1</v>
      </c>
      <c r="G6513" t="s">
        <v>107</v>
      </c>
      <c r="H6513" t="s">
        <v>21</v>
      </c>
      <c r="L6513" t="s">
        <v>89</v>
      </c>
      <c r="M6513" t="s">
        <v>447</v>
      </c>
    </row>
    <row r="6514" spans="1:13">
      <c r="A6514">
        <v>46161</v>
      </c>
      <c r="B6514" t="s">
        <v>324</v>
      </c>
      <c r="F6514">
        <v>1</v>
      </c>
      <c r="G6514" t="s">
        <v>107</v>
      </c>
      <c r="H6514" t="s">
        <v>21</v>
      </c>
      <c r="L6514" t="s">
        <v>82</v>
      </c>
      <c r="M6514" t="s">
        <v>447</v>
      </c>
    </row>
    <row r="6515" spans="1:13">
      <c r="A6515">
        <v>46161</v>
      </c>
      <c r="B6515" t="s">
        <v>329</v>
      </c>
      <c r="D6515">
        <v>500</v>
      </c>
      <c r="F6515">
        <v>1</v>
      </c>
      <c r="G6515" t="s">
        <v>22</v>
      </c>
      <c r="H6515" t="s">
        <v>21</v>
      </c>
      <c r="I6515" t="s">
        <v>60</v>
      </c>
      <c r="J6515" t="s">
        <v>61</v>
      </c>
      <c r="L6515" t="s">
        <v>89</v>
      </c>
    </row>
    <row r="6516" spans="1:13">
      <c r="A6516">
        <v>46161</v>
      </c>
      <c r="B6516" t="s">
        <v>330</v>
      </c>
      <c r="D6516">
        <v>500</v>
      </c>
      <c r="F6516">
        <v>1</v>
      </c>
      <c r="G6516" t="s">
        <v>22</v>
      </c>
      <c r="H6516" t="s">
        <v>21</v>
      </c>
      <c r="I6516" t="s">
        <v>60</v>
      </c>
      <c r="J6516" t="s">
        <v>61</v>
      </c>
      <c r="L6516" t="s">
        <v>89</v>
      </c>
    </row>
    <row r="6517" spans="1:13">
      <c r="A6517">
        <v>46161</v>
      </c>
      <c r="B6517" t="s">
        <v>331</v>
      </c>
      <c r="F6517">
        <v>1</v>
      </c>
      <c r="G6517" t="s">
        <v>64</v>
      </c>
      <c r="L6517" t="s">
        <v>89</v>
      </c>
      <c r="M6517" t="s">
        <v>386</v>
      </c>
    </row>
    <row r="6518" spans="1:13">
      <c r="A6518">
        <v>46161</v>
      </c>
      <c r="B6518" t="s">
        <v>80</v>
      </c>
      <c r="E6518">
        <v>7923</v>
      </c>
      <c r="F6518">
        <v>1</v>
      </c>
      <c r="G6518" t="s">
        <v>74</v>
      </c>
      <c r="H6518" t="s">
        <v>75</v>
      </c>
      <c r="I6518" t="s">
        <v>60</v>
      </c>
      <c r="J6518" t="s">
        <v>61</v>
      </c>
      <c r="K6518" t="s">
        <v>481</v>
      </c>
      <c r="L6518" t="s">
        <v>87</v>
      </c>
    </row>
    <row r="6519" spans="1:13">
      <c r="A6519">
        <v>46161</v>
      </c>
      <c r="B6519" t="s">
        <v>80</v>
      </c>
      <c r="E6519">
        <v>77</v>
      </c>
      <c r="F6519">
        <v>1</v>
      </c>
      <c r="G6519" t="s">
        <v>65</v>
      </c>
      <c r="H6519" t="s">
        <v>66</v>
      </c>
      <c r="I6519" t="s">
        <v>60</v>
      </c>
      <c r="J6519" t="s">
        <v>61</v>
      </c>
      <c r="K6519" t="s">
        <v>481</v>
      </c>
      <c r="L6519" t="s">
        <v>87</v>
      </c>
    </row>
    <row r="6520" spans="1:13">
      <c r="A6520">
        <v>46161</v>
      </c>
      <c r="B6520" t="s">
        <v>63</v>
      </c>
      <c r="E6520">
        <v>1500</v>
      </c>
      <c r="F6520">
        <v>1</v>
      </c>
      <c r="G6520" t="s">
        <v>65</v>
      </c>
      <c r="H6520" t="s">
        <v>66</v>
      </c>
      <c r="I6520" t="s">
        <v>60</v>
      </c>
      <c r="J6520" t="s">
        <v>61</v>
      </c>
      <c r="L6520" t="s">
        <v>62</v>
      </c>
      <c r="M6520" t="s">
        <v>91</v>
      </c>
    </row>
    <row r="6521" spans="1:13">
      <c r="A6521">
        <v>46162</v>
      </c>
      <c r="B6521" t="s">
        <v>81</v>
      </c>
      <c r="D6521">
        <v>55000</v>
      </c>
      <c r="F6521">
        <v>1</v>
      </c>
      <c r="G6521" t="s">
        <v>74</v>
      </c>
      <c r="H6521" t="s">
        <v>75</v>
      </c>
      <c r="I6521" t="s">
        <v>60</v>
      </c>
      <c r="J6521" t="s">
        <v>61</v>
      </c>
      <c r="L6521" t="s">
        <v>88</v>
      </c>
    </row>
    <row r="6522" spans="1:13">
      <c r="A6522">
        <v>46162</v>
      </c>
      <c r="B6522" t="s">
        <v>332</v>
      </c>
      <c r="D6522">
        <v>500</v>
      </c>
      <c r="F6522">
        <v>1</v>
      </c>
      <c r="G6522" t="s">
        <v>22</v>
      </c>
      <c r="H6522" t="s">
        <v>21</v>
      </c>
      <c r="I6522" t="s">
        <v>60</v>
      </c>
      <c r="J6522" t="s">
        <v>61</v>
      </c>
      <c r="L6522" t="s">
        <v>86</v>
      </c>
    </row>
    <row r="6523" spans="1:13">
      <c r="A6523">
        <v>46162</v>
      </c>
      <c r="B6523" t="s">
        <v>333</v>
      </c>
      <c r="D6523">
        <v>500</v>
      </c>
      <c r="F6523">
        <v>1</v>
      </c>
      <c r="G6523" t="s">
        <v>22</v>
      </c>
      <c r="H6523" t="s">
        <v>21</v>
      </c>
      <c r="I6523" t="s">
        <v>60</v>
      </c>
      <c r="J6523" t="s">
        <v>61</v>
      </c>
      <c r="L6523" t="s">
        <v>82</v>
      </c>
    </row>
    <row r="6524" spans="1:13">
      <c r="A6524">
        <v>46162</v>
      </c>
      <c r="B6524" t="s">
        <v>333</v>
      </c>
      <c r="F6524">
        <v>1</v>
      </c>
      <c r="G6524" t="s">
        <v>64</v>
      </c>
      <c r="L6524" t="s">
        <v>82</v>
      </c>
      <c r="M6524" t="s">
        <v>96</v>
      </c>
    </row>
    <row r="6525" spans="1:13">
      <c r="A6525">
        <v>46162</v>
      </c>
      <c r="B6525" t="s">
        <v>334</v>
      </c>
      <c r="D6525">
        <v>500</v>
      </c>
      <c r="F6525">
        <v>1</v>
      </c>
      <c r="G6525" t="s">
        <v>22</v>
      </c>
      <c r="H6525" t="s">
        <v>21</v>
      </c>
      <c r="I6525" t="s">
        <v>60</v>
      </c>
      <c r="J6525" t="s">
        <v>61</v>
      </c>
      <c r="L6525" t="s">
        <v>86</v>
      </c>
    </row>
    <row r="6526" spans="1:13">
      <c r="A6526">
        <v>46162</v>
      </c>
      <c r="B6526" t="s">
        <v>335</v>
      </c>
      <c r="F6526">
        <v>1</v>
      </c>
      <c r="G6526" t="s">
        <v>79</v>
      </c>
      <c r="H6526" t="s">
        <v>21</v>
      </c>
      <c r="L6526" t="s">
        <v>82</v>
      </c>
      <c r="M6526" t="s">
        <v>327</v>
      </c>
    </row>
    <row r="6527" spans="1:13">
      <c r="A6527">
        <v>46162</v>
      </c>
      <c r="B6527" t="s">
        <v>336</v>
      </c>
      <c r="F6527">
        <v>1</v>
      </c>
      <c r="G6527" t="s">
        <v>99</v>
      </c>
      <c r="H6527" t="s">
        <v>21</v>
      </c>
      <c r="L6527" t="s">
        <v>82</v>
      </c>
      <c r="M6527" t="s">
        <v>448</v>
      </c>
    </row>
    <row r="6528" spans="1:13">
      <c r="A6528">
        <v>46162</v>
      </c>
      <c r="B6528" t="s">
        <v>337</v>
      </c>
      <c r="F6528">
        <v>1</v>
      </c>
      <c r="G6528" t="s">
        <v>22</v>
      </c>
      <c r="H6528" t="s">
        <v>21</v>
      </c>
      <c r="L6528" t="s">
        <v>101</v>
      </c>
    </row>
    <row r="6529" spans="1:13">
      <c r="A6529">
        <v>46162</v>
      </c>
      <c r="B6529" t="s">
        <v>63</v>
      </c>
      <c r="D6529">
        <v>28500</v>
      </c>
      <c r="G6529" t="s">
        <v>70</v>
      </c>
      <c r="I6529" t="s">
        <v>60</v>
      </c>
      <c r="J6529" t="s">
        <v>61</v>
      </c>
      <c r="L6529" t="s">
        <v>62</v>
      </c>
    </row>
    <row r="6530" spans="1:13">
      <c r="A6530">
        <v>46162</v>
      </c>
      <c r="B6530" t="s">
        <v>338</v>
      </c>
      <c r="F6530">
        <v>1</v>
      </c>
      <c r="G6530" t="s">
        <v>79</v>
      </c>
      <c r="H6530" t="s">
        <v>21</v>
      </c>
      <c r="L6530" t="s">
        <v>82</v>
      </c>
      <c r="M6530" t="s">
        <v>327</v>
      </c>
    </row>
    <row r="6531" spans="1:13">
      <c r="A6531">
        <v>46162</v>
      </c>
      <c r="B6531" t="s">
        <v>339</v>
      </c>
      <c r="D6531">
        <v>500</v>
      </c>
      <c r="F6531">
        <v>1</v>
      </c>
      <c r="G6531" t="s">
        <v>22</v>
      </c>
      <c r="H6531" t="s">
        <v>21</v>
      </c>
      <c r="I6531" t="s">
        <v>60</v>
      </c>
      <c r="J6531" t="s">
        <v>61</v>
      </c>
      <c r="L6531" t="s">
        <v>82</v>
      </c>
    </row>
    <row r="6532" spans="1:13">
      <c r="A6532">
        <v>46162</v>
      </c>
      <c r="B6532" t="s">
        <v>340</v>
      </c>
      <c r="F6532">
        <v>1</v>
      </c>
      <c r="G6532" t="s">
        <v>79</v>
      </c>
      <c r="H6532" t="s">
        <v>21</v>
      </c>
      <c r="L6532" t="s">
        <v>82</v>
      </c>
      <c r="M6532" t="s">
        <v>327</v>
      </c>
    </row>
    <row r="6533" spans="1:13">
      <c r="A6533">
        <v>46162</v>
      </c>
      <c r="B6533" t="s">
        <v>341</v>
      </c>
      <c r="F6533">
        <v>1</v>
      </c>
      <c r="G6533" t="s">
        <v>79</v>
      </c>
      <c r="H6533" t="s">
        <v>21</v>
      </c>
      <c r="L6533" t="s">
        <v>82</v>
      </c>
      <c r="M6533" t="s">
        <v>327</v>
      </c>
    </row>
    <row r="6534" spans="1:13">
      <c r="A6534">
        <v>46162</v>
      </c>
      <c r="B6534" t="s">
        <v>342</v>
      </c>
      <c r="F6534">
        <v>1</v>
      </c>
      <c r="G6534" t="s">
        <v>0</v>
      </c>
      <c r="L6534" t="s">
        <v>82</v>
      </c>
    </row>
    <row r="6535" spans="1:13">
      <c r="A6535">
        <v>46162</v>
      </c>
      <c r="B6535" t="s">
        <v>343</v>
      </c>
      <c r="D6535">
        <v>500</v>
      </c>
      <c r="F6535">
        <v>1</v>
      </c>
      <c r="G6535" t="s">
        <v>22</v>
      </c>
      <c r="H6535" t="s">
        <v>21</v>
      </c>
      <c r="I6535" t="s">
        <v>60</v>
      </c>
      <c r="J6535" t="s">
        <v>61</v>
      </c>
      <c r="L6535" t="s">
        <v>82</v>
      </c>
    </row>
    <row r="6536" spans="1:13">
      <c r="A6536">
        <v>46162</v>
      </c>
      <c r="B6536" t="s">
        <v>80</v>
      </c>
      <c r="E6536">
        <v>7923</v>
      </c>
      <c r="F6536">
        <v>1</v>
      </c>
      <c r="G6536" t="s">
        <v>74</v>
      </c>
      <c r="H6536" t="s">
        <v>75</v>
      </c>
      <c r="I6536" t="s">
        <v>60</v>
      </c>
      <c r="J6536" t="s">
        <v>61</v>
      </c>
      <c r="K6536" t="s">
        <v>482</v>
      </c>
      <c r="L6536" t="s">
        <v>87</v>
      </c>
    </row>
    <row r="6537" spans="1:13">
      <c r="A6537">
        <v>46162</v>
      </c>
      <c r="B6537" t="s">
        <v>80</v>
      </c>
      <c r="E6537">
        <v>77</v>
      </c>
      <c r="F6537">
        <v>1</v>
      </c>
      <c r="G6537" t="s">
        <v>65</v>
      </c>
      <c r="H6537" t="s">
        <v>66</v>
      </c>
      <c r="I6537" t="s">
        <v>60</v>
      </c>
      <c r="J6537" t="s">
        <v>61</v>
      </c>
      <c r="K6537" t="s">
        <v>482</v>
      </c>
      <c r="L6537" t="s">
        <v>87</v>
      </c>
    </row>
    <row r="6538" spans="1:13">
      <c r="A6538">
        <v>46162</v>
      </c>
      <c r="B6538" t="s">
        <v>63</v>
      </c>
      <c r="E6538">
        <v>2500</v>
      </c>
      <c r="F6538">
        <v>1</v>
      </c>
      <c r="G6538" t="s">
        <v>65</v>
      </c>
      <c r="H6538" t="s">
        <v>66</v>
      </c>
      <c r="I6538" t="s">
        <v>60</v>
      </c>
      <c r="J6538" t="s">
        <v>61</v>
      </c>
      <c r="L6538" t="s">
        <v>62</v>
      </c>
      <c r="M6538" t="s">
        <v>91</v>
      </c>
    </row>
    <row r="6539" spans="1:13">
      <c r="A6539">
        <v>46163</v>
      </c>
      <c r="B6539" t="s">
        <v>344</v>
      </c>
      <c r="F6539">
        <v>1</v>
      </c>
      <c r="G6539" t="s">
        <v>79</v>
      </c>
      <c r="H6539" t="s">
        <v>21</v>
      </c>
      <c r="L6539" t="s">
        <v>89</v>
      </c>
      <c r="M6539" t="s">
        <v>327</v>
      </c>
    </row>
    <row r="6540" spans="1:13">
      <c r="A6540">
        <v>46163</v>
      </c>
      <c r="B6540" t="s">
        <v>345</v>
      </c>
      <c r="D6540">
        <v>500</v>
      </c>
      <c r="F6540">
        <v>1</v>
      </c>
      <c r="G6540" t="s">
        <v>22</v>
      </c>
      <c r="H6540" t="s">
        <v>21</v>
      </c>
      <c r="I6540" t="s">
        <v>60</v>
      </c>
      <c r="J6540" t="s">
        <v>61</v>
      </c>
      <c r="L6540" t="s">
        <v>89</v>
      </c>
    </row>
    <row r="6541" spans="1:13">
      <c r="A6541">
        <v>46163</v>
      </c>
      <c r="B6541" t="s">
        <v>346</v>
      </c>
      <c r="D6541">
        <v>500</v>
      </c>
      <c r="F6541">
        <v>1</v>
      </c>
      <c r="G6541" t="s">
        <v>22</v>
      </c>
      <c r="H6541" t="s">
        <v>21</v>
      </c>
      <c r="I6541" t="s">
        <v>60</v>
      </c>
      <c r="J6541" t="s">
        <v>61</v>
      </c>
      <c r="L6541" t="s">
        <v>86</v>
      </c>
    </row>
    <row r="6542" spans="1:13">
      <c r="A6542">
        <v>46163</v>
      </c>
      <c r="B6542" t="s">
        <v>81</v>
      </c>
      <c r="D6542">
        <v>32000</v>
      </c>
      <c r="F6542">
        <v>1</v>
      </c>
      <c r="G6542" t="s">
        <v>74</v>
      </c>
      <c r="H6542" t="s">
        <v>75</v>
      </c>
      <c r="I6542" t="s">
        <v>60</v>
      </c>
      <c r="J6542" t="s">
        <v>61</v>
      </c>
      <c r="L6542" t="s">
        <v>88</v>
      </c>
    </row>
    <row r="6543" spans="1:13">
      <c r="A6543">
        <v>46163</v>
      </c>
      <c r="B6543" t="s">
        <v>347</v>
      </c>
      <c r="E6543">
        <v>718430</v>
      </c>
      <c r="F6543">
        <v>1</v>
      </c>
      <c r="G6543" t="s">
        <v>65</v>
      </c>
      <c r="H6543" t="s">
        <v>348</v>
      </c>
      <c r="I6543" t="s">
        <v>60</v>
      </c>
      <c r="J6543" t="s">
        <v>61</v>
      </c>
      <c r="L6543" t="s">
        <v>88</v>
      </c>
    </row>
    <row r="6544" spans="1:13">
      <c r="A6544">
        <v>46163</v>
      </c>
      <c r="B6544" t="s">
        <v>349</v>
      </c>
      <c r="D6544">
        <v>500</v>
      </c>
      <c r="F6544">
        <v>1</v>
      </c>
      <c r="G6544" t="s">
        <v>22</v>
      </c>
      <c r="H6544" t="s">
        <v>21</v>
      </c>
      <c r="I6544" t="s">
        <v>60</v>
      </c>
      <c r="J6544" t="s">
        <v>61</v>
      </c>
      <c r="L6544" t="s">
        <v>89</v>
      </c>
    </row>
    <row r="6545" spans="1:13">
      <c r="A6545">
        <v>46163</v>
      </c>
      <c r="B6545" t="s">
        <v>350</v>
      </c>
      <c r="F6545">
        <v>1</v>
      </c>
      <c r="G6545" t="s">
        <v>79</v>
      </c>
      <c r="H6545" t="s">
        <v>21</v>
      </c>
      <c r="L6545" t="s">
        <v>86</v>
      </c>
      <c r="M6545" t="s">
        <v>327</v>
      </c>
    </row>
    <row r="6546" spans="1:13">
      <c r="A6546">
        <v>46163</v>
      </c>
      <c r="B6546" t="s">
        <v>449</v>
      </c>
      <c r="F6546">
        <v>1</v>
      </c>
      <c r="G6546" t="s">
        <v>22</v>
      </c>
      <c r="H6546" t="s">
        <v>21</v>
      </c>
      <c r="L6546" t="s">
        <v>101</v>
      </c>
      <c r="M6546" t="s">
        <v>456</v>
      </c>
    </row>
    <row r="6547" spans="1:13">
      <c r="A6547">
        <v>46163</v>
      </c>
      <c r="B6547" t="s">
        <v>63</v>
      </c>
      <c r="E6547">
        <v>1500</v>
      </c>
      <c r="F6547">
        <v>1</v>
      </c>
      <c r="G6547" t="s">
        <v>65</v>
      </c>
      <c r="H6547" t="s">
        <v>66</v>
      </c>
      <c r="I6547" t="s">
        <v>60</v>
      </c>
      <c r="J6547" t="s">
        <v>61</v>
      </c>
      <c r="L6547" t="s">
        <v>62</v>
      </c>
      <c r="M6547" t="s">
        <v>91</v>
      </c>
    </row>
    <row r="6548" spans="1:13">
      <c r="A6548">
        <v>46164</v>
      </c>
      <c r="B6548" t="s">
        <v>81</v>
      </c>
      <c r="D6548">
        <v>12000</v>
      </c>
      <c r="F6548">
        <v>1</v>
      </c>
      <c r="G6548" t="s">
        <v>74</v>
      </c>
      <c r="H6548" t="s">
        <v>75</v>
      </c>
      <c r="I6548" t="s">
        <v>60</v>
      </c>
      <c r="J6548" t="s">
        <v>61</v>
      </c>
      <c r="L6548" t="s">
        <v>88</v>
      </c>
    </row>
    <row r="6549" spans="1:13">
      <c r="A6549">
        <v>46164</v>
      </c>
      <c r="B6549" t="s">
        <v>196</v>
      </c>
      <c r="E6549">
        <v>8000</v>
      </c>
      <c r="F6549">
        <v>1</v>
      </c>
      <c r="G6549" t="s">
        <v>65</v>
      </c>
      <c r="H6549" t="s">
        <v>265</v>
      </c>
      <c r="I6549" t="s">
        <v>60</v>
      </c>
      <c r="J6549" t="s">
        <v>61</v>
      </c>
      <c r="L6549" t="s">
        <v>62</v>
      </c>
    </row>
    <row r="6550" spans="1:13">
      <c r="A6550">
        <v>46164</v>
      </c>
      <c r="B6550" t="s">
        <v>351</v>
      </c>
      <c r="D6550">
        <v>500</v>
      </c>
      <c r="F6550">
        <v>1</v>
      </c>
      <c r="G6550" t="s">
        <v>22</v>
      </c>
      <c r="H6550" t="s">
        <v>21</v>
      </c>
      <c r="I6550" t="s">
        <v>60</v>
      </c>
      <c r="J6550" t="s">
        <v>61</v>
      </c>
      <c r="L6550" t="s">
        <v>82</v>
      </c>
    </row>
    <row r="6551" spans="1:13">
      <c r="A6551">
        <v>46164</v>
      </c>
      <c r="B6551" t="s">
        <v>352</v>
      </c>
      <c r="F6551">
        <v>1</v>
      </c>
      <c r="G6551" t="s">
        <v>79</v>
      </c>
      <c r="H6551" t="s">
        <v>21</v>
      </c>
      <c r="L6551" t="s">
        <v>82</v>
      </c>
      <c r="M6551" t="s">
        <v>327</v>
      </c>
    </row>
    <row r="6552" spans="1:13">
      <c r="A6552">
        <v>46164</v>
      </c>
      <c r="B6552" t="s">
        <v>353</v>
      </c>
      <c r="D6552">
        <v>500</v>
      </c>
      <c r="F6552">
        <v>1</v>
      </c>
      <c r="G6552" t="s">
        <v>22</v>
      </c>
      <c r="H6552" t="s">
        <v>21</v>
      </c>
      <c r="I6552" t="s">
        <v>60</v>
      </c>
      <c r="J6552" t="s">
        <v>61</v>
      </c>
      <c r="L6552" t="s">
        <v>82</v>
      </c>
    </row>
    <row r="6553" spans="1:13">
      <c r="A6553">
        <v>46164</v>
      </c>
      <c r="B6553" t="s">
        <v>354</v>
      </c>
      <c r="F6553">
        <v>1</v>
      </c>
      <c r="G6553" t="s">
        <v>0</v>
      </c>
      <c r="L6553" t="s">
        <v>89</v>
      </c>
    </row>
    <row r="6554" spans="1:13">
      <c r="A6554">
        <v>46164</v>
      </c>
      <c r="B6554" t="s">
        <v>63</v>
      </c>
      <c r="D6554">
        <v>900</v>
      </c>
      <c r="F6554">
        <v>9</v>
      </c>
      <c r="G6554" t="s">
        <v>22</v>
      </c>
      <c r="H6554" t="s">
        <v>93</v>
      </c>
      <c r="I6554" t="s">
        <v>60</v>
      </c>
      <c r="J6554" t="s">
        <v>61</v>
      </c>
      <c r="L6554" t="s">
        <v>62</v>
      </c>
    </row>
    <row r="6555" spans="1:13">
      <c r="A6555">
        <v>46164</v>
      </c>
      <c r="B6555" t="s">
        <v>76</v>
      </c>
      <c r="D6555">
        <v>28600</v>
      </c>
      <c r="G6555" t="s">
        <v>77</v>
      </c>
      <c r="I6555" t="s">
        <v>60</v>
      </c>
      <c r="J6555" t="s">
        <v>61</v>
      </c>
      <c r="L6555" t="s">
        <v>62</v>
      </c>
    </row>
    <row r="6556" spans="1:13">
      <c r="A6556">
        <v>46164</v>
      </c>
      <c r="B6556" t="s">
        <v>320</v>
      </c>
      <c r="D6556">
        <v>500</v>
      </c>
      <c r="F6556">
        <v>1</v>
      </c>
      <c r="G6556" t="s">
        <v>22</v>
      </c>
      <c r="H6556" t="s">
        <v>21</v>
      </c>
      <c r="I6556" t="s">
        <v>60</v>
      </c>
      <c r="J6556" t="s">
        <v>61</v>
      </c>
      <c r="L6556" t="s">
        <v>82</v>
      </c>
    </row>
    <row r="6557" spans="1:13">
      <c r="A6557">
        <v>46164</v>
      </c>
      <c r="B6557" t="s">
        <v>355</v>
      </c>
      <c r="F6557">
        <v>1</v>
      </c>
      <c r="G6557" t="s">
        <v>64</v>
      </c>
      <c r="L6557" t="s">
        <v>82</v>
      </c>
      <c r="M6557" t="s">
        <v>356</v>
      </c>
    </row>
    <row r="6558" spans="1:13">
      <c r="A6558">
        <v>46164</v>
      </c>
      <c r="B6558" t="s">
        <v>357</v>
      </c>
      <c r="D6558">
        <v>500</v>
      </c>
      <c r="F6558">
        <v>1</v>
      </c>
      <c r="G6558" t="s">
        <v>22</v>
      </c>
      <c r="H6558" t="s">
        <v>21</v>
      </c>
      <c r="I6558" t="s">
        <v>60</v>
      </c>
      <c r="J6558" t="s">
        <v>61</v>
      </c>
      <c r="L6558" t="s">
        <v>82</v>
      </c>
    </row>
    <row r="6559" spans="1:13">
      <c r="A6559">
        <v>46164</v>
      </c>
      <c r="B6559" t="s">
        <v>63</v>
      </c>
      <c r="D6559">
        <v>38000</v>
      </c>
      <c r="G6559" t="s">
        <v>70</v>
      </c>
      <c r="I6559" t="s">
        <v>60</v>
      </c>
      <c r="J6559" t="s">
        <v>61</v>
      </c>
      <c r="L6559" t="s">
        <v>62</v>
      </c>
    </row>
    <row r="6560" spans="1:13">
      <c r="A6560">
        <v>46164</v>
      </c>
      <c r="B6560" t="s">
        <v>80</v>
      </c>
      <c r="E6560">
        <v>7923</v>
      </c>
      <c r="F6560">
        <v>1</v>
      </c>
      <c r="G6560" t="s">
        <v>74</v>
      </c>
      <c r="H6560" t="s">
        <v>75</v>
      </c>
      <c r="I6560" t="s">
        <v>60</v>
      </c>
      <c r="J6560" t="s">
        <v>61</v>
      </c>
      <c r="K6560" t="s">
        <v>108</v>
      </c>
      <c r="L6560" t="s">
        <v>87</v>
      </c>
    </row>
    <row r="6561" spans="1:13">
      <c r="A6561">
        <v>46164</v>
      </c>
      <c r="B6561" t="s">
        <v>80</v>
      </c>
      <c r="E6561">
        <v>77</v>
      </c>
      <c r="F6561">
        <v>1</v>
      </c>
      <c r="G6561" t="s">
        <v>65</v>
      </c>
      <c r="H6561" t="s">
        <v>66</v>
      </c>
      <c r="I6561" t="s">
        <v>60</v>
      </c>
      <c r="J6561" t="s">
        <v>61</v>
      </c>
      <c r="K6561" t="s">
        <v>108</v>
      </c>
      <c r="L6561" t="s">
        <v>87</v>
      </c>
    </row>
    <row r="6562" spans="1:13">
      <c r="A6562">
        <v>46164</v>
      </c>
      <c r="B6562" t="s">
        <v>358</v>
      </c>
      <c r="D6562">
        <v>500</v>
      </c>
      <c r="F6562">
        <v>1</v>
      </c>
      <c r="G6562" t="s">
        <v>22</v>
      </c>
      <c r="H6562" t="s">
        <v>21</v>
      </c>
      <c r="I6562" t="s">
        <v>60</v>
      </c>
      <c r="J6562" t="s">
        <v>61</v>
      </c>
      <c r="L6562" t="s">
        <v>89</v>
      </c>
    </row>
    <row r="6563" spans="1:13">
      <c r="A6563">
        <v>46164</v>
      </c>
      <c r="B6563" t="s">
        <v>359</v>
      </c>
      <c r="D6563">
        <v>500</v>
      </c>
      <c r="F6563">
        <v>1</v>
      </c>
      <c r="G6563" t="s">
        <v>22</v>
      </c>
      <c r="H6563" t="s">
        <v>21</v>
      </c>
      <c r="I6563" t="s">
        <v>60</v>
      </c>
      <c r="J6563" t="s">
        <v>61</v>
      </c>
      <c r="L6563" t="s">
        <v>89</v>
      </c>
    </row>
    <row r="6564" spans="1:13">
      <c r="A6564">
        <v>46164</v>
      </c>
      <c r="B6564" t="s">
        <v>360</v>
      </c>
      <c r="D6564">
        <v>500</v>
      </c>
      <c r="F6564">
        <v>1</v>
      </c>
      <c r="G6564" t="s">
        <v>22</v>
      </c>
      <c r="H6564" t="s">
        <v>21</v>
      </c>
      <c r="I6564" t="s">
        <v>60</v>
      </c>
      <c r="J6564" t="s">
        <v>61</v>
      </c>
      <c r="L6564" t="s">
        <v>89</v>
      </c>
    </row>
    <row r="6565" spans="1:13">
      <c r="A6565">
        <v>46164</v>
      </c>
      <c r="B6565" t="s">
        <v>63</v>
      </c>
      <c r="E6565">
        <v>3000</v>
      </c>
      <c r="F6565">
        <v>1</v>
      </c>
      <c r="G6565" t="s">
        <v>65</v>
      </c>
      <c r="H6565" t="s">
        <v>66</v>
      </c>
      <c r="I6565" t="s">
        <v>60</v>
      </c>
      <c r="J6565" t="s">
        <v>61</v>
      </c>
      <c r="L6565" t="s">
        <v>62</v>
      </c>
      <c r="M6565" t="s">
        <v>91</v>
      </c>
    </row>
    <row r="6566" spans="1:13">
      <c r="A6566">
        <v>46164</v>
      </c>
      <c r="B6566" t="s">
        <v>63</v>
      </c>
      <c r="E6566">
        <v>900</v>
      </c>
      <c r="F6566">
        <v>1</v>
      </c>
      <c r="G6566" t="s">
        <v>65</v>
      </c>
      <c r="H6566" t="s">
        <v>66</v>
      </c>
      <c r="I6566" t="s">
        <v>60</v>
      </c>
      <c r="J6566" t="s">
        <v>61</v>
      </c>
      <c r="L6566" t="s">
        <v>62</v>
      </c>
      <c r="M6566" t="s">
        <v>91</v>
      </c>
    </row>
    <row r="6567" spans="1:13">
      <c r="A6567">
        <v>46165</v>
      </c>
      <c r="B6567" t="s">
        <v>81</v>
      </c>
      <c r="D6567">
        <v>8000</v>
      </c>
      <c r="F6567">
        <v>1</v>
      </c>
      <c r="G6567" t="s">
        <v>74</v>
      </c>
      <c r="H6567" t="s">
        <v>75</v>
      </c>
      <c r="I6567" t="s">
        <v>60</v>
      </c>
      <c r="J6567" t="s">
        <v>61</v>
      </c>
      <c r="L6567" t="s">
        <v>88</v>
      </c>
    </row>
    <row r="6568" spans="1:13">
      <c r="A6568">
        <v>46165</v>
      </c>
      <c r="B6568" t="s">
        <v>361</v>
      </c>
      <c r="D6568">
        <v>500</v>
      </c>
      <c r="F6568">
        <v>1</v>
      </c>
      <c r="G6568" t="s">
        <v>22</v>
      </c>
      <c r="H6568" t="s">
        <v>21</v>
      </c>
      <c r="I6568" t="s">
        <v>60</v>
      </c>
      <c r="J6568" t="s">
        <v>61</v>
      </c>
      <c r="L6568" t="s">
        <v>89</v>
      </c>
    </row>
    <row r="6569" spans="1:13">
      <c r="A6569">
        <v>46165</v>
      </c>
      <c r="B6569" t="s">
        <v>362</v>
      </c>
      <c r="D6569">
        <v>500</v>
      </c>
      <c r="F6569">
        <v>1</v>
      </c>
      <c r="G6569" t="s">
        <v>22</v>
      </c>
      <c r="H6569" t="s">
        <v>21</v>
      </c>
      <c r="I6569" t="s">
        <v>60</v>
      </c>
      <c r="J6569" t="s">
        <v>61</v>
      </c>
      <c r="L6569" t="s">
        <v>89</v>
      </c>
    </row>
    <row r="6570" spans="1:13">
      <c r="A6570">
        <v>46165</v>
      </c>
      <c r="B6570" t="s">
        <v>363</v>
      </c>
      <c r="D6570">
        <v>500</v>
      </c>
      <c r="F6570">
        <v>1</v>
      </c>
      <c r="G6570" t="s">
        <v>22</v>
      </c>
      <c r="H6570" t="s">
        <v>21</v>
      </c>
      <c r="I6570" t="s">
        <v>60</v>
      </c>
      <c r="J6570" t="s">
        <v>61</v>
      </c>
      <c r="L6570" t="s">
        <v>89</v>
      </c>
    </row>
    <row r="6571" spans="1:13">
      <c r="A6571">
        <v>46165</v>
      </c>
      <c r="B6571" t="s">
        <v>364</v>
      </c>
      <c r="D6571">
        <v>24000</v>
      </c>
      <c r="G6571" t="s">
        <v>70</v>
      </c>
      <c r="I6571" t="s">
        <v>60</v>
      </c>
      <c r="J6571" t="s">
        <v>61</v>
      </c>
      <c r="L6571" t="s">
        <v>62</v>
      </c>
    </row>
    <row r="6572" spans="1:13">
      <c r="A6572">
        <v>46165</v>
      </c>
      <c r="B6572" t="s">
        <v>80</v>
      </c>
      <c r="E6572">
        <v>7923</v>
      </c>
      <c r="F6572">
        <v>1</v>
      </c>
      <c r="G6572" t="s">
        <v>74</v>
      </c>
      <c r="H6572" t="s">
        <v>75</v>
      </c>
      <c r="I6572" t="s">
        <v>60</v>
      </c>
      <c r="J6572" t="s">
        <v>61</v>
      </c>
      <c r="K6572" t="s">
        <v>483</v>
      </c>
      <c r="L6572" t="s">
        <v>87</v>
      </c>
    </row>
    <row r="6573" spans="1:13">
      <c r="A6573">
        <v>46165</v>
      </c>
      <c r="B6573" t="s">
        <v>80</v>
      </c>
      <c r="E6573">
        <v>77</v>
      </c>
      <c r="F6573">
        <v>1</v>
      </c>
      <c r="G6573" t="s">
        <v>65</v>
      </c>
      <c r="H6573" t="s">
        <v>66</v>
      </c>
      <c r="I6573" t="s">
        <v>60</v>
      </c>
      <c r="J6573" t="s">
        <v>61</v>
      </c>
      <c r="K6573" t="s">
        <v>483</v>
      </c>
      <c r="L6573" t="s">
        <v>87</v>
      </c>
    </row>
    <row r="6574" spans="1:13">
      <c r="A6574">
        <v>46165</v>
      </c>
      <c r="B6574" t="s">
        <v>365</v>
      </c>
      <c r="D6574">
        <v>500</v>
      </c>
      <c r="F6574">
        <v>1</v>
      </c>
      <c r="G6574" t="s">
        <v>22</v>
      </c>
      <c r="H6574" t="s">
        <v>21</v>
      </c>
      <c r="I6574" t="s">
        <v>60</v>
      </c>
      <c r="J6574" t="s">
        <v>61</v>
      </c>
      <c r="L6574" t="s">
        <v>89</v>
      </c>
    </row>
    <row r="6575" spans="1:13">
      <c r="A6575">
        <v>46165</v>
      </c>
      <c r="B6575" t="s">
        <v>366</v>
      </c>
      <c r="F6575">
        <v>1</v>
      </c>
      <c r="G6575" t="s">
        <v>79</v>
      </c>
      <c r="H6575" t="s">
        <v>21</v>
      </c>
      <c r="L6575" t="s">
        <v>89</v>
      </c>
      <c r="M6575" t="s">
        <v>327</v>
      </c>
    </row>
    <row r="6576" spans="1:13">
      <c r="A6576">
        <v>46165</v>
      </c>
      <c r="B6576" t="s">
        <v>367</v>
      </c>
      <c r="F6576">
        <v>1</v>
      </c>
      <c r="G6576" t="s">
        <v>64</v>
      </c>
      <c r="L6576" t="s">
        <v>89</v>
      </c>
      <c r="M6576" t="s">
        <v>368</v>
      </c>
    </row>
    <row r="6577" spans="1:13">
      <c r="A6577">
        <v>46165</v>
      </c>
      <c r="B6577" t="s">
        <v>369</v>
      </c>
      <c r="D6577">
        <v>500</v>
      </c>
      <c r="F6577">
        <v>1</v>
      </c>
      <c r="G6577" t="s">
        <v>22</v>
      </c>
      <c r="H6577" t="s">
        <v>21</v>
      </c>
      <c r="I6577" t="s">
        <v>60</v>
      </c>
      <c r="J6577" t="s">
        <v>61</v>
      </c>
      <c r="L6577" t="s">
        <v>86</v>
      </c>
    </row>
    <row r="6578" spans="1:13">
      <c r="A6578">
        <v>46165</v>
      </c>
      <c r="B6578" t="s">
        <v>370</v>
      </c>
      <c r="F6578">
        <v>1</v>
      </c>
      <c r="G6578" t="s">
        <v>64</v>
      </c>
      <c r="L6578" t="s">
        <v>86</v>
      </c>
      <c r="M6578" t="s">
        <v>371</v>
      </c>
    </row>
    <row r="6579" spans="1:13">
      <c r="A6579">
        <v>46165</v>
      </c>
      <c r="B6579" t="s">
        <v>372</v>
      </c>
      <c r="F6579">
        <v>1</v>
      </c>
      <c r="G6579" t="s">
        <v>64</v>
      </c>
      <c r="L6579" t="s">
        <v>86</v>
      </c>
      <c r="M6579" t="s">
        <v>371</v>
      </c>
    </row>
    <row r="6580" spans="1:13">
      <c r="A6580">
        <v>46165</v>
      </c>
      <c r="B6580" t="s">
        <v>80</v>
      </c>
      <c r="E6580">
        <v>7923</v>
      </c>
      <c r="F6580">
        <v>1</v>
      </c>
      <c r="G6580" t="s">
        <v>74</v>
      </c>
      <c r="H6580" t="s">
        <v>75</v>
      </c>
      <c r="I6580" t="s">
        <v>60</v>
      </c>
      <c r="J6580" t="s">
        <v>61</v>
      </c>
      <c r="K6580" t="s">
        <v>484</v>
      </c>
      <c r="L6580" t="s">
        <v>87</v>
      </c>
    </row>
    <row r="6581" spans="1:13">
      <c r="A6581">
        <v>46165</v>
      </c>
      <c r="B6581" t="s">
        <v>80</v>
      </c>
      <c r="E6581">
        <v>77</v>
      </c>
      <c r="F6581">
        <v>1</v>
      </c>
      <c r="G6581" t="s">
        <v>65</v>
      </c>
      <c r="H6581" t="s">
        <v>66</v>
      </c>
      <c r="I6581" t="s">
        <v>60</v>
      </c>
      <c r="J6581" t="s">
        <v>61</v>
      </c>
      <c r="K6581" t="s">
        <v>484</v>
      </c>
      <c r="L6581" t="s">
        <v>87</v>
      </c>
    </row>
    <row r="6582" spans="1:13">
      <c r="A6582">
        <v>46165</v>
      </c>
      <c r="B6582" t="s">
        <v>374</v>
      </c>
      <c r="D6582">
        <v>500</v>
      </c>
      <c r="F6582">
        <v>1</v>
      </c>
      <c r="G6582" t="s">
        <v>22</v>
      </c>
      <c r="H6582" t="s">
        <v>21</v>
      </c>
      <c r="I6582" t="s">
        <v>60</v>
      </c>
      <c r="J6582" t="s">
        <v>61</v>
      </c>
      <c r="L6582" t="s">
        <v>86</v>
      </c>
    </row>
    <row r="6583" spans="1:13">
      <c r="A6583">
        <v>46165</v>
      </c>
      <c r="B6583" t="s">
        <v>375</v>
      </c>
      <c r="D6583">
        <v>500</v>
      </c>
      <c r="F6583">
        <v>1</v>
      </c>
      <c r="G6583" t="s">
        <v>22</v>
      </c>
      <c r="H6583" t="s">
        <v>21</v>
      </c>
      <c r="I6583" t="s">
        <v>60</v>
      </c>
      <c r="J6583" t="s">
        <v>61</v>
      </c>
      <c r="L6583" t="s">
        <v>86</v>
      </c>
    </row>
    <row r="6584" spans="1:13">
      <c r="A6584">
        <v>46165</v>
      </c>
      <c r="B6584" t="s">
        <v>376</v>
      </c>
      <c r="F6584">
        <v>1</v>
      </c>
      <c r="G6584" t="s">
        <v>377</v>
      </c>
      <c r="H6584" t="s">
        <v>21</v>
      </c>
      <c r="L6584" t="s">
        <v>86</v>
      </c>
      <c r="M6584" t="s">
        <v>327</v>
      </c>
    </row>
    <row r="6585" spans="1:13">
      <c r="A6585">
        <v>46165</v>
      </c>
      <c r="B6585" t="s">
        <v>378</v>
      </c>
      <c r="F6585">
        <v>1</v>
      </c>
      <c r="G6585" t="s">
        <v>79</v>
      </c>
      <c r="H6585" t="s">
        <v>21</v>
      </c>
      <c r="L6585" t="s">
        <v>86</v>
      </c>
      <c r="M6585" t="s">
        <v>327</v>
      </c>
    </row>
    <row r="6586" spans="1:13">
      <c r="A6586">
        <v>46165</v>
      </c>
      <c r="B6586" t="s">
        <v>63</v>
      </c>
      <c r="E6586">
        <v>3500</v>
      </c>
      <c r="F6586">
        <v>1</v>
      </c>
      <c r="G6586" t="s">
        <v>65</v>
      </c>
      <c r="H6586" t="s">
        <v>66</v>
      </c>
      <c r="I6586" t="s">
        <v>60</v>
      </c>
      <c r="J6586" t="s">
        <v>61</v>
      </c>
      <c r="L6586" t="s">
        <v>62</v>
      </c>
      <c r="M6586" t="s">
        <v>91</v>
      </c>
    </row>
    <row r="6587" spans="1:13">
      <c r="A6587">
        <v>46166</v>
      </c>
      <c r="B6587" t="s">
        <v>63</v>
      </c>
      <c r="D6587">
        <v>117000</v>
      </c>
      <c r="F6587">
        <v>2</v>
      </c>
      <c r="G6587" t="s">
        <v>70</v>
      </c>
      <c r="I6587" t="s">
        <v>71</v>
      </c>
      <c r="J6587" t="s">
        <v>72</v>
      </c>
      <c r="K6587" t="s">
        <v>379</v>
      </c>
      <c r="L6587" t="s">
        <v>62</v>
      </c>
      <c r="M6587" t="s">
        <v>90</v>
      </c>
    </row>
    <row r="6588" spans="1:13">
      <c r="A6588">
        <v>46166</v>
      </c>
      <c r="B6588" t="s">
        <v>380</v>
      </c>
      <c r="F6588">
        <v>1</v>
      </c>
      <c r="G6588" t="s">
        <v>79</v>
      </c>
      <c r="H6588" t="s">
        <v>21</v>
      </c>
      <c r="L6588" t="s">
        <v>82</v>
      </c>
      <c r="M6588" t="s">
        <v>327</v>
      </c>
    </row>
    <row r="6589" spans="1:13">
      <c r="A6589">
        <v>46166</v>
      </c>
      <c r="B6589" t="s">
        <v>381</v>
      </c>
      <c r="D6589">
        <v>500</v>
      </c>
      <c r="F6589">
        <v>1</v>
      </c>
      <c r="G6589" t="s">
        <v>22</v>
      </c>
      <c r="H6589" t="s">
        <v>21</v>
      </c>
      <c r="I6589" t="s">
        <v>60</v>
      </c>
      <c r="J6589" t="s">
        <v>61</v>
      </c>
      <c r="L6589" t="s">
        <v>86</v>
      </c>
    </row>
    <row r="6590" spans="1:13">
      <c r="A6590">
        <v>46166</v>
      </c>
      <c r="B6590" t="s">
        <v>382</v>
      </c>
      <c r="F6590">
        <v>1</v>
      </c>
      <c r="G6590" t="s">
        <v>79</v>
      </c>
      <c r="H6590" t="s">
        <v>21</v>
      </c>
      <c r="L6590" t="s">
        <v>86</v>
      </c>
      <c r="M6590" t="s">
        <v>327</v>
      </c>
    </row>
    <row r="6591" spans="1:13">
      <c r="A6591">
        <v>46166</v>
      </c>
      <c r="B6591" t="s">
        <v>383</v>
      </c>
      <c r="F6591">
        <v>1</v>
      </c>
      <c r="G6591" t="s">
        <v>64</v>
      </c>
      <c r="L6591" t="s">
        <v>82</v>
      </c>
      <c r="M6591" t="s">
        <v>96</v>
      </c>
    </row>
    <row r="6592" spans="1:13">
      <c r="A6592">
        <v>46166</v>
      </c>
      <c r="B6592" t="s">
        <v>384</v>
      </c>
      <c r="F6592">
        <v>1</v>
      </c>
      <c r="G6592" t="s">
        <v>79</v>
      </c>
      <c r="H6592" t="s">
        <v>21</v>
      </c>
      <c r="L6592" t="s">
        <v>86</v>
      </c>
      <c r="M6592" t="s">
        <v>327</v>
      </c>
    </row>
    <row r="6593" spans="1:13">
      <c r="A6593">
        <v>46166</v>
      </c>
      <c r="B6593" t="s">
        <v>385</v>
      </c>
      <c r="F6593">
        <v>1</v>
      </c>
      <c r="G6593" t="s">
        <v>64</v>
      </c>
      <c r="L6593" t="s">
        <v>82</v>
      </c>
      <c r="M6593" t="s">
        <v>386</v>
      </c>
    </row>
    <row r="6594" spans="1:13">
      <c r="A6594">
        <v>46166</v>
      </c>
      <c r="B6594" t="s">
        <v>63</v>
      </c>
      <c r="D6594">
        <v>32500</v>
      </c>
      <c r="G6594" t="s">
        <v>70</v>
      </c>
      <c r="I6594" t="s">
        <v>60</v>
      </c>
      <c r="J6594" t="s">
        <v>61</v>
      </c>
      <c r="L6594" t="s">
        <v>62</v>
      </c>
    </row>
    <row r="6595" spans="1:13">
      <c r="A6595">
        <v>46166</v>
      </c>
      <c r="B6595" t="s">
        <v>387</v>
      </c>
      <c r="F6595">
        <v>1</v>
      </c>
      <c r="G6595" t="s">
        <v>64</v>
      </c>
      <c r="L6595" t="s">
        <v>86</v>
      </c>
      <c r="M6595" t="s">
        <v>96</v>
      </c>
    </row>
    <row r="6596" spans="1:13">
      <c r="A6596">
        <v>46166</v>
      </c>
      <c r="B6596" t="s">
        <v>387</v>
      </c>
      <c r="D6596">
        <v>500</v>
      </c>
      <c r="F6596">
        <v>1</v>
      </c>
      <c r="G6596" t="s">
        <v>22</v>
      </c>
      <c r="H6596" t="s">
        <v>21</v>
      </c>
      <c r="I6596" t="s">
        <v>60</v>
      </c>
      <c r="J6596" t="s">
        <v>61</v>
      </c>
      <c r="L6596" t="s">
        <v>86</v>
      </c>
    </row>
    <row r="6597" spans="1:13">
      <c r="A6597">
        <v>46166</v>
      </c>
      <c r="B6597" t="s">
        <v>388</v>
      </c>
      <c r="F6597">
        <v>1</v>
      </c>
      <c r="G6597" t="s">
        <v>79</v>
      </c>
      <c r="H6597" t="s">
        <v>21</v>
      </c>
      <c r="L6597" t="s">
        <v>86</v>
      </c>
      <c r="M6597" t="s">
        <v>327</v>
      </c>
    </row>
    <row r="6598" spans="1:13">
      <c r="A6598">
        <v>46166</v>
      </c>
      <c r="B6598" t="s">
        <v>63</v>
      </c>
      <c r="D6598">
        <v>8000</v>
      </c>
      <c r="F6598">
        <v>1</v>
      </c>
      <c r="G6598" t="s">
        <v>70</v>
      </c>
      <c r="I6598" t="s">
        <v>71</v>
      </c>
      <c r="J6598" t="s">
        <v>72</v>
      </c>
      <c r="K6598" t="s">
        <v>389</v>
      </c>
      <c r="L6598" t="s">
        <v>62</v>
      </c>
      <c r="M6598" t="s">
        <v>90</v>
      </c>
    </row>
    <row r="6599" spans="1:13">
      <c r="A6599">
        <v>46166</v>
      </c>
      <c r="B6599" t="s">
        <v>390</v>
      </c>
      <c r="F6599">
        <v>1</v>
      </c>
      <c r="G6599" t="s">
        <v>64</v>
      </c>
      <c r="L6599" t="s">
        <v>86</v>
      </c>
      <c r="M6599" t="s">
        <v>368</v>
      </c>
    </row>
    <row r="6600" spans="1:13">
      <c r="A6600">
        <v>46166</v>
      </c>
      <c r="B6600" t="s">
        <v>391</v>
      </c>
      <c r="D6600">
        <v>500</v>
      </c>
      <c r="F6600">
        <v>1</v>
      </c>
      <c r="G6600" t="s">
        <v>22</v>
      </c>
      <c r="H6600" t="s">
        <v>21</v>
      </c>
      <c r="I6600" t="s">
        <v>60</v>
      </c>
      <c r="J6600" t="s">
        <v>61</v>
      </c>
      <c r="L6600" t="s">
        <v>86</v>
      </c>
    </row>
    <row r="6601" spans="1:13">
      <c r="A6601">
        <v>46166</v>
      </c>
      <c r="B6601" t="s">
        <v>76</v>
      </c>
      <c r="D6601">
        <v>2000</v>
      </c>
      <c r="G6601" t="s">
        <v>77</v>
      </c>
      <c r="I6601" t="s">
        <v>60</v>
      </c>
      <c r="J6601" t="s">
        <v>61</v>
      </c>
      <c r="L6601" t="s">
        <v>62</v>
      </c>
    </row>
    <row r="6602" spans="1:13">
      <c r="A6602">
        <v>46166</v>
      </c>
      <c r="B6602" t="s">
        <v>63</v>
      </c>
      <c r="D6602">
        <v>100</v>
      </c>
      <c r="F6602">
        <v>1</v>
      </c>
      <c r="G6602" t="s">
        <v>22</v>
      </c>
      <c r="H6602" t="s">
        <v>93</v>
      </c>
      <c r="I6602" t="s">
        <v>60</v>
      </c>
      <c r="J6602" t="s">
        <v>61</v>
      </c>
      <c r="L6602" t="s">
        <v>62</v>
      </c>
    </row>
    <row r="6603" spans="1:13">
      <c r="A6603">
        <v>46166</v>
      </c>
      <c r="B6603" t="s">
        <v>63</v>
      </c>
      <c r="E6603">
        <v>1500</v>
      </c>
      <c r="F6603">
        <v>1</v>
      </c>
      <c r="G6603" t="s">
        <v>65</v>
      </c>
      <c r="H6603" t="s">
        <v>66</v>
      </c>
      <c r="I6603" t="s">
        <v>60</v>
      </c>
      <c r="J6603" t="s">
        <v>61</v>
      </c>
      <c r="L6603" t="s">
        <v>62</v>
      </c>
      <c r="M6603" t="s">
        <v>91</v>
      </c>
    </row>
    <row r="6604" spans="1:13">
      <c r="A6604">
        <v>46166</v>
      </c>
      <c r="B6604" t="s">
        <v>63</v>
      </c>
      <c r="E6604">
        <v>100</v>
      </c>
      <c r="F6604">
        <v>1</v>
      </c>
      <c r="G6604" t="s">
        <v>65</v>
      </c>
      <c r="H6604" t="s">
        <v>66</v>
      </c>
      <c r="I6604" t="s">
        <v>60</v>
      </c>
      <c r="J6604" t="s">
        <v>61</v>
      </c>
      <c r="L6604" t="s">
        <v>62</v>
      </c>
      <c r="M6604" t="s">
        <v>392</v>
      </c>
    </row>
    <row r="6605" spans="1:13">
      <c r="A6605">
        <v>46167</v>
      </c>
      <c r="B6605" t="s">
        <v>393</v>
      </c>
      <c r="D6605">
        <v>500</v>
      </c>
      <c r="F6605">
        <v>1</v>
      </c>
      <c r="G6605" t="s">
        <v>22</v>
      </c>
      <c r="H6605" t="s">
        <v>21</v>
      </c>
      <c r="I6605" t="s">
        <v>60</v>
      </c>
      <c r="J6605" t="s">
        <v>61</v>
      </c>
      <c r="L6605" t="s">
        <v>86</v>
      </c>
    </row>
    <row r="6606" spans="1:13">
      <c r="A6606">
        <v>46167</v>
      </c>
      <c r="B6606" t="s">
        <v>394</v>
      </c>
      <c r="F6606">
        <v>1</v>
      </c>
      <c r="G6606" t="s">
        <v>64</v>
      </c>
      <c r="L6606" t="s">
        <v>82</v>
      </c>
      <c r="M6606" t="s">
        <v>386</v>
      </c>
    </row>
    <row r="6607" spans="1:13">
      <c r="A6607">
        <v>46167</v>
      </c>
      <c r="B6607" t="s">
        <v>63</v>
      </c>
      <c r="D6607">
        <v>43000</v>
      </c>
      <c r="G6607" t="s">
        <v>70</v>
      </c>
      <c r="I6607" t="s">
        <v>60</v>
      </c>
      <c r="J6607" t="s">
        <v>61</v>
      </c>
      <c r="L6607" t="s">
        <v>82</v>
      </c>
    </row>
    <row r="6608" spans="1:13">
      <c r="A6608">
        <v>46167</v>
      </c>
      <c r="B6608" t="s">
        <v>80</v>
      </c>
      <c r="E6608">
        <v>28719</v>
      </c>
      <c r="F6608">
        <v>1</v>
      </c>
      <c r="G6608" t="s">
        <v>74</v>
      </c>
      <c r="H6608" t="s">
        <v>75</v>
      </c>
      <c r="I6608" t="s">
        <v>60</v>
      </c>
      <c r="J6608" t="s">
        <v>61</v>
      </c>
      <c r="K6608" t="s">
        <v>485</v>
      </c>
      <c r="L6608" t="s">
        <v>87</v>
      </c>
    </row>
    <row r="6609" spans="1:13">
      <c r="A6609">
        <v>46167</v>
      </c>
      <c r="B6609" t="s">
        <v>80</v>
      </c>
      <c r="E6609">
        <v>281</v>
      </c>
      <c r="F6609">
        <v>1</v>
      </c>
      <c r="G6609" t="s">
        <v>65</v>
      </c>
      <c r="H6609" t="s">
        <v>66</v>
      </c>
      <c r="I6609" t="s">
        <v>60</v>
      </c>
      <c r="J6609" t="s">
        <v>61</v>
      </c>
      <c r="K6609" t="s">
        <v>485</v>
      </c>
      <c r="L6609" t="s">
        <v>87</v>
      </c>
    </row>
    <row r="6610" spans="1:13">
      <c r="A6610">
        <v>46167</v>
      </c>
      <c r="B6610" t="s">
        <v>395</v>
      </c>
      <c r="D6610">
        <v>500</v>
      </c>
      <c r="F6610">
        <v>1</v>
      </c>
      <c r="G6610" t="s">
        <v>22</v>
      </c>
      <c r="H6610" t="s">
        <v>21</v>
      </c>
      <c r="I6610" t="s">
        <v>60</v>
      </c>
      <c r="J6610" t="s">
        <v>61</v>
      </c>
      <c r="L6610" t="s">
        <v>82</v>
      </c>
    </row>
    <row r="6611" spans="1:13">
      <c r="A6611">
        <v>46167</v>
      </c>
      <c r="B6611" t="s">
        <v>398</v>
      </c>
      <c r="D6611">
        <v>500</v>
      </c>
      <c r="F6611">
        <v>1</v>
      </c>
      <c r="G6611" t="s">
        <v>22</v>
      </c>
      <c r="H6611" t="s">
        <v>21</v>
      </c>
      <c r="I6611" t="s">
        <v>60</v>
      </c>
      <c r="J6611" t="s">
        <v>61</v>
      </c>
      <c r="L6611" t="s">
        <v>82</v>
      </c>
    </row>
    <row r="6612" spans="1:13">
      <c r="A6612">
        <v>46167</v>
      </c>
      <c r="B6612" t="s">
        <v>399</v>
      </c>
      <c r="F6612">
        <v>1</v>
      </c>
      <c r="G6612" t="s">
        <v>64</v>
      </c>
      <c r="L6612" t="s">
        <v>82</v>
      </c>
      <c r="M6612" t="s">
        <v>400</v>
      </c>
    </row>
    <row r="6613" spans="1:13">
      <c r="A6613">
        <v>46167</v>
      </c>
      <c r="B6613" t="s">
        <v>401</v>
      </c>
      <c r="D6613">
        <v>500</v>
      </c>
      <c r="F6613">
        <v>1</v>
      </c>
      <c r="G6613" t="s">
        <v>22</v>
      </c>
      <c r="H6613" t="s">
        <v>21</v>
      </c>
      <c r="I6613" t="s">
        <v>60</v>
      </c>
      <c r="J6613" t="s">
        <v>61</v>
      </c>
      <c r="L6613" t="s">
        <v>82</v>
      </c>
    </row>
    <row r="6614" spans="1:13">
      <c r="A6614">
        <v>46167</v>
      </c>
      <c r="B6614" t="s">
        <v>402</v>
      </c>
      <c r="F6614">
        <v>1</v>
      </c>
      <c r="G6614" t="s">
        <v>64</v>
      </c>
      <c r="L6614" t="s">
        <v>82</v>
      </c>
      <c r="M6614" t="s">
        <v>96</v>
      </c>
    </row>
    <row r="6615" spans="1:13">
      <c r="A6615">
        <v>46167</v>
      </c>
      <c r="B6615" t="s">
        <v>63</v>
      </c>
      <c r="E6615">
        <v>2000</v>
      </c>
      <c r="F6615">
        <v>1</v>
      </c>
      <c r="G6615" t="s">
        <v>65</v>
      </c>
      <c r="H6615" t="s">
        <v>66</v>
      </c>
      <c r="I6615" t="s">
        <v>60</v>
      </c>
      <c r="J6615" t="s">
        <v>61</v>
      </c>
      <c r="L6615" t="s">
        <v>62</v>
      </c>
      <c r="M6615" t="s">
        <v>91</v>
      </c>
    </row>
    <row r="6616" spans="1:13">
      <c r="A6616">
        <v>46168</v>
      </c>
      <c r="B6616" t="s">
        <v>81</v>
      </c>
      <c r="D6616">
        <v>180000</v>
      </c>
      <c r="F6616">
        <v>1</v>
      </c>
      <c r="G6616" t="s">
        <v>74</v>
      </c>
      <c r="H6616" t="s">
        <v>75</v>
      </c>
      <c r="I6616" t="s">
        <v>60</v>
      </c>
      <c r="J6616" t="s">
        <v>61</v>
      </c>
      <c r="L6616" t="s">
        <v>88</v>
      </c>
    </row>
    <row r="6617" spans="1:13">
      <c r="A6617">
        <v>46168</v>
      </c>
      <c r="B6617" t="s">
        <v>421</v>
      </c>
      <c r="D6617">
        <v>500</v>
      </c>
      <c r="F6617">
        <v>1</v>
      </c>
      <c r="G6617" t="s">
        <v>22</v>
      </c>
      <c r="H6617" t="s">
        <v>21</v>
      </c>
      <c r="I6617" t="s">
        <v>60</v>
      </c>
      <c r="J6617" t="s">
        <v>61</v>
      </c>
      <c r="L6617" t="s">
        <v>82</v>
      </c>
    </row>
    <row r="6618" spans="1:13">
      <c r="A6618">
        <v>46168</v>
      </c>
      <c r="B6618" t="s">
        <v>422</v>
      </c>
      <c r="F6618">
        <v>1</v>
      </c>
      <c r="G6618" t="s">
        <v>79</v>
      </c>
      <c r="H6618" t="s">
        <v>21</v>
      </c>
      <c r="L6618" t="s">
        <v>82</v>
      </c>
    </row>
    <row r="6619" spans="1:13">
      <c r="A6619">
        <v>46168</v>
      </c>
      <c r="B6619" t="s">
        <v>423</v>
      </c>
      <c r="D6619">
        <v>500</v>
      </c>
      <c r="F6619">
        <v>1</v>
      </c>
      <c r="G6619" t="s">
        <v>22</v>
      </c>
      <c r="H6619" t="s">
        <v>21</v>
      </c>
      <c r="I6619" t="s">
        <v>60</v>
      </c>
      <c r="J6619" t="s">
        <v>61</v>
      </c>
      <c r="L6619" t="s">
        <v>89</v>
      </c>
    </row>
    <row r="6620" spans="1:13">
      <c r="A6620">
        <v>46168</v>
      </c>
      <c r="B6620" t="s">
        <v>84</v>
      </c>
      <c r="D6620">
        <v>-52000</v>
      </c>
      <c r="G6620" t="s">
        <v>77</v>
      </c>
      <c r="I6620" t="s">
        <v>60</v>
      </c>
      <c r="J6620" t="s">
        <v>61</v>
      </c>
      <c r="L6620" t="s">
        <v>62</v>
      </c>
    </row>
    <row r="6621" spans="1:13">
      <c r="A6621">
        <v>46168</v>
      </c>
      <c r="B6621" t="s">
        <v>84</v>
      </c>
      <c r="E6621">
        <v>-2750</v>
      </c>
      <c r="F6621">
        <v>1</v>
      </c>
      <c r="G6621" t="s">
        <v>65</v>
      </c>
      <c r="H6621" t="s">
        <v>85</v>
      </c>
      <c r="I6621" t="s">
        <v>60</v>
      </c>
      <c r="J6621" t="s">
        <v>61</v>
      </c>
      <c r="L6621" t="s">
        <v>62</v>
      </c>
    </row>
    <row r="6622" spans="1:13">
      <c r="A6622">
        <v>46168</v>
      </c>
      <c r="B6622" t="s">
        <v>84</v>
      </c>
      <c r="E6622">
        <v>750</v>
      </c>
      <c r="F6622">
        <v>1</v>
      </c>
      <c r="G6622" t="s">
        <v>65</v>
      </c>
      <c r="H6622" t="s">
        <v>66</v>
      </c>
      <c r="I6622" t="s">
        <v>60</v>
      </c>
      <c r="J6622" t="s">
        <v>61</v>
      </c>
      <c r="L6622" t="s">
        <v>62</v>
      </c>
    </row>
    <row r="6623" spans="1:13">
      <c r="A6623">
        <v>46168</v>
      </c>
      <c r="B6623" t="s">
        <v>238</v>
      </c>
      <c r="C6623" t="s">
        <v>424</v>
      </c>
      <c r="F6623">
        <v>47</v>
      </c>
      <c r="G6623" t="s">
        <v>22</v>
      </c>
      <c r="H6623" t="s">
        <v>21</v>
      </c>
      <c r="L6623" t="s">
        <v>95</v>
      </c>
    </row>
    <row r="6624" spans="1:13">
      <c r="A6624">
        <v>46168</v>
      </c>
      <c r="B6624" t="s">
        <v>425</v>
      </c>
      <c r="D6624">
        <v>500</v>
      </c>
      <c r="F6624">
        <v>1</v>
      </c>
      <c r="G6624" t="s">
        <v>22</v>
      </c>
      <c r="H6624" t="s">
        <v>21</v>
      </c>
      <c r="I6624" t="s">
        <v>60</v>
      </c>
      <c r="J6624" t="s">
        <v>61</v>
      </c>
      <c r="L6624" t="s">
        <v>82</v>
      </c>
    </row>
    <row r="6625" spans="1:13">
      <c r="A6625">
        <v>46168</v>
      </c>
      <c r="B6625" t="s">
        <v>426</v>
      </c>
      <c r="D6625">
        <v>500</v>
      </c>
      <c r="F6625">
        <v>1</v>
      </c>
      <c r="G6625" t="s">
        <v>22</v>
      </c>
      <c r="H6625" t="s">
        <v>21</v>
      </c>
      <c r="I6625" t="s">
        <v>60</v>
      </c>
      <c r="J6625" t="s">
        <v>61</v>
      </c>
      <c r="L6625" t="s">
        <v>82</v>
      </c>
    </row>
    <row r="6626" spans="1:13">
      <c r="A6626">
        <v>46168</v>
      </c>
      <c r="B6626" t="s">
        <v>427</v>
      </c>
      <c r="D6626">
        <v>500</v>
      </c>
      <c r="F6626">
        <v>1</v>
      </c>
      <c r="G6626" t="s">
        <v>22</v>
      </c>
      <c r="H6626" t="s">
        <v>21</v>
      </c>
      <c r="I6626" t="s">
        <v>60</v>
      </c>
      <c r="J6626" t="s">
        <v>61</v>
      </c>
      <c r="L6626" t="s">
        <v>82</v>
      </c>
    </row>
    <row r="6627" spans="1:13">
      <c r="A6627">
        <v>46168</v>
      </c>
      <c r="B6627" t="s">
        <v>428</v>
      </c>
      <c r="D6627">
        <v>500</v>
      </c>
      <c r="F6627">
        <v>1</v>
      </c>
      <c r="G6627" t="s">
        <v>22</v>
      </c>
      <c r="H6627" t="s">
        <v>21</v>
      </c>
      <c r="I6627" t="s">
        <v>60</v>
      </c>
      <c r="J6627" t="s">
        <v>61</v>
      </c>
      <c r="L6627" t="s">
        <v>82</v>
      </c>
    </row>
    <row r="6628" spans="1:13">
      <c r="A6628">
        <v>46168</v>
      </c>
      <c r="B6628" t="s">
        <v>429</v>
      </c>
      <c r="D6628">
        <v>500</v>
      </c>
      <c r="F6628">
        <v>1</v>
      </c>
      <c r="G6628" t="s">
        <v>22</v>
      </c>
      <c r="H6628" t="s">
        <v>21</v>
      </c>
      <c r="I6628" t="s">
        <v>60</v>
      </c>
      <c r="J6628" t="s">
        <v>61</v>
      </c>
      <c r="L6628" t="s">
        <v>82</v>
      </c>
    </row>
    <row r="6629" spans="1:13">
      <c r="A6629">
        <v>46168</v>
      </c>
      <c r="B6629" t="s">
        <v>430</v>
      </c>
      <c r="F6629">
        <v>1</v>
      </c>
      <c r="G6629" t="s">
        <v>64</v>
      </c>
      <c r="L6629" t="s">
        <v>89</v>
      </c>
      <c r="M6629" t="s">
        <v>368</v>
      </c>
    </row>
    <row r="6630" spans="1:13">
      <c r="A6630">
        <v>46168</v>
      </c>
      <c r="B6630" t="s">
        <v>431</v>
      </c>
      <c r="F6630">
        <v>1</v>
      </c>
      <c r="G6630" t="s">
        <v>79</v>
      </c>
      <c r="H6630" t="s">
        <v>21</v>
      </c>
      <c r="L6630" t="s">
        <v>89</v>
      </c>
      <c r="M6630" t="s">
        <v>327</v>
      </c>
    </row>
    <row r="6631" spans="1:13">
      <c r="A6631">
        <v>46168</v>
      </c>
      <c r="B6631" t="s">
        <v>63</v>
      </c>
      <c r="E6631">
        <v>3500</v>
      </c>
      <c r="F6631">
        <v>1</v>
      </c>
      <c r="G6631" t="s">
        <v>65</v>
      </c>
      <c r="H6631" t="s">
        <v>66</v>
      </c>
      <c r="I6631" t="s">
        <v>60</v>
      </c>
      <c r="J6631" t="s">
        <v>61</v>
      </c>
      <c r="L6631" t="s">
        <v>62</v>
      </c>
      <c r="M6631" t="s">
        <v>91</v>
      </c>
    </row>
    <row r="6632" spans="1:13">
      <c r="A6632">
        <v>46169</v>
      </c>
      <c r="B6632" t="s">
        <v>81</v>
      </c>
      <c r="D6632">
        <v>55500</v>
      </c>
      <c r="F6632">
        <v>1</v>
      </c>
      <c r="G6632" t="s">
        <v>74</v>
      </c>
      <c r="H6632" t="s">
        <v>75</v>
      </c>
      <c r="I6632" t="s">
        <v>60</v>
      </c>
      <c r="J6632" t="s">
        <v>61</v>
      </c>
      <c r="L6632" t="s">
        <v>88</v>
      </c>
    </row>
    <row r="6633" spans="1:13">
      <c r="A6633">
        <v>46169</v>
      </c>
      <c r="B6633" t="s">
        <v>432</v>
      </c>
      <c r="C6633" t="s">
        <v>433</v>
      </c>
      <c r="E6633">
        <v>45000</v>
      </c>
      <c r="F6633">
        <v>1</v>
      </c>
      <c r="G6633" t="s">
        <v>65</v>
      </c>
      <c r="H6633" t="s">
        <v>265</v>
      </c>
      <c r="I6633" t="s">
        <v>60</v>
      </c>
      <c r="J6633" t="s">
        <v>61</v>
      </c>
      <c r="L6633" t="s">
        <v>62</v>
      </c>
    </row>
    <row r="6634" spans="1:13">
      <c r="A6634">
        <v>46169</v>
      </c>
      <c r="B6634" t="s">
        <v>432</v>
      </c>
      <c r="C6634" t="s">
        <v>434</v>
      </c>
      <c r="E6634">
        <v>45000</v>
      </c>
      <c r="F6634">
        <v>1</v>
      </c>
      <c r="G6634" t="s">
        <v>65</v>
      </c>
      <c r="H6634" t="s">
        <v>265</v>
      </c>
      <c r="I6634" t="s">
        <v>60</v>
      </c>
      <c r="J6634" t="s">
        <v>61</v>
      </c>
      <c r="L6634" t="s">
        <v>62</v>
      </c>
    </row>
    <row r="6635" spans="1:13">
      <c r="A6635">
        <v>46169</v>
      </c>
      <c r="B6635" t="s">
        <v>290</v>
      </c>
      <c r="C6635" t="s">
        <v>441</v>
      </c>
      <c r="E6635">
        <v>56286.44</v>
      </c>
      <c r="F6635">
        <v>1</v>
      </c>
      <c r="G6635" t="s">
        <v>65</v>
      </c>
      <c r="H6635" t="s">
        <v>265</v>
      </c>
      <c r="I6635" t="s">
        <v>60</v>
      </c>
      <c r="J6635" t="s">
        <v>61</v>
      </c>
      <c r="L6635" t="s">
        <v>62</v>
      </c>
    </row>
    <row r="6636" spans="1:13">
      <c r="A6636">
        <v>46169</v>
      </c>
      <c r="B6636" t="s">
        <v>435</v>
      </c>
      <c r="D6636">
        <v>500</v>
      </c>
      <c r="F6636">
        <v>1</v>
      </c>
      <c r="G6636" t="s">
        <v>22</v>
      </c>
      <c r="H6636" t="s">
        <v>21</v>
      </c>
      <c r="I6636" t="s">
        <v>60</v>
      </c>
      <c r="J6636" t="s">
        <v>61</v>
      </c>
      <c r="L6636" t="s">
        <v>82</v>
      </c>
    </row>
    <row r="6637" spans="1:13">
      <c r="A6637">
        <v>46169</v>
      </c>
      <c r="B6637" t="s">
        <v>436</v>
      </c>
      <c r="D6637">
        <v>500</v>
      </c>
      <c r="F6637">
        <v>1</v>
      </c>
      <c r="G6637" t="s">
        <v>22</v>
      </c>
      <c r="H6637" t="s">
        <v>21</v>
      </c>
      <c r="I6637" t="s">
        <v>60</v>
      </c>
      <c r="J6637" t="s">
        <v>61</v>
      </c>
      <c r="L6637" t="s">
        <v>82</v>
      </c>
    </row>
    <row r="6638" spans="1:13">
      <c r="A6638">
        <v>46169</v>
      </c>
      <c r="B6638" t="s">
        <v>437</v>
      </c>
      <c r="D6638">
        <v>500</v>
      </c>
      <c r="F6638">
        <v>1</v>
      </c>
      <c r="G6638" t="s">
        <v>22</v>
      </c>
      <c r="H6638" t="s">
        <v>21</v>
      </c>
      <c r="I6638" t="s">
        <v>60</v>
      </c>
      <c r="J6638" t="s">
        <v>61</v>
      </c>
      <c r="L6638" t="s">
        <v>82</v>
      </c>
    </row>
    <row r="6639" spans="1:13">
      <c r="A6639">
        <v>46169</v>
      </c>
      <c r="B6639" t="s">
        <v>438</v>
      </c>
      <c r="F6639">
        <v>1</v>
      </c>
      <c r="G6639" t="s">
        <v>64</v>
      </c>
      <c r="L6639" t="s">
        <v>82</v>
      </c>
      <c r="M6639" t="s">
        <v>96</v>
      </c>
    </row>
    <row r="6640" spans="1:13">
      <c r="A6640">
        <v>46169</v>
      </c>
      <c r="B6640" t="s">
        <v>63</v>
      </c>
      <c r="D6640">
        <v>38000</v>
      </c>
      <c r="G6640" t="s">
        <v>70</v>
      </c>
      <c r="I6640" t="s">
        <v>60</v>
      </c>
      <c r="J6640" t="s">
        <v>61</v>
      </c>
      <c r="L6640" t="s">
        <v>62</v>
      </c>
    </row>
    <row r="6641" spans="1:13">
      <c r="A6641">
        <v>46169</v>
      </c>
      <c r="B6641" t="s">
        <v>439</v>
      </c>
      <c r="F6641">
        <v>1</v>
      </c>
      <c r="G6641" t="s">
        <v>98</v>
      </c>
      <c r="H6641" t="s">
        <v>21</v>
      </c>
      <c r="L6641" t="s">
        <v>89</v>
      </c>
      <c r="M6641" t="s">
        <v>327</v>
      </c>
    </row>
    <row r="6642" spans="1:13">
      <c r="A6642">
        <v>46169</v>
      </c>
      <c r="B6642" t="s">
        <v>440</v>
      </c>
      <c r="F6642">
        <v>1</v>
      </c>
      <c r="G6642" t="s">
        <v>98</v>
      </c>
      <c r="H6642" t="s">
        <v>21</v>
      </c>
      <c r="L6642" t="s">
        <v>89</v>
      </c>
      <c r="M6642" t="s">
        <v>327</v>
      </c>
    </row>
    <row r="6643" spans="1:13">
      <c r="A6643">
        <v>46169</v>
      </c>
      <c r="B6643" t="s">
        <v>442</v>
      </c>
      <c r="F6643">
        <v>1</v>
      </c>
      <c r="G6643" t="s">
        <v>99</v>
      </c>
      <c r="H6643" t="s">
        <v>21</v>
      </c>
      <c r="L6643" t="s">
        <v>89</v>
      </c>
      <c r="M6643" t="s">
        <v>492</v>
      </c>
    </row>
    <row r="6644" spans="1:13">
      <c r="A6644">
        <v>46169</v>
      </c>
      <c r="B6644" t="s">
        <v>443</v>
      </c>
      <c r="F6644">
        <v>1</v>
      </c>
      <c r="G6644" t="s">
        <v>79</v>
      </c>
      <c r="H6644" t="s">
        <v>21</v>
      </c>
      <c r="L6644" t="s">
        <v>89</v>
      </c>
      <c r="M6644" t="s">
        <v>327</v>
      </c>
    </row>
    <row r="6645" spans="1:13">
      <c r="A6645">
        <v>46169</v>
      </c>
      <c r="B6645" t="s">
        <v>443</v>
      </c>
      <c r="F6645">
        <v>1</v>
      </c>
      <c r="G6645" t="s">
        <v>64</v>
      </c>
      <c r="L6645" t="s">
        <v>89</v>
      </c>
      <c r="M6645" t="s">
        <v>444</v>
      </c>
    </row>
    <row r="6646" spans="1:13">
      <c r="A6646">
        <v>46169</v>
      </c>
      <c r="B6646" t="s">
        <v>76</v>
      </c>
      <c r="D6646">
        <v>15100</v>
      </c>
      <c r="G6646" t="s">
        <v>77</v>
      </c>
      <c r="I6646" t="s">
        <v>60</v>
      </c>
      <c r="J6646" t="s">
        <v>61</v>
      </c>
      <c r="L6646" t="s">
        <v>82</v>
      </c>
    </row>
    <row r="6647" spans="1:13">
      <c r="A6647">
        <v>46169</v>
      </c>
      <c r="B6647" t="s">
        <v>450</v>
      </c>
      <c r="D6647">
        <v>500</v>
      </c>
      <c r="F6647">
        <v>1</v>
      </c>
      <c r="G6647" t="s">
        <v>22</v>
      </c>
      <c r="H6647" t="s">
        <v>21</v>
      </c>
      <c r="I6647" t="s">
        <v>60</v>
      </c>
      <c r="J6647" t="s">
        <v>61</v>
      </c>
      <c r="L6647" t="s">
        <v>89</v>
      </c>
    </row>
    <row r="6648" spans="1:13">
      <c r="A6648">
        <v>46169</v>
      </c>
      <c r="B6648" t="s">
        <v>63</v>
      </c>
      <c r="E6648">
        <v>2000</v>
      </c>
      <c r="F6648">
        <v>1</v>
      </c>
      <c r="G6648" t="s">
        <v>65</v>
      </c>
      <c r="H6648" t="s">
        <v>66</v>
      </c>
      <c r="I6648" t="s">
        <v>60</v>
      </c>
      <c r="J6648" t="s">
        <v>61</v>
      </c>
      <c r="L6648" t="s">
        <v>62</v>
      </c>
      <c r="M6648" t="s">
        <v>91</v>
      </c>
    </row>
    <row r="6649" spans="1:13">
      <c r="A6649">
        <v>46170</v>
      </c>
      <c r="B6649" t="s">
        <v>451</v>
      </c>
      <c r="F6649">
        <v>1</v>
      </c>
      <c r="G6649" t="s">
        <v>22</v>
      </c>
      <c r="H6649" t="s">
        <v>21</v>
      </c>
      <c r="L6649" t="s">
        <v>101</v>
      </c>
      <c r="M6649" t="s">
        <v>493</v>
      </c>
    </row>
    <row r="6650" spans="1:13">
      <c r="A6650">
        <v>46170</v>
      </c>
      <c r="B6650" t="s">
        <v>452</v>
      </c>
      <c r="F6650">
        <v>1</v>
      </c>
      <c r="G6650" t="s">
        <v>64</v>
      </c>
      <c r="L6650" t="s">
        <v>89</v>
      </c>
      <c r="M6650" t="s">
        <v>453</v>
      </c>
    </row>
    <row r="6651" spans="1:13">
      <c r="A6651">
        <v>46170</v>
      </c>
      <c r="B6651" t="s">
        <v>454</v>
      </c>
      <c r="F6651">
        <v>1</v>
      </c>
      <c r="G6651" t="s">
        <v>0</v>
      </c>
      <c r="L6651" t="s">
        <v>82</v>
      </c>
    </row>
    <row r="6652" spans="1:13">
      <c r="A6652">
        <v>46170</v>
      </c>
      <c r="B6652" t="s">
        <v>455</v>
      </c>
      <c r="D6652">
        <v>500</v>
      </c>
      <c r="F6652">
        <v>1</v>
      </c>
      <c r="G6652" t="s">
        <v>22</v>
      </c>
      <c r="H6652" t="s">
        <v>21</v>
      </c>
      <c r="I6652" t="s">
        <v>60</v>
      </c>
      <c r="J6652" t="s">
        <v>61</v>
      </c>
      <c r="L6652" t="s">
        <v>89</v>
      </c>
    </row>
    <row r="6653" spans="1:13">
      <c r="A6653">
        <v>46170</v>
      </c>
      <c r="B6653" t="s">
        <v>63</v>
      </c>
      <c r="D6653">
        <v>54500</v>
      </c>
      <c r="G6653" t="s">
        <v>70</v>
      </c>
      <c r="I6653" t="s">
        <v>60</v>
      </c>
      <c r="J6653" t="s">
        <v>61</v>
      </c>
      <c r="L6653" t="s">
        <v>62</v>
      </c>
    </row>
    <row r="6654" spans="1:13">
      <c r="A6654">
        <v>46170</v>
      </c>
      <c r="B6654" t="s">
        <v>449</v>
      </c>
      <c r="F6654">
        <v>1</v>
      </c>
      <c r="G6654" t="s">
        <v>99</v>
      </c>
      <c r="H6654" t="s">
        <v>21</v>
      </c>
      <c r="L6654" t="s">
        <v>89</v>
      </c>
      <c r="M6654" t="s">
        <v>494</v>
      </c>
    </row>
    <row r="6655" spans="1:13">
      <c r="A6655">
        <v>46170</v>
      </c>
      <c r="B6655" t="s">
        <v>80</v>
      </c>
      <c r="E6655">
        <v>38127</v>
      </c>
      <c r="F6655">
        <v>1</v>
      </c>
      <c r="G6655" t="s">
        <v>74</v>
      </c>
      <c r="H6655" t="s">
        <v>75</v>
      </c>
      <c r="I6655" t="s">
        <v>60</v>
      </c>
      <c r="J6655" t="s">
        <v>61</v>
      </c>
      <c r="K6655" t="s">
        <v>486</v>
      </c>
      <c r="L6655" t="s">
        <v>87</v>
      </c>
    </row>
    <row r="6656" spans="1:13">
      <c r="A6656">
        <v>46170</v>
      </c>
      <c r="B6656" t="s">
        <v>80</v>
      </c>
      <c r="E6656">
        <v>373</v>
      </c>
      <c r="F6656">
        <v>1</v>
      </c>
      <c r="G6656" t="s">
        <v>65</v>
      </c>
      <c r="H6656" t="s">
        <v>66</v>
      </c>
      <c r="I6656" t="s">
        <v>60</v>
      </c>
      <c r="J6656" t="s">
        <v>61</v>
      </c>
      <c r="K6656" t="s">
        <v>486</v>
      </c>
      <c r="L6656" t="s">
        <v>87</v>
      </c>
    </row>
    <row r="6657" spans="1:13">
      <c r="A6657">
        <v>46170</v>
      </c>
      <c r="B6657" t="s">
        <v>457</v>
      </c>
      <c r="D6657">
        <v>500</v>
      </c>
      <c r="F6657">
        <v>1</v>
      </c>
      <c r="G6657" t="s">
        <v>22</v>
      </c>
      <c r="H6657" t="s">
        <v>21</v>
      </c>
      <c r="I6657" t="s">
        <v>60</v>
      </c>
      <c r="J6657" t="s">
        <v>61</v>
      </c>
      <c r="L6657" t="s">
        <v>86</v>
      </c>
    </row>
    <row r="6658" spans="1:13">
      <c r="A6658">
        <v>46170</v>
      </c>
      <c r="B6658" t="s">
        <v>458</v>
      </c>
      <c r="F6658">
        <v>1</v>
      </c>
      <c r="G6658" t="s">
        <v>64</v>
      </c>
      <c r="L6658" t="s">
        <v>86</v>
      </c>
      <c r="M6658" t="s">
        <v>96</v>
      </c>
    </row>
    <row r="6659" spans="1:13">
      <c r="A6659">
        <v>46170</v>
      </c>
      <c r="B6659" t="s">
        <v>459</v>
      </c>
      <c r="D6659">
        <v>500</v>
      </c>
      <c r="F6659">
        <v>1</v>
      </c>
      <c r="G6659" t="s">
        <v>22</v>
      </c>
      <c r="H6659" t="s">
        <v>21</v>
      </c>
      <c r="I6659" t="s">
        <v>60</v>
      </c>
      <c r="J6659" t="s">
        <v>61</v>
      </c>
      <c r="L6659" t="s">
        <v>86</v>
      </c>
    </row>
    <row r="6660" spans="1:13">
      <c r="A6660">
        <v>46170</v>
      </c>
      <c r="B6660" t="s">
        <v>460</v>
      </c>
      <c r="F6660">
        <v>1</v>
      </c>
      <c r="G6660" t="s">
        <v>22</v>
      </c>
      <c r="H6660" t="s">
        <v>21</v>
      </c>
      <c r="L6660" t="s">
        <v>461</v>
      </c>
      <c r="M6660" t="s">
        <v>462</v>
      </c>
    </row>
    <row r="6661" spans="1:13">
      <c r="A6661">
        <v>46170</v>
      </c>
      <c r="B6661" t="s">
        <v>63</v>
      </c>
      <c r="E6661">
        <v>1500</v>
      </c>
      <c r="F6661">
        <v>1</v>
      </c>
      <c r="G6661" t="s">
        <v>65</v>
      </c>
      <c r="H6661" t="s">
        <v>66</v>
      </c>
      <c r="I6661" t="s">
        <v>60</v>
      </c>
      <c r="J6661" t="s">
        <v>61</v>
      </c>
      <c r="L6661" t="s">
        <v>62</v>
      </c>
      <c r="M6661" t="s">
        <v>91</v>
      </c>
    </row>
    <row r="6662" spans="1:13">
      <c r="A6662">
        <v>46171</v>
      </c>
      <c r="B6662" t="s">
        <v>81</v>
      </c>
      <c r="D6662">
        <v>43000</v>
      </c>
      <c r="F6662">
        <v>1</v>
      </c>
      <c r="G6662" t="s">
        <v>74</v>
      </c>
      <c r="H6662" t="s">
        <v>75</v>
      </c>
      <c r="I6662" t="s">
        <v>60</v>
      </c>
      <c r="J6662" t="s">
        <v>61</v>
      </c>
      <c r="L6662" t="s">
        <v>88</v>
      </c>
    </row>
    <row r="6663" spans="1:13">
      <c r="A6663">
        <v>46171</v>
      </c>
      <c r="B6663" t="s">
        <v>84</v>
      </c>
      <c r="D6663">
        <v>-12480</v>
      </c>
      <c r="G6663" t="s">
        <v>77</v>
      </c>
      <c r="I6663" t="s">
        <v>60</v>
      </c>
      <c r="J6663" t="s">
        <v>61</v>
      </c>
      <c r="L6663" t="s">
        <v>62</v>
      </c>
    </row>
    <row r="6664" spans="1:13">
      <c r="A6664">
        <v>46171</v>
      </c>
      <c r="B6664" t="s">
        <v>84</v>
      </c>
      <c r="E6664">
        <v>-660</v>
      </c>
      <c r="F6664">
        <v>1</v>
      </c>
      <c r="G6664" t="s">
        <v>65</v>
      </c>
      <c r="H6664" t="s">
        <v>85</v>
      </c>
      <c r="I6664" t="s">
        <v>60</v>
      </c>
      <c r="J6664" t="s">
        <v>61</v>
      </c>
      <c r="L6664" t="s">
        <v>62</v>
      </c>
    </row>
    <row r="6665" spans="1:13">
      <c r="A6665">
        <v>46171</v>
      </c>
      <c r="B6665" t="s">
        <v>84</v>
      </c>
      <c r="E6665">
        <v>180</v>
      </c>
      <c r="F6665">
        <v>1</v>
      </c>
      <c r="G6665" t="s">
        <v>65</v>
      </c>
      <c r="H6665" t="s">
        <v>66</v>
      </c>
      <c r="I6665" t="s">
        <v>60</v>
      </c>
      <c r="J6665" t="s">
        <v>61</v>
      </c>
      <c r="L6665" t="s">
        <v>62</v>
      </c>
    </row>
    <row r="6666" spans="1:13">
      <c r="A6666">
        <v>46171</v>
      </c>
      <c r="B6666" t="s">
        <v>196</v>
      </c>
      <c r="E6666">
        <v>8000</v>
      </c>
      <c r="F6666">
        <v>1</v>
      </c>
      <c r="G6666" t="s">
        <v>65</v>
      </c>
      <c r="H6666" t="s">
        <v>265</v>
      </c>
      <c r="I6666" t="s">
        <v>60</v>
      </c>
      <c r="J6666" t="s">
        <v>61</v>
      </c>
      <c r="L6666" t="s">
        <v>62</v>
      </c>
    </row>
    <row r="6667" spans="1:13">
      <c r="A6667">
        <v>46171</v>
      </c>
      <c r="B6667" t="s">
        <v>463</v>
      </c>
      <c r="D6667">
        <v>500</v>
      </c>
      <c r="F6667">
        <v>1</v>
      </c>
      <c r="G6667" t="s">
        <v>22</v>
      </c>
      <c r="H6667" t="s">
        <v>21</v>
      </c>
      <c r="I6667" t="s">
        <v>60</v>
      </c>
      <c r="J6667" t="s">
        <v>61</v>
      </c>
      <c r="L6667" t="s">
        <v>89</v>
      </c>
    </row>
    <row r="6668" spans="1:13">
      <c r="A6668">
        <v>46171</v>
      </c>
      <c r="B6668" t="s">
        <v>464</v>
      </c>
      <c r="D6668">
        <v>500</v>
      </c>
      <c r="F6668">
        <v>1</v>
      </c>
      <c r="G6668" t="s">
        <v>22</v>
      </c>
      <c r="H6668" t="s">
        <v>21</v>
      </c>
      <c r="I6668" t="s">
        <v>60</v>
      </c>
      <c r="J6668" t="s">
        <v>61</v>
      </c>
      <c r="L6668" t="s">
        <v>89</v>
      </c>
    </row>
    <row r="6669" spans="1:13">
      <c r="A6669">
        <v>46171</v>
      </c>
      <c r="B6669" t="s">
        <v>465</v>
      </c>
      <c r="F6669">
        <v>1</v>
      </c>
      <c r="G6669" t="s">
        <v>64</v>
      </c>
      <c r="L6669" t="s">
        <v>89</v>
      </c>
      <c r="M6669" t="s">
        <v>96</v>
      </c>
    </row>
    <row r="6670" spans="1:13">
      <c r="A6670">
        <v>46171</v>
      </c>
      <c r="B6670" t="s">
        <v>466</v>
      </c>
      <c r="F6670">
        <v>1</v>
      </c>
      <c r="G6670" t="s">
        <v>79</v>
      </c>
      <c r="H6670" t="s">
        <v>21</v>
      </c>
      <c r="L6670" t="s">
        <v>82</v>
      </c>
      <c r="M6670" t="s">
        <v>327</v>
      </c>
    </row>
    <row r="6671" spans="1:13">
      <c r="A6671">
        <v>46171</v>
      </c>
      <c r="B6671" t="s">
        <v>467</v>
      </c>
      <c r="F6671">
        <v>1</v>
      </c>
      <c r="G6671" t="s">
        <v>79</v>
      </c>
      <c r="H6671" t="s">
        <v>21</v>
      </c>
      <c r="L6671" t="s">
        <v>82</v>
      </c>
      <c r="M6671" t="s">
        <v>327</v>
      </c>
    </row>
    <row r="6672" spans="1:13">
      <c r="A6672">
        <v>46171</v>
      </c>
      <c r="B6672" t="s">
        <v>76</v>
      </c>
      <c r="D6672">
        <v>9800</v>
      </c>
      <c r="G6672" t="s">
        <v>77</v>
      </c>
      <c r="I6672" t="s">
        <v>60</v>
      </c>
      <c r="J6672" t="s">
        <v>61</v>
      </c>
      <c r="L6672" t="s">
        <v>62</v>
      </c>
    </row>
    <row r="6673" spans="1:13">
      <c r="A6673">
        <v>46171</v>
      </c>
      <c r="B6673" t="s">
        <v>63</v>
      </c>
      <c r="D6673">
        <v>100000</v>
      </c>
      <c r="G6673" t="s">
        <v>70</v>
      </c>
      <c r="I6673" t="s">
        <v>60</v>
      </c>
      <c r="J6673" t="s">
        <v>61</v>
      </c>
      <c r="L6673" t="s">
        <v>62</v>
      </c>
    </row>
    <row r="6674" spans="1:13">
      <c r="A6674">
        <v>46171</v>
      </c>
      <c r="B6674" t="s">
        <v>80</v>
      </c>
      <c r="E6674">
        <v>84500</v>
      </c>
      <c r="F6674">
        <v>1</v>
      </c>
      <c r="G6674" t="s">
        <v>74</v>
      </c>
      <c r="H6674" t="s">
        <v>75</v>
      </c>
      <c r="I6674" t="s">
        <v>60</v>
      </c>
      <c r="J6674" t="s">
        <v>61</v>
      </c>
      <c r="K6674" t="s">
        <v>109</v>
      </c>
      <c r="L6674" t="s">
        <v>87</v>
      </c>
    </row>
    <row r="6675" spans="1:13">
      <c r="A6675">
        <v>46171</v>
      </c>
      <c r="B6675" t="s">
        <v>80</v>
      </c>
      <c r="E6675">
        <v>0</v>
      </c>
      <c r="F6675">
        <v>1</v>
      </c>
      <c r="G6675" t="s">
        <v>65</v>
      </c>
      <c r="H6675" t="s">
        <v>66</v>
      </c>
      <c r="I6675" t="s">
        <v>60</v>
      </c>
      <c r="J6675" t="s">
        <v>61</v>
      </c>
      <c r="K6675" t="s">
        <v>109</v>
      </c>
      <c r="L6675" t="s">
        <v>87</v>
      </c>
    </row>
    <row r="6676" spans="1:13">
      <c r="A6676">
        <v>46171</v>
      </c>
      <c r="B6676" t="s">
        <v>468</v>
      </c>
      <c r="F6676">
        <v>1</v>
      </c>
      <c r="G6676" t="s">
        <v>64</v>
      </c>
      <c r="L6676" t="s">
        <v>82</v>
      </c>
      <c r="M6676" t="s">
        <v>356</v>
      </c>
    </row>
    <row r="6677" spans="1:13">
      <c r="A6677">
        <v>46171</v>
      </c>
      <c r="B6677" t="s">
        <v>469</v>
      </c>
      <c r="F6677">
        <v>1</v>
      </c>
      <c r="G6677" t="s">
        <v>64</v>
      </c>
      <c r="L6677" t="s">
        <v>82</v>
      </c>
      <c r="M6677" t="s">
        <v>470</v>
      </c>
    </row>
    <row r="6678" spans="1:13">
      <c r="A6678">
        <v>46171</v>
      </c>
      <c r="B6678" t="s">
        <v>471</v>
      </c>
      <c r="D6678">
        <v>500</v>
      </c>
      <c r="F6678">
        <v>1</v>
      </c>
      <c r="G6678" t="s">
        <v>22</v>
      </c>
      <c r="H6678" t="s">
        <v>21</v>
      </c>
      <c r="I6678" t="s">
        <v>60</v>
      </c>
      <c r="J6678" t="s">
        <v>61</v>
      </c>
      <c r="L6678" t="s">
        <v>82</v>
      </c>
    </row>
    <row r="6679" spans="1:13">
      <c r="A6679">
        <v>46171</v>
      </c>
      <c r="B6679" t="s">
        <v>63</v>
      </c>
      <c r="D6679">
        <v>8000</v>
      </c>
      <c r="F6679">
        <v>1</v>
      </c>
      <c r="G6679" t="s">
        <v>70</v>
      </c>
      <c r="I6679" t="s">
        <v>71</v>
      </c>
      <c r="J6679" t="s">
        <v>72</v>
      </c>
      <c r="K6679" t="s">
        <v>490</v>
      </c>
      <c r="L6679" t="s">
        <v>62</v>
      </c>
      <c r="M6679" t="s">
        <v>90</v>
      </c>
    </row>
    <row r="6680" spans="1:13">
      <c r="A6680">
        <v>46171</v>
      </c>
      <c r="B6680" t="s">
        <v>63</v>
      </c>
      <c r="D6680">
        <v>8000</v>
      </c>
      <c r="F6680">
        <v>1</v>
      </c>
      <c r="G6680" t="s">
        <v>70</v>
      </c>
      <c r="I6680" t="s">
        <v>71</v>
      </c>
      <c r="J6680" t="s">
        <v>72</v>
      </c>
      <c r="K6680" t="s">
        <v>491</v>
      </c>
      <c r="L6680" t="s">
        <v>62</v>
      </c>
      <c r="M6680" t="s">
        <v>90</v>
      </c>
    </row>
    <row r="6681" spans="1:13">
      <c r="A6681">
        <v>46171</v>
      </c>
      <c r="B6681" t="s">
        <v>472</v>
      </c>
      <c r="F6681">
        <v>1</v>
      </c>
      <c r="G6681" t="s">
        <v>64</v>
      </c>
      <c r="L6681" t="s">
        <v>82</v>
      </c>
      <c r="M6681" t="s">
        <v>473</v>
      </c>
    </row>
    <row r="6682" spans="1:13">
      <c r="A6682">
        <v>46171</v>
      </c>
      <c r="B6682" t="s">
        <v>487</v>
      </c>
      <c r="D6682">
        <v>500</v>
      </c>
      <c r="F6682">
        <v>1</v>
      </c>
      <c r="G6682" t="s">
        <v>22</v>
      </c>
      <c r="H6682" t="s">
        <v>21</v>
      </c>
      <c r="I6682" t="s">
        <v>60</v>
      </c>
      <c r="J6682" t="s">
        <v>61</v>
      </c>
      <c r="L6682" t="s">
        <v>82</v>
      </c>
    </row>
    <row r="6683" spans="1:13">
      <c r="A6683">
        <v>46171</v>
      </c>
      <c r="B6683" t="s">
        <v>488</v>
      </c>
      <c r="D6683">
        <v>500</v>
      </c>
      <c r="F6683">
        <v>1</v>
      </c>
      <c r="G6683" t="s">
        <v>22</v>
      </c>
      <c r="H6683" t="s">
        <v>21</v>
      </c>
      <c r="I6683" t="s">
        <v>60</v>
      </c>
      <c r="J6683" t="s">
        <v>61</v>
      </c>
      <c r="L6683" t="s">
        <v>82</v>
      </c>
    </row>
    <row r="6684" spans="1:13">
      <c r="A6684">
        <v>46171</v>
      </c>
      <c r="B6684" t="s">
        <v>63</v>
      </c>
      <c r="E6684">
        <v>2500</v>
      </c>
      <c r="F6684">
        <v>1</v>
      </c>
      <c r="G6684" t="s">
        <v>65</v>
      </c>
      <c r="H6684" t="s">
        <v>66</v>
      </c>
      <c r="I6684" t="s">
        <v>60</v>
      </c>
      <c r="J6684" t="s">
        <v>61</v>
      </c>
      <c r="L6684" t="s">
        <v>62</v>
      </c>
      <c r="M6684" t="s">
        <v>91</v>
      </c>
    </row>
    <row r="6685" spans="1:13">
      <c r="A6685">
        <v>46172</v>
      </c>
      <c r="B6685" t="s">
        <v>489</v>
      </c>
      <c r="F6685">
        <v>1</v>
      </c>
      <c r="G6685" t="s">
        <v>79</v>
      </c>
      <c r="H6685" t="s">
        <v>21</v>
      </c>
      <c r="L6685" t="s">
        <v>82</v>
      </c>
      <c r="M6685" t="s">
        <v>327</v>
      </c>
    </row>
    <row r="6686" spans="1:13">
      <c r="A6686">
        <v>46172</v>
      </c>
      <c r="B6686" t="s">
        <v>337</v>
      </c>
      <c r="F6686">
        <v>1</v>
      </c>
      <c r="G6686" t="s">
        <v>99</v>
      </c>
      <c r="H6686" t="s">
        <v>21</v>
      </c>
      <c r="L6686" t="s">
        <v>82</v>
      </c>
      <c r="M6686" t="s">
        <v>503</v>
      </c>
    </row>
    <row r="6687" spans="1:13">
      <c r="A6687">
        <v>46172</v>
      </c>
      <c r="B6687" t="s">
        <v>495</v>
      </c>
      <c r="F6687">
        <v>1</v>
      </c>
      <c r="G6687" t="s">
        <v>79</v>
      </c>
      <c r="H6687" t="s">
        <v>21</v>
      </c>
      <c r="L6687" t="s">
        <v>82</v>
      </c>
      <c r="M6687" t="s">
        <v>327</v>
      </c>
    </row>
    <row r="6688" spans="1:13">
      <c r="A6688">
        <v>46172</v>
      </c>
      <c r="B6688" t="s">
        <v>495</v>
      </c>
      <c r="F6688">
        <v>1</v>
      </c>
      <c r="G6688" t="s">
        <v>64</v>
      </c>
      <c r="L6688" t="s">
        <v>82</v>
      </c>
      <c r="M6688" t="s">
        <v>496</v>
      </c>
    </row>
    <row r="6689" spans="1:13">
      <c r="A6689">
        <v>46172</v>
      </c>
      <c r="B6689" t="s">
        <v>509</v>
      </c>
      <c r="F6689">
        <v>1</v>
      </c>
      <c r="G6689" t="s">
        <v>79</v>
      </c>
      <c r="H6689" t="s">
        <v>21</v>
      </c>
      <c r="L6689" t="s">
        <v>82</v>
      </c>
      <c r="M6689" t="s">
        <v>327</v>
      </c>
    </row>
    <row r="6690" spans="1:13">
      <c r="A6690">
        <v>46172</v>
      </c>
      <c r="B6690" t="s">
        <v>63</v>
      </c>
      <c r="D6690">
        <v>35000</v>
      </c>
      <c r="F6690">
        <v>3</v>
      </c>
      <c r="G6690" t="s">
        <v>70</v>
      </c>
      <c r="I6690" t="s">
        <v>71</v>
      </c>
      <c r="J6690" t="s">
        <v>72</v>
      </c>
      <c r="K6690" t="s">
        <v>498</v>
      </c>
      <c r="L6690" t="s">
        <v>62</v>
      </c>
      <c r="M6690" t="s">
        <v>90</v>
      </c>
    </row>
    <row r="6691" spans="1:13">
      <c r="A6691">
        <v>46172</v>
      </c>
      <c r="B6691" t="s">
        <v>63</v>
      </c>
      <c r="D6691">
        <v>11500</v>
      </c>
      <c r="F6691">
        <v>1</v>
      </c>
      <c r="G6691" t="s">
        <v>70</v>
      </c>
      <c r="I6691" t="s">
        <v>71</v>
      </c>
      <c r="J6691" t="s">
        <v>72</v>
      </c>
      <c r="K6691" t="s">
        <v>499</v>
      </c>
      <c r="L6691" t="s">
        <v>62</v>
      </c>
      <c r="M6691" t="s">
        <v>90</v>
      </c>
    </row>
    <row r="6692" spans="1:13">
      <c r="A6692">
        <v>46172</v>
      </c>
      <c r="B6692" t="s">
        <v>500</v>
      </c>
      <c r="F6692">
        <v>1</v>
      </c>
      <c r="G6692" t="s">
        <v>107</v>
      </c>
      <c r="H6692" t="s">
        <v>21</v>
      </c>
      <c r="L6692" t="s">
        <v>82</v>
      </c>
      <c r="M6692" t="s">
        <v>503</v>
      </c>
    </row>
    <row r="6693" spans="1:13">
      <c r="A6693">
        <v>46172</v>
      </c>
      <c r="B6693" t="s">
        <v>501</v>
      </c>
      <c r="F6693">
        <v>1</v>
      </c>
      <c r="G6693" t="s">
        <v>79</v>
      </c>
      <c r="H6693" t="s">
        <v>21</v>
      </c>
      <c r="L6693" t="s">
        <v>86</v>
      </c>
      <c r="M6693" t="s">
        <v>327</v>
      </c>
    </row>
    <row r="6694" spans="1:13">
      <c r="A6694">
        <v>46172</v>
      </c>
      <c r="B6694" t="s">
        <v>502</v>
      </c>
      <c r="D6694">
        <v>500</v>
      </c>
      <c r="F6694">
        <v>1</v>
      </c>
      <c r="G6694" t="s">
        <v>22</v>
      </c>
      <c r="H6694" t="s">
        <v>21</v>
      </c>
      <c r="I6694" t="s">
        <v>60</v>
      </c>
      <c r="J6694" t="s">
        <v>61</v>
      </c>
      <c r="L6694" t="s">
        <v>86</v>
      </c>
    </row>
    <row r="6695" spans="1:13">
      <c r="A6695">
        <v>46172</v>
      </c>
      <c r="B6695" t="s">
        <v>63</v>
      </c>
      <c r="D6695">
        <v>48000</v>
      </c>
      <c r="G6695" t="s">
        <v>70</v>
      </c>
      <c r="I6695" t="s">
        <v>60</v>
      </c>
      <c r="J6695" t="s">
        <v>61</v>
      </c>
      <c r="L6695" t="s">
        <v>62</v>
      </c>
    </row>
    <row r="6696" spans="1:13">
      <c r="A6696">
        <v>46172</v>
      </c>
      <c r="B6696" t="s">
        <v>80</v>
      </c>
      <c r="E6696">
        <v>14000</v>
      </c>
      <c r="F6696">
        <v>1</v>
      </c>
      <c r="G6696" t="s">
        <v>74</v>
      </c>
      <c r="H6696" t="s">
        <v>75</v>
      </c>
      <c r="I6696" t="s">
        <v>60</v>
      </c>
      <c r="J6696" t="s">
        <v>61</v>
      </c>
      <c r="K6696" t="s">
        <v>504</v>
      </c>
      <c r="L6696" t="s">
        <v>87</v>
      </c>
    </row>
    <row r="6697" spans="1:13">
      <c r="A6697">
        <v>46172</v>
      </c>
      <c r="B6697" t="s">
        <v>80</v>
      </c>
      <c r="E6697">
        <v>0</v>
      </c>
      <c r="F6697">
        <v>1</v>
      </c>
      <c r="G6697" t="s">
        <v>65</v>
      </c>
      <c r="H6697" t="s">
        <v>66</v>
      </c>
      <c r="I6697" t="s">
        <v>60</v>
      </c>
      <c r="J6697" t="s">
        <v>61</v>
      </c>
      <c r="K6697" t="s">
        <v>504</v>
      </c>
      <c r="L6697" t="s">
        <v>87</v>
      </c>
    </row>
    <row r="6698" spans="1:13">
      <c r="A6698">
        <v>46172</v>
      </c>
      <c r="B6698" t="s">
        <v>505</v>
      </c>
      <c r="D6698">
        <v>500</v>
      </c>
      <c r="F6698">
        <v>1</v>
      </c>
      <c r="G6698" t="s">
        <v>22</v>
      </c>
      <c r="H6698" t="s">
        <v>21</v>
      </c>
      <c r="I6698" t="s">
        <v>60</v>
      </c>
      <c r="J6698" t="s">
        <v>61</v>
      </c>
      <c r="L6698" t="s">
        <v>82</v>
      </c>
    </row>
    <row r="6699" spans="1:13">
      <c r="A6699">
        <v>46172</v>
      </c>
      <c r="B6699" t="s">
        <v>505</v>
      </c>
      <c r="F6699">
        <v>1</v>
      </c>
      <c r="G6699" t="s">
        <v>64</v>
      </c>
      <c r="L6699" t="s">
        <v>82</v>
      </c>
      <c r="M6699" t="s">
        <v>506</v>
      </c>
    </row>
    <row r="6700" spans="1:13">
      <c r="A6700">
        <v>46172</v>
      </c>
      <c r="B6700" t="s">
        <v>507</v>
      </c>
      <c r="F6700">
        <v>1</v>
      </c>
      <c r="G6700" t="s">
        <v>79</v>
      </c>
      <c r="H6700" t="s">
        <v>21</v>
      </c>
      <c r="L6700" t="s">
        <v>86</v>
      </c>
      <c r="M6700" t="s">
        <v>327</v>
      </c>
    </row>
    <row r="6701" spans="1:13">
      <c r="A6701">
        <v>46172</v>
      </c>
      <c r="B6701" t="s">
        <v>63</v>
      </c>
      <c r="D6701">
        <v>100</v>
      </c>
      <c r="F6701">
        <v>1</v>
      </c>
      <c r="G6701" t="s">
        <v>22</v>
      </c>
      <c r="H6701" t="s">
        <v>93</v>
      </c>
      <c r="I6701" t="s">
        <v>60</v>
      </c>
      <c r="J6701" t="s">
        <v>61</v>
      </c>
      <c r="L6701" t="s">
        <v>62</v>
      </c>
    </row>
    <row r="6702" spans="1:13">
      <c r="A6702">
        <v>46172</v>
      </c>
      <c r="B6702" t="s">
        <v>76</v>
      </c>
      <c r="D6702">
        <v>5000</v>
      </c>
      <c r="G6702" t="s">
        <v>77</v>
      </c>
      <c r="I6702" t="s">
        <v>60</v>
      </c>
      <c r="J6702" t="s">
        <v>61</v>
      </c>
      <c r="L6702" t="s">
        <v>62</v>
      </c>
    </row>
    <row r="6703" spans="1:13">
      <c r="A6703">
        <v>46172</v>
      </c>
      <c r="B6703" t="s">
        <v>63</v>
      </c>
      <c r="E6703">
        <v>100</v>
      </c>
      <c r="F6703">
        <v>1</v>
      </c>
      <c r="G6703" t="s">
        <v>65</v>
      </c>
      <c r="H6703" t="s">
        <v>66</v>
      </c>
      <c r="I6703" t="s">
        <v>60</v>
      </c>
      <c r="J6703" t="s">
        <v>61</v>
      </c>
      <c r="L6703" t="s">
        <v>62</v>
      </c>
      <c r="M6703" t="s">
        <v>93</v>
      </c>
    </row>
    <row r="6704" spans="1:13">
      <c r="A6704">
        <v>46172</v>
      </c>
      <c r="B6704" t="s">
        <v>63</v>
      </c>
      <c r="E6704">
        <v>1000</v>
      </c>
      <c r="F6704">
        <v>1</v>
      </c>
      <c r="G6704" t="s">
        <v>65</v>
      </c>
      <c r="H6704" t="s">
        <v>66</v>
      </c>
      <c r="I6704" t="s">
        <v>60</v>
      </c>
      <c r="J6704" t="s">
        <v>61</v>
      </c>
      <c r="L6704" t="s">
        <v>62</v>
      </c>
      <c r="M6704" t="s">
        <v>91</v>
      </c>
    </row>
    <row r="6705" spans="1:13">
      <c r="A6705">
        <v>46172</v>
      </c>
      <c r="B6705" t="s">
        <v>81</v>
      </c>
      <c r="D6705">
        <v>3000</v>
      </c>
      <c r="F6705">
        <v>1</v>
      </c>
      <c r="G6705" t="s">
        <v>74</v>
      </c>
      <c r="H6705" t="s">
        <v>75</v>
      </c>
      <c r="I6705" t="s">
        <v>60</v>
      </c>
      <c r="J6705" t="s">
        <v>61</v>
      </c>
      <c r="L6705" t="s">
        <v>88</v>
      </c>
      <c r="M6705" t="s">
        <v>497</v>
      </c>
    </row>
    <row r="6706" spans="1:13">
      <c r="A6706">
        <v>46173</v>
      </c>
      <c r="B6706" t="s">
        <v>510</v>
      </c>
      <c r="D6706">
        <v>500</v>
      </c>
      <c r="F6706">
        <v>1</v>
      </c>
      <c r="G6706" t="s">
        <v>22</v>
      </c>
      <c r="H6706" t="s">
        <v>21</v>
      </c>
      <c r="I6706" t="s">
        <v>60</v>
      </c>
      <c r="J6706" t="s">
        <v>61</v>
      </c>
      <c r="L6706" t="s">
        <v>86</v>
      </c>
    </row>
    <row r="6707" spans="1:13">
      <c r="A6707">
        <v>46173</v>
      </c>
      <c r="B6707" t="s">
        <v>511</v>
      </c>
      <c r="D6707">
        <v>500</v>
      </c>
      <c r="F6707">
        <v>1</v>
      </c>
      <c r="G6707" t="s">
        <v>22</v>
      </c>
      <c r="H6707" t="s">
        <v>21</v>
      </c>
      <c r="I6707" t="s">
        <v>60</v>
      </c>
      <c r="J6707" t="s">
        <v>61</v>
      </c>
      <c r="L6707" t="s">
        <v>86</v>
      </c>
    </row>
    <row r="6708" spans="1:13">
      <c r="A6708">
        <v>46173</v>
      </c>
      <c r="B6708" t="s">
        <v>512</v>
      </c>
      <c r="F6708">
        <v>1</v>
      </c>
      <c r="G6708" t="s">
        <v>64</v>
      </c>
      <c r="L6708" t="s">
        <v>86</v>
      </c>
      <c r="M6708" t="s">
        <v>513</v>
      </c>
    </row>
    <row r="6709" spans="1:13">
      <c r="A6709">
        <v>46173</v>
      </c>
      <c r="B6709" t="s">
        <v>514</v>
      </c>
      <c r="F6709">
        <v>1</v>
      </c>
      <c r="G6709" t="s">
        <v>64</v>
      </c>
      <c r="L6709" t="s">
        <v>86</v>
      </c>
      <c r="M6709" t="s">
        <v>515</v>
      </c>
    </row>
    <row r="6710" spans="1:13">
      <c r="A6710">
        <v>46173</v>
      </c>
      <c r="B6710" t="s">
        <v>516</v>
      </c>
      <c r="D6710">
        <v>500</v>
      </c>
      <c r="F6710">
        <v>1</v>
      </c>
      <c r="G6710" t="s">
        <v>22</v>
      </c>
      <c r="H6710" t="s">
        <v>21</v>
      </c>
      <c r="I6710" t="s">
        <v>60</v>
      </c>
      <c r="J6710" t="s">
        <v>61</v>
      </c>
      <c r="L6710" t="s">
        <v>86</v>
      </c>
    </row>
    <row r="6711" spans="1:13">
      <c r="A6711">
        <v>46173</v>
      </c>
      <c r="B6711" t="s">
        <v>517</v>
      </c>
      <c r="F6711">
        <v>1</v>
      </c>
      <c r="G6711" t="s">
        <v>64</v>
      </c>
      <c r="L6711" t="s">
        <v>89</v>
      </c>
      <c r="M6711" t="s">
        <v>518</v>
      </c>
    </row>
    <row r="6712" spans="1:13">
      <c r="A6712">
        <v>46173</v>
      </c>
      <c r="B6712" t="s">
        <v>519</v>
      </c>
      <c r="F6712">
        <v>1</v>
      </c>
      <c r="G6712" t="s">
        <v>64</v>
      </c>
      <c r="L6712" t="s">
        <v>89</v>
      </c>
      <c r="M6712" t="s">
        <v>520</v>
      </c>
    </row>
    <row r="6713" spans="1:13">
      <c r="A6713">
        <v>46173</v>
      </c>
      <c r="B6713" t="s">
        <v>63</v>
      </c>
      <c r="D6713">
        <v>56000</v>
      </c>
      <c r="G6713" t="s">
        <v>70</v>
      </c>
      <c r="I6713" t="s">
        <v>60</v>
      </c>
      <c r="J6713" t="s">
        <v>61</v>
      </c>
      <c r="L6713" t="s">
        <v>62</v>
      </c>
    </row>
    <row r="6714" spans="1:13">
      <c r="A6714">
        <v>46173</v>
      </c>
      <c r="B6714" t="s">
        <v>521</v>
      </c>
      <c r="D6714">
        <v>500</v>
      </c>
      <c r="F6714">
        <v>1</v>
      </c>
      <c r="G6714" t="s">
        <v>22</v>
      </c>
      <c r="H6714" t="s">
        <v>21</v>
      </c>
      <c r="I6714" t="s">
        <v>60</v>
      </c>
      <c r="J6714" t="s">
        <v>61</v>
      </c>
      <c r="L6714" t="s">
        <v>89</v>
      </c>
    </row>
    <row r="6715" spans="1:13">
      <c r="A6715">
        <v>46173</v>
      </c>
      <c r="B6715" t="s">
        <v>522</v>
      </c>
      <c r="F6715">
        <v>1</v>
      </c>
      <c r="G6715" t="s">
        <v>79</v>
      </c>
      <c r="H6715" t="s">
        <v>21</v>
      </c>
      <c r="L6715" t="s">
        <v>89</v>
      </c>
    </row>
    <row r="6716" spans="1:13">
      <c r="A6716">
        <v>46173</v>
      </c>
      <c r="B6716" t="s">
        <v>523</v>
      </c>
      <c r="F6716">
        <v>1</v>
      </c>
      <c r="G6716" t="s">
        <v>64</v>
      </c>
      <c r="L6716" t="s">
        <v>89</v>
      </c>
      <c r="M6716" t="s">
        <v>96</v>
      </c>
    </row>
    <row r="6717" spans="1:13">
      <c r="A6717">
        <v>46173</v>
      </c>
      <c r="B6717" t="s">
        <v>527</v>
      </c>
      <c r="F6717">
        <v>1</v>
      </c>
      <c r="G6717" t="s">
        <v>79</v>
      </c>
      <c r="H6717" t="s">
        <v>21</v>
      </c>
      <c r="L6717" t="s">
        <v>89</v>
      </c>
    </row>
    <row r="6718" spans="1:13">
      <c r="A6718">
        <v>46173</v>
      </c>
      <c r="B6718" t="s">
        <v>528</v>
      </c>
      <c r="F6718">
        <v>1</v>
      </c>
      <c r="G6718" t="s">
        <v>79</v>
      </c>
      <c r="H6718" t="s">
        <v>21</v>
      </c>
      <c r="L6718" t="s">
        <v>89</v>
      </c>
    </row>
    <row r="6719" spans="1:13">
      <c r="A6719">
        <v>46173</v>
      </c>
      <c r="B6719" t="s">
        <v>524</v>
      </c>
      <c r="F6719">
        <v>1</v>
      </c>
      <c r="G6719" t="s">
        <v>64</v>
      </c>
      <c r="L6719" t="s">
        <v>89</v>
      </c>
      <c r="M6719" t="s">
        <v>96</v>
      </c>
    </row>
    <row r="6720" spans="1:13">
      <c r="A6720">
        <v>46173</v>
      </c>
      <c r="B6720" t="s">
        <v>80</v>
      </c>
      <c r="E6720">
        <v>16000</v>
      </c>
      <c r="F6720">
        <v>1</v>
      </c>
      <c r="G6720" t="s">
        <v>74</v>
      </c>
      <c r="H6720" t="s">
        <v>75</v>
      </c>
      <c r="I6720" t="s">
        <v>60</v>
      </c>
      <c r="J6720" t="s">
        <v>61</v>
      </c>
      <c r="L6720" t="s">
        <v>87</v>
      </c>
    </row>
    <row r="6721" spans="1:13">
      <c r="A6721">
        <v>46173</v>
      </c>
      <c r="B6721" t="s">
        <v>80</v>
      </c>
      <c r="E6721">
        <v>0</v>
      </c>
      <c r="F6721">
        <v>1</v>
      </c>
      <c r="G6721" t="s">
        <v>65</v>
      </c>
      <c r="H6721" t="s">
        <v>66</v>
      </c>
      <c r="I6721" t="s">
        <v>60</v>
      </c>
      <c r="J6721" t="s">
        <v>61</v>
      </c>
      <c r="L6721" t="s">
        <v>87</v>
      </c>
    </row>
    <row r="6722" spans="1:13">
      <c r="A6722">
        <v>46173</v>
      </c>
      <c r="B6722" t="s">
        <v>525</v>
      </c>
      <c r="D6722">
        <v>500</v>
      </c>
      <c r="F6722">
        <v>1</v>
      </c>
      <c r="G6722" t="s">
        <v>22</v>
      </c>
      <c r="H6722" t="s">
        <v>21</v>
      </c>
      <c r="I6722" t="s">
        <v>60</v>
      </c>
      <c r="J6722" t="s">
        <v>61</v>
      </c>
      <c r="L6722" t="s">
        <v>89</v>
      </c>
    </row>
    <row r="6723" spans="1:13">
      <c r="A6723">
        <v>46173</v>
      </c>
      <c r="B6723" t="s">
        <v>526</v>
      </c>
      <c r="F6723">
        <v>1</v>
      </c>
      <c r="G6723" t="s">
        <v>64</v>
      </c>
      <c r="L6723" t="s">
        <v>89</v>
      </c>
      <c r="M6723" t="s">
        <v>96</v>
      </c>
    </row>
    <row r="6724" spans="1:13">
      <c r="A6724">
        <v>46173</v>
      </c>
      <c r="B6724" t="s">
        <v>76</v>
      </c>
      <c r="D6724">
        <v>1000</v>
      </c>
      <c r="G6724" t="s">
        <v>77</v>
      </c>
      <c r="I6724" t="s">
        <v>60</v>
      </c>
      <c r="J6724" t="s">
        <v>61</v>
      </c>
      <c r="L6724" t="s">
        <v>62</v>
      </c>
    </row>
    <row r="6725" spans="1:13">
      <c r="A6725">
        <v>46173</v>
      </c>
      <c r="B6725" t="s">
        <v>63</v>
      </c>
      <c r="E6725">
        <v>2500</v>
      </c>
      <c r="F6725">
        <v>1</v>
      </c>
      <c r="G6725" t="s">
        <v>65</v>
      </c>
      <c r="H6725" t="s">
        <v>66</v>
      </c>
      <c r="I6725" t="s">
        <v>60</v>
      </c>
      <c r="J6725" t="s">
        <v>61</v>
      </c>
      <c r="L6725" t="s">
        <v>62</v>
      </c>
      <c r="M6725" t="s">
        <v>91</v>
      </c>
    </row>
    <row r="6726" spans="1:13">
      <c r="A6726">
        <v>46173</v>
      </c>
      <c r="B6726" t="s">
        <v>529</v>
      </c>
      <c r="F6726">
        <v>1</v>
      </c>
      <c r="G6726" t="s">
        <v>79</v>
      </c>
      <c r="H6726" t="s">
        <v>21</v>
      </c>
      <c r="L6726" t="s">
        <v>89</v>
      </c>
    </row>
    <row r="6727" spans="1:13">
      <c r="A6727">
        <v>46173</v>
      </c>
      <c r="B6727" t="s">
        <v>530</v>
      </c>
      <c r="F6727">
        <v>1</v>
      </c>
      <c r="G6727" t="s">
        <v>79</v>
      </c>
      <c r="H6727" t="s">
        <v>21</v>
      </c>
      <c r="L6727" t="s">
        <v>89</v>
      </c>
    </row>
    <row r="6728" spans="1:13">
      <c r="A6728">
        <v>46173</v>
      </c>
      <c r="B6728" t="s">
        <v>531</v>
      </c>
      <c r="F6728">
        <v>1</v>
      </c>
      <c r="G6728" t="s">
        <v>79</v>
      </c>
      <c r="H6728" t="s">
        <v>21</v>
      </c>
      <c r="L6728" t="s">
        <v>89</v>
      </c>
    </row>
    <row r="6729" spans="1:13">
      <c r="A6729">
        <v>46173</v>
      </c>
      <c r="B6729" t="s">
        <v>532</v>
      </c>
      <c r="D6729">
        <v>8000</v>
      </c>
      <c r="F6729">
        <v>1</v>
      </c>
      <c r="G6729" t="s">
        <v>70</v>
      </c>
      <c r="I6729" t="s">
        <v>71</v>
      </c>
      <c r="J6729" t="s">
        <v>72</v>
      </c>
      <c r="L6729" t="s">
        <v>62</v>
      </c>
      <c r="M6729" t="s">
        <v>533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58E21-FEB4-474F-8670-6CE6505B073C}"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2</vt:i4>
      </vt:variant>
    </vt:vector>
  </HeadingPairs>
  <TitlesOfParts>
    <vt:vector size="9" baseType="lpstr">
      <vt:lpstr>Inicio</vt:lpstr>
      <vt:lpstr>Inicio (2)</vt:lpstr>
      <vt:lpstr>Caja</vt:lpstr>
      <vt:lpstr>CajaAcc</vt:lpstr>
      <vt:lpstr>TablaPuntos</vt:lpstr>
      <vt:lpstr>Caja (Histórico)</vt:lpstr>
      <vt:lpstr>CajaAcc (Histórico)</vt:lpstr>
      <vt:lpstr>Inicio!Área_de_impresión</vt:lpstr>
      <vt:lpstr>'Inicio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ENZO AMADORI AMADORI ENZO ALESANDRO</cp:lastModifiedBy>
  <cp:lastPrinted>2025-03-23T18:50:05Z</cp:lastPrinted>
  <dcterms:created xsi:type="dcterms:W3CDTF">2025-03-23T15:11:34Z</dcterms:created>
  <dcterms:modified xsi:type="dcterms:W3CDTF">2026-06-21T19:17:13Z</dcterms:modified>
</cp:coreProperties>
</file>